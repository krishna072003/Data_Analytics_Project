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ata analyst  assignments\DA_P1131 Dataset\DA_P1131 Dataset\"/>
    </mc:Choice>
  </mc:AlternateContent>
  <xr:revisionPtr revIDLastSave="0" documentId="13_ncr:1_{11EB0F05-3CEF-40AC-9935-8EC13C17DC87}" xr6:coauthVersionLast="47" xr6:coauthVersionMax="47" xr10:uidLastSave="{00000000-0000-0000-0000-000000000000}"/>
  <bookViews>
    <workbookView xWindow="-120" yWindow="-120" windowWidth="20730" windowHeight="11040" activeTab="2" xr2:uid="{801A530B-6B14-4DC5-ADBF-52748282B57F}"/>
  </bookViews>
  <sheets>
    <sheet name="Raw_Data" sheetId="1" r:id="rId1"/>
    <sheet name="Pivot_Models" sheetId="2" r:id="rId2"/>
    <sheet name="Dashboard" sheetId="3" r:id="rId3"/>
  </sheets>
  <definedNames>
    <definedName name="Slicer_policy_status">#N/A</definedName>
    <definedName name="Slicer_product_group">#N/A</definedName>
    <definedName name="Slicer_Years__policy_start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6" i="3" l="1"/>
  <c r="J6" i="3"/>
  <c r="A6" i="3"/>
  <c r="A9" i="3"/>
  <c r="G6" i="3"/>
  <c r="D9" i="3" l="1"/>
  <c r="J9" i="3"/>
  <c r="G9" i="3"/>
</calcChain>
</file>

<file path=xl/sharedStrings.xml><?xml version="1.0" encoding="utf-8"?>
<sst xmlns="http://schemas.openxmlformats.org/spreadsheetml/2006/main" count="71951" uniqueCount="699">
  <si>
    <t>client_name</t>
  </si>
  <si>
    <t>policy_number</t>
  </si>
  <si>
    <t>policy_status</t>
  </si>
  <si>
    <t>policy_start_date</t>
  </si>
  <si>
    <t>policy_end_date</t>
  </si>
  <si>
    <t>product_group</t>
  </si>
  <si>
    <t>account_exe_id</t>
  </si>
  <si>
    <t>exe_name</t>
  </si>
  <si>
    <t>branch_name</t>
  </si>
  <si>
    <t>solution_group</t>
  </si>
  <si>
    <t>income_class</t>
  </si>
  <si>
    <t>amount</t>
  </si>
  <si>
    <t>income_due_date</t>
  </si>
  <si>
    <t>revenue_transaction_type</t>
  </si>
  <si>
    <t>renewal_status</t>
  </si>
  <si>
    <t>lapse_reason</t>
  </si>
  <si>
    <t>last_updated_date</t>
  </si>
  <si>
    <t>lapse_reason_clean</t>
  </si>
  <si>
    <t>opportunity_name</t>
  </si>
  <si>
    <t>opportunity_id</t>
  </si>
  <si>
    <t>account_executive</t>
  </si>
  <si>
    <t>premium_amount</t>
  </si>
  <si>
    <t>revenue_amount</t>
  </si>
  <si>
    <t>closing_date</t>
  </si>
  <si>
    <t>stage</t>
  </si>
  <si>
    <t>branch</t>
  </si>
  <si>
    <t>specialty</t>
  </si>
  <si>
    <t>product_sub_group</t>
  </si>
  <si>
    <t>risk_details</t>
  </si>
  <si>
    <t>invoice_number</t>
  </si>
  <si>
    <t>invoice_date</t>
  </si>
  <si>
    <t>global_attendees</t>
  </si>
  <si>
    <t>meeting_date</t>
  </si>
  <si>
    <t>employee_name</t>
  </si>
  <si>
    <t>new_role2</t>
  </si>
  <si>
    <t>new_budget</t>
  </si>
  <si>
    <t>cross_sell_bugdet</t>
  </si>
  <si>
    <t>renewal_budget</t>
  </si>
  <si>
    <t>A</t>
  </si>
  <si>
    <t>2414 2022 4088 1000 000</t>
  </si>
  <si>
    <t>Active</t>
  </si>
  <si>
    <t>Marine</t>
  </si>
  <si>
    <t>Vinay</t>
  </si>
  <si>
    <t>Ahmedabad</t>
  </si>
  <si>
    <t>Renewal</t>
  </si>
  <si>
    <t>Brokerage</t>
  </si>
  <si>
    <t>Inception</t>
  </si>
  <si>
    <t>OTHR - Other</t>
  </si>
  <si>
    <t>Other</t>
  </si>
  <si>
    <t>BL - Marine STOP</t>
  </si>
  <si>
    <t>OPP1900001048</t>
  </si>
  <si>
    <t>Qualify Opportunity</t>
  </si>
  <si>
    <t>Marine Hull</t>
  </si>
  <si>
    <t>Charterers' Liability Policy</t>
  </si>
  <si>
    <t>Sophia Garcia</t>
  </si>
  <si>
    <t>Hunter &amp; Farmer</t>
  </si>
  <si>
    <t>James Miller</t>
  </si>
  <si>
    <t>Mia Rodriguez</t>
  </si>
  <si>
    <t>Benjamin Anderson</t>
  </si>
  <si>
    <t>Charlotte Taylor</t>
  </si>
  <si>
    <t>II-Marine</t>
  </si>
  <si>
    <t>OPP1900001050</t>
  </si>
  <si>
    <t>PIL -Marine</t>
  </si>
  <si>
    <t>OPP1900001053</t>
  </si>
  <si>
    <t>Sandesh - Marine</t>
  </si>
  <si>
    <t>OPP1900001055</t>
  </si>
  <si>
    <t>Sanjay Trivedi</t>
  </si>
  <si>
    <t>Abhinav Shivam</t>
  </si>
  <si>
    <t>New</t>
  </si>
  <si>
    <t>Anita Sethi</t>
  </si>
  <si>
    <t>0655001825 01</t>
  </si>
  <si>
    <t>Inactive</t>
  </si>
  <si>
    <t>Fire</t>
  </si>
  <si>
    <t>Construction, Power &amp; Infrastructure</t>
  </si>
  <si>
    <t>Ashok Chatterjee</t>
  </si>
  <si>
    <t>Rani Agarwal</t>
  </si>
  <si>
    <t>Miscellaneous</t>
  </si>
  <si>
    <t>Liability</t>
  </si>
  <si>
    <t>PIL-Credit Insurance</t>
  </si>
  <si>
    <t>OPP1900001051</t>
  </si>
  <si>
    <t>Trade Credit &amp;amp; Political Risk</t>
  </si>
  <si>
    <t>Trade Credit Insurance</t>
  </si>
  <si>
    <t>Arjun Rao</t>
  </si>
  <si>
    <t>237164239 00</t>
  </si>
  <si>
    <t>Employee Benefits</t>
  </si>
  <si>
    <t>Mark</t>
  </si>
  <si>
    <t>Employee Benefits (EB)</t>
  </si>
  <si>
    <t>EI- GMC</t>
  </si>
  <si>
    <t>OPP1900001364</t>
  </si>
  <si>
    <t>Mediclaim</t>
  </si>
  <si>
    <t>Group Medical</t>
  </si>
  <si>
    <t>Christopher Campbell</t>
  </si>
  <si>
    <t>Servicer</t>
  </si>
  <si>
    <t>Zoe Rivera</t>
  </si>
  <si>
    <t>FM-Group Mediclaim</t>
  </si>
  <si>
    <t>OPP1900001390</t>
  </si>
  <si>
    <t>BVGMC</t>
  </si>
  <si>
    <t>OPP1900001393</t>
  </si>
  <si>
    <t>Emerging Corporates Group (ECG)</t>
  </si>
  <si>
    <t>BV GPA</t>
  </si>
  <si>
    <t>OPP1900001394</t>
  </si>
  <si>
    <t>Group Personal Accident</t>
  </si>
  <si>
    <t>OP-GMC</t>
  </si>
  <si>
    <t>OPP1900001803</t>
  </si>
  <si>
    <t>Anil Naik</t>
  </si>
  <si>
    <t>4101190700000015-00</t>
  </si>
  <si>
    <t>Endorsement</t>
  </si>
  <si>
    <t>Simran Trivedi</t>
  </si>
  <si>
    <t xml:space="preserve">Brokerage </t>
  </si>
  <si>
    <t>Dhruv Chopra</t>
  </si>
  <si>
    <t>Jaya Chopra</t>
  </si>
  <si>
    <t>2414 2022 1261 2200 000</t>
  </si>
  <si>
    <t>Kiran Goyal</t>
  </si>
  <si>
    <t>2414 2026 2374 7800 000</t>
  </si>
  <si>
    <t>Pravin Sengupta</t>
  </si>
  <si>
    <t>Property / BI</t>
  </si>
  <si>
    <t>Snehal Das</t>
  </si>
  <si>
    <t>Rajesh Malhotra</t>
  </si>
  <si>
    <t>LWC/I2568913/71/05/006144</t>
  </si>
  <si>
    <t>Archana Bhatia</t>
  </si>
  <si>
    <t>0865074115 01</t>
  </si>
  <si>
    <t>Manish Sharma</t>
  </si>
  <si>
    <t>Small Medium Enterpries (SME)</t>
  </si>
  <si>
    <t>Ashok Reddy</t>
  </si>
  <si>
    <t>Madhuri Bhatia</t>
  </si>
  <si>
    <t>Animesh Rawat</t>
  </si>
  <si>
    <t>Global Client Network (GNB Inward)</t>
  </si>
  <si>
    <t>Cross Sell</t>
  </si>
  <si>
    <t>Pranav Mishra</t>
  </si>
  <si>
    <t>OG-19-2202-1018-00000055</t>
  </si>
  <si>
    <t>OPP1900001843</t>
  </si>
  <si>
    <t>Negotiate</t>
  </si>
  <si>
    <t>Marine Cargo</t>
  </si>
  <si>
    <t>Marine Combo policy ( EXIM +Inland)</t>
  </si>
  <si>
    <t>Lucas Hernandez</t>
  </si>
  <si>
    <t>Amelia Moore</t>
  </si>
  <si>
    <t>Henry Thomas</t>
  </si>
  <si>
    <t>Harper Martin</t>
  </si>
  <si>
    <t>Maine Open</t>
  </si>
  <si>
    <t>OPP1900001923</t>
  </si>
  <si>
    <t>Propose Solution</t>
  </si>
  <si>
    <t>Rina Goyal</t>
  </si>
  <si>
    <t>OG-19-2202-3383-00000009</t>
  </si>
  <si>
    <t>Geeta Gupta</t>
  </si>
  <si>
    <t>Sudhir Roy</t>
  </si>
  <si>
    <t>0830017443 01</t>
  </si>
  <si>
    <t>Rani Kaul</t>
  </si>
  <si>
    <t>180876-0000-00</t>
  </si>
  <si>
    <t>Kavita Sharma</t>
  </si>
  <si>
    <t>180876-0000-01</t>
  </si>
  <si>
    <t>Shikha Sethi</t>
  </si>
  <si>
    <t>Amit Bhargava</t>
  </si>
  <si>
    <t>Alka Goel</t>
  </si>
  <si>
    <t>Harish Sharma</t>
  </si>
  <si>
    <t>P0119200001/9999/100017</t>
  </si>
  <si>
    <t>Shivani Sharma</t>
  </si>
  <si>
    <t>DB- Cyber Liability</t>
  </si>
  <si>
    <t>OPP1900001138</t>
  </si>
  <si>
    <t>Financial Lines</t>
  </si>
  <si>
    <t>Cyber Liability Insurance</t>
  </si>
  <si>
    <t>Madison Robinson</t>
  </si>
  <si>
    <t>David Hall</t>
  </si>
  <si>
    <t>Lily Young</t>
  </si>
  <si>
    <t>Samuel Allen</t>
  </si>
  <si>
    <t>VS.-D &amp; O</t>
  </si>
  <si>
    <t>OPP1900002104</t>
  </si>
  <si>
    <t>Director &amp;amp; Officers / Management  Liability</t>
  </si>
  <si>
    <t>Gaurav Goel</t>
  </si>
  <si>
    <t>0865078325 00</t>
  </si>
  <si>
    <t>Ravi Naik</t>
  </si>
  <si>
    <t>Kamlesh Prasad</t>
  </si>
  <si>
    <t>Nikhil Verma</t>
  </si>
  <si>
    <t>'0865078325 01</t>
  </si>
  <si>
    <t>Vaishali Desai</t>
  </si>
  <si>
    <t>0865080591 00</t>
  </si>
  <si>
    <t>Atul Naik</t>
  </si>
  <si>
    <t>0865081032 00</t>
  </si>
  <si>
    <t>Meena Bhargava</t>
  </si>
  <si>
    <t>'310304111710000871</t>
  </si>
  <si>
    <t>Mona Chopra</t>
  </si>
  <si>
    <t>Mohit Tiwari</t>
  </si>
  <si>
    <t>Tina Dutta</t>
  </si>
  <si>
    <t>'310304591810000063</t>
  </si>
  <si>
    <t>Hemant Das</t>
  </si>
  <si>
    <t>'310300111910000401</t>
  </si>
  <si>
    <t>Sanjana Bhargava</t>
  </si>
  <si>
    <t>Kamlesh Trivedi</t>
  </si>
  <si>
    <t>Ketan Jain</t>
  </si>
  <si>
    <t>Nikita Tiwari</t>
  </si>
  <si>
    <t>Kapil Kapoor</t>
  </si>
  <si>
    <t>0830018899Ã‚Â 01</t>
  </si>
  <si>
    <t>Harish Rana</t>
  </si>
  <si>
    <t>OG-19-2202-1018-00000059</t>
  </si>
  <si>
    <t>Nikhil Pandit</t>
  </si>
  <si>
    <t>OG-19-2001-3315-00000015</t>
  </si>
  <si>
    <t>Vivek Rana</t>
  </si>
  <si>
    <t>4005/134645920/01/000</t>
  </si>
  <si>
    <t>Hemant Nair</t>
  </si>
  <si>
    <t>Veena Bhargava</t>
  </si>
  <si>
    <t>4005/134645920/02/000</t>
  </si>
  <si>
    <t>Shivam Shah</t>
  </si>
  <si>
    <t>4016/133979727/01/000</t>
  </si>
  <si>
    <t>Bhavna Bhandari</t>
  </si>
  <si>
    <t>Tarun Shah</t>
  </si>
  <si>
    <t>4016/133979727/02/000</t>
  </si>
  <si>
    <t>Hemant Chauhan</t>
  </si>
  <si>
    <t>0865078861 00</t>
  </si>
  <si>
    <t>VS.-Marine</t>
  </si>
  <si>
    <t>OPP1900001056</t>
  </si>
  <si>
    <t>Geeta Verma</t>
  </si>
  <si>
    <t>4066/130374729/01/000</t>
  </si>
  <si>
    <t>Ashok Patel</t>
  </si>
  <si>
    <t>2002/160040691/00/000</t>
  </si>
  <si>
    <t>Gayatri Reddy</t>
  </si>
  <si>
    <t>2002/160040691/01/000</t>
  </si>
  <si>
    <t>Snehal Patel</t>
  </si>
  <si>
    <t>2002/E/107876781/03/000</t>
  </si>
  <si>
    <t>Vivek Yadav</t>
  </si>
  <si>
    <t>2002/E/1078781/02/000</t>
  </si>
  <si>
    <t>Juli</t>
  </si>
  <si>
    <t>Kiran Saxena</t>
  </si>
  <si>
    <t>Uday Reddy</t>
  </si>
  <si>
    <t>'14220011190100000062</t>
  </si>
  <si>
    <t>Raju Kumar</t>
  </si>
  <si>
    <t>Anita Pandit</t>
  </si>
  <si>
    <t>2690000138 04</t>
  </si>
  <si>
    <t>Hina Malhotra</t>
  </si>
  <si>
    <t>2690000337 03</t>
  </si>
  <si>
    <t>Alka Patel</t>
  </si>
  <si>
    <t>Shruti Roy</t>
  </si>
  <si>
    <t>OG-18-2202-3315-00000028</t>
  </si>
  <si>
    <t>Archana Singh</t>
  </si>
  <si>
    <t>'23060036180200000022</t>
  </si>
  <si>
    <t>PIL-CGL</t>
  </si>
  <si>
    <t>OPP1900001052</t>
  </si>
  <si>
    <t>Commercial General Liability</t>
  </si>
  <si>
    <t>Mukul Goyal</t>
  </si>
  <si>
    <t>'2999202466609300000</t>
  </si>
  <si>
    <t>Namita Bajaj</t>
  </si>
  <si>
    <t>'2999203175548500000</t>
  </si>
  <si>
    <t>Nikita Joshi</t>
  </si>
  <si>
    <t>141400/11/2018/737</t>
  </si>
  <si>
    <t>Tejas Shah</t>
  </si>
  <si>
    <t>141400/11/2018/738</t>
  </si>
  <si>
    <t>Kavita Rao</t>
  </si>
  <si>
    <t>141400/44/2018/101</t>
  </si>
  <si>
    <t>Hemant Shah</t>
  </si>
  <si>
    <t>141400/44/2018/102</t>
  </si>
  <si>
    <t>Prabhat Naik</t>
  </si>
  <si>
    <t>141400/48/2018/2149</t>
  </si>
  <si>
    <t>Nikhil Tiwari</t>
  </si>
  <si>
    <t>141400/48/2018/2150</t>
  </si>
  <si>
    <t>Neha Trivedi</t>
  </si>
  <si>
    <t>141400/48/2018/2237</t>
  </si>
  <si>
    <t>Shruti Agarwal</t>
  </si>
  <si>
    <t>141400/48/2018/2238</t>
  </si>
  <si>
    <t>Kiran Desai</t>
  </si>
  <si>
    <t>141400/48/2018/2239</t>
  </si>
  <si>
    <t>Kanchan Iyer</t>
  </si>
  <si>
    <t>LWC/I2548354/71/02/005537</t>
  </si>
  <si>
    <t>Bhavna Kapoor</t>
  </si>
  <si>
    <t>'91000036191500000014</t>
  </si>
  <si>
    <t>Ritika Reddy</t>
  </si>
  <si>
    <t>'91000036191700000002</t>
  </si>
  <si>
    <t>Suresh Das</t>
  </si>
  <si>
    <t>Shikha Chauhan</t>
  </si>
  <si>
    <t>PDBI</t>
  </si>
  <si>
    <t>OPP1900002004</t>
  </si>
  <si>
    <t>Constructions &amp;amp; Infrastructure</t>
  </si>
  <si>
    <t>Fire &amp;amp; Special Perils</t>
  </si>
  <si>
    <t>OPP1900002070</t>
  </si>
  <si>
    <t>SFSP</t>
  </si>
  <si>
    <t>OPP1900002098</t>
  </si>
  <si>
    <t>Hemant Dutta</t>
  </si>
  <si>
    <t>Dinesh Pandey</t>
  </si>
  <si>
    <t>Archana Iyer</t>
  </si>
  <si>
    <t>0668111383 05</t>
  </si>
  <si>
    <t>Deepak Menon</t>
  </si>
  <si>
    <t>Vivek Gupta</t>
  </si>
  <si>
    <t>Rina Shah</t>
  </si>
  <si>
    <t>Uday Prasad</t>
  </si>
  <si>
    <t>OG-19-2202-1018-00000053</t>
  </si>
  <si>
    <t>Nitin Kapoor</t>
  </si>
  <si>
    <t>OG-19-2202-3383-00000008</t>
  </si>
  <si>
    <t>Harish Kaul</t>
  </si>
  <si>
    <t>PROHLN000242106</t>
  </si>
  <si>
    <t>EL-Group Mediclaim</t>
  </si>
  <si>
    <t>OPP1900001042</t>
  </si>
  <si>
    <t>KB GMC</t>
  </si>
  <si>
    <t>OPP1900001222</t>
  </si>
  <si>
    <t>Sin GMC</t>
  </si>
  <si>
    <t>OPP1900001366</t>
  </si>
  <si>
    <t>Stem GMC</t>
  </si>
  <si>
    <t>OPP1900001391</t>
  </si>
  <si>
    <t>DS- Employees GMC</t>
  </si>
  <si>
    <t>OPP1900001392</t>
  </si>
  <si>
    <t>Neeraj Arora</t>
  </si>
  <si>
    <t>Mukul Kumar</t>
  </si>
  <si>
    <t>Gauri Naik</t>
  </si>
  <si>
    <t>Harish Menon</t>
  </si>
  <si>
    <t>Mohit Gupta</t>
  </si>
  <si>
    <t>P0319200002/9999/100065</t>
  </si>
  <si>
    <t>Amit Arora</t>
  </si>
  <si>
    <t>2018-F0541357-FRE</t>
  </si>
  <si>
    <t>Nikita Pandit</t>
  </si>
  <si>
    <t>'11120044170300000009</t>
  </si>
  <si>
    <t>Engineering</t>
  </si>
  <si>
    <t>Vikas Gupta</t>
  </si>
  <si>
    <t>Kamlesh Pillai</t>
  </si>
  <si>
    <t>Umesh Agarwal</t>
  </si>
  <si>
    <t>Ankur Gandhi</t>
  </si>
  <si>
    <t>Dinesh Kaul</t>
  </si>
  <si>
    <t>Ankur Naik</t>
  </si>
  <si>
    <t>BB</t>
  </si>
  <si>
    <t>'0000000008540162-01</t>
  </si>
  <si>
    <t>FM00104260000100</t>
  </si>
  <si>
    <t>Vididt Saha</t>
  </si>
  <si>
    <t>2412/202063061201000</t>
  </si>
  <si>
    <t>2018-C1742872-MLO</t>
  </si>
  <si>
    <t>0000000008502066-01</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</si>
  <si>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</si>
  <si>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</si>
  <si>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</si>
  <si>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</si>
  <si>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</si>
  <si>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</si>
  <si>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</si>
  <si>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</si>
  <si>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</si>
  <si>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</si>
  <si>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</si>
  <si>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</si>
  <si>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</si>
  <si>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</si>
  <si>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</si>
  <si>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</si>
  <si>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</si>
  <si>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</si>
  <si>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</si>
  <si>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</si>
  <si>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</si>
  <si>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0301004728-2019</t>
  </si>
  <si>
    <t>0600010004 01</t>
  </si>
  <si>
    <t>0600010004 02</t>
  </si>
  <si>
    <t>0640002231 03</t>
  </si>
  <si>
    <t>0640002231 04</t>
  </si>
  <si>
    <t>KG-CAR</t>
  </si>
  <si>
    <t>OPP1900001947</t>
  </si>
  <si>
    <t>Contractors All Risk</t>
  </si>
  <si>
    <t>G R -CAR</t>
  </si>
  <si>
    <t>OPP1900001950</t>
  </si>
  <si>
    <t>32099602-01</t>
  </si>
  <si>
    <t>APG/I2064820/71/11/006144</t>
  </si>
  <si>
    <t>APG/I2064820/71/11/006343</t>
  </si>
  <si>
    <t>GHS/Q0226519/71</t>
  </si>
  <si>
    <t>GHS/Q1166066/71</t>
  </si>
  <si>
    <t>LWC/I2328626/71/04/005537</t>
  </si>
  <si>
    <t>OG-18-2202-1018-00000028</t>
  </si>
  <si>
    <t>OG-19-2202-1018-00000047</t>
  </si>
  <si>
    <t>4016 X 166425941 00 000</t>
  </si>
  <si>
    <t>141400/48/2020/1134</t>
  </si>
  <si>
    <t>Lapse</t>
  </si>
  <si>
    <t>MERC - Merged with new combined policy</t>
  </si>
  <si>
    <t>'0000000008539844-01</t>
  </si>
  <si>
    <t>00000000085/39886</t>
  </si>
  <si>
    <t>'0000000008539944-01</t>
  </si>
  <si>
    <t>00000000086/43966</t>
  </si>
  <si>
    <t>'0300004329</t>
  </si>
  <si>
    <t>'0304001755</t>
  </si>
  <si>
    <t>'0655001664 03</t>
  </si>
  <si>
    <t>ABC</t>
  </si>
  <si>
    <t>0830016972 02</t>
  </si>
  <si>
    <t>0830016972Ã‚Â 01</t>
  </si>
  <si>
    <t>'12063453</t>
  </si>
  <si>
    <t xml:space="preserve">121400/36/17/17/00000005 </t>
  </si>
  <si>
    <t>121400/36/17/30/00000014</t>
  </si>
  <si>
    <t>'12140036180800000001</t>
  </si>
  <si>
    <t>'12140036181700000021</t>
  </si>
  <si>
    <t>'12140036183000000021</t>
  </si>
  <si>
    <t>'2302003268</t>
  </si>
  <si>
    <t>2018-F0513845-BSS</t>
  </si>
  <si>
    <t>2018-L0116737-FWC</t>
  </si>
  <si>
    <t>2018-L0116800-PBL</t>
  </si>
  <si>
    <t>2019-F0673106-BSS</t>
  </si>
  <si>
    <t>2019-L0138835-FWC</t>
  </si>
  <si>
    <t>2019-L0139704-PBL</t>
  </si>
  <si>
    <t>FGP-24-18-7001720-01-000</t>
  </si>
  <si>
    <t>II -  GMC</t>
  </si>
  <si>
    <t>OPP1900001057</t>
  </si>
  <si>
    <t>II - GPA</t>
  </si>
  <si>
    <t>OPP1900001058</t>
  </si>
  <si>
    <t>G R -GMC</t>
  </si>
  <si>
    <t>OPP1900001072</t>
  </si>
  <si>
    <t>FGP-24-19-7003140-02-000</t>
  </si>
  <si>
    <t>H0088766</t>
  </si>
  <si>
    <t>141100/48/2019/48</t>
  </si>
  <si>
    <t>GMAN - Global Mandate</t>
  </si>
  <si>
    <t>GTL 3193894</t>
  </si>
  <si>
    <t>GTL3304779</t>
  </si>
  <si>
    <t>0260009050 00</t>
  </si>
  <si>
    <t>0000000008907502-01</t>
  </si>
  <si>
    <t>020P000098802000</t>
  </si>
  <si>
    <t>020P000098803000</t>
  </si>
  <si>
    <t>000000000086/4398</t>
  </si>
  <si>
    <t>'0000000008539756-01</t>
  </si>
  <si>
    <t>'0000000008539844</t>
  </si>
  <si>
    <t>'0000000008643898-01</t>
  </si>
  <si>
    <t>'99000044180400000024</t>
  </si>
  <si>
    <t>LW/00009151000100</t>
  </si>
  <si>
    <t>2412/202312723700000</t>
  </si>
  <si>
    <t>OG-18-2202-4091-00000964</t>
  </si>
  <si>
    <t>1213001118P112967501</t>
  </si>
  <si>
    <t>'310304111810000477</t>
  </si>
  <si>
    <t>OG-19-2202-4091-00000967</t>
  </si>
  <si>
    <t>YB00020403000100</t>
  </si>
  <si>
    <t>31030411/17/10000760</t>
  </si>
  <si>
    <t>31030/459/1710000154</t>
  </si>
  <si>
    <t>2999/202296981100000</t>
  </si>
  <si>
    <t>2999202758217600000"</t>
  </si>
  <si>
    <t>141100/48/2019/4225</t>
  </si>
  <si>
    <t>2002/132282540/02/000</t>
  </si>
  <si>
    <t>2018-B0100354-FBG</t>
  </si>
  <si>
    <t>2018-F0512344-FRE</t>
  </si>
  <si>
    <t>2018-F0512462-FLO</t>
  </si>
  <si>
    <t>2018-L0116963-CGL</t>
  </si>
  <si>
    <t>2412/2024 4046 0100 000</t>
  </si>
  <si>
    <t>0635003567 00</t>
  </si>
  <si>
    <t>4010/118287210/02/000</t>
  </si>
  <si>
    <t>4010/118433486/02/000</t>
  </si>
  <si>
    <t>4010/118434222/02/000</t>
  </si>
  <si>
    <t>Kumar Jha</t>
  </si>
  <si>
    <t>Gilbert</t>
  </si>
  <si>
    <t>0640002526 02</t>
  </si>
  <si>
    <t>1003/126704810/01/000</t>
  </si>
  <si>
    <t>1003/126704810/02/000</t>
  </si>
  <si>
    <t>2304001082-01</t>
  </si>
  <si>
    <t>2600010787 00</t>
  </si>
  <si>
    <t>2600011209 00</t>
  </si>
  <si>
    <t>2600015265 00</t>
  </si>
  <si>
    <t>4001/117090005/02/0000</t>
  </si>
  <si>
    <t>4001/117090005/03/000</t>
  </si>
  <si>
    <t>4001/122835467/01</t>
  </si>
  <si>
    <t>4001/122835467/02/000</t>
  </si>
  <si>
    <t xml:space="preserve">4001/122835467/02/000 </t>
  </si>
  <si>
    <t>4001/122835467/03/000</t>
  </si>
  <si>
    <t>4092/147 968178/00/000</t>
  </si>
  <si>
    <t>4092/151965577/01/000</t>
  </si>
  <si>
    <t>ER00004563000100</t>
  </si>
  <si>
    <t>OG-19-2202-1002-00001901</t>
  </si>
  <si>
    <t>OG-19-2202-1002-00001981</t>
  </si>
  <si>
    <t>OG-19-2202-4001-00011127</t>
  </si>
  <si>
    <t>OG-19-2202-4010-00002245</t>
  </si>
  <si>
    <t>'001P000202300000</t>
  </si>
  <si>
    <t>'001P000203500000</t>
  </si>
  <si>
    <t>111200/11/2018/98</t>
  </si>
  <si>
    <t>DRCT - Direct</t>
  </si>
  <si>
    <t>'11120036181000000012</t>
  </si>
  <si>
    <t>'11120044170300000014</t>
  </si>
  <si>
    <t>XYZ</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</si>
  <si>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</si>
  <si>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</si>
  <si>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</si>
  <si>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</si>
  <si>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</si>
  <si>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</si>
  <si>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</si>
  <si>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</si>
  <si>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</si>
  <si>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</si>
  <si>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NOLN - No Longer Needed</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</si>
  <si>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</si>
  <si>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</si>
  <si>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</si>
  <si>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</si>
  <si>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</si>
  <si>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</si>
  <si>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</si>
  <si>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</si>
  <si>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</si>
  <si>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</si>
  <si>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</si>
  <si>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</si>
  <si>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</si>
  <si>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</si>
  <si>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</si>
  <si>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</si>
  <si>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</si>
  <si>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</si>
  <si>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</si>
  <si>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</si>
  <si>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</si>
  <si>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AL GPA</t>
  </si>
  <si>
    <t>OPP1900001047</t>
  </si>
  <si>
    <t>SGL- GMC</t>
  </si>
  <si>
    <t>OPP1900001054</t>
  </si>
  <si>
    <t>0865085175 00 00</t>
  </si>
  <si>
    <t>2002/160095852/00/000</t>
  </si>
  <si>
    <t>'21300031180100007178</t>
  </si>
  <si>
    <t>Motor</t>
  </si>
  <si>
    <t>'310300111910000395</t>
  </si>
  <si>
    <t>0301004265-1</t>
  </si>
  <si>
    <t>2412 2020 7182 9001 000</t>
  </si>
  <si>
    <t>4101191100000008-00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</si>
  <si>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</si>
  <si>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</si>
  <si>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</si>
  <si>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</si>
  <si>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</si>
  <si>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</si>
  <si>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</si>
  <si>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</si>
  <si>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</si>
  <si>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</si>
  <si>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COMP - Competition</t>
  </si>
  <si>
    <t>0865082088 00</t>
  </si>
  <si>
    <t>4016/138636598/01/000</t>
  </si>
  <si>
    <t>2005/162167315/00/000</t>
  </si>
  <si>
    <t>0000000007404252-01</t>
  </si>
  <si>
    <t>0000000007404252-02</t>
  </si>
  <si>
    <t>0000000010619837-01</t>
  </si>
  <si>
    <t>1011/142530053/00/000</t>
  </si>
  <si>
    <t>1011/142530053/01/000</t>
  </si>
  <si>
    <t>DDD</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</si>
  <si>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</si>
  <si>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</si>
  <si>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</si>
  <si>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</si>
  <si>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</si>
  <si>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</si>
  <si>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</si>
  <si>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</si>
  <si>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</si>
  <si>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</si>
  <si>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</si>
  <si>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</si>
  <si>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</si>
  <si>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</si>
  <si>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</si>
  <si>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JCOM - Job Completed</t>
  </si>
  <si>
    <t>'2309003157</t>
  </si>
  <si>
    <t>'2309003157 01</t>
  </si>
  <si>
    <t>99000011170100000135'</t>
  </si>
  <si>
    <t>'99000011170100000412</t>
  </si>
  <si>
    <t>99000011180100000149'</t>
  </si>
  <si>
    <t>'99000011180100000284</t>
  </si>
  <si>
    <t>'99000011180100000303</t>
  </si>
  <si>
    <t>'99000011180100000339</t>
  </si>
  <si>
    <t>'99000011180100000340</t>
  </si>
  <si>
    <t>'99000011180100000352</t>
  </si>
  <si>
    <t>'99000011180100000353</t>
  </si>
  <si>
    <t>'99000011190100000078</t>
  </si>
  <si>
    <t>'99000011190100000079</t>
  </si>
  <si>
    <t>'99000011190100000121</t>
  </si>
  <si>
    <t>'99000021180100000013</t>
  </si>
  <si>
    <t>'99000036181500000054</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</si>
  <si>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</si>
  <si>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</si>
  <si>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</si>
  <si>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</si>
  <si>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</si>
  <si>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</si>
  <si>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</si>
  <si>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</si>
  <si>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</si>
  <si>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</si>
  <si>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</si>
  <si>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</si>
  <si>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'99000044180700000011</t>
  </si>
  <si>
    <t>'99000044180700000012</t>
  </si>
  <si>
    <t>'99000044185800000014</t>
  </si>
  <si>
    <t>'99000044185900000001</t>
  </si>
  <si>
    <t>'99000044190300000004</t>
  </si>
  <si>
    <t>'99000044190300000023</t>
  </si>
  <si>
    <t>'99000044190300000046</t>
  </si>
  <si>
    <t>'99000044190700000001</t>
  </si>
  <si>
    <t>''99000044190700000001</t>
  </si>
  <si>
    <t>'99000044190700000002</t>
  </si>
  <si>
    <t>'99000044196500000008</t>
  </si>
  <si>
    <t>Policy Renewed</t>
  </si>
  <si>
    <t>'99000046182400000003</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</si>
  <si>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</si>
  <si>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</si>
  <si>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</si>
  <si>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</si>
  <si>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</si>
  <si>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</si>
  <si>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</si>
  <si>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</si>
  <si>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</si>
  <si>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</si>
  <si>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</si>
  <si>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</si>
  <si>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HG00003377000100</t>
  </si>
  <si>
    <t>0865000748 01</t>
  </si>
  <si>
    <t>0865000748 02</t>
  </si>
  <si>
    <t>Affinity</t>
  </si>
  <si>
    <t>LWC/I2688106/71/10/006144</t>
  </si>
  <si>
    <t>M6867997</t>
  </si>
  <si>
    <t>M7016785</t>
  </si>
  <si>
    <t>'310304491710000022</t>
  </si>
  <si>
    <t>OG-20-2202-3305-00000123</t>
  </si>
  <si>
    <t>OG-19-2201-0420-00000001</t>
  </si>
  <si>
    <t>OG-19-2201-0425-00000001</t>
  </si>
  <si>
    <t>OG-19-2201-4001-00000061</t>
  </si>
  <si>
    <t>OG-19-2201-4001-00000063</t>
  </si>
  <si>
    <t>OG-19-2201-4005-00000001</t>
  </si>
  <si>
    <t>OG-20-2201-9931-00000664</t>
  </si>
  <si>
    <t>OG-19-2201-4011-00000002</t>
  </si>
  <si>
    <t>0000000007817932-01</t>
  </si>
  <si>
    <t>0000000007817932-02</t>
  </si>
  <si>
    <t>0526002817P114267969/0</t>
  </si>
  <si>
    <t>0526004217P114582552/0</t>
  </si>
  <si>
    <t>MCO/I3350570/71/01/006343</t>
  </si>
  <si>
    <t>PBI/I3352741/71/01/006343</t>
  </si>
  <si>
    <t>PFS/I3353707/71/01/006343</t>
  </si>
  <si>
    <t>4006/79486382/05/000</t>
  </si>
  <si>
    <t>4010/141353816/01/000</t>
  </si>
  <si>
    <t>LAP</t>
  </si>
  <si>
    <t>4066/140501600/01/000</t>
  </si>
  <si>
    <t>4086/160357783/00/000</t>
  </si>
  <si>
    <t>H0048996</t>
  </si>
  <si>
    <t>H0056637</t>
  </si>
  <si>
    <t>020W000078800000</t>
  </si>
  <si>
    <t>0830017645 02</t>
  </si>
  <si>
    <t>OG-19-2202-0425-00000002</t>
  </si>
  <si>
    <t>OG-19-2202-0425-00000003</t>
  </si>
  <si>
    <t>OG-19-2202-1018-00000009</t>
  </si>
  <si>
    <t>OG-19-2202-4001-00007099</t>
  </si>
  <si>
    <t>ITNL - IAR (Operational Roads)</t>
  </si>
  <si>
    <t>OPP1900001906</t>
  </si>
  <si>
    <t>Industrial All Risks</t>
  </si>
  <si>
    <t>PI(Operational Road)</t>
  </si>
  <si>
    <t>OPP1900002092</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</si>
  <si>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</si>
  <si>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</si>
  <si>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</si>
  <si>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</si>
  <si>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</si>
  <si>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</si>
  <si>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</si>
  <si>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</si>
  <si>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</si>
  <si>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</si>
  <si>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</si>
  <si>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</si>
  <si>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</si>
  <si>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</si>
  <si>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</si>
  <si>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</si>
  <si>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</si>
  <si>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</si>
  <si>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</si>
  <si>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HCL</t>
  </si>
  <si>
    <t>'2200060187 06</t>
  </si>
  <si>
    <t>OG-19-2202-1005-00000153</t>
  </si>
  <si>
    <t>OG-19-2202-4097-00000073</t>
  </si>
  <si>
    <t>OG-19-2202-4097-00000077</t>
  </si>
  <si>
    <t>OG-19-2202-4097-00000079</t>
  </si>
  <si>
    <t>OG-20-2202-1005-00000171-2019</t>
  </si>
  <si>
    <t>OG-20-2202-4097-00000170</t>
  </si>
  <si>
    <t>OG-20-2202-4097-00000171</t>
  </si>
  <si>
    <t>OG-20-2202-4097-00000201</t>
  </si>
  <si>
    <t>'2411202761687800000</t>
  </si>
  <si>
    <t>ST20002720000101</t>
  </si>
  <si>
    <t>'ST20003045000100</t>
  </si>
  <si>
    <t>ST20003618000100</t>
  </si>
  <si>
    <t>ST20003619000100</t>
  </si>
  <si>
    <t>STS1086243000100</t>
  </si>
  <si>
    <t>100200080123/01/00</t>
  </si>
  <si>
    <t>10020080123/0000</t>
  </si>
  <si>
    <t>LPGPA0000000200</t>
  </si>
  <si>
    <t>LPGPA0000000200/01</t>
  </si>
  <si>
    <t>4025/136366502/02/000</t>
  </si>
  <si>
    <t>OG-19-2202-1018-00000054</t>
  </si>
  <si>
    <t>OG-19-2202-3383-00000010</t>
  </si>
  <si>
    <t>OG-19-2201-4001-00001050</t>
  </si>
  <si>
    <t>OG-19-2201-4001-00000973</t>
  </si>
  <si>
    <t>505373-01</t>
  </si>
  <si>
    <t>H0067187</t>
  </si>
  <si>
    <t>4016 X 185834560 00 000</t>
  </si>
  <si>
    <t>Sum of amount</t>
  </si>
  <si>
    <t>Count of policy_number</t>
  </si>
  <si>
    <t>Total Policies</t>
  </si>
  <si>
    <t>Total Revenue</t>
  </si>
  <si>
    <t>Row Labels</t>
  </si>
  <si>
    <t>Grand Total</t>
  </si>
  <si>
    <t>2015</t>
  </si>
  <si>
    <t>2016</t>
  </si>
  <si>
    <t>2017</t>
  </si>
  <si>
    <t>2018</t>
  </si>
  <si>
    <t>2019</t>
  </si>
  <si>
    <t>2020</t>
  </si>
  <si>
    <t>Total Brokerage Revenue</t>
  </si>
  <si>
    <t>Active Policies</t>
  </si>
  <si>
    <t>Renewed Policies</t>
  </si>
  <si>
    <t>Active Policy %</t>
  </si>
  <si>
    <t>Renewal Rate %</t>
  </si>
  <si>
    <t>Avg Revenue per Policy</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</si>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</sst>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43" formatCode="_ * #,##0.00_ ;_ * \-#,##0.00_ ;_ * &quot;-&quot;??_ ;_ @_ "/>
    <numFmt numFmtId="164"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16"/>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4" fontId="0" fillId="0" borderId="0" xfId="0" applyNumberFormat="1"/>
    <xf numFmtId="11" fontId="0" fillId="0" borderId="0" xfId="0" applyNumberFormat="1"/>
    <xf numFmtId="0" fontId="0" fillId="0" borderId="0" xfId="0" pivotButton="1"/>
    <xf numFmtId="0" fontId="0" fillId="0" borderId="0" xfId="0" applyAlignment="1">
      <alignment horizontal="left"/>
    </xf>
    <xf numFmtId="0" fontId="16" fillId="0" borderId="0" xfId="0" applyFont="1"/>
    <xf numFmtId="1" fontId="18" fillId="0" borderId="0" xfId="43" applyNumberFormat="1" applyFont="1" applyAlignment="1">
      <alignment horizontal="center" vertical="center"/>
    </xf>
    <xf numFmtId="0" fontId="19" fillId="33" borderId="0" xfId="0" applyFont="1" applyFill="1" applyAlignment="1">
      <alignment horizontal="center"/>
    </xf>
    <xf numFmtId="9" fontId="18" fillId="0" borderId="0" xfId="44" applyFont="1" applyAlignment="1">
      <alignment horizontal="center"/>
    </xf>
    <xf numFmtId="0" fontId="0" fillId="0" borderId="0" xfId="0" applyNumberFormat="1"/>
    <xf numFmtId="0" fontId="18" fillId="0" borderId="0" xfId="0" applyFont="1" applyAlignment="1">
      <alignment horizontal="center"/>
    </xf>
    <xf numFmtId="164" fontId="18" fillId="0" borderId="0" xfId="42" applyNumberFormat="1" applyFont="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6">
    <dxf>
      <numFmt numFmtId="19" formatCode="dd/mm/yyyy"/>
    </dxf>
    <dxf>
      <numFmt numFmtId="19" formatCode="dd/mm/yyyy"/>
    </dxf>
    <dxf>
      <numFmt numFmtId="19" formatCode="dd/mm/yyyy"/>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[dashboard_Excel.xlsx]Pivot_Models!PivotTable11</c:name>
    <c:fmtId val="2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400">
                <a:latin typeface="Times New Roman" panose="02020603050405020304" pitchFamily="18" charset="0"/>
                <a:cs typeface="Times New Roman" panose="02020603050405020304" pitchFamily="18" charset="0"/>
              </a:rPr>
              <a:t>Monthly</a:t>
            </a:r>
            <a:r>
              <a:rPr lang="en-IN" sz="1400" baseline="0">
                <a:latin typeface="Times New Roman" panose="02020603050405020304" pitchFamily="18" charset="0"/>
                <a:cs typeface="Times New Roman" panose="02020603050405020304" pitchFamily="18" charset="0"/>
              </a:rPr>
              <a:t> Revenue Trend</a:t>
            </a:r>
          </a:p>
        </c:rich>
      </c:tx>
      <c:layout>
        <c:manualLayout>
          <c:xMode val="edge"/>
          <c:yMode val="edge"/>
          <c:x val="0.23300614026200189"/>
          <c:y val="2.438724974871441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Pivot_Models!$B$22</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Pivot_Models!$A$23:$A$29</c:f>
              <c:strCache>
                <c:ptCount val="6"/>
                <c:pt idx="0">
                  <c:v>2015</c:v>
                </c:pt>
                <c:pt idx="1">
                  <c:v>2016</c:v>
                </c:pt>
                <c:pt idx="2">
                  <c:v>2017</c:v>
                </c:pt>
                <c:pt idx="3">
                  <c:v>2018</c:v>
                </c:pt>
                <c:pt idx="4">
                  <c:v>2019</c:v>
                </c:pt>
                <c:pt idx="5">
                  <c:v>2020</c:v>
                </c:pt>
              </c:strCache>
            </c:strRef>
          </c:cat>
          <c:val>
            <c:numRef>
              <c:f>Pivot_Models!$B$23:$B$29</c:f>
              <c:numCache>
                <c:formatCode>General</c:formatCode>
                <c:ptCount val="6"/>
                <c:pt idx="0">
                  <c:v>0</c:v>
                </c:pt>
                <c:pt idx="1">
                  <c:v>1435227.22</c:v>
                </c:pt>
                <c:pt idx="2">
                  <c:v>8763093.1800000053</c:v>
                </c:pt>
                <c:pt idx="3">
                  <c:v>68378523.4400004</c:v>
                </c:pt>
                <c:pt idx="4">
                  <c:v>57745105.369999878</c:v>
                </c:pt>
                <c:pt idx="5">
                  <c:v>187105.78000000006</c:v>
                </c:pt>
              </c:numCache>
            </c:numRef>
          </c:val>
          <c:smooth val="0"/>
          <c:extLst>
            <c:ext xmlns:c16="http://schemas.microsoft.com/office/drawing/2014/chart" uri="{C3380CC4-5D6E-409C-BE32-E72D297353CC}">
              <c16:uniqueId val="{00000000-60F0-4143-BB0E-EB0AEC3FB87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68386624"/>
        <c:axId val="468386144"/>
      </c:lineChart>
      <c:catAx>
        <c:axId val="46838662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68386144"/>
        <c:crosses val="autoZero"/>
        <c:auto val="1"/>
        <c:lblAlgn val="ctr"/>
        <c:lblOffset val="100"/>
        <c:noMultiLvlLbl val="0"/>
      </c:catAx>
      <c:valAx>
        <c:axId val="468386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68386624"/>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ispUnitsLbl>
        </c:dispUnits>
      </c:valAx>
      <c:spPr>
        <a:noFill/>
        <a:ln>
          <a:solidFill>
            <a:schemeClr val="bg1">
              <a:lumMod val="9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[dashboard_Excel.xlsx]Pivot_Models!PivotTable2</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solidFill>
                  <a:schemeClr val="bg1"/>
                </a:solidFill>
                <a:latin typeface="Times New Roman" panose="02020603050405020304" pitchFamily="18" charset="0"/>
                <a:cs typeface="Times New Roman" panose="02020603050405020304" pitchFamily="18" charset="0"/>
              </a:rPr>
              <a:t>Revenue</a:t>
            </a:r>
            <a:r>
              <a:rPr lang="en-US" sz="1400" baseline="0">
                <a:solidFill>
                  <a:schemeClr val="bg1"/>
                </a:solidFill>
                <a:latin typeface="Times New Roman" panose="02020603050405020304" pitchFamily="18" charset="0"/>
                <a:cs typeface="Times New Roman" panose="02020603050405020304" pitchFamily="18" charset="0"/>
              </a:rPr>
              <a:t> by Product Group</a:t>
            </a:r>
            <a:endParaRPr lang="en-US" sz="1400">
              <a:solidFill>
                <a:schemeClr val="bg1"/>
              </a:solidFill>
              <a:latin typeface="Times New Roman" panose="02020603050405020304" pitchFamily="18" charset="0"/>
              <a:cs typeface="Times New Roman" panose="02020603050405020304" pitchFamily="18" charset="0"/>
            </a:endParaRPr>
          </a:p>
        </c:rich>
      </c:tx>
      <c:layout>
        <c:manualLayout>
          <c:xMode val="edge"/>
          <c:yMode val="edge"/>
          <c:x val="0.2965672915147442"/>
          <c:y val="2.935979003108591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Pivot_Models!$E$1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Pivot_Models!$D$2:$D$9</c:f>
              <c:strCache>
                <c:ptCount val="7"/>
                <c:pt idx="0">
                  <c:v>Employee Benefits</c:v>
                </c:pt>
                <c:pt idx="1">
                  <c:v>Marine</c:v>
                </c:pt>
                <c:pt idx="2">
                  <c:v>Fire</c:v>
                </c:pt>
                <c:pt idx="3">
                  <c:v>Liability</c:v>
                </c:pt>
                <c:pt idx="4">
                  <c:v>Miscellaneous</c:v>
                </c:pt>
                <c:pt idx="5">
                  <c:v>Engineering</c:v>
                </c:pt>
                <c:pt idx="6">
                  <c:v>Motor</c:v>
                </c:pt>
              </c:strCache>
            </c:strRef>
          </c:cat>
          <c:val>
            <c:numRef>
              <c:f>Pivot_Models!$E$2:$E$9</c:f>
              <c:numCache>
                <c:formatCode>General</c:formatCode>
                <c:ptCount val="7"/>
                <c:pt idx="0">
                  <c:v>53252608.679999806</c:v>
                </c:pt>
                <c:pt idx="1">
                  <c:v>26852716.920000076</c:v>
                </c:pt>
                <c:pt idx="2">
                  <c:v>20703902.68000013</c:v>
                </c:pt>
                <c:pt idx="3">
                  <c:v>18286616.890000001</c:v>
                </c:pt>
                <c:pt idx="4">
                  <c:v>8806756.2100000028</c:v>
                </c:pt>
                <c:pt idx="5">
                  <c:v>8593968.2699999996</c:v>
                </c:pt>
                <c:pt idx="6">
                  <c:v>12485.34</c:v>
                </c:pt>
              </c:numCache>
            </c:numRef>
          </c:val>
          <c:extLst>
            <c:ext xmlns:c16="http://schemas.microsoft.com/office/drawing/2014/chart" uri="{C3380CC4-5D6E-409C-BE32-E72D297353CC}">
              <c16:uniqueId val="{00000000-043C-47A5-A67D-D5002B0FE888}"/>
            </c:ext>
          </c:extLst>
        </c:ser>
        <c:dLbls>
          <c:dLblPos val="outEnd"/>
          <c:showLegendKey val="0"/>
          <c:showVal val="1"/>
          <c:showCatName val="0"/>
          <c:showSerName val="0"/>
          <c:showPercent val="0"/>
          <c:showBubbleSize val="0"/>
        </c:dLbls>
        <c:gapWidth val="65"/>
        <c:axId val="595673024"/>
        <c:axId val="595675904"/>
      </c:barChart>
      <c:catAx>
        <c:axId val="595673024"/>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595675904"/>
        <c:crosses val="autoZero"/>
        <c:auto val="1"/>
        <c:lblAlgn val="ctr"/>
        <c:lblOffset val="100"/>
        <c:noMultiLvlLbl val="0"/>
      </c:catAx>
      <c:valAx>
        <c:axId val="59567590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567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[dashboard_Excel.xlsx]Pivot_Models!PivotTable4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solidFill>
                  <a:schemeClr val="bg1"/>
                </a:solidFill>
                <a:latin typeface="Times New Roman" panose="02020603050405020304" pitchFamily="18" charset="0"/>
                <a:cs typeface="Times New Roman" panose="02020603050405020304" pitchFamily="18" charset="0"/>
              </a:rPr>
              <a:t>Policy</a:t>
            </a:r>
            <a:r>
              <a:rPr lang="en-US" sz="1400" baseline="0">
                <a:solidFill>
                  <a:schemeClr val="bg1"/>
                </a:solidFill>
                <a:latin typeface="Times New Roman" panose="02020603050405020304" pitchFamily="18" charset="0"/>
                <a:cs typeface="Times New Roman" panose="02020603050405020304" pitchFamily="18" charset="0"/>
              </a:rPr>
              <a:t> Status distribution</a:t>
            </a:r>
            <a:endParaRPr lang="en-US" sz="1400">
              <a:solidFill>
                <a:schemeClr val="bg1"/>
              </a:solidFill>
              <a:latin typeface="Times New Roman" panose="02020603050405020304" pitchFamily="18" charset="0"/>
              <a:cs typeface="Times New Roman" panose="02020603050405020304" pitchFamily="18" charset="0"/>
            </a:endParaRPr>
          </a:p>
        </c:rich>
      </c:tx>
      <c:layout>
        <c:manualLayout>
          <c:xMode val="edge"/>
          <c:yMode val="edge"/>
          <c:x val="0.18655555555555553"/>
          <c:y val="4.99052201808107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Pivot_Models!$E$13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898-488D-A5F6-D5F2B480F8F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898-488D-A5F6-D5F2B480F8F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Pivot_Models!$D$14:$D$16</c:f>
              <c:strCache>
                <c:ptCount val="2"/>
                <c:pt idx="0">
                  <c:v>Active</c:v>
                </c:pt>
                <c:pt idx="1">
                  <c:v>Inactive</c:v>
                </c:pt>
              </c:strCache>
            </c:strRef>
          </c:cat>
          <c:val>
            <c:numRef>
              <c:f>Pivot_Models!$E$14:$E$16</c:f>
              <c:numCache>
                <c:formatCode>General</c:formatCode>
                <c:ptCount val="2"/>
                <c:pt idx="0">
                  <c:v>2404</c:v>
                </c:pt>
                <c:pt idx="1">
                  <c:v>1072</c:v>
                </c:pt>
              </c:numCache>
            </c:numRef>
          </c:val>
          <c:extLst>
            <c:ext xmlns:c16="http://schemas.microsoft.com/office/drawing/2014/chart" uri="{C3380CC4-5D6E-409C-BE32-E72D297353CC}">
              <c16:uniqueId val="{00000004-D898-488D-A5F6-D5F2B480F8F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[dashboard_Excel.xlsx]Pivot_Models!PivotTable6</c:name>
    <c:fmtId val="6"/>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1400" baseline="0">
                <a:solidFill>
                  <a:schemeClr val="bg1"/>
                </a:solidFill>
                <a:latin typeface="Times New Roman" panose="02020603050405020304" pitchFamily="18" charset="0"/>
                <a:cs typeface="Times New Roman" panose="02020603050405020304" pitchFamily="18" charset="0"/>
              </a:rPr>
              <a:t>Renewal vs Inception Policies</a:t>
            </a:r>
          </a:p>
        </c:rich>
      </c:tx>
      <c:layout>
        <c:manualLayout>
          <c:xMode val="edge"/>
          <c:yMode val="edge"/>
          <c:x val="0.25803917006854027"/>
          <c:y val="2.79568848837285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Pivot_Models!$E$19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Pivot_Models!$D$20:$D$24</c:f>
              <c:strCache>
                <c:ptCount val="4"/>
                <c:pt idx="0">
                  <c:v>Endorsement</c:v>
                </c:pt>
                <c:pt idx="1">
                  <c:v>Inception</c:v>
                </c:pt>
                <c:pt idx="2">
                  <c:v>Lapse</c:v>
                </c:pt>
                <c:pt idx="3">
                  <c:v>Renewal</c:v>
                </c:pt>
              </c:strCache>
            </c:strRef>
          </c:cat>
          <c:val>
            <c:numRef>
              <c:f>Pivot_Models!$E$20:$E$24</c:f>
              <c:numCache>
                <c:formatCode>General</c:formatCode>
                <c:ptCount val="4"/>
                <c:pt idx="0">
                  <c:v>757</c:v>
                </c:pt>
                <c:pt idx="1">
                  <c:v>1884</c:v>
                </c:pt>
                <c:pt idx="2">
                  <c:v>233</c:v>
                </c:pt>
                <c:pt idx="3">
                  <c:v>602</c:v>
                </c:pt>
              </c:numCache>
            </c:numRef>
          </c:val>
          <c:extLst>
            <c:ext xmlns:c16="http://schemas.microsoft.com/office/drawing/2014/chart" uri="{C3380CC4-5D6E-409C-BE32-E72D297353CC}">
              <c16:uniqueId val="{00000000-606F-4AEE-99B9-D5326A937E8E}"/>
            </c:ext>
          </c:extLst>
        </c:ser>
        <c:dLbls>
          <c:dLblPos val="inEnd"/>
          <c:showLegendKey val="0"/>
          <c:showVal val="1"/>
          <c:showCatName val="0"/>
          <c:showSerName val="0"/>
          <c:showPercent val="0"/>
          <c:showBubbleSize val="0"/>
        </c:dLbls>
        <c:gapWidth val="65"/>
        <c:axId val="464053648"/>
        <c:axId val="464051728"/>
      </c:barChart>
      <c:catAx>
        <c:axId val="4640536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464051728"/>
        <c:crosses val="autoZero"/>
        <c:auto val="1"/>
        <c:lblAlgn val="ctr"/>
        <c:lblOffset val="100"/>
        <c:noMultiLvlLbl val="0"/>
      </c:catAx>
      <c:valAx>
        <c:axId val="46405172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405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29767</xdr:colOff>
      <xdr:row>9</xdr:row>
      <xdr:rowOff>63406</xdr:rowOff>
    </xdr:from>
    <xdr:to>
      <xdr:col>10</xdr:col>
      <xdr:colOff>14883</xdr:colOff>
      <xdr:row>43</xdr:row>
      <xdr:rowOff>11215</xdr:rowOff>
    </xdr:to>
    <xdr:sp macro="" textlink="">
      <xdr:nvSpPr>
        <xdr:cNvPr id="7" name="Rectangle 6">
          <a:extLst>
            <a:ext uri="{FF2B5EF4-FFF2-40B4-BE49-F238E27FC236}">
              <a16:creationId xmlns:a16="http://schemas.microsoft.com/office/drawing/2014/main" id="{45600E4B-5698-BA38-1839-2323AFBA9472}"/>
            </a:ext>
          </a:extLst>
        </xdr:cNvPr>
        <xdr:cNvSpPr/>
      </xdr:nvSpPr>
      <xdr:spPr>
        <a:xfrm>
          <a:off x="29767" y="1804695"/>
          <a:ext cx="13320116" cy="6526012"/>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89296</xdr:colOff>
      <xdr:row>9</xdr:row>
      <xdr:rowOff>108257</xdr:rowOff>
    </xdr:from>
    <xdr:to>
      <xdr:col>3</xdr:col>
      <xdr:colOff>1344706</xdr:colOff>
      <xdr:row>24</xdr:row>
      <xdr:rowOff>119062</xdr:rowOff>
    </xdr:to>
    <xdr:graphicFrame macro="">
      <xdr:nvGraphicFramePr>
        <xdr:cNvPr id="2" name="Chart 1">
          <a:extLst>
            <a:ext uri="{FF2B5EF4-FFF2-40B4-BE49-F238E27FC236}">
              <a16:creationId xmlns:a16="http://schemas.microsoft.com/office/drawing/2014/main" id="{D20D67B4-56A9-421C-A59C-8DEDFC2F3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37353</xdr:colOff>
      <xdr:row>9</xdr:row>
      <xdr:rowOff>96995</xdr:rowOff>
    </xdr:from>
    <xdr:to>
      <xdr:col>9</xdr:col>
      <xdr:colOff>14884</xdr:colOff>
      <xdr:row>24</xdr:row>
      <xdr:rowOff>111738</xdr:rowOff>
    </xdr:to>
    <xdr:graphicFrame macro="">
      <xdr:nvGraphicFramePr>
        <xdr:cNvPr id="3" name="Chart 2">
          <a:extLst>
            <a:ext uri="{FF2B5EF4-FFF2-40B4-BE49-F238E27FC236}">
              <a16:creationId xmlns:a16="http://schemas.microsoft.com/office/drawing/2014/main" id="{6B58DDB9-F1FE-4130-BBCF-BCB5B38C8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89299</xdr:colOff>
      <xdr:row>25</xdr:row>
      <xdr:rowOff>18758</xdr:rowOff>
    </xdr:from>
    <xdr:to>
      <xdr:col>3</xdr:col>
      <xdr:colOff>1382060</xdr:colOff>
      <xdr:row>42</xdr:row>
      <xdr:rowOff>70948</xdr:rowOff>
    </xdr:to>
    <xdr:graphicFrame macro="">
      <xdr:nvGraphicFramePr>
        <xdr:cNvPr id="4" name="Chart 3">
          <a:extLst>
            <a:ext uri="{FF2B5EF4-FFF2-40B4-BE49-F238E27FC236}">
              <a16:creationId xmlns:a16="http://schemas.microsoft.com/office/drawing/2014/main" id="{92B8B209-8C3D-41AD-B18F-D4EF6EBCF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56029</xdr:colOff>
      <xdr:row>25</xdr:row>
      <xdr:rowOff>16922</xdr:rowOff>
    </xdr:from>
    <xdr:to>
      <xdr:col>9</xdr:col>
      <xdr:colOff>14884</xdr:colOff>
      <xdr:row>42</xdr:row>
      <xdr:rowOff>74414</xdr:rowOff>
    </xdr:to>
    <xdr:graphicFrame macro="">
      <xdr:nvGraphicFramePr>
        <xdr:cNvPr id="5" name="Chart 4">
          <a:extLst>
            <a:ext uri="{FF2B5EF4-FFF2-40B4-BE49-F238E27FC236}">
              <a16:creationId xmlns:a16="http://schemas.microsoft.com/office/drawing/2014/main" id="{C25E0131-5813-4E29-986A-6BAE03CD1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148828</xdr:colOff>
      <xdr:row>9</xdr:row>
      <xdr:rowOff>148828</xdr:rowOff>
    </xdr:from>
    <xdr:to>
      <xdr:col>9</xdr:col>
      <xdr:colOff>2483971</xdr:colOff>
      <xdr:row>14</xdr:row>
      <xdr:rowOff>149418</xdr:rowOff>
    </xdr:to>
    <mc:AlternateContent xmlns:mc="http://schemas.openxmlformats.org/markup-compatibility/2006" xmlns:a14="http://schemas.microsoft.com/office/drawing/2010/main">
      <mc:Choice Requires="a14">
        <xdr:graphicFrame macro="">
          <xdr:nvGraphicFramePr>
            <xdr:cNvPr id="6" name="policy_status">
              <a:extLst>
                <a:ext uri="{FF2B5EF4-FFF2-40B4-BE49-F238E27FC236}">
                  <a16:creationId xmlns:a16="http://schemas.microsoft.com/office/drawing/2014/main" id="{16B38F0D-E4D7-4AC3-8018-29351531E5EC}"/>
                </a:ext>
              </a:extLst>
            </xdr:cNvPr>
            <xdr:cNvGraphicFramePr/>
          </xdr:nvGraphicFramePr>
          <xdr:xfrm>
            <a:off x="0" y="0"/>
            <a:ext cx="0" cy="0"/>
          </xdr:xfrm>
          <a:graphic>
            <a:graphicData uri="http://schemas.microsoft.com/office/drawing/2010/slicer">
              <sle:slicer xmlns:sle="http://schemas.microsoft.com/office/drawing/2010/slicer" name="policy_status"/>
            </a:graphicData>
          </a:graphic>
        </xdr:graphicFrame>
      </mc:Choice>
      <mc:Fallback xmlns="">
        <xdr:sp macro="" textlink="">
          <xdr:nvSpPr>
            <xdr:cNvPr id="0" name=""/>
            <xdr:cNvSpPr>
              <a:spLocks noTextEdit="1"/>
            </xdr:cNvSpPr>
          </xdr:nvSpPr>
          <xdr:spPr>
            <a:xfrm>
              <a:off x="9728780" y="1834020"/>
              <a:ext cx="1830585" cy="916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148828</xdr:colOff>
      <xdr:row>28</xdr:row>
      <xdr:rowOff>167690</xdr:rowOff>
    </xdr:from>
    <xdr:to>
      <xdr:col>9</xdr:col>
      <xdr:colOff>2427941</xdr:colOff>
      <xdr:row>42</xdr:row>
      <xdr:rowOff>87380</xdr:rowOff>
    </xdr:to>
    <mc:AlternateContent xmlns:mc="http://schemas.openxmlformats.org/markup-compatibility/2006" xmlns:a14="http://schemas.microsoft.com/office/drawing/2010/main">
      <mc:Choice Requires="a14">
        <xdr:graphicFrame macro="">
          <xdr:nvGraphicFramePr>
            <xdr:cNvPr id="8" name="product_group">
              <a:extLst>
                <a:ext uri="{FF2B5EF4-FFF2-40B4-BE49-F238E27FC236}">
                  <a16:creationId xmlns:a16="http://schemas.microsoft.com/office/drawing/2014/main" id="{FBF09EC8-9125-44B6-B109-C533513D0B2B}"/>
                </a:ext>
              </a:extLst>
            </xdr:cNvPr>
            <xdr:cNvGraphicFramePr/>
          </xdr:nvGraphicFramePr>
          <xdr:xfrm>
            <a:off x="0" y="0"/>
            <a:ext cx="0" cy="0"/>
          </xdr:xfrm>
          <a:graphic>
            <a:graphicData uri="http://schemas.microsoft.com/office/drawing/2010/slicer">
              <sle:slicer xmlns:sle="http://schemas.microsoft.com/office/drawing/2010/slicer" name="product_group"/>
            </a:graphicData>
          </a:graphic>
        </xdr:graphicFrame>
      </mc:Choice>
      <mc:Fallback xmlns="">
        <xdr:sp macro="" textlink="">
          <xdr:nvSpPr>
            <xdr:cNvPr id="0" name=""/>
            <xdr:cNvSpPr>
              <a:spLocks noTextEdit="1"/>
            </xdr:cNvSpPr>
          </xdr:nvSpPr>
          <xdr:spPr>
            <a:xfrm>
              <a:off x="9728781" y="5333171"/>
              <a:ext cx="1815702" cy="2484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160246</xdr:colOff>
      <xdr:row>15</xdr:row>
      <xdr:rowOff>63995</xdr:rowOff>
    </xdr:from>
    <xdr:to>
      <xdr:col>9</xdr:col>
      <xdr:colOff>2465294</xdr:colOff>
      <xdr:row>28</xdr:row>
      <xdr:rowOff>72924</xdr:rowOff>
    </xdr:to>
    <mc:AlternateContent xmlns:mc="http://schemas.openxmlformats.org/markup-compatibility/2006" xmlns:a14="http://schemas.microsoft.com/office/drawing/2010/main">
      <mc:Choice Requires="a14">
        <xdr:graphicFrame macro="">
          <xdr:nvGraphicFramePr>
            <xdr:cNvPr id="13" name="Years (policy_start_date)">
              <a:extLst>
                <a:ext uri="{FF2B5EF4-FFF2-40B4-BE49-F238E27FC236}">
                  <a16:creationId xmlns:a16="http://schemas.microsoft.com/office/drawing/2014/main" id="{3705F322-7BF5-4324-B391-7D75511967C3}"/>
                </a:ext>
              </a:extLst>
            </xdr:cNvPr>
            <xdr:cNvGraphicFramePr/>
          </xdr:nvGraphicFramePr>
          <xdr:xfrm>
            <a:off x="0" y="0"/>
            <a:ext cx="0" cy="0"/>
          </xdr:xfrm>
          <a:graphic>
            <a:graphicData uri="http://schemas.microsoft.com/office/drawing/2010/slicer">
              <sle:slicer xmlns:sle="http://schemas.microsoft.com/office/drawing/2010/slicer" name="Years (policy_start_date)"/>
            </a:graphicData>
          </a:graphic>
        </xdr:graphicFrame>
      </mc:Choice>
      <mc:Fallback xmlns="">
        <xdr:sp macro="" textlink="">
          <xdr:nvSpPr>
            <xdr:cNvPr id="0" name=""/>
            <xdr:cNvSpPr>
              <a:spLocks noTextEdit="1"/>
            </xdr:cNvSpPr>
          </xdr:nvSpPr>
          <xdr:spPr>
            <a:xfrm>
              <a:off x="9740198" y="2848226"/>
              <a:ext cx="1819168" cy="2390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14883</xdr:colOff>
      <xdr:row>0</xdr:row>
      <xdr:rowOff>163711</xdr:rowOff>
    </xdr:from>
    <xdr:to>
      <xdr:col>10</xdr:col>
      <xdr:colOff>14883</xdr:colOff>
      <xdr:row>3</xdr:row>
      <xdr:rowOff>104179</xdr:rowOff>
    </xdr:to>
    <xdr:sp macro="" textlink="">
      <xdr:nvSpPr>
        <xdr:cNvPr id="14" name="Rectangle 13">
          <a:extLst>
            <a:ext uri="{FF2B5EF4-FFF2-40B4-BE49-F238E27FC236}">
              <a16:creationId xmlns:a16="http://schemas.microsoft.com/office/drawing/2014/main" id="{0C6554E1-9FCB-0AE6-FFDB-C4DBF5266455}"/>
            </a:ext>
          </a:extLst>
        </xdr:cNvPr>
        <xdr:cNvSpPr/>
      </xdr:nvSpPr>
      <xdr:spPr>
        <a:xfrm>
          <a:off x="14883" y="163711"/>
          <a:ext cx="11727656" cy="520898"/>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bg1"/>
              </a:solidFill>
              <a:latin typeface="Times New Roman" panose="02020603050405020304" pitchFamily="18" charset="0"/>
              <a:cs typeface="Times New Roman" panose="02020603050405020304" pitchFamily="18" charset="0"/>
            </a:rPr>
            <a:t>Insurance</a:t>
          </a:r>
          <a:r>
            <a:rPr lang="en-IN" sz="3200" b="1" baseline="0">
              <a:solidFill>
                <a:schemeClr val="bg1"/>
              </a:solidFill>
              <a:latin typeface="Times New Roman" panose="02020603050405020304" pitchFamily="18" charset="0"/>
              <a:cs typeface="Times New Roman" panose="02020603050405020304" pitchFamily="18" charset="0"/>
            </a:rPr>
            <a:t>  Performance Dashboard</a:t>
          </a:r>
          <a:endParaRPr lang="en-IN" sz="3200" b="1">
            <a:solidFill>
              <a:schemeClr val="bg1"/>
            </a:solidFill>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9.815826851853" createdVersion="8" refreshedVersion="8" minRefreshableVersion="3" recordCount="3476" xr:uid="{F3965A07-A477-4E46-A40C-E803CF139A77}">
  <cacheSource type="worksheet">
    <worksheetSource name="tbl_dashboard"/>
  </cacheSource>
  <cacheFields count="41">
    <cacheField name="client_name" numFmtId="0">
      <sharedItems/>
    </cacheField>
    <cacheField name="policy_number" numFmtId="0">
      <sharedItems containsMixedTypes="1" containsNumber="1" containsInteger="1" minValue="3393" maxValue="3.2134000000000001E+23"/>
    </cacheField>
    <cacheField name="policy_status" numFmtId="0">
      <sharedItems count="2">
        <s v="Active"/>
        <s v="Inactive"/>
      </sharedItems>
    </cacheField>
    <cacheField name="policy_start_date" numFmtId="14">
      <sharedItems containsSemiMixedTypes="0" containsNonDate="0" containsDate="1" containsString="0" minDate="2015-10-13T00:00:00" maxDate="2020-05-19T00:00:00" count="305">
        <d v="2018-04-19T00:00:00"/>
        <d v="2019-05-01T00:00:00"/>
        <d v="2018-09-13T00:00:00"/>
        <d v="2019-09-13T00:00:00"/>
        <d v="2018-11-06T00:00:00"/>
        <d v="2019-02-01T00:00:00"/>
        <d v="2019-06-25T00:00:00"/>
        <d v="2018-04-25T00:00:00"/>
        <d v="2019-01-11T00:00:00"/>
        <d v="2019-05-20T00:00:00"/>
        <d v="2018-05-20T00:00:00"/>
        <d v="2018-06-12T00:00:00"/>
        <d v="2019-08-26T00:00:00"/>
        <d v="2019-01-01T00:00:00"/>
        <d v="2018-04-01T00:00:00"/>
        <d v="2018-05-11T00:00:00"/>
        <d v="2019-04-01T00:00:00"/>
        <d v="2018-04-06T00:00:00"/>
        <d v="2019-04-06T00:00:00"/>
        <d v="2018-08-20T00:00:00"/>
        <d v="2018-09-11T00:00:00"/>
        <d v="2018-03-27T00:00:00"/>
        <d v="2018-08-14T00:00:00"/>
        <d v="2019-09-01T00:00:00"/>
        <d v="2018-09-01T00:00:00"/>
        <d v="2018-08-01T00:00:00"/>
        <d v="2018-09-27T00:00:00"/>
        <d v="2018-03-01T00:00:00"/>
        <d v="2019-03-01T00:00:00"/>
        <d v="2018-04-02T00:00:00"/>
        <d v="2018-06-29T00:00:00"/>
        <d v="2019-06-29T00:00:00"/>
        <d v="2018-01-03T00:00:00"/>
        <d v="2018-11-01T00:00:00"/>
        <d v="2019-11-14T00:00:00"/>
        <d v="2018-10-08T00:00:00"/>
        <d v="2017-10-08T00:00:00"/>
        <d v="2017-11-01T00:00:00"/>
        <d v="2019-04-12T00:00:00"/>
        <d v="2018-08-25T00:00:00"/>
        <d v="2018-11-30T00:00:00"/>
        <d v="2019-03-31T00:00:00"/>
        <d v="2018-10-04T00:00:00"/>
        <d v="2019-12-02T00:00:00"/>
        <d v="2019-05-23T00:00:00"/>
        <d v="2018-09-05T00:00:00"/>
        <d v="2017-10-17T00:00:00"/>
        <d v="2018-10-17T00:00:00"/>
        <d v="2019-09-05T00:00:00"/>
        <d v="2018-01-01T00:00:00"/>
        <d v="2019-09-16T00:00:00"/>
        <d v="2018-08-10T00:00:00"/>
        <d v="2019-08-10T00:00:00"/>
        <d v="2018-07-01T00:00:00"/>
        <d v="2018-09-16T00:00:00"/>
        <d v="2017-11-27T00:00:00"/>
        <d v="2018-02-27T00:00:00"/>
        <d v="2019-02-27T00:00:00"/>
        <d v="2019-01-29T00:00:00"/>
        <d v="2019-01-07T00:00:00"/>
        <d v="2018-08-27T00:00:00"/>
        <d v="2019-03-19T00:00:00"/>
        <d v="2019-11-01T00:00:00"/>
        <d v="2019-05-17T00:00:00"/>
        <d v="2018-07-02T00:00:00"/>
        <d v="2019-07-01T00:00:00"/>
        <d v="2019-08-02T00:00:00"/>
        <d v="2018-09-30T00:00:00"/>
        <d v="2019-09-30T00:00:00"/>
        <d v="2018-03-16T00:00:00"/>
        <d v="2019-03-16T00:00:00"/>
        <d v="2019-04-16T00:00:00"/>
        <d v="2019-04-02T00:00:00"/>
        <d v="2019-04-17T00:00:00"/>
        <d v="2019-10-27T00:00:00"/>
        <d v="2018-01-23T00:00:00"/>
        <d v="2019-01-23T00:00:00"/>
        <d v="2018-07-31T00:00:00"/>
        <d v="2019-07-31T00:00:00"/>
        <d v="2018-11-27T00:00:00"/>
        <d v="2019-11-27T00:00:00"/>
        <d v="2018-04-13T00:00:00"/>
        <d v="2017-10-27T00:00:00"/>
        <d v="2018-10-27T00:00:00"/>
        <d v="2019-02-22T00:00:00"/>
        <d v="2019-02-06T00:00:00"/>
        <d v="2019-08-07T00:00:00"/>
        <d v="2019-11-08T00:00:00"/>
        <d v="2019-02-28T00:00:00"/>
        <d v="2019-09-08T00:00:00"/>
        <d v="2018-04-04T00:00:00"/>
        <d v="2018-06-22T00:00:00"/>
        <d v="2019-04-25T00:00:00"/>
        <d v="2019-09-11T00:00:00"/>
        <d v="2019-09-22T00:00:00"/>
        <d v="2019-03-30T00:00:00"/>
        <d v="2017-12-31T00:00:00"/>
        <d v="2018-01-31T00:00:00"/>
        <d v="2019-01-31T00:00:00"/>
        <d v="2018-12-14T00:00:00"/>
        <d v="2018-02-11T00:00:00"/>
        <d v="2019-02-11T00:00:00"/>
        <d v="2018-06-23T00:00:00"/>
        <d v="2019-06-23T00:00:00"/>
        <d v="2019-04-24T00:00:00"/>
        <d v="2018-06-13T00:00:00"/>
        <d v="2019-05-02T00:00:00"/>
        <d v="2019-02-16T00:00:00"/>
        <d v="2018-02-24T00:00:00"/>
        <d v="2019-02-24T00:00:00"/>
        <d v="2018-02-26T00:00:00"/>
        <d v="2019-02-26T00:00:00"/>
        <d v="2019-03-11T00:00:00"/>
        <d v="2019-11-15T00:00:00"/>
        <d v="2019-03-12T00:00:00"/>
        <d v="2018-01-22T00:00:00"/>
        <d v="2018-02-20T00:00:00"/>
        <d v="2018-11-28T00:00:00"/>
        <d v="2018-12-29T00:00:00"/>
        <d v="2019-02-20T00:00:00"/>
        <d v="2019-02-08T00:00:00"/>
        <d v="2018-03-10T00:00:00"/>
        <d v="2018-06-01T00:00:00"/>
        <d v="2019-04-22T00:00:00"/>
        <d v="2019-07-08T00:00:00"/>
        <d v="2018-09-26T00:00:00"/>
        <d v="2017-12-12T00:00:00"/>
        <d v="2018-12-12T00:00:00"/>
        <d v="2017-12-01T00:00:00"/>
        <d v="2018-12-01T00:00:00"/>
        <d v="2018-05-25T00:00:00"/>
        <d v="2019-07-29T00:00:00"/>
        <d v="2019-07-26T00:00:00"/>
        <d v="2018-07-28T00:00:00"/>
        <d v="2019-07-28T00:00:00"/>
        <d v="2018-07-10T00:00:00"/>
        <d v="2018-02-07T00:00:00"/>
        <d v="2020-01-01T00:00:00"/>
        <d v="2018-07-20T00:00:00"/>
        <d v="2018-06-11T00:00:00"/>
        <d v="2017-07-01T00:00:00"/>
        <d v="2018-05-01T00:00:00"/>
        <d v="2017-09-28T00:00:00"/>
        <d v="2018-09-28T00:00:00"/>
        <d v="2019-09-28T00:00:00"/>
        <d v="2018-04-09T00:00:00"/>
        <d v="2018-01-19T00:00:00"/>
        <d v="2019-04-30T00:00:00"/>
        <d v="2019-02-17T00:00:00"/>
        <d v="2019-03-04T00:00:00"/>
        <d v="2019-02-18T00:00:00"/>
        <d v="2019-04-05T00:00:00"/>
        <d v="2019-04-18T00:00:00"/>
        <d v="2017-08-02T00:00:00"/>
        <d v="2018-03-23T00:00:00"/>
        <d v="2019-03-23T00:00:00"/>
        <d v="2018-08-09T00:00:00"/>
        <d v="2018-12-13T00:00:00"/>
        <d v="2018-12-11T00:00:00"/>
        <d v="2018-07-14T00:00:00"/>
        <d v="2019-06-26T00:00:00"/>
        <d v="2016-08-29T00:00:00"/>
        <d v="2016-08-26T00:00:00"/>
        <d v="2016-09-23T00:00:00"/>
        <d v="2017-10-21T00:00:00"/>
        <d v="2015-10-13T00:00:00"/>
        <d v="2017-05-19T00:00:00"/>
        <d v="2018-05-29T00:00:00"/>
        <d v="2018-08-28T00:00:00"/>
        <d v="2018-12-06T00:00:00"/>
        <d v="2019-03-26T00:00:00"/>
        <d v="2016-09-21T00:00:00"/>
        <d v="2017-06-01T00:00:00"/>
        <d v="2019-06-30T00:00:00"/>
        <d v="2017-06-30T00:00:00"/>
        <d v="2018-06-30T00:00:00"/>
        <d v="2018-01-12T00:00:00"/>
        <d v="2019-01-12T00:00:00"/>
        <d v="2018-01-16T00:00:00"/>
        <d v="2020-01-17T00:00:00"/>
        <d v="2019-09-12T00:00:00"/>
        <d v="2018-09-12T00:00:00"/>
        <d v="2019-02-15T00:00:00"/>
        <d v="2018-03-09T00:00:00"/>
        <d v="2019-03-09T00:00:00"/>
        <d v="2018-11-10T00:00:00"/>
        <d v="2020-01-12T00:00:00"/>
        <d v="2019-11-10T00:00:00"/>
        <d v="2019-11-25T00:00:00"/>
        <d v="2018-07-11T00:00:00"/>
        <d v="2019-07-09T00:00:00"/>
        <d v="2019-01-09T00:00:00"/>
        <d v="2019-05-16T00:00:00"/>
        <d v="2019-07-11T00:00:00"/>
        <d v="2019-07-10T00:00:00"/>
        <d v="2018-12-28T00:00:00"/>
        <d v="2019-01-08T00:00:00"/>
        <d v="2019-01-19T00:00:00"/>
        <d v="2018-12-07T00:00:00"/>
        <d v="2019-01-03T00:00:00"/>
        <d v="2019-04-11T00:00:00"/>
        <d v="2018-10-24T00:00:00"/>
        <d v="2019-10-26T00:00:00"/>
        <d v="2019-10-25T00:00:00"/>
        <d v="2018-05-31T00:00:00"/>
        <d v="2019-09-19T00:00:00"/>
        <d v="2019-01-02T00:00:00"/>
        <d v="2018-05-15T00:00:00"/>
        <d v="2019-05-15T00:00:00"/>
        <d v="2017-08-22T00:00:00"/>
        <d v="2018-08-22T00:00:00"/>
        <d v="2018-05-26T00:00:00"/>
        <d v="2019-05-26T00:00:00"/>
        <d v="2018-02-16T00:00:00"/>
        <d v="2019-01-21T00:00:00"/>
        <d v="2018-07-03T00:00:00"/>
        <d v="2019-07-03T00:00:00"/>
        <d v="2017-02-26T00:00:00"/>
        <d v="2016-12-31T00:00:00"/>
        <d v="2017-06-28T00:00:00"/>
        <d v="2017-07-06T00:00:00"/>
        <d v="2018-02-14T00:00:00"/>
        <d v="2018-06-28T00:00:00"/>
        <d v="2019-01-16T00:00:00"/>
        <d v="2019-02-14T00:00:00"/>
        <d v="2019-06-28T00:00:00"/>
        <d v="2019-07-20T00:00:00"/>
        <d v="2017-06-06T00:00:00"/>
        <d v="2017-01-09T00:00:00"/>
        <d v="2017-02-08T00:00:00"/>
        <d v="2016-10-20T00:00:00"/>
        <d v="2016-12-27T00:00:00"/>
        <d v="2017-03-29T00:00:00"/>
        <d v="2017-08-07T00:00:00"/>
        <d v="2017-06-17T00:00:00"/>
        <d v="2017-10-09T00:00:00"/>
        <d v="2018-04-20T00:00:00"/>
        <d v="2018-04-30T00:00:00"/>
        <d v="2018-06-27T00:00:00"/>
        <d v="2018-09-25T00:00:00"/>
        <d v="2018-10-20T00:00:00"/>
        <d v="2019-03-07T00:00:00"/>
        <d v="2019-03-27T00:00:00"/>
        <d v="2019-03-25T00:00:00"/>
        <d v="2018-07-18T00:00:00"/>
        <d v="2018-09-10T00:00:00"/>
        <d v="2019-04-20T00:00:00"/>
        <d v="2019-09-27T00:00:00"/>
        <d v="2019-07-18T00:00:00"/>
        <d v="2017-04-27T00:00:00"/>
        <d v="2018-04-27T00:00:00"/>
        <d v="2018-06-07T00:00:00"/>
        <d v="2018-07-16T00:00:00"/>
        <d v="2019-04-27T00:00:00"/>
        <d v="2019-06-12T00:00:00"/>
        <d v="2019-07-16T00:00:00"/>
        <d v="2019-07-15T00:00:00"/>
        <d v="2018-08-06T00:00:00"/>
        <d v="2019-07-05T00:00:00"/>
        <d v="2018-12-24T00:00:00"/>
        <d v="2018-09-06T00:00:00"/>
        <d v="2017-11-10T00:00:00"/>
        <d v="2018-06-15T00:00:00"/>
        <d v="2018-06-06T00:00:00"/>
        <d v="2019-07-02T00:00:00"/>
        <d v="2018-02-02T00:00:00"/>
        <d v="2018-02-21T00:00:00"/>
        <d v="2018-07-09T00:00:00"/>
        <d v="2018-10-09T00:00:00"/>
        <d v="2019-04-10T00:00:00"/>
        <d v="2019-03-29T00:00:00"/>
        <d v="2018-03-25T00:00:00"/>
        <d v="2019-02-19T00:00:00"/>
        <d v="2020-05-18T00:00:00"/>
        <d v="2019-06-10T00:00:00"/>
        <d v="2019-06-11T00:00:00"/>
        <d v="2019-11-19T00:00:00"/>
        <d v="2018-12-16T00:00:00"/>
        <d v="2019-12-16T00:00:00"/>
        <d v="2018-01-10T00:00:00"/>
        <d v="2018-03-26T00:00:00"/>
        <d v="2019-11-22T00:00:00"/>
        <d v="2019-12-26T00:00:00"/>
        <d v="2017-07-03T00:00:00"/>
        <d v="2018-10-19T00:00:00"/>
        <d v="2018-06-08T00:00:00"/>
        <d v="2018-06-03T00:00:00"/>
        <d v="2018-10-15T00:00:00"/>
        <d v="2018-05-09T00:00:00"/>
        <d v="2019-07-14T00:00:00"/>
        <d v="2018-07-23T00:00:00"/>
        <d v="2019-07-23T00:00:00"/>
        <d v="2019-04-09T00:00:00"/>
        <d v="2019-05-03T00:00:00"/>
        <d v="2018-09-22T00:00:00"/>
        <d v="2018-09-21T00:00:00"/>
        <d v="2019-09-21T00:00:00"/>
        <d v="2019-04-19T00:00:00"/>
        <d v="2018-11-29T00:00:00"/>
        <d v="2019-01-06T00:00:00"/>
        <d v="2019-04-08T00:00:00"/>
        <d v="2019-08-28T00:00:00"/>
        <d v="2019-01-04T00:00:00"/>
        <d v="2018-01-02T00:00:00"/>
        <d v="2018-02-28T00:00:00"/>
      </sharedItems>
      <fieldGroup par="40"/>
    </cacheField>
    <cacheField name="policy_end_date" numFmtId="14">
      <sharedItems containsSemiMixedTypes="0" containsNonDate="0" containsDate="1" containsString="0" minDate="2017-12-30T00:00:00" maxDate="2027-05-29T00:00:00"/>
    </cacheField>
    <cacheField name="product_group" numFmtId="0">
      <sharedItems count="7">
        <s v="Marine"/>
        <s v="Fire"/>
        <s v="Miscellaneous"/>
        <s v="Employee Benefits"/>
        <s v="Liability"/>
        <s v="Engineering"/>
        <s v="Motor"/>
      </sharedItems>
    </cacheField>
    <cacheField name="account_exe_id" numFmtId="0">
      <sharedItems containsSemiMixedTypes="0" containsString="0" containsNumber="1" containsInteger="1" minValue="1" maxValue="13"/>
    </cacheField>
    <cacheField name="exe_name" numFmtId="0">
      <sharedItems/>
    </cacheField>
    <cacheField name="branch_name" numFmtId="0">
      <sharedItems count="1">
        <s v="Ahmedabad"/>
      </sharedItems>
    </cacheField>
    <cacheField name="solution_group" numFmtId="0">
      <sharedItems/>
    </cacheField>
    <cacheField name="income_class" numFmtId="0">
      <sharedItems/>
    </cacheField>
    <cacheField name="amount" numFmtId="0">
      <sharedItems containsSemiMixedTypes="0" containsString="0" containsNumber="1" minValue="-98802.02" maxValue="1474120.36"/>
    </cacheField>
    <cacheField name="income_due_date" numFmtId="14">
      <sharedItems containsSemiMixedTypes="0" containsNonDate="0" containsDate="1" containsString="0" minDate="2015-10-13T00:00:00" maxDate="2108-04-01T00:00:00"/>
    </cacheField>
    <cacheField name="revenue_transaction_type" numFmtId="0">
      <sharedItems/>
    </cacheField>
    <cacheField name="renewal_status" numFmtId="0">
      <sharedItems count="4">
        <s v="Inception"/>
        <s v="Renewal"/>
        <s v="Endorsement"/>
        <s v="Lapse"/>
      </sharedItems>
    </cacheField>
    <cacheField name="lapse_reason" numFmtId="0">
      <sharedItems/>
    </cacheField>
    <cacheField name="last_updated_date" numFmtId="14">
      <sharedItems containsSemiMixedTypes="0" containsNonDate="0" containsDate="1" containsString="0" minDate="2020-01-22T00:00:00" maxDate="2020-01-23T00:00:00"/>
    </cacheField>
    <cacheField name="lapse_reason_clean" numFmtId="0">
      <sharedItems/>
    </cacheField>
    <cacheField name="opportunity_name" numFmtId="0">
      <sharedItems containsBlank="1"/>
    </cacheField>
    <cacheField name="opportunity_id" numFmtId="0">
      <sharedItems containsBlank="1"/>
    </cacheField>
    <cacheField name="account_executive" numFmtId="0">
      <sharedItems containsBlank="1"/>
    </cacheField>
    <cacheField name="premium_amount" numFmtId="0">
      <sharedItems containsString="0" containsBlank="1" containsNumber="1" containsInteger="1" minValue="0" maxValue="90000000"/>
    </cacheField>
    <cacheField name="revenue_amount" numFmtId="0">
      <sharedItems containsString="0" containsBlank="1" containsNumber="1" containsInteger="1" minValue="10000" maxValue="500000"/>
    </cacheField>
    <cacheField name="closing_date" numFmtId="0">
      <sharedItems containsNonDate="0" containsDate="1" containsString="0" containsBlank="1" minDate="2019-09-30T00:00:00" maxDate="2020-09-01T00:00:00"/>
    </cacheField>
    <cacheField name="stage" numFmtId="0">
      <sharedItems containsBlank="1"/>
    </cacheField>
    <cacheField name="branch" numFmtId="0">
      <sharedItems containsBlank="1"/>
    </cacheField>
    <cacheField name="specialty" numFmtId="0">
      <sharedItems containsBlank="1"/>
    </cacheField>
    <cacheField name="product_sub_group" numFmtId="0">
      <sharedItems containsBlank="1"/>
    </cacheField>
    <cacheField name="risk_details" numFmtId="0">
      <sharedItems containsBlank="1"/>
    </cacheField>
    <cacheField name="invoice_number" numFmtId="0">
      <sharedItems containsNonDate="0" containsString="0" containsBlank="1"/>
    </cacheField>
    <cacheField name="invoice_date" numFmtId="0">
      <sharedItems containsNonDate="0" containsString="0" containsBlank="1"/>
    </cacheField>
    <cacheField name="global_attendees" numFmtId="0">
      <sharedItems containsBlank="1"/>
    </cacheField>
    <cacheField name="meeting_date" numFmtId="0">
      <sharedItems containsNonDate="0" containsDate="1" containsString="0" containsBlank="1" minDate="2020-01-02T00:00:00" maxDate="2020-01-23T00:00:00"/>
    </cacheField>
    <cacheField name="employee_name" numFmtId="0">
      <sharedItems containsBlank="1"/>
    </cacheField>
    <cacheField name="new_role2" numFmtId="0">
      <sharedItems containsBlank="1"/>
    </cacheField>
    <cacheField name="new_budget" numFmtId="0">
      <sharedItems containsString="0" containsBlank="1" containsNumber="1" containsInteger="1" minValue="19888" maxValue="12788092"/>
    </cacheField>
    <cacheField name="cross_sell_bugdet" numFmtId="0">
      <sharedItems containsString="0" containsBlank="1" containsNumber="1" containsInteger="1" minValue="128777" maxValue="12365300"/>
    </cacheField>
    <cacheField name="renewal_budget" numFmtId="0">
      <sharedItems containsString="0" containsBlank="1" containsNumber="1" containsInteger="1" minValue="12900" maxValue="1500000"/>
    </cacheField>
    <cacheField name="Months (policy_start_date)" numFmtId="0" databaseField="0">
      <fieldGroup base="3">
        <rangePr groupBy="months" startDate="2015-10-13T00:00:00" endDate="2020-05-19T00:00:00"/>
        <groupItems count="14">
          <s v="&lt;13-10-2015"/>
          <s v="Jan"/>
          <s v="Feb"/>
          <s v="Mar"/>
          <s v="Apr"/>
          <s v="May"/>
          <s v="Jun"/>
          <s v="Jul"/>
          <s v="Aug"/>
          <s v="Sep"/>
          <s v="Oct"/>
          <s v="Nov"/>
          <s v="Dec"/>
          <s v="&gt;19-05-2020"/>
        </groupItems>
      </fieldGroup>
    </cacheField>
    <cacheField name="Quarters (policy_start_date)" numFmtId="0" databaseField="0">
      <fieldGroup base="3">
        <rangePr groupBy="quarters" startDate="2015-10-13T00:00:00" endDate="2020-05-19T00:00:00"/>
        <groupItems count="6">
          <s v="&lt;13-10-2015"/>
          <s v="Qtr1"/>
          <s v="Qtr2"/>
          <s v="Qtr3"/>
          <s v="Qtr4"/>
          <s v="&gt;19-05-2020"/>
        </groupItems>
      </fieldGroup>
    </cacheField>
    <cacheField name="Years (policy_start_date)" numFmtId="0" databaseField="0">
      <fieldGroup base="3">
        <rangePr groupBy="years" startDate="2015-10-13T00:00:00" endDate="2020-05-19T00:00:00"/>
        <groupItems count="8">
          <s v="&lt;13-10-2015"/>
          <s v="2015"/>
          <s v="2016"/>
          <s v="2017"/>
          <s v="2018"/>
          <s v="2019"/>
          <s v="2020"/>
          <s v="&gt;19-05-2020"/>
        </groupItems>
      </fieldGroup>
    </cacheField>
  </cacheFields>
  <extLst>
    <ext xmlns:x14="http://schemas.microsoft.com/office/spreadsheetml/2009/9/main" uri="{725AE2AE-9491-48be-B2B4-4EB974FC3084}">
      <x14:pivotCacheDefinition pivotCacheId="13359177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76">
  <r>
    <s v="A"/>
    <s v="2414 2022 4088 1000 000"/>
    <x v="0"/>
    <x v="0"/>
    <d v="2019-04-18T00:00:00"/>
    <x v="0"/>
    <n v="1"/>
    <s v="Vinay"/>
    <x v="0"/>
    <s v="Marine"/>
    <s v="Renewal"/>
    <n v="32186.720000000001"/>
    <d v="2018-04-19T00:00:00"/>
    <s v="Brokerage"/>
    <x v="0"/>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A"/>
    <s v="2414 2022 4088 1000 000"/>
    <x v="0"/>
    <x v="0"/>
    <d v="2019-04-18T00:00:00"/>
    <x v="0"/>
    <n v="1"/>
    <s v="Vinay"/>
    <x v="0"/>
    <s v="Marine"/>
    <s v="Renewal"/>
    <n v="32186.720000000001"/>
    <d v="2018-04-19T00:00:00"/>
    <s v="Brokerage"/>
    <x v="0"/>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A"/>
    <s v="2414 2022 4088 1000 000"/>
    <x v="0"/>
    <x v="0"/>
    <d v="2019-04-18T00:00:00"/>
    <x v="0"/>
    <n v="1"/>
    <s v="Vinay"/>
    <x v="0"/>
    <s v="Marine"/>
    <s v="Renewal"/>
    <n v="32186.720000000001"/>
    <d v="2018-04-19T00:00:00"/>
    <s v="Brokerage"/>
    <x v="0"/>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A"/>
    <s v="2414 2022 4088 1000 000"/>
    <x v="0"/>
    <x v="0"/>
    <d v="2019-04-18T00:00:00"/>
    <x v="0"/>
    <n v="1"/>
    <s v="Vinay"/>
    <x v="0"/>
    <s v="Marine"/>
    <s v="Renewal"/>
    <n v="32186.720000000001"/>
    <d v="2018-04-19T00:00:00"/>
    <s v="Brokerage"/>
    <x v="0"/>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A"/>
    <s v="2414 2022 4088 1000 000"/>
    <x v="0"/>
    <x v="0"/>
    <d v="2019-04-18T00:00:00"/>
    <x v="0"/>
    <n v="1"/>
    <s v="Vinay"/>
    <x v="0"/>
    <s v="Marine"/>
    <s v="Renewal"/>
    <n v="32186.720000000001"/>
    <d v="2018-04-19T00:00:00"/>
    <s v="Brokerage"/>
    <x v="0"/>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A"/>
    <s v="2414 2022 4088 1000 000"/>
    <x v="0"/>
    <x v="0"/>
    <d v="2019-04-18T00:00:00"/>
    <x v="0"/>
    <n v="1"/>
    <s v="Vinay"/>
    <x v="0"/>
    <s v="Marine"/>
    <s v="Renewal"/>
    <n v="32186.720000000001"/>
    <d v="2018-04-19T00:00:00"/>
    <s v="Brokerage"/>
    <x v="0"/>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A"/>
    <s v="2414 2022 4088 1000 000"/>
    <x v="0"/>
    <x v="0"/>
    <d v="2019-04-18T00:00:00"/>
    <x v="0"/>
    <n v="1"/>
    <s v="Vinay"/>
    <x v="0"/>
    <s v="Marine"/>
    <s v="Renewal"/>
    <n v="32186.720000000001"/>
    <d v="2018-04-19T00:00:00"/>
    <s v="Brokerage"/>
    <x v="0"/>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A"/>
    <s v="2414 2022 4088 1000 000"/>
    <x v="0"/>
    <x v="0"/>
    <d v="2019-04-18T00:00:00"/>
    <x v="0"/>
    <n v="1"/>
    <s v="Vinay"/>
    <x v="0"/>
    <s v="Marine"/>
    <s v="Renewal"/>
    <n v="32186.720000000001"/>
    <d v="2018-04-19T00:00:00"/>
    <s v="Brokerage"/>
    <x v="0"/>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A"/>
    <s v="2414 2022 4088 1000 000"/>
    <x v="0"/>
    <x v="0"/>
    <d v="2019-04-18T00:00:00"/>
    <x v="0"/>
    <n v="1"/>
    <s v="Vinay"/>
    <x v="0"/>
    <s v="Marine"/>
    <s v="Renewal"/>
    <n v="32186.720000000001"/>
    <d v="2018-04-19T00:00:00"/>
    <s v="Brokerage"/>
    <x v="0"/>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A"/>
    <s v="2414 2022 4088 1000 000"/>
    <x v="0"/>
    <x v="0"/>
    <d v="2019-04-18T00:00:00"/>
    <x v="0"/>
    <n v="1"/>
    <s v="Vinay"/>
    <x v="0"/>
    <s v="Marine"/>
    <s v="Renewal"/>
    <n v="32186.720000000001"/>
    <d v="2018-04-19T00:00:00"/>
    <s v="Brokerage"/>
    <x v="0"/>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A"/>
    <s v="2414 2022 4088 1000 000"/>
    <x v="0"/>
    <x v="0"/>
    <d v="2019-04-18T00:00:00"/>
    <x v="0"/>
    <n v="1"/>
    <s v="Vinay"/>
    <x v="0"/>
    <s v="Marine"/>
    <s v="Renewal"/>
    <n v="32186.720000000001"/>
    <d v="2018-04-19T00:00:00"/>
    <s v="Brokerage"/>
    <x v="0"/>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A"/>
    <s v="2414 2022 4088 1000 000"/>
    <x v="0"/>
    <x v="0"/>
    <d v="2019-04-18T00:00:00"/>
    <x v="0"/>
    <n v="1"/>
    <s v="Vinay"/>
    <x v="0"/>
    <s v="Marine"/>
    <s v="Renewal"/>
    <n v="32186.720000000001"/>
    <d v="2018-04-19T00:00:00"/>
    <s v="Brokerage"/>
    <x v="0"/>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A"/>
    <s v="2414 2022 4088 1000 000"/>
    <x v="0"/>
    <x v="0"/>
    <d v="2019-04-18T00:00:00"/>
    <x v="0"/>
    <n v="1"/>
    <s v="Vinay"/>
    <x v="0"/>
    <s v="Marine"/>
    <s v="Renewal"/>
    <n v="32186.720000000001"/>
    <d v="2018-04-19T00:00:00"/>
    <s v="Brokerage"/>
    <x v="0"/>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A"/>
    <s v="2414 2022 4088 1000 000"/>
    <x v="0"/>
    <x v="0"/>
    <d v="2019-04-18T00:00:00"/>
    <x v="0"/>
    <n v="1"/>
    <s v="Vinay"/>
    <x v="0"/>
    <s v="Marine"/>
    <s v="Renewal"/>
    <n v="32186.720000000001"/>
    <d v="2018-04-19T00:00:00"/>
    <s v="Brokerage"/>
    <x v="0"/>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A"/>
    <s v="2414 2022 4088 1000 000"/>
    <x v="0"/>
    <x v="0"/>
    <d v="2019-04-18T00:00:00"/>
    <x v="0"/>
    <n v="1"/>
    <s v="Vinay"/>
    <x v="0"/>
    <s v="Marine"/>
    <s v="Renewal"/>
    <n v="32186.720000000001"/>
    <d v="2018-04-19T00:00:00"/>
    <s v="Brokerage"/>
    <x v="0"/>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A"/>
    <s v="2414 2022 4088 1000 000"/>
    <x v="0"/>
    <x v="0"/>
    <d v="2019-04-18T00:00:00"/>
    <x v="0"/>
    <n v="1"/>
    <s v="Vinay"/>
    <x v="0"/>
    <s v="Marine"/>
    <s v="Renewal"/>
    <n v="32186.720000000001"/>
    <d v="2018-04-19T00:00:00"/>
    <s v="Brokerage"/>
    <x v="0"/>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A"/>
    <s v="2414 2022 4088 1000 000"/>
    <x v="0"/>
    <x v="0"/>
    <d v="2019-04-18T00:00:00"/>
    <x v="0"/>
    <n v="1"/>
    <s v="Vinay"/>
    <x v="0"/>
    <s v="Marine"/>
    <s v="Renewal"/>
    <n v="32186.720000000001"/>
    <d v="2018-04-19T00:00:00"/>
    <s v="Brokerage"/>
    <x v="0"/>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A"/>
    <s v="2414 2022 4088 1000 000"/>
    <x v="0"/>
    <x v="0"/>
    <d v="2019-04-18T00:00:00"/>
    <x v="0"/>
    <n v="1"/>
    <s v="Vinay"/>
    <x v="0"/>
    <s v="Marine"/>
    <s v="Renewal"/>
    <n v="32186.720000000001"/>
    <d v="2018-04-19T00:00:00"/>
    <s v="Brokerage"/>
    <x v="0"/>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A"/>
    <s v="2414 2022 4088 1000 000"/>
    <x v="0"/>
    <x v="0"/>
    <d v="2019-04-18T00:00:00"/>
    <x v="0"/>
    <n v="1"/>
    <s v="Vinay"/>
    <x v="0"/>
    <s v="Marine"/>
    <s v="Renewal"/>
    <n v="32186.720000000001"/>
    <d v="2018-04-19T00:00:00"/>
    <s v="Brokerage"/>
    <x v="0"/>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A"/>
    <s v="2414 2022 4088 1000 000"/>
    <x v="0"/>
    <x v="0"/>
    <d v="2019-04-18T00:00:00"/>
    <x v="0"/>
    <n v="1"/>
    <s v="Vinay"/>
    <x v="0"/>
    <s v="Marine"/>
    <s v="Renewal"/>
    <n v="32186.720000000001"/>
    <d v="2018-04-19T00:00:00"/>
    <s v="Brokerage"/>
    <x v="0"/>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Sanjay Trivedi"/>
    <n v="2.4142E+18"/>
    <x v="0"/>
    <x v="1"/>
    <d v="2020-04-30T00:00:00"/>
    <x v="0"/>
    <n v="2"/>
    <s v="Abhinav Shivam"/>
    <x v="0"/>
    <s v="Marine"/>
    <s v="New"/>
    <n v="23590.71"/>
    <d v="2019-05-01T00:00:00"/>
    <s v="Brokerage"/>
    <x v="0"/>
    <s v="OTHR - Other"/>
    <d v="2020-01-22T00:00:00"/>
    <s v="Other"/>
    <m/>
    <m/>
    <m/>
    <m/>
    <m/>
    <m/>
    <m/>
    <m/>
    <m/>
    <m/>
    <m/>
    <m/>
    <m/>
    <m/>
    <m/>
    <m/>
    <m/>
    <m/>
    <m/>
    <m/>
  </r>
  <r>
    <s v="Anita Sethi"/>
    <s v="0655001825 01"/>
    <x v="1"/>
    <x v="2"/>
    <d v="2019-09-12T00:00:00"/>
    <x v="1"/>
    <n v="1"/>
    <s v="Vinay"/>
    <x v="0"/>
    <s v="Construction, Power &amp; Infrastructure"/>
    <s v="Renewal"/>
    <n v="4611.96"/>
    <d v="2018-09-13T00:00:00"/>
    <s v="Brokerage"/>
    <x v="0"/>
    <s v="OTHR - Other"/>
    <d v="2020-01-22T00:00:00"/>
    <s v="Other"/>
    <m/>
    <m/>
    <m/>
    <m/>
    <m/>
    <m/>
    <m/>
    <m/>
    <m/>
    <m/>
    <m/>
    <m/>
    <m/>
    <m/>
    <m/>
    <m/>
    <m/>
    <m/>
    <m/>
    <m/>
  </r>
  <r>
    <s v="Ashok Chatterjee"/>
    <n v="12139156"/>
    <x v="0"/>
    <x v="3"/>
    <d v="2020-09-12T00:00:00"/>
    <x v="1"/>
    <n v="1"/>
    <s v="Vinay"/>
    <x v="0"/>
    <s v="Construction, Power &amp; Infrastructure"/>
    <s v="Renewal"/>
    <n v="4975.41"/>
    <d v="2019-09-13T00:00:00"/>
    <s v="Brokerage"/>
    <x v="1"/>
    <s v="OTHR - Other"/>
    <d v="2020-01-22T00:00:00"/>
    <s v="Other"/>
    <m/>
    <m/>
    <m/>
    <m/>
    <m/>
    <m/>
    <m/>
    <m/>
    <m/>
    <m/>
    <m/>
    <m/>
    <m/>
    <m/>
    <m/>
    <m/>
    <m/>
    <m/>
    <m/>
    <m/>
  </r>
  <r>
    <s v="Rani Agarwal"/>
    <n v="2200090892"/>
    <x v="0"/>
    <x v="4"/>
    <d v="2019-11-05T00:00:00"/>
    <x v="2"/>
    <n v="1"/>
    <s v="Vinay"/>
    <x v="0"/>
    <s v="Liability"/>
    <s v="Renewal"/>
    <n v="1198.8800000000001"/>
    <d v="2018-11-0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Rani Agarwal"/>
    <n v="2200090892"/>
    <x v="0"/>
    <x v="4"/>
    <d v="2019-11-05T00:00:00"/>
    <x v="2"/>
    <n v="1"/>
    <s v="Vinay"/>
    <x v="0"/>
    <s v="Liability"/>
    <s v="Renewal"/>
    <n v="1198.8800000000001"/>
    <d v="2018-11-0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Rani Agarwal"/>
    <n v="2200090892"/>
    <x v="0"/>
    <x v="4"/>
    <d v="2019-11-05T00:00:00"/>
    <x v="2"/>
    <n v="1"/>
    <s v="Vinay"/>
    <x v="0"/>
    <s v="Liability"/>
    <s v="Renewal"/>
    <n v="1198.8800000000001"/>
    <d v="2018-11-0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Rani Agarwal"/>
    <n v="2200090892"/>
    <x v="0"/>
    <x v="4"/>
    <d v="2019-11-05T00:00:00"/>
    <x v="2"/>
    <n v="1"/>
    <s v="Vinay"/>
    <x v="0"/>
    <s v="Liability"/>
    <s v="Renewal"/>
    <n v="1198.8800000000001"/>
    <d v="2018-11-0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Rani Agarwal"/>
    <n v="2200090892"/>
    <x v="0"/>
    <x v="4"/>
    <d v="2019-11-05T00:00:00"/>
    <x v="2"/>
    <n v="1"/>
    <s v="Vinay"/>
    <x v="0"/>
    <s v="Liability"/>
    <s v="Renewal"/>
    <n v="1198.8800000000001"/>
    <d v="2018-11-0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Arjun Rao"/>
    <s v="237164239 00"/>
    <x v="0"/>
    <x v="5"/>
    <d v="2020-01-31T00:00:00"/>
    <x v="3"/>
    <n v="10"/>
    <s v="Mark"/>
    <x v="0"/>
    <s v="Employee Benefits (EB)"/>
    <s v="Renewal"/>
    <n v="1825.43"/>
    <d v="2019-02-01T00:00:00"/>
    <s v="Brokerage"/>
    <x v="0"/>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Arjun Rao"/>
    <s v="237164239 00"/>
    <x v="0"/>
    <x v="5"/>
    <d v="2020-01-31T00:00:00"/>
    <x v="3"/>
    <n v="10"/>
    <s v="Mark"/>
    <x v="0"/>
    <s v="Employee Benefits (EB)"/>
    <s v="Renewal"/>
    <n v="1825.43"/>
    <d v="2019-02-01T00:00:00"/>
    <s v="Brokerage"/>
    <x v="0"/>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Arjun Rao"/>
    <s v="237164239 00"/>
    <x v="0"/>
    <x v="5"/>
    <d v="2020-01-31T00:00:00"/>
    <x v="3"/>
    <n v="10"/>
    <s v="Mark"/>
    <x v="0"/>
    <s v="Employee Benefits (EB)"/>
    <s v="Renewal"/>
    <n v="1825.43"/>
    <d v="2019-02-01T00:00:00"/>
    <s v="Brokerage"/>
    <x v="0"/>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Arjun Rao"/>
    <s v="237164239 00"/>
    <x v="0"/>
    <x v="5"/>
    <d v="2020-01-31T00:00:00"/>
    <x v="3"/>
    <n v="10"/>
    <s v="Mark"/>
    <x v="0"/>
    <s v="Employee Benefits (EB)"/>
    <s v="Renewal"/>
    <n v="1825.43"/>
    <d v="2019-02-01T00:00:00"/>
    <s v="Brokerage"/>
    <x v="0"/>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Arjun Rao"/>
    <s v="237164239 00"/>
    <x v="0"/>
    <x v="5"/>
    <d v="2020-01-31T00:00:00"/>
    <x v="3"/>
    <n v="10"/>
    <s v="Mark"/>
    <x v="0"/>
    <s v="Employee Benefits (EB)"/>
    <s v="Renewal"/>
    <n v="1825.43"/>
    <d v="2019-02-01T00:00:00"/>
    <s v="Brokerage"/>
    <x v="0"/>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Arjun Rao"/>
    <s v="237164239 00"/>
    <x v="0"/>
    <x v="5"/>
    <d v="2020-01-31T00:00:00"/>
    <x v="3"/>
    <n v="10"/>
    <s v="Mark"/>
    <x v="0"/>
    <s v="Employee Benefits (EB)"/>
    <s v="Renewal"/>
    <n v="1825.43"/>
    <d v="2019-02-01T00:00:00"/>
    <s v="Brokerage"/>
    <x v="0"/>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Arjun Rao"/>
    <s v="237164239 00"/>
    <x v="0"/>
    <x v="5"/>
    <d v="2020-01-31T00:00:00"/>
    <x v="3"/>
    <n v="10"/>
    <s v="Mark"/>
    <x v="0"/>
    <s v="Employee Benefits (EB)"/>
    <s v="Renewal"/>
    <n v="1825.43"/>
    <d v="2019-02-01T00:00:00"/>
    <s v="Brokerage"/>
    <x v="0"/>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Arjun Rao"/>
    <s v="237164239 00"/>
    <x v="0"/>
    <x v="5"/>
    <d v="2020-01-31T00:00:00"/>
    <x v="3"/>
    <n v="10"/>
    <s v="Mark"/>
    <x v="0"/>
    <s v="Employee Benefits (EB)"/>
    <s v="Renewal"/>
    <n v="1825.43"/>
    <d v="2019-02-01T00:00:00"/>
    <s v="Brokerage"/>
    <x v="0"/>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Arjun Rao"/>
    <s v="237164239 00"/>
    <x v="0"/>
    <x v="5"/>
    <d v="2020-01-31T00:00:00"/>
    <x v="3"/>
    <n v="10"/>
    <s v="Mark"/>
    <x v="0"/>
    <s v="Employee Benefits (EB)"/>
    <s v="Renewal"/>
    <n v="1825.43"/>
    <d v="2019-02-01T00:00:00"/>
    <s v="Brokerage"/>
    <x v="0"/>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Arjun Rao"/>
    <s v="237164239 00"/>
    <x v="0"/>
    <x v="5"/>
    <d v="2020-01-31T00:00:00"/>
    <x v="3"/>
    <n v="10"/>
    <s v="Mark"/>
    <x v="0"/>
    <s v="Employee Benefits (EB)"/>
    <s v="Renewal"/>
    <n v="1825.43"/>
    <d v="2019-02-01T00:00:00"/>
    <s v="Brokerage"/>
    <x v="0"/>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Anil Naik"/>
    <s v="4101190700000015-00"/>
    <x v="0"/>
    <x v="6"/>
    <d v="2020-06-24T00:00:00"/>
    <x v="3"/>
    <n v="2"/>
    <s v="Abhinav Shivam"/>
    <x v="0"/>
    <s v="Employee Benefits (EB)"/>
    <s v="New"/>
    <n v="79833.600000000006"/>
    <d v="2019-06-25T00:00:00"/>
    <s v="Brokerage"/>
    <x v="2"/>
    <s v="OTHR - Other"/>
    <d v="2020-01-22T00:00:00"/>
    <s v="Other"/>
    <m/>
    <m/>
    <m/>
    <m/>
    <m/>
    <m/>
    <m/>
    <m/>
    <m/>
    <m/>
    <m/>
    <m/>
    <m/>
    <m/>
    <m/>
    <m/>
    <m/>
    <m/>
    <m/>
    <m/>
  </r>
  <r>
    <s v="Simran Trivedi"/>
    <s v="4101190700000015-00"/>
    <x v="0"/>
    <x v="6"/>
    <d v="2020-06-24T00:00:00"/>
    <x v="3"/>
    <n v="2"/>
    <s v="Abhinav Shivam"/>
    <x v="0"/>
    <s v="Employee Benefits (EB)"/>
    <s v="New"/>
    <n v="11435.86"/>
    <d v="2019-08-02T00:00:00"/>
    <s v="Brokerage "/>
    <x v="2"/>
    <s v="OTHR - Other"/>
    <d v="2020-01-22T00:00:00"/>
    <s v="Other"/>
    <m/>
    <m/>
    <m/>
    <m/>
    <m/>
    <m/>
    <m/>
    <m/>
    <m/>
    <m/>
    <m/>
    <m/>
    <m/>
    <m/>
    <m/>
    <m/>
    <m/>
    <m/>
    <m/>
    <m/>
  </r>
  <r>
    <s v="Dhruv Chopra"/>
    <n v="2250010276"/>
    <x v="0"/>
    <x v="7"/>
    <d v="2019-04-24T00:00:00"/>
    <x v="2"/>
    <n v="1"/>
    <s v="Vinay"/>
    <x v="0"/>
    <s v="Employee Benefits (EB)"/>
    <s v="Renewal"/>
    <n v="847.38"/>
    <d v="2018-04-25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Dhruv Chopra"/>
    <n v="2250010276"/>
    <x v="0"/>
    <x v="7"/>
    <d v="2019-04-24T00:00:00"/>
    <x v="2"/>
    <n v="1"/>
    <s v="Vinay"/>
    <x v="0"/>
    <s v="Employee Benefits (EB)"/>
    <s v="Renewal"/>
    <n v="847.38"/>
    <d v="2018-04-25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Dhruv Chopra"/>
    <n v="2250010276"/>
    <x v="0"/>
    <x v="7"/>
    <d v="2019-04-24T00:00:00"/>
    <x v="2"/>
    <n v="1"/>
    <s v="Vinay"/>
    <x v="0"/>
    <s v="Employee Benefits (EB)"/>
    <s v="Renewal"/>
    <n v="847.38"/>
    <d v="2018-04-25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Dhruv Chopra"/>
    <n v="2250010276"/>
    <x v="0"/>
    <x v="7"/>
    <d v="2019-04-24T00:00:00"/>
    <x v="2"/>
    <n v="1"/>
    <s v="Vinay"/>
    <x v="0"/>
    <s v="Employee Benefits (EB)"/>
    <s v="Renewal"/>
    <n v="847.38"/>
    <d v="2018-04-25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Dhruv Chopra"/>
    <n v="2250010276"/>
    <x v="0"/>
    <x v="7"/>
    <d v="2019-04-24T00:00:00"/>
    <x v="2"/>
    <n v="1"/>
    <s v="Vinay"/>
    <x v="0"/>
    <s v="Employee Benefits (EB)"/>
    <s v="Renewal"/>
    <n v="847.38"/>
    <d v="2018-04-25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Jaya Chopra"/>
    <s v="2414 2022 1261 2200 000"/>
    <x v="1"/>
    <x v="7"/>
    <d v="2019-04-24T00:00:00"/>
    <x v="0"/>
    <n v="1"/>
    <s v="Vinay"/>
    <x v="0"/>
    <s v="Marine"/>
    <s v="Renewal"/>
    <n v="9900"/>
    <d v="2018-04-25T00:00:00"/>
    <s v="Brokerage"/>
    <x v="0"/>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Jaya Chopra"/>
    <s v="2414 2022 1261 2200 000"/>
    <x v="1"/>
    <x v="7"/>
    <d v="2019-04-24T00:00:00"/>
    <x v="0"/>
    <n v="1"/>
    <s v="Vinay"/>
    <x v="0"/>
    <s v="Marine"/>
    <s v="Renewal"/>
    <n v="9900"/>
    <d v="2018-04-25T00:00:00"/>
    <s v="Brokerage"/>
    <x v="0"/>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Jaya Chopra"/>
    <s v="2414 2022 1261 2200 000"/>
    <x v="1"/>
    <x v="7"/>
    <d v="2019-04-24T00:00:00"/>
    <x v="0"/>
    <n v="1"/>
    <s v="Vinay"/>
    <x v="0"/>
    <s v="Marine"/>
    <s v="Renewal"/>
    <n v="9900"/>
    <d v="2018-04-25T00:00:00"/>
    <s v="Brokerage"/>
    <x v="0"/>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Jaya Chopra"/>
    <s v="2414 2022 1261 2200 000"/>
    <x v="1"/>
    <x v="7"/>
    <d v="2019-04-24T00:00:00"/>
    <x v="0"/>
    <n v="1"/>
    <s v="Vinay"/>
    <x v="0"/>
    <s v="Marine"/>
    <s v="Renewal"/>
    <n v="9900"/>
    <d v="2018-04-25T00:00:00"/>
    <s v="Brokerage"/>
    <x v="0"/>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Jaya Chopra"/>
    <s v="2414 2022 1261 2200 000"/>
    <x v="1"/>
    <x v="7"/>
    <d v="2019-04-24T00:00:00"/>
    <x v="0"/>
    <n v="1"/>
    <s v="Vinay"/>
    <x v="0"/>
    <s v="Marine"/>
    <s v="Renewal"/>
    <n v="9900"/>
    <d v="2018-04-25T00:00:00"/>
    <s v="Brokerage"/>
    <x v="0"/>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Jaya Chopra"/>
    <s v="2414 2022 1261 2200 000"/>
    <x v="1"/>
    <x v="7"/>
    <d v="2019-04-24T00:00:00"/>
    <x v="0"/>
    <n v="1"/>
    <s v="Vinay"/>
    <x v="0"/>
    <s v="Marine"/>
    <s v="Renewal"/>
    <n v="9900"/>
    <d v="2018-04-25T00:00:00"/>
    <s v="Brokerage"/>
    <x v="0"/>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Jaya Chopra"/>
    <s v="2414 2022 1261 2200 000"/>
    <x v="1"/>
    <x v="7"/>
    <d v="2019-04-24T00:00:00"/>
    <x v="0"/>
    <n v="1"/>
    <s v="Vinay"/>
    <x v="0"/>
    <s v="Marine"/>
    <s v="Renewal"/>
    <n v="9900"/>
    <d v="2018-04-25T00:00:00"/>
    <s v="Brokerage"/>
    <x v="0"/>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Jaya Chopra"/>
    <s v="2414 2022 1261 2200 000"/>
    <x v="1"/>
    <x v="7"/>
    <d v="2019-04-24T00:00:00"/>
    <x v="0"/>
    <n v="1"/>
    <s v="Vinay"/>
    <x v="0"/>
    <s v="Marine"/>
    <s v="Renewal"/>
    <n v="9900"/>
    <d v="2018-04-25T00:00:00"/>
    <s v="Brokerage"/>
    <x v="0"/>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Jaya Chopra"/>
    <s v="2414 2022 1261 2200 000"/>
    <x v="1"/>
    <x v="7"/>
    <d v="2019-04-24T00:00:00"/>
    <x v="0"/>
    <n v="1"/>
    <s v="Vinay"/>
    <x v="0"/>
    <s v="Marine"/>
    <s v="Renewal"/>
    <n v="9900"/>
    <d v="2018-04-25T00:00:00"/>
    <s v="Brokerage"/>
    <x v="0"/>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Jaya Chopra"/>
    <s v="2414 2022 1261 2200 000"/>
    <x v="1"/>
    <x v="7"/>
    <d v="2019-04-24T00:00:00"/>
    <x v="0"/>
    <n v="1"/>
    <s v="Vinay"/>
    <x v="0"/>
    <s v="Marine"/>
    <s v="Renewal"/>
    <n v="9900"/>
    <d v="2018-04-25T00:00:00"/>
    <s v="Brokerage"/>
    <x v="0"/>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Jaya Chopra"/>
    <s v="2414 2022 1261 2200 000"/>
    <x v="1"/>
    <x v="7"/>
    <d v="2019-04-24T00:00:00"/>
    <x v="0"/>
    <n v="1"/>
    <s v="Vinay"/>
    <x v="0"/>
    <s v="Marine"/>
    <s v="Renewal"/>
    <n v="9900"/>
    <d v="2018-04-25T00:00:00"/>
    <s v="Brokerage"/>
    <x v="0"/>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Jaya Chopra"/>
    <s v="2414 2022 1261 2200 000"/>
    <x v="1"/>
    <x v="7"/>
    <d v="2019-04-24T00:00:00"/>
    <x v="0"/>
    <n v="1"/>
    <s v="Vinay"/>
    <x v="0"/>
    <s v="Marine"/>
    <s v="Renewal"/>
    <n v="9900"/>
    <d v="2018-04-25T00:00:00"/>
    <s v="Brokerage"/>
    <x v="0"/>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Jaya Chopra"/>
    <s v="2414 2022 1261 2200 000"/>
    <x v="1"/>
    <x v="7"/>
    <d v="2019-04-24T00:00:00"/>
    <x v="0"/>
    <n v="1"/>
    <s v="Vinay"/>
    <x v="0"/>
    <s v="Marine"/>
    <s v="Renewal"/>
    <n v="9900"/>
    <d v="2018-04-25T00:00:00"/>
    <s v="Brokerage"/>
    <x v="0"/>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Jaya Chopra"/>
    <s v="2414 2022 1261 2200 000"/>
    <x v="1"/>
    <x v="7"/>
    <d v="2019-04-24T00:00:00"/>
    <x v="0"/>
    <n v="1"/>
    <s v="Vinay"/>
    <x v="0"/>
    <s v="Marine"/>
    <s v="Renewal"/>
    <n v="9900"/>
    <d v="2018-04-25T00:00:00"/>
    <s v="Brokerage"/>
    <x v="0"/>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Jaya Chopra"/>
    <s v="2414 2022 1261 2200 000"/>
    <x v="1"/>
    <x v="7"/>
    <d v="2019-04-24T00:00:00"/>
    <x v="0"/>
    <n v="1"/>
    <s v="Vinay"/>
    <x v="0"/>
    <s v="Marine"/>
    <s v="Renewal"/>
    <n v="9900"/>
    <d v="2018-04-25T00:00:00"/>
    <s v="Brokerage"/>
    <x v="0"/>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Jaya Chopra"/>
    <s v="2414 2022 1261 2200 000"/>
    <x v="1"/>
    <x v="7"/>
    <d v="2019-04-24T00:00:00"/>
    <x v="0"/>
    <n v="1"/>
    <s v="Vinay"/>
    <x v="0"/>
    <s v="Marine"/>
    <s v="Renewal"/>
    <n v="9900"/>
    <d v="2018-04-25T00:00:00"/>
    <s v="Brokerage"/>
    <x v="0"/>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Jaya Chopra"/>
    <s v="2414 2022 1261 2200 000"/>
    <x v="1"/>
    <x v="7"/>
    <d v="2019-04-24T00:00:00"/>
    <x v="0"/>
    <n v="1"/>
    <s v="Vinay"/>
    <x v="0"/>
    <s v="Marine"/>
    <s v="Renewal"/>
    <n v="9900"/>
    <d v="2018-04-25T00:00:00"/>
    <s v="Brokerage"/>
    <x v="0"/>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Jaya Chopra"/>
    <s v="2414 2022 1261 2200 000"/>
    <x v="1"/>
    <x v="7"/>
    <d v="2019-04-24T00:00:00"/>
    <x v="0"/>
    <n v="1"/>
    <s v="Vinay"/>
    <x v="0"/>
    <s v="Marine"/>
    <s v="Renewal"/>
    <n v="9900"/>
    <d v="2018-04-25T00:00:00"/>
    <s v="Brokerage"/>
    <x v="0"/>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Jaya Chopra"/>
    <s v="2414 2022 1261 2200 000"/>
    <x v="1"/>
    <x v="7"/>
    <d v="2019-04-24T00:00:00"/>
    <x v="0"/>
    <n v="1"/>
    <s v="Vinay"/>
    <x v="0"/>
    <s v="Marine"/>
    <s v="Renewal"/>
    <n v="9900"/>
    <d v="2018-04-25T00:00:00"/>
    <s v="Brokerage"/>
    <x v="0"/>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Jaya Chopra"/>
    <s v="2414 2022 1261 2200 000"/>
    <x v="1"/>
    <x v="7"/>
    <d v="2019-04-24T00:00:00"/>
    <x v="0"/>
    <n v="1"/>
    <s v="Vinay"/>
    <x v="0"/>
    <s v="Marine"/>
    <s v="Renewal"/>
    <n v="9900"/>
    <d v="2018-04-25T00:00:00"/>
    <s v="Brokerage"/>
    <x v="0"/>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Kiran Goyal"/>
    <s v="2414 2026 2374 7800 000"/>
    <x v="0"/>
    <x v="8"/>
    <d v="2020-01-10T00:00:00"/>
    <x v="0"/>
    <n v="1"/>
    <s v="Vinay"/>
    <x v="0"/>
    <s v="Marine"/>
    <s v="Renewal"/>
    <n v="8250"/>
    <d v="2019-01-11T00:00:00"/>
    <s v="Brokerage"/>
    <x v="1"/>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Kiran Goyal"/>
    <s v="2414 2026 2374 7800 000"/>
    <x v="0"/>
    <x v="8"/>
    <d v="2020-01-10T00:00:00"/>
    <x v="0"/>
    <n v="1"/>
    <s v="Vinay"/>
    <x v="0"/>
    <s v="Marine"/>
    <s v="Renewal"/>
    <n v="8250"/>
    <d v="2019-01-11T00:00:00"/>
    <s v="Brokerage"/>
    <x v="1"/>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Kiran Goyal"/>
    <s v="2414 2026 2374 7800 000"/>
    <x v="0"/>
    <x v="8"/>
    <d v="2020-01-10T00:00:00"/>
    <x v="0"/>
    <n v="1"/>
    <s v="Vinay"/>
    <x v="0"/>
    <s v="Marine"/>
    <s v="Renewal"/>
    <n v="8250"/>
    <d v="2019-01-11T00:00:00"/>
    <s v="Brokerage"/>
    <x v="1"/>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Kiran Goyal"/>
    <s v="2414 2026 2374 7800 000"/>
    <x v="0"/>
    <x v="8"/>
    <d v="2020-01-10T00:00:00"/>
    <x v="0"/>
    <n v="1"/>
    <s v="Vinay"/>
    <x v="0"/>
    <s v="Marine"/>
    <s v="Renewal"/>
    <n v="8250"/>
    <d v="2019-01-11T00:00:00"/>
    <s v="Brokerage"/>
    <x v="1"/>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Kiran Goyal"/>
    <s v="2414 2026 2374 7800 000"/>
    <x v="0"/>
    <x v="8"/>
    <d v="2020-01-10T00:00:00"/>
    <x v="0"/>
    <n v="1"/>
    <s v="Vinay"/>
    <x v="0"/>
    <s v="Marine"/>
    <s v="Renewal"/>
    <n v="8250"/>
    <d v="2019-01-11T00:00:00"/>
    <s v="Brokerage"/>
    <x v="1"/>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Kiran Goyal"/>
    <s v="2414 2026 2374 7800 000"/>
    <x v="0"/>
    <x v="8"/>
    <d v="2020-01-10T00:00:00"/>
    <x v="0"/>
    <n v="1"/>
    <s v="Vinay"/>
    <x v="0"/>
    <s v="Marine"/>
    <s v="Renewal"/>
    <n v="8250"/>
    <d v="2019-01-11T00:00:00"/>
    <s v="Brokerage"/>
    <x v="1"/>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Kiran Goyal"/>
    <s v="2414 2026 2374 7800 000"/>
    <x v="0"/>
    <x v="8"/>
    <d v="2020-01-10T00:00:00"/>
    <x v="0"/>
    <n v="1"/>
    <s v="Vinay"/>
    <x v="0"/>
    <s v="Marine"/>
    <s v="Renewal"/>
    <n v="8250"/>
    <d v="2019-01-11T00:00:00"/>
    <s v="Brokerage"/>
    <x v="1"/>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Kiran Goyal"/>
    <s v="2414 2026 2374 7800 000"/>
    <x v="0"/>
    <x v="8"/>
    <d v="2020-01-10T00:00:00"/>
    <x v="0"/>
    <n v="1"/>
    <s v="Vinay"/>
    <x v="0"/>
    <s v="Marine"/>
    <s v="Renewal"/>
    <n v="8250"/>
    <d v="2019-01-11T00:00:00"/>
    <s v="Brokerage"/>
    <x v="1"/>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Kiran Goyal"/>
    <s v="2414 2026 2374 7800 000"/>
    <x v="0"/>
    <x v="8"/>
    <d v="2020-01-10T00:00:00"/>
    <x v="0"/>
    <n v="1"/>
    <s v="Vinay"/>
    <x v="0"/>
    <s v="Marine"/>
    <s v="Renewal"/>
    <n v="8250"/>
    <d v="2019-01-11T00:00:00"/>
    <s v="Brokerage"/>
    <x v="1"/>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Kiran Goyal"/>
    <s v="2414 2026 2374 7800 000"/>
    <x v="0"/>
    <x v="8"/>
    <d v="2020-01-10T00:00:00"/>
    <x v="0"/>
    <n v="1"/>
    <s v="Vinay"/>
    <x v="0"/>
    <s v="Marine"/>
    <s v="Renewal"/>
    <n v="8250"/>
    <d v="2019-01-11T00:00:00"/>
    <s v="Brokerage"/>
    <x v="1"/>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Kiran Goyal"/>
    <s v="2414 2026 2374 7800 000"/>
    <x v="0"/>
    <x v="8"/>
    <d v="2020-01-10T00:00:00"/>
    <x v="0"/>
    <n v="1"/>
    <s v="Vinay"/>
    <x v="0"/>
    <s v="Marine"/>
    <s v="Renewal"/>
    <n v="8250"/>
    <d v="2019-01-11T00:00:00"/>
    <s v="Brokerage"/>
    <x v="1"/>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Kiran Goyal"/>
    <s v="2414 2026 2374 7800 000"/>
    <x v="0"/>
    <x v="8"/>
    <d v="2020-01-10T00:00:00"/>
    <x v="0"/>
    <n v="1"/>
    <s v="Vinay"/>
    <x v="0"/>
    <s v="Marine"/>
    <s v="Renewal"/>
    <n v="8250"/>
    <d v="2019-01-11T00:00:00"/>
    <s v="Brokerage"/>
    <x v="1"/>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Kiran Goyal"/>
    <s v="2414 2026 2374 7800 000"/>
    <x v="0"/>
    <x v="8"/>
    <d v="2020-01-10T00:00:00"/>
    <x v="0"/>
    <n v="1"/>
    <s v="Vinay"/>
    <x v="0"/>
    <s v="Marine"/>
    <s v="Renewal"/>
    <n v="8250"/>
    <d v="2019-01-11T00:00:00"/>
    <s v="Brokerage"/>
    <x v="1"/>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Kiran Goyal"/>
    <s v="2414 2026 2374 7800 000"/>
    <x v="0"/>
    <x v="8"/>
    <d v="2020-01-10T00:00:00"/>
    <x v="0"/>
    <n v="1"/>
    <s v="Vinay"/>
    <x v="0"/>
    <s v="Marine"/>
    <s v="Renewal"/>
    <n v="8250"/>
    <d v="2019-01-11T00:00:00"/>
    <s v="Brokerage"/>
    <x v="1"/>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Kiran Goyal"/>
    <s v="2414 2026 2374 7800 000"/>
    <x v="0"/>
    <x v="8"/>
    <d v="2020-01-10T00:00:00"/>
    <x v="0"/>
    <n v="1"/>
    <s v="Vinay"/>
    <x v="0"/>
    <s v="Marine"/>
    <s v="Renewal"/>
    <n v="8250"/>
    <d v="2019-01-11T00:00:00"/>
    <s v="Brokerage"/>
    <x v="1"/>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Kiran Goyal"/>
    <s v="2414 2026 2374 7800 000"/>
    <x v="0"/>
    <x v="8"/>
    <d v="2020-01-10T00:00:00"/>
    <x v="0"/>
    <n v="1"/>
    <s v="Vinay"/>
    <x v="0"/>
    <s v="Marine"/>
    <s v="Renewal"/>
    <n v="8250"/>
    <d v="2019-01-11T00:00:00"/>
    <s v="Brokerage"/>
    <x v="1"/>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Kiran Goyal"/>
    <s v="2414 2026 2374 7800 000"/>
    <x v="0"/>
    <x v="8"/>
    <d v="2020-01-10T00:00:00"/>
    <x v="0"/>
    <n v="1"/>
    <s v="Vinay"/>
    <x v="0"/>
    <s v="Marine"/>
    <s v="Renewal"/>
    <n v="8250"/>
    <d v="2019-01-11T00:00:00"/>
    <s v="Brokerage"/>
    <x v="1"/>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Kiran Goyal"/>
    <s v="2414 2026 2374 7800 000"/>
    <x v="0"/>
    <x v="8"/>
    <d v="2020-01-10T00:00:00"/>
    <x v="0"/>
    <n v="1"/>
    <s v="Vinay"/>
    <x v="0"/>
    <s v="Marine"/>
    <s v="Renewal"/>
    <n v="8250"/>
    <d v="2019-01-11T00:00:00"/>
    <s v="Brokerage"/>
    <x v="1"/>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Kiran Goyal"/>
    <s v="2414 2026 2374 7800 000"/>
    <x v="0"/>
    <x v="8"/>
    <d v="2020-01-10T00:00:00"/>
    <x v="0"/>
    <n v="1"/>
    <s v="Vinay"/>
    <x v="0"/>
    <s v="Marine"/>
    <s v="Renewal"/>
    <n v="8250"/>
    <d v="2019-01-11T00:00:00"/>
    <s v="Brokerage"/>
    <x v="1"/>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Kiran Goyal"/>
    <s v="2414 2026 2374 7800 000"/>
    <x v="0"/>
    <x v="8"/>
    <d v="2020-01-10T00:00:00"/>
    <x v="0"/>
    <n v="1"/>
    <s v="Vinay"/>
    <x v="0"/>
    <s v="Marine"/>
    <s v="Renewal"/>
    <n v="8250"/>
    <d v="2019-01-11T00:00:00"/>
    <s v="Brokerage"/>
    <x v="1"/>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Pravin Sengupta"/>
    <n v="91001900000000"/>
    <x v="0"/>
    <x v="7"/>
    <d v="2019-04-24T00:00:00"/>
    <x v="1"/>
    <n v="1"/>
    <s v="Vinay"/>
    <x v="0"/>
    <s v="Property / BI"/>
    <s v="Renewal"/>
    <n v="4093.2"/>
    <d v="2018-04-25T00:00:00"/>
    <s v="Brokerage"/>
    <x v="0"/>
    <s v="OTHR - Other"/>
    <d v="2020-01-22T00:00:00"/>
    <s v="Other"/>
    <m/>
    <m/>
    <m/>
    <m/>
    <m/>
    <m/>
    <m/>
    <m/>
    <m/>
    <m/>
    <m/>
    <m/>
    <m/>
    <m/>
    <m/>
    <m/>
    <m/>
    <m/>
    <m/>
    <m/>
  </r>
  <r>
    <s v="Snehal Das"/>
    <n v="2280062933"/>
    <x v="0"/>
    <x v="9"/>
    <d v="2020-05-19T00:00:00"/>
    <x v="2"/>
    <n v="1"/>
    <s v="Vinay"/>
    <x v="0"/>
    <s v="Liability"/>
    <s v="Renewal"/>
    <n v="8117"/>
    <d v="2020-01-20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Snehal Das"/>
    <n v="2280062933"/>
    <x v="0"/>
    <x v="9"/>
    <d v="2020-05-19T00:00:00"/>
    <x v="2"/>
    <n v="1"/>
    <s v="Vinay"/>
    <x v="0"/>
    <s v="Liability"/>
    <s v="Renewal"/>
    <n v="8117"/>
    <d v="2020-01-20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Snehal Das"/>
    <n v="2280062933"/>
    <x v="0"/>
    <x v="9"/>
    <d v="2020-05-19T00:00:00"/>
    <x v="2"/>
    <n v="1"/>
    <s v="Vinay"/>
    <x v="0"/>
    <s v="Liability"/>
    <s v="Renewal"/>
    <n v="8117"/>
    <d v="2020-01-20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Snehal Das"/>
    <n v="2280062933"/>
    <x v="0"/>
    <x v="9"/>
    <d v="2020-05-19T00:00:00"/>
    <x v="2"/>
    <n v="1"/>
    <s v="Vinay"/>
    <x v="0"/>
    <s v="Liability"/>
    <s v="Renewal"/>
    <n v="8117"/>
    <d v="2020-01-20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Snehal Das"/>
    <n v="2280062933"/>
    <x v="0"/>
    <x v="9"/>
    <d v="2020-05-19T00:00:00"/>
    <x v="2"/>
    <n v="1"/>
    <s v="Vinay"/>
    <x v="0"/>
    <s v="Liability"/>
    <s v="Renewal"/>
    <n v="8117"/>
    <d v="2020-01-20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Rajesh Malhotra"/>
    <s v="LWC/I2568913/71/05/006144"/>
    <x v="1"/>
    <x v="10"/>
    <d v="2019-05-19T00:00:00"/>
    <x v="2"/>
    <n v="1"/>
    <s v="Vinay"/>
    <x v="0"/>
    <s v="Liability"/>
    <s v="Renewal"/>
    <n v="6101.25"/>
    <d v="2018-05-20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Rajesh Malhotra"/>
    <s v="LWC/I2568913/71/05/006144"/>
    <x v="1"/>
    <x v="10"/>
    <d v="2019-05-19T00:00:00"/>
    <x v="2"/>
    <n v="1"/>
    <s v="Vinay"/>
    <x v="0"/>
    <s v="Liability"/>
    <s v="Renewal"/>
    <n v="6101.25"/>
    <d v="2018-05-20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Rajesh Malhotra"/>
    <s v="LWC/I2568913/71/05/006144"/>
    <x v="1"/>
    <x v="10"/>
    <d v="2019-05-19T00:00:00"/>
    <x v="2"/>
    <n v="1"/>
    <s v="Vinay"/>
    <x v="0"/>
    <s v="Liability"/>
    <s v="Renewal"/>
    <n v="6101.25"/>
    <d v="2018-05-20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Rajesh Malhotra"/>
    <s v="LWC/I2568913/71/05/006144"/>
    <x v="1"/>
    <x v="10"/>
    <d v="2019-05-19T00:00:00"/>
    <x v="2"/>
    <n v="1"/>
    <s v="Vinay"/>
    <x v="0"/>
    <s v="Liability"/>
    <s v="Renewal"/>
    <n v="6101.25"/>
    <d v="2018-05-20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Rajesh Malhotra"/>
    <s v="LWC/I2568913/71/05/006144"/>
    <x v="1"/>
    <x v="10"/>
    <d v="2019-05-19T00:00:00"/>
    <x v="2"/>
    <n v="1"/>
    <s v="Vinay"/>
    <x v="0"/>
    <s v="Liability"/>
    <s v="Renewal"/>
    <n v="6101.25"/>
    <d v="2018-05-20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Archana Bhatia"/>
    <s v="0865074115 01"/>
    <x v="0"/>
    <x v="11"/>
    <d v="2019-06-11T00:00:00"/>
    <x v="0"/>
    <n v="9"/>
    <s v="Manish Sharma"/>
    <x v="0"/>
    <s v="Small Medium Enterpries (SME)"/>
    <s v="Renewal"/>
    <n v="1980"/>
    <d v="2018-06-12T00:00:00"/>
    <s v="Brokerage"/>
    <x v="2"/>
    <s v="OTHR - Other"/>
    <d v="2020-01-22T00:00:00"/>
    <s v="Other"/>
    <m/>
    <m/>
    <m/>
    <m/>
    <m/>
    <m/>
    <m/>
    <m/>
    <m/>
    <m/>
    <m/>
    <m/>
    <m/>
    <m/>
    <m/>
    <m/>
    <m/>
    <m/>
    <m/>
    <m/>
  </r>
  <r>
    <s v="Ashok Reddy"/>
    <s v="0865074115 01"/>
    <x v="0"/>
    <x v="11"/>
    <d v="2019-06-11T00:00:00"/>
    <x v="0"/>
    <n v="9"/>
    <s v="Manish Sharma"/>
    <x v="0"/>
    <s v="Small Medium Enterpries (SME)"/>
    <s v="Renewal"/>
    <n v="1980"/>
    <d v="2019-01-10T00:00:00"/>
    <s v="Brokerage "/>
    <x v="2"/>
    <s v="OTHR - Other"/>
    <d v="2020-01-22T00:00:00"/>
    <s v="Other"/>
    <m/>
    <m/>
    <m/>
    <m/>
    <m/>
    <m/>
    <m/>
    <m/>
    <m/>
    <m/>
    <m/>
    <m/>
    <m/>
    <m/>
    <m/>
    <m/>
    <m/>
    <m/>
    <m/>
    <m/>
  </r>
  <r>
    <s v="Madhuri Bhatia"/>
    <n v="3.1142E+18"/>
    <x v="0"/>
    <x v="12"/>
    <d v="2020-08-25T00:00:00"/>
    <x v="2"/>
    <n v="3"/>
    <s v="Animesh Rawat"/>
    <x v="0"/>
    <s v="Global Client Network (GNB Inward)"/>
    <s v="Cross Sell"/>
    <n v="2089.25"/>
    <d v="2019-08-26T00:00:00"/>
    <s v="Brokerage"/>
    <x v="0"/>
    <s v="OTHR - Other"/>
    <d v="2020-01-22T00:00:00"/>
    <s v="Other"/>
    <m/>
    <m/>
    <m/>
    <m/>
    <m/>
    <m/>
    <m/>
    <m/>
    <m/>
    <m/>
    <m/>
    <m/>
    <m/>
    <m/>
    <m/>
    <m/>
    <m/>
    <m/>
    <m/>
    <m/>
  </r>
  <r>
    <s v="Pranav Mishra"/>
    <s v="OG-19-2202-1018-00000055"/>
    <x v="0"/>
    <x v="13"/>
    <d v="2019-12-31T00:00:00"/>
    <x v="0"/>
    <n v="3"/>
    <s v="Animesh Rawat"/>
    <x v="0"/>
    <s v="Global Client Network (GNB Inward)"/>
    <s v="Cross Sell"/>
    <n v="21768.61"/>
    <d v="2019-01-01T00:00:00"/>
    <s v="Brokerage"/>
    <x v="0"/>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Pranav Mishra"/>
    <s v="OG-19-2202-1018-00000055"/>
    <x v="0"/>
    <x v="13"/>
    <d v="2019-12-31T00:00:00"/>
    <x v="0"/>
    <n v="3"/>
    <s v="Animesh Rawat"/>
    <x v="0"/>
    <s v="Global Client Network (GNB Inward)"/>
    <s v="Cross Sell"/>
    <n v="21768.61"/>
    <d v="2019-01-01T00:00:00"/>
    <s v="Brokerage"/>
    <x v="0"/>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Pranav Mishra"/>
    <s v="OG-19-2202-1018-00000055"/>
    <x v="0"/>
    <x v="13"/>
    <d v="2019-12-31T00:00:00"/>
    <x v="0"/>
    <n v="3"/>
    <s v="Animesh Rawat"/>
    <x v="0"/>
    <s v="Global Client Network (GNB Inward)"/>
    <s v="Cross Sell"/>
    <n v="21768.61"/>
    <d v="2019-01-01T00:00:00"/>
    <s v="Brokerage"/>
    <x v="0"/>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Pranav Mishra"/>
    <s v="OG-19-2202-1018-00000055"/>
    <x v="0"/>
    <x v="13"/>
    <d v="2019-12-31T00:00:00"/>
    <x v="0"/>
    <n v="3"/>
    <s v="Animesh Rawat"/>
    <x v="0"/>
    <s v="Global Client Network (GNB Inward)"/>
    <s v="Cross Sell"/>
    <n v="21768.61"/>
    <d v="2019-01-01T00:00:00"/>
    <s v="Brokerage"/>
    <x v="0"/>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Pranav Mishra"/>
    <s v="OG-19-2202-1018-00000055"/>
    <x v="0"/>
    <x v="13"/>
    <d v="2019-12-31T00:00:00"/>
    <x v="0"/>
    <n v="3"/>
    <s v="Animesh Rawat"/>
    <x v="0"/>
    <s v="Global Client Network (GNB Inward)"/>
    <s v="Cross Sell"/>
    <n v="21768.61"/>
    <d v="2019-01-01T00:00:00"/>
    <s v="Brokerage"/>
    <x v="0"/>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Pranav Mishra"/>
    <s v="OG-19-2202-1018-00000055"/>
    <x v="0"/>
    <x v="13"/>
    <d v="2019-12-31T00:00:00"/>
    <x v="0"/>
    <n v="3"/>
    <s v="Animesh Rawat"/>
    <x v="0"/>
    <s v="Global Client Network (GNB Inward)"/>
    <s v="Cross Sell"/>
    <n v="21768.61"/>
    <d v="2019-01-01T00:00:00"/>
    <s v="Brokerage"/>
    <x v="0"/>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Pranav Mishra"/>
    <s v="OG-19-2202-1018-00000055"/>
    <x v="0"/>
    <x v="13"/>
    <d v="2019-12-31T00:00:00"/>
    <x v="0"/>
    <n v="3"/>
    <s v="Animesh Rawat"/>
    <x v="0"/>
    <s v="Global Client Network (GNB Inward)"/>
    <s v="Cross Sell"/>
    <n v="21768.61"/>
    <d v="2019-01-01T00:00:00"/>
    <s v="Brokerage"/>
    <x v="0"/>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Pranav Mishra"/>
    <s v="OG-19-2202-1018-00000055"/>
    <x v="0"/>
    <x v="13"/>
    <d v="2019-12-31T00:00:00"/>
    <x v="0"/>
    <n v="3"/>
    <s v="Animesh Rawat"/>
    <x v="0"/>
    <s v="Global Client Network (GNB Inward)"/>
    <s v="Cross Sell"/>
    <n v="21768.61"/>
    <d v="2019-01-01T00:00:00"/>
    <s v="Brokerage"/>
    <x v="0"/>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Rina Goyal"/>
    <s v="OG-19-2202-3383-00000009"/>
    <x v="0"/>
    <x v="13"/>
    <d v="2019-12-31T00:00:00"/>
    <x v="4"/>
    <n v="3"/>
    <s v="Animesh Rawat"/>
    <x v="0"/>
    <s v="Global Client Network (GNB Inward)"/>
    <s v="Cross Sell"/>
    <n v="12019.2"/>
    <d v="2019-01-01T00:00:00"/>
    <s v="Brokerage"/>
    <x v="0"/>
    <s v="OTHR - Other"/>
    <d v="2020-01-22T00:00:00"/>
    <s v="Other"/>
    <m/>
    <m/>
    <m/>
    <m/>
    <m/>
    <m/>
    <m/>
    <m/>
    <m/>
    <m/>
    <m/>
    <m/>
    <m/>
    <m/>
    <m/>
    <m/>
    <m/>
    <m/>
    <m/>
    <m/>
  </r>
  <r>
    <s v="Geeta Gupta"/>
    <n v="640002371"/>
    <x v="0"/>
    <x v="14"/>
    <d v="2019-03-31T00:00:00"/>
    <x v="2"/>
    <n v="3"/>
    <s v="Animesh Rawat"/>
    <x v="0"/>
    <s v="Global Client Network (GNB Inward)"/>
    <s v="Renewal"/>
    <n v="66937.72"/>
    <d v="2018-04-01T00:00:00"/>
    <s v="Brokerage"/>
    <x v="0"/>
    <s v="OTHR - Other"/>
    <d v="2020-01-22T00:00:00"/>
    <s v="Other"/>
    <m/>
    <m/>
    <m/>
    <m/>
    <m/>
    <m/>
    <m/>
    <m/>
    <m/>
    <m/>
    <m/>
    <m/>
    <m/>
    <m/>
    <m/>
    <m/>
    <m/>
    <m/>
    <m/>
    <m/>
  </r>
  <r>
    <s v="Sudhir Roy"/>
    <s v="0830017443 01"/>
    <x v="0"/>
    <x v="15"/>
    <d v="2019-05-10T00:00:00"/>
    <x v="0"/>
    <n v="3"/>
    <s v="Animesh Rawat"/>
    <x v="0"/>
    <s v="Global Client Network (GNB Inward)"/>
    <s v="Renewal"/>
    <n v="78374.84"/>
    <d v="2018-05-11T00:00:00"/>
    <s v="Brokerage"/>
    <x v="0"/>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Sudhir Roy"/>
    <s v="0830017443 01"/>
    <x v="0"/>
    <x v="15"/>
    <d v="2019-05-10T00:00:00"/>
    <x v="0"/>
    <n v="3"/>
    <s v="Animesh Rawat"/>
    <x v="0"/>
    <s v="Global Client Network (GNB Inward)"/>
    <s v="Renewal"/>
    <n v="78374.84"/>
    <d v="2018-05-11T00:00:00"/>
    <s v="Brokerage"/>
    <x v="0"/>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Sudhir Roy"/>
    <s v="0830017443 01"/>
    <x v="0"/>
    <x v="15"/>
    <d v="2019-05-10T00:00:00"/>
    <x v="0"/>
    <n v="3"/>
    <s v="Animesh Rawat"/>
    <x v="0"/>
    <s v="Global Client Network (GNB Inward)"/>
    <s v="Renewal"/>
    <n v="78374.84"/>
    <d v="2018-05-11T00:00:00"/>
    <s v="Brokerage"/>
    <x v="0"/>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Sudhir Roy"/>
    <s v="0830017443 01"/>
    <x v="0"/>
    <x v="15"/>
    <d v="2019-05-10T00:00:00"/>
    <x v="0"/>
    <n v="3"/>
    <s v="Animesh Rawat"/>
    <x v="0"/>
    <s v="Global Client Network (GNB Inward)"/>
    <s v="Renewal"/>
    <n v="78374.84"/>
    <d v="2018-05-11T00:00:00"/>
    <s v="Brokerage"/>
    <x v="0"/>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Sudhir Roy"/>
    <s v="0830017443 01"/>
    <x v="0"/>
    <x v="15"/>
    <d v="2019-05-10T00:00:00"/>
    <x v="0"/>
    <n v="3"/>
    <s v="Animesh Rawat"/>
    <x v="0"/>
    <s v="Global Client Network (GNB Inward)"/>
    <s v="Renewal"/>
    <n v="78374.84"/>
    <d v="2018-05-11T00:00:00"/>
    <s v="Brokerage"/>
    <x v="0"/>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Sudhir Roy"/>
    <s v="0830017443 01"/>
    <x v="0"/>
    <x v="15"/>
    <d v="2019-05-10T00:00:00"/>
    <x v="0"/>
    <n v="3"/>
    <s v="Animesh Rawat"/>
    <x v="0"/>
    <s v="Global Client Network (GNB Inward)"/>
    <s v="Renewal"/>
    <n v="78374.84"/>
    <d v="2018-05-11T00:00:00"/>
    <s v="Brokerage"/>
    <x v="0"/>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Sudhir Roy"/>
    <s v="0830017443 01"/>
    <x v="0"/>
    <x v="15"/>
    <d v="2019-05-10T00:00:00"/>
    <x v="0"/>
    <n v="3"/>
    <s v="Animesh Rawat"/>
    <x v="0"/>
    <s v="Global Client Network (GNB Inward)"/>
    <s v="Renewal"/>
    <n v="78374.84"/>
    <d v="2018-05-11T00:00:00"/>
    <s v="Brokerage"/>
    <x v="0"/>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Sudhir Roy"/>
    <s v="0830017443 01"/>
    <x v="0"/>
    <x v="15"/>
    <d v="2019-05-10T00:00:00"/>
    <x v="0"/>
    <n v="3"/>
    <s v="Animesh Rawat"/>
    <x v="0"/>
    <s v="Global Client Network (GNB Inward)"/>
    <s v="Renewal"/>
    <n v="78374.84"/>
    <d v="2018-05-11T00:00:00"/>
    <s v="Brokerage"/>
    <x v="0"/>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Rani Kaul"/>
    <s v="180876-0000-00"/>
    <x v="1"/>
    <x v="14"/>
    <d v="2019-03-31T00:00:00"/>
    <x v="3"/>
    <n v="10"/>
    <s v="Mark"/>
    <x v="0"/>
    <s v="Employee Benefits (EB)"/>
    <s v="Renewal"/>
    <n v="60000"/>
    <d v="2018-04-01T00:00:00"/>
    <s v="Brokerage"/>
    <x v="0"/>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Rani Kaul"/>
    <s v="180876-0000-00"/>
    <x v="1"/>
    <x v="14"/>
    <d v="2019-03-31T00:00:00"/>
    <x v="3"/>
    <n v="10"/>
    <s v="Mark"/>
    <x v="0"/>
    <s v="Employee Benefits (EB)"/>
    <s v="Renewal"/>
    <n v="60000"/>
    <d v="2018-04-01T00:00:00"/>
    <s v="Brokerage"/>
    <x v="0"/>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Rani Kaul"/>
    <s v="180876-0000-00"/>
    <x v="1"/>
    <x v="14"/>
    <d v="2019-03-31T00:00:00"/>
    <x v="3"/>
    <n v="10"/>
    <s v="Mark"/>
    <x v="0"/>
    <s v="Employee Benefits (EB)"/>
    <s v="Renewal"/>
    <n v="60000"/>
    <d v="2018-04-01T00:00:00"/>
    <s v="Brokerage"/>
    <x v="0"/>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Rani Kaul"/>
    <s v="180876-0000-00"/>
    <x v="1"/>
    <x v="14"/>
    <d v="2019-03-31T00:00:00"/>
    <x v="3"/>
    <n v="10"/>
    <s v="Mark"/>
    <x v="0"/>
    <s v="Employee Benefits (EB)"/>
    <s v="Renewal"/>
    <n v="60000"/>
    <d v="2018-04-01T00:00:00"/>
    <s v="Brokerage"/>
    <x v="0"/>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Rani Kaul"/>
    <s v="180876-0000-00"/>
    <x v="1"/>
    <x v="14"/>
    <d v="2019-03-31T00:00:00"/>
    <x v="3"/>
    <n v="10"/>
    <s v="Mark"/>
    <x v="0"/>
    <s v="Employee Benefits (EB)"/>
    <s v="Renewal"/>
    <n v="60000"/>
    <d v="2018-04-01T00:00:00"/>
    <s v="Brokerage"/>
    <x v="0"/>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Rani Kaul"/>
    <s v="180876-0000-00"/>
    <x v="1"/>
    <x v="14"/>
    <d v="2019-03-31T00:00:00"/>
    <x v="3"/>
    <n v="10"/>
    <s v="Mark"/>
    <x v="0"/>
    <s v="Employee Benefits (EB)"/>
    <s v="Renewal"/>
    <n v="60000"/>
    <d v="2018-04-01T00:00:00"/>
    <s v="Brokerage"/>
    <x v="0"/>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Rani Kaul"/>
    <s v="180876-0000-00"/>
    <x v="1"/>
    <x v="14"/>
    <d v="2019-03-31T00:00:00"/>
    <x v="3"/>
    <n v="10"/>
    <s v="Mark"/>
    <x v="0"/>
    <s v="Employee Benefits (EB)"/>
    <s v="Renewal"/>
    <n v="60000"/>
    <d v="2018-04-01T00:00:00"/>
    <s v="Brokerage"/>
    <x v="0"/>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Rani Kaul"/>
    <s v="180876-0000-00"/>
    <x v="1"/>
    <x v="14"/>
    <d v="2019-03-31T00:00:00"/>
    <x v="3"/>
    <n v="10"/>
    <s v="Mark"/>
    <x v="0"/>
    <s v="Employee Benefits (EB)"/>
    <s v="Renewal"/>
    <n v="60000"/>
    <d v="2018-04-01T00:00:00"/>
    <s v="Brokerage"/>
    <x v="0"/>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Rani Kaul"/>
    <s v="180876-0000-00"/>
    <x v="1"/>
    <x v="14"/>
    <d v="2019-03-31T00:00:00"/>
    <x v="3"/>
    <n v="10"/>
    <s v="Mark"/>
    <x v="0"/>
    <s v="Employee Benefits (EB)"/>
    <s v="Renewal"/>
    <n v="60000"/>
    <d v="2018-04-01T00:00:00"/>
    <s v="Brokerage"/>
    <x v="0"/>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Rani Kaul"/>
    <s v="180876-0000-00"/>
    <x v="1"/>
    <x v="14"/>
    <d v="2019-03-31T00:00:00"/>
    <x v="3"/>
    <n v="10"/>
    <s v="Mark"/>
    <x v="0"/>
    <s v="Employee Benefits (EB)"/>
    <s v="Renewal"/>
    <n v="60000"/>
    <d v="2018-04-01T00:00:00"/>
    <s v="Brokerage"/>
    <x v="0"/>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Kavita Sharma"/>
    <s v="180876-0000-01"/>
    <x v="0"/>
    <x v="16"/>
    <d v="2020-03-31T00:00:00"/>
    <x v="3"/>
    <n v="10"/>
    <s v="Mark"/>
    <x v="0"/>
    <s v="Employee Benefits (EB)"/>
    <s v="Renewal"/>
    <n v="60000"/>
    <d v="2019-04-01T00:00:00"/>
    <s v="Brokerage"/>
    <x v="1"/>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Kavita Sharma"/>
    <s v="180876-0000-01"/>
    <x v="0"/>
    <x v="16"/>
    <d v="2020-03-31T00:00:00"/>
    <x v="3"/>
    <n v="10"/>
    <s v="Mark"/>
    <x v="0"/>
    <s v="Employee Benefits (EB)"/>
    <s v="Renewal"/>
    <n v="60000"/>
    <d v="2019-04-01T00:00:00"/>
    <s v="Brokerage"/>
    <x v="1"/>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Kavita Sharma"/>
    <s v="180876-0000-01"/>
    <x v="0"/>
    <x v="16"/>
    <d v="2020-03-31T00:00:00"/>
    <x v="3"/>
    <n v="10"/>
    <s v="Mark"/>
    <x v="0"/>
    <s v="Employee Benefits (EB)"/>
    <s v="Renewal"/>
    <n v="60000"/>
    <d v="2019-04-01T00:00:00"/>
    <s v="Brokerage"/>
    <x v="1"/>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Kavita Sharma"/>
    <s v="180876-0000-01"/>
    <x v="0"/>
    <x v="16"/>
    <d v="2020-03-31T00:00:00"/>
    <x v="3"/>
    <n v="10"/>
    <s v="Mark"/>
    <x v="0"/>
    <s v="Employee Benefits (EB)"/>
    <s v="Renewal"/>
    <n v="60000"/>
    <d v="2019-04-01T00:00:00"/>
    <s v="Brokerage"/>
    <x v="1"/>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Kavita Sharma"/>
    <s v="180876-0000-01"/>
    <x v="0"/>
    <x v="16"/>
    <d v="2020-03-31T00:00:00"/>
    <x v="3"/>
    <n v="10"/>
    <s v="Mark"/>
    <x v="0"/>
    <s v="Employee Benefits (EB)"/>
    <s v="Renewal"/>
    <n v="60000"/>
    <d v="2019-04-01T00:00:00"/>
    <s v="Brokerage"/>
    <x v="1"/>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Kavita Sharma"/>
    <s v="180876-0000-01"/>
    <x v="0"/>
    <x v="16"/>
    <d v="2020-03-31T00:00:00"/>
    <x v="3"/>
    <n v="10"/>
    <s v="Mark"/>
    <x v="0"/>
    <s v="Employee Benefits (EB)"/>
    <s v="Renewal"/>
    <n v="60000"/>
    <d v="2019-04-01T00:00:00"/>
    <s v="Brokerage"/>
    <x v="1"/>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Kavita Sharma"/>
    <s v="180876-0000-01"/>
    <x v="0"/>
    <x v="16"/>
    <d v="2020-03-31T00:00:00"/>
    <x v="3"/>
    <n v="10"/>
    <s v="Mark"/>
    <x v="0"/>
    <s v="Employee Benefits (EB)"/>
    <s v="Renewal"/>
    <n v="60000"/>
    <d v="2019-04-01T00:00:00"/>
    <s v="Brokerage"/>
    <x v="1"/>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Kavita Sharma"/>
    <s v="180876-0000-01"/>
    <x v="0"/>
    <x v="16"/>
    <d v="2020-03-31T00:00:00"/>
    <x v="3"/>
    <n v="10"/>
    <s v="Mark"/>
    <x v="0"/>
    <s v="Employee Benefits (EB)"/>
    <s v="Renewal"/>
    <n v="60000"/>
    <d v="2019-04-01T00:00:00"/>
    <s v="Brokerage"/>
    <x v="1"/>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Kavita Sharma"/>
    <s v="180876-0000-01"/>
    <x v="0"/>
    <x v="16"/>
    <d v="2020-03-31T00:00:00"/>
    <x v="3"/>
    <n v="10"/>
    <s v="Mark"/>
    <x v="0"/>
    <s v="Employee Benefits (EB)"/>
    <s v="Renewal"/>
    <n v="60000"/>
    <d v="2019-04-01T00:00:00"/>
    <s v="Brokerage"/>
    <x v="1"/>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Kavita Sharma"/>
    <s v="180876-0000-01"/>
    <x v="0"/>
    <x v="16"/>
    <d v="2020-03-31T00:00:00"/>
    <x v="3"/>
    <n v="10"/>
    <s v="Mark"/>
    <x v="0"/>
    <s v="Employee Benefits (EB)"/>
    <s v="Renewal"/>
    <n v="60000"/>
    <d v="2019-04-01T00:00:00"/>
    <s v="Brokerage"/>
    <x v="1"/>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Shikha Sethi"/>
    <s v="180876-0000-01"/>
    <x v="0"/>
    <x v="16"/>
    <d v="2020-03-31T00:00:00"/>
    <x v="3"/>
    <n v="10"/>
    <s v="Mark"/>
    <x v="0"/>
    <s v="Employee Benefits (EB)"/>
    <s v="Renewal"/>
    <n v="60000"/>
    <d v="2019-04-01T00:00:00"/>
    <s v="Brokerage"/>
    <x v="1"/>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Shikha Sethi"/>
    <s v="180876-0000-01"/>
    <x v="0"/>
    <x v="16"/>
    <d v="2020-03-31T00:00:00"/>
    <x v="3"/>
    <n v="10"/>
    <s v="Mark"/>
    <x v="0"/>
    <s v="Employee Benefits (EB)"/>
    <s v="Renewal"/>
    <n v="60000"/>
    <d v="2019-04-01T00:00:00"/>
    <s v="Brokerage"/>
    <x v="1"/>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Shikha Sethi"/>
    <s v="180876-0000-01"/>
    <x v="0"/>
    <x v="16"/>
    <d v="2020-03-31T00:00:00"/>
    <x v="3"/>
    <n v="10"/>
    <s v="Mark"/>
    <x v="0"/>
    <s v="Employee Benefits (EB)"/>
    <s v="Renewal"/>
    <n v="60000"/>
    <d v="2019-04-01T00:00:00"/>
    <s v="Brokerage"/>
    <x v="1"/>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Shikha Sethi"/>
    <s v="180876-0000-01"/>
    <x v="0"/>
    <x v="16"/>
    <d v="2020-03-31T00:00:00"/>
    <x v="3"/>
    <n v="10"/>
    <s v="Mark"/>
    <x v="0"/>
    <s v="Employee Benefits (EB)"/>
    <s v="Renewal"/>
    <n v="60000"/>
    <d v="2019-04-01T00:00:00"/>
    <s v="Brokerage"/>
    <x v="1"/>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Shikha Sethi"/>
    <s v="180876-0000-01"/>
    <x v="0"/>
    <x v="16"/>
    <d v="2020-03-31T00:00:00"/>
    <x v="3"/>
    <n v="10"/>
    <s v="Mark"/>
    <x v="0"/>
    <s v="Employee Benefits (EB)"/>
    <s v="Renewal"/>
    <n v="60000"/>
    <d v="2019-04-01T00:00:00"/>
    <s v="Brokerage"/>
    <x v="1"/>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Shikha Sethi"/>
    <s v="180876-0000-01"/>
    <x v="0"/>
    <x v="16"/>
    <d v="2020-03-31T00:00:00"/>
    <x v="3"/>
    <n v="10"/>
    <s v="Mark"/>
    <x v="0"/>
    <s v="Employee Benefits (EB)"/>
    <s v="Renewal"/>
    <n v="60000"/>
    <d v="2019-04-01T00:00:00"/>
    <s v="Brokerage"/>
    <x v="1"/>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Shikha Sethi"/>
    <s v="180876-0000-01"/>
    <x v="0"/>
    <x v="16"/>
    <d v="2020-03-31T00:00:00"/>
    <x v="3"/>
    <n v="10"/>
    <s v="Mark"/>
    <x v="0"/>
    <s v="Employee Benefits (EB)"/>
    <s v="Renewal"/>
    <n v="60000"/>
    <d v="2019-04-01T00:00:00"/>
    <s v="Brokerage"/>
    <x v="1"/>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Shikha Sethi"/>
    <s v="180876-0000-01"/>
    <x v="0"/>
    <x v="16"/>
    <d v="2020-03-31T00:00:00"/>
    <x v="3"/>
    <n v="10"/>
    <s v="Mark"/>
    <x v="0"/>
    <s v="Employee Benefits (EB)"/>
    <s v="Renewal"/>
    <n v="60000"/>
    <d v="2019-04-01T00:00:00"/>
    <s v="Brokerage"/>
    <x v="1"/>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Shikha Sethi"/>
    <s v="180876-0000-01"/>
    <x v="0"/>
    <x v="16"/>
    <d v="2020-03-31T00:00:00"/>
    <x v="3"/>
    <n v="10"/>
    <s v="Mark"/>
    <x v="0"/>
    <s v="Employee Benefits (EB)"/>
    <s v="Renewal"/>
    <n v="60000"/>
    <d v="2019-04-01T00:00:00"/>
    <s v="Brokerage"/>
    <x v="1"/>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Shikha Sethi"/>
    <s v="180876-0000-01"/>
    <x v="0"/>
    <x v="16"/>
    <d v="2020-03-31T00:00:00"/>
    <x v="3"/>
    <n v="10"/>
    <s v="Mark"/>
    <x v="0"/>
    <s v="Employee Benefits (EB)"/>
    <s v="Renewal"/>
    <n v="60000"/>
    <d v="2019-04-01T00:00:00"/>
    <s v="Brokerage"/>
    <x v="1"/>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Amit Bhargava"/>
    <n v="2250002346"/>
    <x v="0"/>
    <x v="14"/>
    <d v="2019-03-31T00:00:00"/>
    <x v="2"/>
    <n v="3"/>
    <s v="Animesh Rawat"/>
    <x v="0"/>
    <s v="Global Client Network (GNB Inward)"/>
    <s v="Renewal"/>
    <n v="4715.63"/>
    <d v="2018-04-01T00:00:00"/>
    <s v="Brokerage"/>
    <x v="0"/>
    <s v="OTHR - Other"/>
    <d v="2020-01-22T00:00:00"/>
    <s v="Other"/>
    <m/>
    <m/>
    <m/>
    <m/>
    <m/>
    <m/>
    <m/>
    <m/>
    <m/>
    <m/>
    <m/>
    <m/>
    <m/>
    <m/>
    <m/>
    <m/>
    <m/>
    <m/>
    <m/>
    <m/>
  </r>
  <r>
    <s v="Alka Goel"/>
    <n v="3.1242E+18"/>
    <x v="0"/>
    <x v="14"/>
    <d v="2019-03-31T00:00:00"/>
    <x v="4"/>
    <n v="3"/>
    <s v="Animesh Rawat"/>
    <x v="0"/>
    <s v="Global Client Network (GNB Inward)"/>
    <s v="Renewal"/>
    <n v="22755.25"/>
    <d v="2018-04-01T00:00:00"/>
    <s v="Brokerage"/>
    <x v="0"/>
    <s v="OTHR - Other"/>
    <d v="2020-01-22T00:00:00"/>
    <s v="Other"/>
    <m/>
    <m/>
    <m/>
    <m/>
    <m/>
    <m/>
    <m/>
    <m/>
    <m/>
    <m/>
    <m/>
    <m/>
    <m/>
    <m/>
    <m/>
    <m/>
    <m/>
    <m/>
    <m/>
    <m/>
  </r>
  <r>
    <s v="Harish Sharma"/>
    <s v="P0119200001/9999/100017"/>
    <x v="0"/>
    <x v="14"/>
    <d v="2019-03-31T00:00:00"/>
    <x v="4"/>
    <n v="12"/>
    <s v="Shivani Sharma"/>
    <x v="0"/>
    <s v="Global Client Network (GNB Inward)"/>
    <s v="Renewal"/>
    <n v="26443.63"/>
    <d v="2018-04-01T00:00:00"/>
    <s v="Brokerage"/>
    <x v="0"/>
    <s v="OTHR - Other"/>
    <d v="2020-01-22T00:00:00"/>
    <s v="Other"/>
    <s v="DB- Cyber Liability"/>
    <s v="OPP1900001138"/>
    <s v="Shivani Sharma"/>
    <n v="500000"/>
    <n v="75000"/>
    <d v="2020-05-31T00:00:00"/>
    <s v="Qualify Opportunity"/>
    <s v="Ahmedabad"/>
    <s v="Liability"/>
    <s v="Financial Lines"/>
    <s v="Cyber Liability Insurance"/>
    <m/>
    <m/>
    <s v="Madison Robinson"/>
    <d v="2020-01-21T00:00:00"/>
    <m/>
    <m/>
    <m/>
    <m/>
    <m/>
  </r>
  <r>
    <s v="Harish Sharma"/>
    <s v="P0119200001/9999/100017"/>
    <x v="0"/>
    <x v="14"/>
    <d v="2019-03-31T00:00:00"/>
    <x v="4"/>
    <n v="12"/>
    <s v="Shivani Sharma"/>
    <x v="0"/>
    <s v="Global Client Network (GNB Inward)"/>
    <s v="Renewal"/>
    <n v="26443.63"/>
    <d v="2018-04-01T00:00:00"/>
    <s v="Brokerage"/>
    <x v="0"/>
    <s v="OTHR - Other"/>
    <d v="2020-01-22T00:00:00"/>
    <s v="Other"/>
    <s v="DB- Cyber Liability"/>
    <s v="OPP1900001138"/>
    <s v="Shivani Sharma"/>
    <n v="500000"/>
    <n v="75000"/>
    <d v="2020-05-31T00:00:00"/>
    <s v="Qualify Opportunity"/>
    <s v="Ahmedabad"/>
    <s v="Liability"/>
    <s v="Financial Lines"/>
    <s v="Cyber Liability Insurance"/>
    <m/>
    <m/>
    <s v="David Hall"/>
    <d v="2020-01-21T00:00:00"/>
    <m/>
    <m/>
    <m/>
    <m/>
    <m/>
  </r>
  <r>
    <s v="Harish Sharma"/>
    <s v="P0119200001/9999/100017"/>
    <x v="0"/>
    <x v="14"/>
    <d v="2019-03-31T00:00:00"/>
    <x v="4"/>
    <n v="12"/>
    <s v="Shivani Sharma"/>
    <x v="0"/>
    <s v="Global Client Network (GNB Inward)"/>
    <s v="Renewal"/>
    <n v="26443.63"/>
    <d v="2018-04-01T00:00:00"/>
    <s v="Brokerage"/>
    <x v="0"/>
    <s v="OTHR - Other"/>
    <d v="2020-01-22T00:00:00"/>
    <s v="Other"/>
    <s v="DB- Cyber Liability"/>
    <s v="OPP1900001138"/>
    <s v="Shivani Sharma"/>
    <n v="500000"/>
    <n v="75000"/>
    <d v="2020-05-31T00:00:00"/>
    <s v="Qualify Opportunity"/>
    <s v="Ahmedabad"/>
    <s v="Liability"/>
    <s v="Financial Lines"/>
    <s v="Cyber Liability Insurance"/>
    <m/>
    <m/>
    <s v="Lily Young"/>
    <d v="2020-01-21T00:00:00"/>
    <m/>
    <m/>
    <m/>
    <m/>
    <m/>
  </r>
  <r>
    <s v="Harish Sharma"/>
    <s v="P0119200001/9999/100017"/>
    <x v="0"/>
    <x v="14"/>
    <d v="2019-03-31T00:00:00"/>
    <x v="4"/>
    <n v="12"/>
    <s v="Shivani Sharma"/>
    <x v="0"/>
    <s v="Global Client Network (GNB Inward)"/>
    <s v="Renewal"/>
    <n v="26443.63"/>
    <d v="2018-04-01T00:00:00"/>
    <s v="Brokerage"/>
    <x v="0"/>
    <s v="OTHR - Other"/>
    <d v="2020-01-22T00:00:00"/>
    <s v="Other"/>
    <s v="DB- Cyber Liability"/>
    <s v="OPP1900001138"/>
    <s v="Shivani Sharma"/>
    <n v="500000"/>
    <n v="75000"/>
    <d v="2020-05-31T00:00:00"/>
    <s v="Qualify Opportunity"/>
    <s v="Ahmedabad"/>
    <s v="Liability"/>
    <s v="Financial Lines"/>
    <s v="Cyber Liability Insurance"/>
    <m/>
    <m/>
    <s v="Samuel Allen"/>
    <d v="2020-01-22T00:00:00"/>
    <m/>
    <m/>
    <m/>
    <m/>
    <m/>
  </r>
  <r>
    <s v="Harish Sharma"/>
    <s v="P0119200001/9999/100017"/>
    <x v="0"/>
    <x v="14"/>
    <d v="2019-03-31T00:00:00"/>
    <x v="4"/>
    <n v="12"/>
    <s v="Shivani Sharma"/>
    <x v="0"/>
    <s v="Global Client Network (GNB Inward)"/>
    <s v="Renewal"/>
    <n v="26443.63"/>
    <d v="2018-04-01T00:00:00"/>
    <s v="Brokerage"/>
    <x v="0"/>
    <s v="OTHR - Other"/>
    <d v="2020-01-22T00:00:00"/>
    <s v="Other"/>
    <s v="VS.-D &amp; O"/>
    <s v="OPP1900002104"/>
    <s v="Shivani Sharma"/>
    <n v="0"/>
    <n v="50000"/>
    <d v="2020-03-31T00:00:00"/>
    <s v="Qualify Opportunity"/>
    <s v="Ahmedabad"/>
    <s v="Liability"/>
    <s v="Financial Lines"/>
    <s v="Director &amp;amp; Officers / Management  Liability"/>
    <m/>
    <m/>
    <s v="Madison Robinson"/>
    <d v="2020-01-21T00:00:00"/>
    <m/>
    <m/>
    <m/>
    <m/>
    <m/>
  </r>
  <r>
    <s v="Harish Sharma"/>
    <s v="P0119200001/9999/100017"/>
    <x v="0"/>
    <x v="14"/>
    <d v="2019-03-31T00:00:00"/>
    <x v="4"/>
    <n v="12"/>
    <s v="Shivani Sharma"/>
    <x v="0"/>
    <s v="Global Client Network (GNB Inward)"/>
    <s v="Renewal"/>
    <n v="26443.63"/>
    <d v="2018-04-01T00:00:00"/>
    <s v="Brokerage"/>
    <x v="0"/>
    <s v="OTHR - Other"/>
    <d v="2020-01-22T00:00:00"/>
    <s v="Other"/>
    <s v="VS.-D &amp; O"/>
    <s v="OPP1900002104"/>
    <s v="Shivani Sharma"/>
    <n v="0"/>
    <n v="50000"/>
    <d v="2020-03-31T00:00:00"/>
    <s v="Qualify Opportunity"/>
    <s v="Ahmedabad"/>
    <s v="Liability"/>
    <s v="Financial Lines"/>
    <s v="Director &amp;amp; Officers / Management  Liability"/>
    <m/>
    <m/>
    <s v="David Hall"/>
    <d v="2020-01-21T00:00:00"/>
    <m/>
    <m/>
    <m/>
    <m/>
    <m/>
  </r>
  <r>
    <s v="Harish Sharma"/>
    <s v="P0119200001/9999/100017"/>
    <x v="0"/>
    <x v="14"/>
    <d v="2019-03-31T00:00:00"/>
    <x v="4"/>
    <n v="12"/>
    <s v="Shivani Sharma"/>
    <x v="0"/>
    <s v="Global Client Network (GNB Inward)"/>
    <s v="Renewal"/>
    <n v="26443.63"/>
    <d v="2018-04-01T00:00:00"/>
    <s v="Brokerage"/>
    <x v="0"/>
    <s v="OTHR - Other"/>
    <d v="2020-01-22T00:00:00"/>
    <s v="Other"/>
    <s v="VS.-D &amp; O"/>
    <s v="OPP1900002104"/>
    <s v="Shivani Sharma"/>
    <n v="0"/>
    <n v="50000"/>
    <d v="2020-03-31T00:00:00"/>
    <s v="Qualify Opportunity"/>
    <s v="Ahmedabad"/>
    <s v="Liability"/>
    <s v="Financial Lines"/>
    <s v="Director &amp;amp; Officers / Management  Liability"/>
    <m/>
    <m/>
    <s v="Lily Young"/>
    <d v="2020-01-21T00:00:00"/>
    <m/>
    <m/>
    <m/>
    <m/>
    <m/>
  </r>
  <r>
    <s v="Harish Sharma"/>
    <s v="P0119200001/9999/100017"/>
    <x v="0"/>
    <x v="14"/>
    <d v="2019-03-31T00:00:00"/>
    <x v="4"/>
    <n v="12"/>
    <s v="Shivani Sharma"/>
    <x v="0"/>
    <s v="Global Client Network (GNB Inward)"/>
    <s v="Renewal"/>
    <n v="26443.63"/>
    <d v="2018-04-01T00:00:00"/>
    <s v="Brokerage"/>
    <x v="0"/>
    <s v="OTHR - Other"/>
    <d v="2020-01-22T00:00:00"/>
    <s v="Other"/>
    <s v="VS.-D &amp; O"/>
    <s v="OPP1900002104"/>
    <s v="Shivani Sharma"/>
    <n v="0"/>
    <n v="50000"/>
    <d v="2020-03-31T00:00:00"/>
    <s v="Qualify Opportunity"/>
    <s v="Ahmedabad"/>
    <s v="Liability"/>
    <s v="Financial Lines"/>
    <s v="Director &amp;amp; Officers / Management  Liability"/>
    <m/>
    <m/>
    <s v="Samuel Allen"/>
    <d v="2020-01-22T00:00:00"/>
    <m/>
    <m/>
    <m/>
    <m/>
    <m/>
  </r>
  <r>
    <s v="Gaurav Goel"/>
    <s v="0865078325 00"/>
    <x v="1"/>
    <x v="17"/>
    <d v="2019-04-05T00:00:00"/>
    <x v="0"/>
    <n v="1"/>
    <s v="Vinay"/>
    <x v="0"/>
    <s v="Marine"/>
    <s v="Renewal"/>
    <n v="49499.839999999997"/>
    <d v="2018-04-06T00:00:00"/>
    <s v="Brokerage"/>
    <x v="2"/>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Gaurav Goel"/>
    <s v="0865078325 00"/>
    <x v="1"/>
    <x v="17"/>
    <d v="2019-04-05T00:00:00"/>
    <x v="0"/>
    <n v="1"/>
    <s v="Vinay"/>
    <x v="0"/>
    <s v="Marine"/>
    <s v="Renewal"/>
    <n v="49499.839999999997"/>
    <d v="2018-04-06T00:00:00"/>
    <s v="Brokerage"/>
    <x v="2"/>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Gaurav Goel"/>
    <s v="0865078325 00"/>
    <x v="1"/>
    <x v="17"/>
    <d v="2019-04-05T00:00:00"/>
    <x v="0"/>
    <n v="1"/>
    <s v="Vinay"/>
    <x v="0"/>
    <s v="Marine"/>
    <s v="Renewal"/>
    <n v="49499.839999999997"/>
    <d v="2018-04-06T00:00:00"/>
    <s v="Brokerage"/>
    <x v="2"/>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Gaurav Goel"/>
    <s v="0865078325 00"/>
    <x v="1"/>
    <x v="17"/>
    <d v="2019-04-05T00:00:00"/>
    <x v="0"/>
    <n v="1"/>
    <s v="Vinay"/>
    <x v="0"/>
    <s v="Marine"/>
    <s v="Renewal"/>
    <n v="49499.839999999997"/>
    <d v="2018-04-06T00:00:00"/>
    <s v="Brokerage"/>
    <x v="2"/>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Gaurav Goel"/>
    <s v="0865078325 00"/>
    <x v="1"/>
    <x v="17"/>
    <d v="2019-04-05T00:00:00"/>
    <x v="0"/>
    <n v="1"/>
    <s v="Vinay"/>
    <x v="0"/>
    <s v="Marine"/>
    <s v="Renewal"/>
    <n v="49499.839999999997"/>
    <d v="2018-04-06T00:00:00"/>
    <s v="Brokerage"/>
    <x v="2"/>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Gaurav Goel"/>
    <s v="0865078325 00"/>
    <x v="1"/>
    <x v="17"/>
    <d v="2019-04-05T00:00:00"/>
    <x v="0"/>
    <n v="1"/>
    <s v="Vinay"/>
    <x v="0"/>
    <s v="Marine"/>
    <s v="Renewal"/>
    <n v="49499.839999999997"/>
    <d v="2018-04-06T00:00:00"/>
    <s v="Brokerage"/>
    <x v="2"/>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Gaurav Goel"/>
    <s v="0865078325 00"/>
    <x v="1"/>
    <x v="17"/>
    <d v="2019-04-05T00:00:00"/>
    <x v="0"/>
    <n v="1"/>
    <s v="Vinay"/>
    <x v="0"/>
    <s v="Marine"/>
    <s v="Renewal"/>
    <n v="49499.839999999997"/>
    <d v="2018-04-06T00:00:00"/>
    <s v="Brokerage"/>
    <x v="2"/>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Gaurav Goel"/>
    <s v="0865078325 00"/>
    <x v="1"/>
    <x v="17"/>
    <d v="2019-04-05T00:00:00"/>
    <x v="0"/>
    <n v="1"/>
    <s v="Vinay"/>
    <x v="0"/>
    <s v="Marine"/>
    <s v="Renewal"/>
    <n v="49499.839999999997"/>
    <d v="2018-04-06T00:00:00"/>
    <s v="Brokerage"/>
    <x v="2"/>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Gaurav Goel"/>
    <s v="0865078325 00"/>
    <x v="1"/>
    <x v="17"/>
    <d v="2019-04-05T00:00:00"/>
    <x v="0"/>
    <n v="1"/>
    <s v="Vinay"/>
    <x v="0"/>
    <s v="Marine"/>
    <s v="Renewal"/>
    <n v="49499.839999999997"/>
    <d v="2018-04-06T00:00:00"/>
    <s v="Brokerage"/>
    <x v="2"/>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Gaurav Goel"/>
    <s v="0865078325 00"/>
    <x v="1"/>
    <x v="17"/>
    <d v="2019-04-05T00:00:00"/>
    <x v="0"/>
    <n v="1"/>
    <s v="Vinay"/>
    <x v="0"/>
    <s v="Marine"/>
    <s v="Renewal"/>
    <n v="49499.839999999997"/>
    <d v="2018-04-06T00:00:00"/>
    <s v="Brokerage"/>
    <x v="2"/>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Gaurav Goel"/>
    <s v="0865078325 00"/>
    <x v="1"/>
    <x v="17"/>
    <d v="2019-04-05T00:00:00"/>
    <x v="0"/>
    <n v="1"/>
    <s v="Vinay"/>
    <x v="0"/>
    <s v="Marine"/>
    <s v="Renewal"/>
    <n v="49499.839999999997"/>
    <d v="2018-04-06T00:00:00"/>
    <s v="Brokerage"/>
    <x v="2"/>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Gaurav Goel"/>
    <s v="0865078325 00"/>
    <x v="1"/>
    <x v="17"/>
    <d v="2019-04-05T00:00:00"/>
    <x v="0"/>
    <n v="1"/>
    <s v="Vinay"/>
    <x v="0"/>
    <s v="Marine"/>
    <s v="Renewal"/>
    <n v="49499.839999999997"/>
    <d v="2018-04-06T00:00:00"/>
    <s v="Brokerage"/>
    <x v="2"/>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Gaurav Goel"/>
    <s v="0865078325 00"/>
    <x v="1"/>
    <x v="17"/>
    <d v="2019-04-05T00:00:00"/>
    <x v="0"/>
    <n v="1"/>
    <s v="Vinay"/>
    <x v="0"/>
    <s v="Marine"/>
    <s v="Renewal"/>
    <n v="49499.839999999997"/>
    <d v="2018-04-06T00:00:00"/>
    <s v="Brokerage"/>
    <x v="2"/>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Gaurav Goel"/>
    <s v="0865078325 00"/>
    <x v="1"/>
    <x v="17"/>
    <d v="2019-04-05T00:00:00"/>
    <x v="0"/>
    <n v="1"/>
    <s v="Vinay"/>
    <x v="0"/>
    <s v="Marine"/>
    <s v="Renewal"/>
    <n v="49499.839999999997"/>
    <d v="2018-04-06T00:00:00"/>
    <s v="Brokerage"/>
    <x v="2"/>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Gaurav Goel"/>
    <s v="0865078325 00"/>
    <x v="1"/>
    <x v="17"/>
    <d v="2019-04-05T00:00:00"/>
    <x v="0"/>
    <n v="1"/>
    <s v="Vinay"/>
    <x v="0"/>
    <s v="Marine"/>
    <s v="Renewal"/>
    <n v="49499.839999999997"/>
    <d v="2018-04-06T00:00:00"/>
    <s v="Brokerage"/>
    <x v="2"/>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Gaurav Goel"/>
    <s v="0865078325 00"/>
    <x v="1"/>
    <x v="17"/>
    <d v="2019-04-05T00:00:00"/>
    <x v="0"/>
    <n v="1"/>
    <s v="Vinay"/>
    <x v="0"/>
    <s v="Marine"/>
    <s v="Renewal"/>
    <n v="49499.839999999997"/>
    <d v="2018-04-06T00:00:00"/>
    <s v="Brokerage"/>
    <x v="2"/>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Gaurav Goel"/>
    <s v="0865078325 00"/>
    <x v="1"/>
    <x v="17"/>
    <d v="2019-04-05T00:00:00"/>
    <x v="0"/>
    <n v="1"/>
    <s v="Vinay"/>
    <x v="0"/>
    <s v="Marine"/>
    <s v="Renewal"/>
    <n v="49499.839999999997"/>
    <d v="2018-04-06T00:00:00"/>
    <s v="Brokerage"/>
    <x v="2"/>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Gaurav Goel"/>
    <s v="0865078325 00"/>
    <x v="1"/>
    <x v="17"/>
    <d v="2019-04-05T00:00:00"/>
    <x v="0"/>
    <n v="1"/>
    <s v="Vinay"/>
    <x v="0"/>
    <s v="Marine"/>
    <s v="Renewal"/>
    <n v="49499.839999999997"/>
    <d v="2018-04-06T00:00:00"/>
    <s v="Brokerage"/>
    <x v="2"/>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Gaurav Goel"/>
    <s v="0865078325 00"/>
    <x v="1"/>
    <x v="17"/>
    <d v="2019-04-05T00:00:00"/>
    <x v="0"/>
    <n v="1"/>
    <s v="Vinay"/>
    <x v="0"/>
    <s v="Marine"/>
    <s v="Renewal"/>
    <n v="49499.839999999997"/>
    <d v="2018-04-06T00:00:00"/>
    <s v="Brokerage"/>
    <x v="2"/>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Gaurav Goel"/>
    <s v="0865078325 00"/>
    <x v="1"/>
    <x v="17"/>
    <d v="2019-04-05T00:00:00"/>
    <x v="0"/>
    <n v="1"/>
    <s v="Vinay"/>
    <x v="0"/>
    <s v="Marine"/>
    <s v="Renewal"/>
    <n v="49499.839999999997"/>
    <d v="2018-04-06T00:00:00"/>
    <s v="Brokerage"/>
    <x v="2"/>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Ravi Naik"/>
    <s v="0865078325 00"/>
    <x v="1"/>
    <x v="17"/>
    <d v="2019-04-05T00:00:00"/>
    <x v="0"/>
    <n v="1"/>
    <s v="Vinay"/>
    <x v="0"/>
    <s v="Marine"/>
    <s v="Renewal"/>
    <n v="13134.29"/>
    <d v="2018-10-11T00:00:00"/>
    <s v="Brokerage "/>
    <x v="2"/>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Ravi Naik"/>
    <s v="0865078325 00"/>
    <x v="1"/>
    <x v="17"/>
    <d v="2019-04-05T00:00:00"/>
    <x v="0"/>
    <n v="1"/>
    <s v="Vinay"/>
    <x v="0"/>
    <s v="Marine"/>
    <s v="Renewal"/>
    <n v="13134.29"/>
    <d v="2018-10-11T00:00:00"/>
    <s v="Brokerage "/>
    <x v="2"/>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Ravi Naik"/>
    <s v="0865078325 00"/>
    <x v="1"/>
    <x v="17"/>
    <d v="2019-04-05T00:00:00"/>
    <x v="0"/>
    <n v="1"/>
    <s v="Vinay"/>
    <x v="0"/>
    <s v="Marine"/>
    <s v="Renewal"/>
    <n v="13134.29"/>
    <d v="2018-10-11T00:00:00"/>
    <s v="Brokerage "/>
    <x v="2"/>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Ravi Naik"/>
    <s v="0865078325 00"/>
    <x v="1"/>
    <x v="17"/>
    <d v="2019-04-05T00:00:00"/>
    <x v="0"/>
    <n v="1"/>
    <s v="Vinay"/>
    <x v="0"/>
    <s v="Marine"/>
    <s v="Renewal"/>
    <n v="13134.29"/>
    <d v="2018-10-11T00:00:00"/>
    <s v="Brokerage "/>
    <x v="2"/>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Ravi Naik"/>
    <s v="0865078325 00"/>
    <x v="1"/>
    <x v="17"/>
    <d v="2019-04-05T00:00:00"/>
    <x v="0"/>
    <n v="1"/>
    <s v="Vinay"/>
    <x v="0"/>
    <s v="Marine"/>
    <s v="Renewal"/>
    <n v="13134.29"/>
    <d v="2018-10-11T00:00:00"/>
    <s v="Brokerage "/>
    <x v="2"/>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Ravi Naik"/>
    <s v="0865078325 00"/>
    <x v="1"/>
    <x v="17"/>
    <d v="2019-04-05T00:00:00"/>
    <x v="0"/>
    <n v="1"/>
    <s v="Vinay"/>
    <x v="0"/>
    <s v="Marine"/>
    <s v="Renewal"/>
    <n v="13134.29"/>
    <d v="2018-10-11T00:00:00"/>
    <s v="Brokerage "/>
    <x v="2"/>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Ravi Naik"/>
    <s v="0865078325 00"/>
    <x v="1"/>
    <x v="17"/>
    <d v="2019-04-05T00:00:00"/>
    <x v="0"/>
    <n v="1"/>
    <s v="Vinay"/>
    <x v="0"/>
    <s v="Marine"/>
    <s v="Renewal"/>
    <n v="13134.29"/>
    <d v="2018-10-11T00:00:00"/>
    <s v="Brokerage "/>
    <x v="2"/>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Ravi Naik"/>
    <s v="0865078325 00"/>
    <x v="1"/>
    <x v="17"/>
    <d v="2019-04-05T00:00:00"/>
    <x v="0"/>
    <n v="1"/>
    <s v="Vinay"/>
    <x v="0"/>
    <s v="Marine"/>
    <s v="Renewal"/>
    <n v="13134.29"/>
    <d v="2018-10-11T00:00:00"/>
    <s v="Brokerage "/>
    <x v="2"/>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Ravi Naik"/>
    <s v="0865078325 00"/>
    <x v="1"/>
    <x v="17"/>
    <d v="2019-04-05T00:00:00"/>
    <x v="0"/>
    <n v="1"/>
    <s v="Vinay"/>
    <x v="0"/>
    <s v="Marine"/>
    <s v="Renewal"/>
    <n v="13134.29"/>
    <d v="2018-10-11T00:00:00"/>
    <s v="Brokerage "/>
    <x v="2"/>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Ravi Naik"/>
    <s v="0865078325 00"/>
    <x v="1"/>
    <x v="17"/>
    <d v="2019-04-05T00:00:00"/>
    <x v="0"/>
    <n v="1"/>
    <s v="Vinay"/>
    <x v="0"/>
    <s v="Marine"/>
    <s v="Renewal"/>
    <n v="13134.29"/>
    <d v="2018-10-11T00:00:00"/>
    <s v="Brokerage "/>
    <x v="2"/>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Ravi Naik"/>
    <s v="0865078325 00"/>
    <x v="1"/>
    <x v="17"/>
    <d v="2019-04-05T00:00:00"/>
    <x v="0"/>
    <n v="1"/>
    <s v="Vinay"/>
    <x v="0"/>
    <s v="Marine"/>
    <s v="Renewal"/>
    <n v="13134.29"/>
    <d v="2018-10-11T00:00:00"/>
    <s v="Brokerage "/>
    <x v="2"/>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Ravi Naik"/>
    <s v="0865078325 00"/>
    <x v="1"/>
    <x v="17"/>
    <d v="2019-04-05T00:00:00"/>
    <x v="0"/>
    <n v="1"/>
    <s v="Vinay"/>
    <x v="0"/>
    <s v="Marine"/>
    <s v="Renewal"/>
    <n v="13134.29"/>
    <d v="2018-10-11T00:00:00"/>
    <s v="Brokerage "/>
    <x v="2"/>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Ravi Naik"/>
    <s v="0865078325 00"/>
    <x v="1"/>
    <x v="17"/>
    <d v="2019-04-05T00:00:00"/>
    <x v="0"/>
    <n v="1"/>
    <s v="Vinay"/>
    <x v="0"/>
    <s v="Marine"/>
    <s v="Renewal"/>
    <n v="13134.29"/>
    <d v="2018-10-11T00:00:00"/>
    <s v="Brokerage "/>
    <x v="2"/>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Ravi Naik"/>
    <s v="0865078325 00"/>
    <x v="1"/>
    <x v="17"/>
    <d v="2019-04-05T00:00:00"/>
    <x v="0"/>
    <n v="1"/>
    <s v="Vinay"/>
    <x v="0"/>
    <s v="Marine"/>
    <s v="Renewal"/>
    <n v="13134.29"/>
    <d v="2018-10-11T00:00:00"/>
    <s v="Brokerage "/>
    <x v="2"/>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Ravi Naik"/>
    <s v="0865078325 00"/>
    <x v="1"/>
    <x v="17"/>
    <d v="2019-04-05T00:00:00"/>
    <x v="0"/>
    <n v="1"/>
    <s v="Vinay"/>
    <x v="0"/>
    <s v="Marine"/>
    <s v="Renewal"/>
    <n v="13134.29"/>
    <d v="2018-10-11T00:00:00"/>
    <s v="Brokerage "/>
    <x v="2"/>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Ravi Naik"/>
    <s v="0865078325 00"/>
    <x v="1"/>
    <x v="17"/>
    <d v="2019-04-05T00:00:00"/>
    <x v="0"/>
    <n v="1"/>
    <s v="Vinay"/>
    <x v="0"/>
    <s v="Marine"/>
    <s v="Renewal"/>
    <n v="13134.29"/>
    <d v="2018-10-11T00:00:00"/>
    <s v="Brokerage "/>
    <x v="2"/>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Ravi Naik"/>
    <s v="0865078325 00"/>
    <x v="1"/>
    <x v="17"/>
    <d v="2019-04-05T00:00:00"/>
    <x v="0"/>
    <n v="1"/>
    <s v="Vinay"/>
    <x v="0"/>
    <s v="Marine"/>
    <s v="Renewal"/>
    <n v="13134.29"/>
    <d v="2018-10-11T00:00:00"/>
    <s v="Brokerage "/>
    <x v="2"/>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Ravi Naik"/>
    <s v="0865078325 00"/>
    <x v="1"/>
    <x v="17"/>
    <d v="2019-04-05T00:00:00"/>
    <x v="0"/>
    <n v="1"/>
    <s v="Vinay"/>
    <x v="0"/>
    <s v="Marine"/>
    <s v="Renewal"/>
    <n v="13134.29"/>
    <d v="2018-10-11T00:00:00"/>
    <s v="Brokerage "/>
    <x v="2"/>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Ravi Naik"/>
    <s v="0865078325 00"/>
    <x v="1"/>
    <x v="17"/>
    <d v="2019-04-05T00:00:00"/>
    <x v="0"/>
    <n v="1"/>
    <s v="Vinay"/>
    <x v="0"/>
    <s v="Marine"/>
    <s v="Renewal"/>
    <n v="13134.29"/>
    <d v="2018-10-11T00:00:00"/>
    <s v="Brokerage "/>
    <x v="2"/>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Ravi Naik"/>
    <s v="0865078325 00"/>
    <x v="1"/>
    <x v="17"/>
    <d v="2019-04-05T00:00:00"/>
    <x v="0"/>
    <n v="1"/>
    <s v="Vinay"/>
    <x v="0"/>
    <s v="Marine"/>
    <s v="Renewal"/>
    <n v="13134.29"/>
    <d v="2018-10-11T00:00:00"/>
    <s v="Brokerage "/>
    <x v="2"/>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Kamlesh Prasad"/>
    <s v="0865078325 00"/>
    <x v="1"/>
    <x v="17"/>
    <d v="2019-04-05T00:00:00"/>
    <x v="0"/>
    <n v="1"/>
    <s v="Vinay"/>
    <x v="0"/>
    <s v="Marine"/>
    <s v="Renewal"/>
    <n v="16500"/>
    <d v="2019-01-17T00:00:00"/>
    <s v="Brokerage "/>
    <x v="2"/>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Kamlesh Prasad"/>
    <s v="0865078325 00"/>
    <x v="1"/>
    <x v="17"/>
    <d v="2019-04-05T00:00:00"/>
    <x v="0"/>
    <n v="1"/>
    <s v="Vinay"/>
    <x v="0"/>
    <s v="Marine"/>
    <s v="Renewal"/>
    <n v="16500"/>
    <d v="2019-01-17T00:00:00"/>
    <s v="Brokerage "/>
    <x v="2"/>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Kamlesh Prasad"/>
    <s v="0865078325 00"/>
    <x v="1"/>
    <x v="17"/>
    <d v="2019-04-05T00:00:00"/>
    <x v="0"/>
    <n v="1"/>
    <s v="Vinay"/>
    <x v="0"/>
    <s v="Marine"/>
    <s v="Renewal"/>
    <n v="16500"/>
    <d v="2019-01-17T00:00:00"/>
    <s v="Brokerage "/>
    <x v="2"/>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Kamlesh Prasad"/>
    <s v="0865078325 00"/>
    <x v="1"/>
    <x v="17"/>
    <d v="2019-04-05T00:00:00"/>
    <x v="0"/>
    <n v="1"/>
    <s v="Vinay"/>
    <x v="0"/>
    <s v="Marine"/>
    <s v="Renewal"/>
    <n v="16500"/>
    <d v="2019-01-17T00:00:00"/>
    <s v="Brokerage "/>
    <x v="2"/>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Kamlesh Prasad"/>
    <s v="0865078325 00"/>
    <x v="1"/>
    <x v="17"/>
    <d v="2019-04-05T00:00:00"/>
    <x v="0"/>
    <n v="1"/>
    <s v="Vinay"/>
    <x v="0"/>
    <s v="Marine"/>
    <s v="Renewal"/>
    <n v="16500"/>
    <d v="2019-01-17T00:00:00"/>
    <s v="Brokerage "/>
    <x v="2"/>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Kamlesh Prasad"/>
    <s v="0865078325 00"/>
    <x v="1"/>
    <x v="17"/>
    <d v="2019-04-05T00:00:00"/>
    <x v="0"/>
    <n v="1"/>
    <s v="Vinay"/>
    <x v="0"/>
    <s v="Marine"/>
    <s v="Renewal"/>
    <n v="16500"/>
    <d v="2019-01-17T00:00:00"/>
    <s v="Brokerage "/>
    <x v="2"/>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Kamlesh Prasad"/>
    <s v="0865078325 00"/>
    <x v="1"/>
    <x v="17"/>
    <d v="2019-04-05T00:00:00"/>
    <x v="0"/>
    <n v="1"/>
    <s v="Vinay"/>
    <x v="0"/>
    <s v="Marine"/>
    <s v="Renewal"/>
    <n v="16500"/>
    <d v="2019-01-17T00:00:00"/>
    <s v="Brokerage "/>
    <x v="2"/>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Kamlesh Prasad"/>
    <s v="0865078325 00"/>
    <x v="1"/>
    <x v="17"/>
    <d v="2019-04-05T00:00:00"/>
    <x v="0"/>
    <n v="1"/>
    <s v="Vinay"/>
    <x v="0"/>
    <s v="Marine"/>
    <s v="Renewal"/>
    <n v="16500"/>
    <d v="2019-01-17T00:00:00"/>
    <s v="Brokerage "/>
    <x v="2"/>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Kamlesh Prasad"/>
    <s v="0865078325 00"/>
    <x v="1"/>
    <x v="17"/>
    <d v="2019-04-05T00:00:00"/>
    <x v="0"/>
    <n v="1"/>
    <s v="Vinay"/>
    <x v="0"/>
    <s v="Marine"/>
    <s v="Renewal"/>
    <n v="16500"/>
    <d v="2019-01-17T00:00:00"/>
    <s v="Brokerage "/>
    <x v="2"/>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Kamlesh Prasad"/>
    <s v="0865078325 00"/>
    <x v="1"/>
    <x v="17"/>
    <d v="2019-04-05T00:00:00"/>
    <x v="0"/>
    <n v="1"/>
    <s v="Vinay"/>
    <x v="0"/>
    <s v="Marine"/>
    <s v="Renewal"/>
    <n v="16500"/>
    <d v="2019-01-17T00:00:00"/>
    <s v="Brokerage "/>
    <x v="2"/>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Kamlesh Prasad"/>
    <s v="0865078325 00"/>
    <x v="1"/>
    <x v="17"/>
    <d v="2019-04-05T00:00:00"/>
    <x v="0"/>
    <n v="1"/>
    <s v="Vinay"/>
    <x v="0"/>
    <s v="Marine"/>
    <s v="Renewal"/>
    <n v="16500"/>
    <d v="2019-01-17T00:00:00"/>
    <s v="Brokerage "/>
    <x v="2"/>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Kamlesh Prasad"/>
    <s v="0865078325 00"/>
    <x v="1"/>
    <x v="17"/>
    <d v="2019-04-05T00:00:00"/>
    <x v="0"/>
    <n v="1"/>
    <s v="Vinay"/>
    <x v="0"/>
    <s v="Marine"/>
    <s v="Renewal"/>
    <n v="16500"/>
    <d v="2019-01-17T00:00:00"/>
    <s v="Brokerage "/>
    <x v="2"/>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Kamlesh Prasad"/>
    <s v="0865078325 00"/>
    <x v="1"/>
    <x v="17"/>
    <d v="2019-04-05T00:00:00"/>
    <x v="0"/>
    <n v="1"/>
    <s v="Vinay"/>
    <x v="0"/>
    <s v="Marine"/>
    <s v="Renewal"/>
    <n v="16500"/>
    <d v="2019-01-17T00:00:00"/>
    <s v="Brokerage "/>
    <x v="2"/>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Kamlesh Prasad"/>
    <s v="0865078325 00"/>
    <x v="1"/>
    <x v="17"/>
    <d v="2019-04-05T00:00:00"/>
    <x v="0"/>
    <n v="1"/>
    <s v="Vinay"/>
    <x v="0"/>
    <s v="Marine"/>
    <s v="Renewal"/>
    <n v="16500"/>
    <d v="2019-01-17T00:00:00"/>
    <s v="Brokerage "/>
    <x v="2"/>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Kamlesh Prasad"/>
    <s v="0865078325 00"/>
    <x v="1"/>
    <x v="17"/>
    <d v="2019-04-05T00:00:00"/>
    <x v="0"/>
    <n v="1"/>
    <s v="Vinay"/>
    <x v="0"/>
    <s v="Marine"/>
    <s v="Renewal"/>
    <n v="16500"/>
    <d v="2019-01-17T00:00:00"/>
    <s v="Brokerage "/>
    <x v="2"/>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Kamlesh Prasad"/>
    <s v="0865078325 00"/>
    <x v="1"/>
    <x v="17"/>
    <d v="2019-04-05T00:00:00"/>
    <x v="0"/>
    <n v="1"/>
    <s v="Vinay"/>
    <x v="0"/>
    <s v="Marine"/>
    <s v="Renewal"/>
    <n v="16500"/>
    <d v="2019-01-17T00:00:00"/>
    <s v="Brokerage "/>
    <x v="2"/>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Kamlesh Prasad"/>
    <s v="0865078325 00"/>
    <x v="1"/>
    <x v="17"/>
    <d v="2019-04-05T00:00:00"/>
    <x v="0"/>
    <n v="1"/>
    <s v="Vinay"/>
    <x v="0"/>
    <s v="Marine"/>
    <s v="Renewal"/>
    <n v="16500"/>
    <d v="2019-01-17T00:00:00"/>
    <s v="Brokerage "/>
    <x v="2"/>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Kamlesh Prasad"/>
    <s v="0865078325 00"/>
    <x v="1"/>
    <x v="17"/>
    <d v="2019-04-05T00:00:00"/>
    <x v="0"/>
    <n v="1"/>
    <s v="Vinay"/>
    <x v="0"/>
    <s v="Marine"/>
    <s v="Renewal"/>
    <n v="16500"/>
    <d v="2019-01-17T00:00:00"/>
    <s v="Brokerage "/>
    <x v="2"/>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Kamlesh Prasad"/>
    <s v="0865078325 00"/>
    <x v="1"/>
    <x v="17"/>
    <d v="2019-04-05T00:00:00"/>
    <x v="0"/>
    <n v="1"/>
    <s v="Vinay"/>
    <x v="0"/>
    <s v="Marine"/>
    <s v="Renewal"/>
    <n v="16500"/>
    <d v="2019-01-17T00:00:00"/>
    <s v="Brokerage "/>
    <x v="2"/>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Kamlesh Prasad"/>
    <s v="0865078325 00"/>
    <x v="1"/>
    <x v="17"/>
    <d v="2019-04-05T00:00:00"/>
    <x v="0"/>
    <n v="1"/>
    <s v="Vinay"/>
    <x v="0"/>
    <s v="Marine"/>
    <s v="Renewal"/>
    <n v="16500"/>
    <d v="2019-01-17T00:00:00"/>
    <s v="Brokerage "/>
    <x v="2"/>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Nikhil Verma"/>
    <s v="'0865078325 01"/>
    <x v="0"/>
    <x v="18"/>
    <d v="2020-04-05T00:00:00"/>
    <x v="0"/>
    <n v="1"/>
    <s v="Vinay"/>
    <x v="0"/>
    <s v="Marine"/>
    <s v="Renewal"/>
    <n v="26400"/>
    <d v="2019-04-06T00:00:00"/>
    <s v="Brokerage"/>
    <x v="1"/>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Nikhil Verma"/>
    <s v="'0865078325 01"/>
    <x v="0"/>
    <x v="18"/>
    <d v="2020-04-05T00:00:00"/>
    <x v="0"/>
    <n v="1"/>
    <s v="Vinay"/>
    <x v="0"/>
    <s v="Marine"/>
    <s v="Renewal"/>
    <n v="26400"/>
    <d v="2019-04-06T00:00:00"/>
    <s v="Brokerage"/>
    <x v="1"/>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Nikhil Verma"/>
    <s v="'0865078325 01"/>
    <x v="0"/>
    <x v="18"/>
    <d v="2020-04-05T00:00:00"/>
    <x v="0"/>
    <n v="1"/>
    <s v="Vinay"/>
    <x v="0"/>
    <s v="Marine"/>
    <s v="Renewal"/>
    <n v="26400"/>
    <d v="2019-04-06T00:00:00"/>
    <s v="Brokerage"/>
    <x v="1"/>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Nikhil Verma"/>
    <s v="'0865078325 01"/>
    <x v="0"/>
    <x v="18"/>
    <d v="2020-04-05T00:00:00"/>
    <x v="0"/>
    <n v="1"/>
    <s v="Vinay"/>
    <x v="0"/>
    <s v="Marine"/>
    <s v="Renewal"/>
    <n v="26400"/>
    <d v="2019-04-06T00:00:00"/>
    <s v="Brokerage"/>
    <x v="1"/>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Nikhil Verma"/>
    <s v="'0865078325 01"/>
    <x v="0"/>
    <x v="18"/>
    <d v="2020-04-05T00:00:00"/>
    <x v="0"/>
    <n v="1"/>
    <s v="Vinay"/>
    <x v="0"/>
    <s v="Marine"/>
    <s v="Renewal"/>
    <n v="26400"/>
    <d v="2019-04-06T00:00:00"/>
    <s v="Brokerage"/>
    <x v="1"/>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Nikhil Verma"/>
    <s v="'0865078325 01"/>
    <x v="0"/>
    <x v="18"/>
    <d v="2020-04-05T00:00:00"/>
    <x v="0"/>
    <n v="1"/>
    <s v="Vinay"/>
    <x v="0"/>
    <s v="Marine"/>
    <s v="Renewal"/>
    <n v="26400"/>
    <d v="2019-04-06T00:00:00"/>
    <s v="Brokerage"/>
    <x v="1"/>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Nikhil Verma"/>
    <s v="'0865078325 01"/>
    <x v="0"/>
    <x v="18"/>
    <d v="2020-04-05T00:00:00"/>
    <x v="0"/>
    <n v="1"/>
    <s v="Vinay"/>
    <x v="0"/>
    <s v="Marine"/>
    <s v="Renewal"/>
    <n v="26400"/>
    <d v="2019-04-06T00:00:00"/>
    <s v="Brokerage"/>
    <x v="1"/>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Nikhil Verma"/>
    <s v="'0865078325 01"/>
    <x v="0"/>
    <x v="18"/>
    <d v="2020-04-05T00:00:00"/>
    <x v="0"/>
    <n v="1"/>
    <s v="Vinay"/>
    <x v="0"/>
    <s v="Marine"/>
    <s v="Renewal"/>
    <n v="26400"/>
    <d v="2019-04-06T00:00:00"/>
    <s v="Brokerage"/>
    <x v="1"/>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Nikhil Verma"/>
    <s v="'0865078325 01"/>
    <x v="0"/>
    <x v="18"/>
    <d v="2020-04-05T00:00:00"/>
    <x v="0"/>
    <n v="1"/>
    <s v="Vinay"/>
    <x v="0"/>
    <s v="Marine"/>
    <s v="Renewal"/>
    <n v="26400"/>
    <d v="2019-04-06T00:00:00"/>
    <s v="Brokerage"/>
    <x v="1"/>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Nikhil Verma"/>
    <s v="'0865078325 01"/>
    <x v="0"/>
    <x v="18"/>
    <d v="2020-04-05T00:00:00"/>
    <x v="0"/>
    <n v="1"/>
    <s v="Vinay"/>
    <x v="0"/>
    <s v="Marine"/>
    <s v="Renewal"/>
    <n v="26400"/>
    <d v="2019-04-06T00:00:00"/>
    <s v="Brokerage"/>
    <x v="1"/>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Nikhil Verma"/>
    <s v="'0865078325 01"/>
    <x v="0"/>
    <x v="18"/>
    <d v="2020-04-05T00:00:00"/>
    <x v="0"/>
    <n v="1"/>
    <s v="Vinay"/>
    <x v="0"/>
    <s v="Marine"/>
    <s v="Renewal"/>
    <n v="26400"/>
    <d v="2019-04-06T00:00:00"/>
    <s v="Brokerage"/>
    <x v="1"/>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Nikhil Verma"/>
    <s v="'0865078325 01"/>
    <x v="0"/>
    <x v="18"/>
    <d v="2020-04-05T00:00:00"/>
    <x v="0"/>
    <n v="1"/>
    <s v="Vinay"/>
    <x v="0"/>
    <s v="Marine"/>
    <s v="Renewal"/>
    <n v="26400"/>
    <d v="2019-04-06T00:00:00"/>
    <s v="Brokerage"/>
    <x v="1"/>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Nikhil Verma"/>
    <s v="'0865078325 01"/>
    <x v="0"/>
    <x v="18"/>
    <d v="2020-04-05T00:00:00"/>
    <x v="0"/>
    <n v="1"/>
    <s v="Vinay"/>
    <x v="0"/>
    <s v="Marine"/>
    <s v="Renewal"/>
    <n v="26400"/>
    <d v="2019-04-06T00:00:00"/>
    <s v="Brokerage"/>
    <x v="1"/>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Nikhil Verma"/>
    <s v="'0865078325 01"/>
    <x v="0"/>
    <x v="18"/>
    <d v="2020-04-05T00:00:00"/>
    <x v="0"/>
    <n v="1"/>
    <s v="Vinay"/>
    <x v="0"/>
    <s v="Marine"/>
    <s v="Renewal"/>
    <n v="26400"/>
    <d v="2019-04-06T00:00:00"/>
    <s v="Brokerage"/>
    <x v="1"/>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Nikhil Verma"/>
    <s v="'0865078325 01"/>
    <x v="0"/>
    <x v="18"/>
    <d v="2020-04-05T00:00:00"/>
    <x v="0"/>
    <n v="1"/>
    <s v="Vinay"/>
    <x v="0"/>
    <s v="Marine"/>
    <s v="Renewal"/>
    <n v="26400"/>
    <d v="2019-04-06T00:00:00"/>
    <s v="Brokerage"/>
    <x v="1"/>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Nikhil Verma"/>
    <s v="'0865078325 01"/>
    <x v="0"/>
    <x v="18"/>
    <d v="2020-04-05T00:00:00"/>
    <x v="0"/>
    <n v="1"/>
    <s v="Vinay"/>
    <x v="0"/>
    <s v="Marine"/>
    <s v="Renewal"/>
    <n v="26400"/>
    <d v="2019-04-06T00:00:00"/>
    <s v="Brokerage"/>
    <x v="1"/>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Nikhil Verma"/>
    <s v="'0865078325 01"/>
    <x v="0"/>
    <x v="18"/>
    <d v="2020-04-05T00:00:00"/>
    <x v="0"/>
    <n v="1"/>
    <s v="Vinay"/>
    <x v="0"/>
    <s v="Marine"/>
    <s v="Renewal"/>
    <n v="26400"/>
    <d v="2019-04-06T00:00:00"/>
    <s v="Brokerage"/>
    <x v="1"/>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Nikhil Verma"/>
    <s v="'0865078325 01"/>
    <x v="0"/>
    <x v="18"/>
    <d v="2020-04-05T00:00:00"/>
    <x v="0"/>
    <n v="1"/>
    <s v="Vinay"/>
    <x v="0"/>
    <s v="Marine"/>
    <s v="Renewal"/>
    <n v="26400"/>
    <d v="2019-04-06T00:00:00"/>
    <s v="Brokerage"/>
    <x v="1"/>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Nikhil Verma"/>
    <s v="'0865078325 01"/>
    <x v="0"/>
    <x v="18"/>
    <d v="2020-04-05T00:00:00"/>
    <x v="0"/>
    <n v="1"/>
    <s v="Vinay"/>
    <x v="0"/>
    <s v="Marine"/>
    <s v="Renewal"/>
    <n v="26400"/>
    <d v="2019-04-06T00:00:00"/>
    <s v="Brokerage"/>
    <x v="1"/>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Nikhil Verma"/>
    <s v="'0865078325 01"/>
    <x v="0"/>
    <x v="18"/>
    <d v="2020-04-05T00:00:00"/>
    <x v="0"/>
    <n v="1"/>
    <s v="Vinay"/>
    <x v="0"/>
    <s v="Marine"/>
    <s v="Renewal"/>
    <n v="26400"/>
    <d v="2019-04-06T00:00:00"/>
    <s v="Brokerage"/>
    <x v="1"/>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Vaishali Desai"/>
    <s v="0865080591 00"/>
    <x v="0"/>
    <x v="19"/>
    <d v="2019-08-19T00:00:00"/>
    <x v="0"/>
    <n v="1"/>
    <s v="Vinay"/>
    <x v="0"/>
    <s v="Marine"/>
    <s v="Renewal"/>
    <n v="3300"/>
    <d v="2018-08-20T00:00:00"/>
    <s v="Brokerage"/>
    <x v="0"/>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Vaishali Desai"/>
    <s v="0865080591 00"/>
    <x v="0"/>
    <x v="19"/>
    <d v="2019-08-19T00:00:00"/>
    <x v="0"/>
    <n v="1"/>
    <s v="Vinay"/>
    <x v="0"/>
    <s v="Marine"/>
    <s v="Renewal"/>
    <n v="3300"/>
    <d v="2018-08-20T00:00:00"/>
    <s v="Brokerage"/>
    <x v="0"/>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Vaishali Desai"/>
    <s v="0865080591 00"/>
    <x v="0"/>
    <x v="19"/>
    <d v="2019-08-19T00:00:00"/>
    <x v="0"/>
    <n v="1"/>
    <s v="Vinay"/>
    <x v="0"/>
    <s v="Marine"/>
    <s v="Renewal"/>
    <n v="3300"/>
    <d v="2018-08-20T00:00:00"/>
    <s v="Brokerage"/>
    <x v="0"/>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Vaishali Desai"/>
    <s v="0865080591 00"/>
    <x v="0"/>
    <x v="19"/>
    <d v="2019-08-19T00:00:00"/>
    <x v="0"/>
    <n v="1"/>
    <s v="Vinay"/>
    <x v="0"/>
    <s v="Marine"/>
    <s v="Renewal"/>
    <n v="3300"/>
    <d v="2018-08-20T00:00:00"/>
    <s v="Brokerage"/>
    <x v="0"/>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Vaishali Desai"/>
    <s v="0865080591 00"/>
    <x v="0"/>
    <x v="19"/>
    <d v="2019-08-19T00:00:00"/>
    <x v="0"/>
    <n v="1"/>
    <s v="Vinay"/>
    <x v="0"/>
    <s v="Marine"/>
    <s v="Renewal"/>
    <n v="3300"/>
    <d v="2018-08-20T00:00:00"/>
    <s v="Brokerage"/>
    <x v="0"/>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Vaishali Desai"/>
    <s v="0865080591 00"/>
    <x v="0"/>
    <x v="19"/>
    <d v="2019-08-19T00:00:00"/>
    <x v="0"/>
    <n v="1"/>
    <s v="Vinay"/>
    <x v="0"/>
    <s v="Marine"/>
    <s v="Renewal"/>
    <n v="3300"/>
    <d v="2018-08-20T00:00:00"/>
    <s v="Brokerage"/>
    <x v="0"/>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Vaishali Desai"/>
    <s v="0865080591 00"/>
    <x v="0"/>
    <x v="19"/>
    <d v="2019-08-19T00:00:00"/>
    <x v="0"/>
    <n v="1"/>
    <s v="Vinay"/>
    <x v="0"/>
    <s v="Marine"/>
    <s v="Renewal"/>
    <n v="3300"/>
    <d v="2018-08-20T00:00:00"/>
    <s v="Brokerage"/>
    <x v="0"/>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Vaishali Desai"/>
    <s v="0865080591 00"/>
    <x v="0"/>
    <x v="19"/>
    <d v="2019-08-19T00:00:00"/>
    <x v="0"/>
    <n v="1"/>
    <s v="Vinay"/>
    <x v="0"/>
    <s v="Marine"/>
    <s v="Renewal"/>
    <n v="3300"/>
    <d v="2018-08-20T00:00:00"/>
    <s v="Brokerage"/>
    <x v="0"/>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Vaishali Desai"/>
    <s v="0865080591 00"/>
    <x v="0"/>
    <x v="19"/>
    <d v="2019-08-19T00:00:00"/>
    <x v="0"/>
    <n v="1"/>
    <s v="Vinay"/>
    <x v="0"/>
    <s v="Marine"/>
    <s v="Renewal"/>
    <n v="3300"/>
    <d v="2018-08-20T00:00:00"/>
    <s v="Brokerage"/>
    <x v="0"/>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Vaishali Desai"/>
    <s v="0865080591 00"/>
    <x v="0"/>
    <x v="19"/>
    <d v="2019-08-19T00:00:00"/>
    <x v="0"/>
    <n v="1"/>
    <s v="Vinay"/>
    <x v="0"/>
    <s v="Marine"/>
    <s v="Renewal"/>
    <n v="3300"/>
    <d v="2018-08-20T00:00:00"/>
    <s v="Brokerage"/>
    <x v="0"/>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Vaishali Desai"/>
    <s v="0865080591 00"/>
    <x v="0"/>
    <x v="19"/>
    <d v="2019-08-19T00:00:00"/>
    <x v="0"/>
    <n v="1"/>
    <s v="Vinay"/>
    <x v="0"/>
    <s v="Marine"/>
    <s v="Renewal"/>
    <n v="3300"/>
    <d v="2018-08-20T00:00:00"/>
    <s v="Brokerage"/>
    <x v="0"/>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Vaishali Desai"/>
    <s v="0865080591 00"/>
    <x v="0"/>
    <x v="19"/>
    <d v="2019-08-19T00:00:00"/>
    <x v="0"/>
    <n v="1"/>
    <s v="Vinay"/>
    <x v="0"/>
    <s v="Marine"/>
    <s v="Renewal"/>
    <n v="3300"/>
    <d v="2018-08-20T00:00:00"/>
    <s v="Brokerage"/>
    <x v="0"/>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Vaishali Desai"/>
    <s v="0865080591 00"/>
    <x v="0"/>
    <x v="19"/>
    <d v="2019-08-19T00:00:00"/>
    <x v="0"/>
    <n v="1"/>
    <s v="Vinay"/>
    <x v="0"/>
    <s v="Marine"/>
    <s v="Renewal"/>
    <n v="3300"/>
    <d v="2018-08-20T00:00:00"/>
    <s v="Brokerage"/>
    <x v="0"/>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Vaishali Desai"/>
    <s v="0865080591 00"/>
    <x v="0"/>
    <x v="19"/>
    <d v="2019-08-19T00:00:00"/>
    <x v="0"/>
    <n v="1"/>
    <s v="Vinay"/>
    <x v="0"/>
    <s v="Marine"/>
    <s v="Renewal"/>
    <n v="3300"/>
    <d v="2018-08-20T00:00:00"/>
    <s v="Brokerage"/>
    <x v="0"/>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Vaishali Desai"/>
    <s v="0865080591 00"/>
    <x v="0"/>
    <x v="19"/>
    <d v="2019-08-19T00:00:00"/>
    <x v="0"/>
    <n v="1"/>
    <s v="Vinay"/>
    <x v="0"/>
    <s v="Marine"/>
    <s v="Renewal"/>
    <n v="3300"/>
    <d v="2018-08-20T00:00:00"/>
    <s v="Brokerage"/>
    <x v="0"/>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Vaishali Desai"/>
    <s v="0865080591 00"/>
    <x v="0"/>
    <x v="19"/>
    <d v="2019-08-19T00:00:00"/>
    <x v="0"/>
    <n v="1"/>
    <s v="Vinay"/>
    <x v="0"/>
    <s v="Marine"/>
    <s v="Renewal"/>
    <n v="3300"/>
    <d v="2018-08-20T00:00:00"/>
    <s v="Brokerage"/>
    <x v="0"/>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Vaishali Desai"/>
    <s v="0865080591 00"/>
    <x v="0"/>
    <x v="19"/>
    <d v="2019-08-19T00:00:00"/>
    <x v="0"/>
    <n v="1"/>
    <s v="Vinay"/>
    <x v="0"/>
    <s v="Marine"/>
    <s v="Renewal"/>
    <n v="3300"/>
    <d v="2018-08-20T00:00:00"/>
    <s v="Brokerage"/>
    <x v="0"/>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Vaishali Desai"/>
    <s v="0865080591 00"/>
    <x v="0"/>
    <x v="19"/>
    <d v="2019-08-19T00:00:00"/>
    <x v="0"/>
    <n v="1"/>
    <s v="Vinay"/>
    <x v="0"/>
    <s v="Marine"/>
    <s v="Renewal"/>
    <n v="3300"/>
    <d v="2018-08-20T00:00:00"/>
    <s v="Brokerage"/>
    <x v="0"/>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Vaishali Desai"/>
    <s v="0865080591 00"/>
    <x v="0"/>
    <x v="19"/>
    <d v="2019-08-19T00:00:00"/>
    <x v="0"/>
    <n v="1"/>
    <s v="Vinay"/>
    <x v="0"/>
    <s v="Marine"/>
    <s v="Renewal"/>
    <n v="3300"/>
    <d v="2018-08-20T00:00:00"/>
    <s v="Brokerage"/>
    <x v="0"/>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Vaishali Desai"/>
    <s v="0865080591 00"/>
    <x v="0"/>
    <x v="19"/>
    <d v="2019-08-19T00:00:00"/>
    <x v="0"/>
    <n v="1"/>
    <s v="Vinay"/>
    <x v="0"/>
    <s v="Marine"/>
    <s v="Renewal"/>
    <n v="3300"/>
    <d v="2018-08-20T00:00:00"/>
    <s v="Brokerage"/>
    <x v="0"/>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Atul Naik"/>
    <s v="0865081032 00"/>
    <x v="0"/>
    <x v="20"/>
    <d v="2019-09-10T00:00:00"/>
    <x v="0"/>
    <n v="1"/>
    <s v="Vinay"/>
    <x v="0"/>
    <s v="Marine"/>
    <s v="Renewal"/>
    <n v="1072.5"/>
    <d v="2018-09-11T00:00:00"/>
    <s v="Brokerage"/>
    <x v="0"/>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Atul Naik"/>
    <s v="0865081032 00"/>
    <x v="0"/>
    <x v="20"/>
    <d v="2019-09-10T00:00:00"/>
    <x v="0"/>
    <n v="1"/>
    <s v="Vinay"/>
    <x v="0"/>
    <s v="Marine"/>
    <s v="Renewal"/>
    <n v="1072.5"/>
    <d v="2018-09-11T00:00:00"/>
    <s v="Brokerage"/>
    <x v="0"/>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Atul Naik"/>
    <s v="0865081032 00"/>
    <x v="0"/>
    <x v="20"/>
    <d v="2019-09-10T00:00:00"/>
    <x v="0"/>
    <n v="1"/>
    <s v="Vinay"/>
    <x v="0"/>
    <s v="Marine"/>
    <s v="Renewal"/>
    <n v="1072.5"/>
    <d v="2018-09-11T00:00:00"/>
    <s v="Brokerage"/>
    <x v="0"/>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Atul Naik"/>
    <s v="0865081032 00"/>
    <x v="0"/>
    <x v="20"/>
    <d v="2019-09-10T00:00:00"/>
    <x v="0"/>
    <n v="1"/>
    <s v="Vinay"/>
    <x v="0"/>
    <s v="Marine"/>
    <s v="Renewal"/>
    <n v="1072.5"/>
    <d v="2018-09-11T00:00:00"/>
    <s v="Brokerage"/>
    <x v="0"/>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Atul Naik"/>
    <s v="0865081032 00"/>
    <x v="0"/>
    <x v="20"/>
    <d v="2019-09-10T00:00:00"/>
    <x v="0"/>
    <n v="1"/>
    <s v="Vinay"/>
    <x v="0"/>
    <s v="Marine"/>
    <s v="Renewal"/>
    <n v="1072.5"/>
    <d v="2018-09-11T00:00:00"/>
    <s v="Brokerage"/>
    <x v="0"/>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Atul Naik"/>
    <s v="0865081032 00"/>
    <x v="0"/>
    <x v="20"/>
    <d v="2019-09-10T00:00:00"/>
    <x v="0"/>
    <n v="1"/>
    <s v="Vinay"/>
    <x v="0"/>
    <s v="Marine"/>
    <s v="Renewal"/>
    <n v="1072.5"/>
    <d v="2018-09-11T00:00:00"/>
    <s v="Brokerage"/>
    <x v="0"/>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Atul Naik"/>
    <s v="0865081032 00"/>
    <x v="0"/>
    <x v="20"/>
    <d v="2019-09-10T00:00:00"/>
    <x v="0"/>
    <n v="1"/>
    <s v="Vinay"/>
    <x v="0"/>
    <s v="Marine"/>
    <s v="Renewal"/>
    <n v="1072.5"/>
    <d v="2018-09-11T00:00:00"/>
    <s v="Brokerage"/>
    <x v="0"/>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Atul Naik"/>
    <s v="0865081032 00"/>
    <x v="0"/>
    <x v="20"/>
    <d v="2019-09-10T00:00:00"/>
    <x v="0"/>
    <n v="1"/>
    <s v="Vinay"/>
    <x v="0"/>
    <s v="Marine"/>
    <s v="Renewal"/>
    <n v="1072.5"/>
    <d v="2018-09-11T00:00:00"/>
    <s v="Brokerage"/>
    <x v="0"/>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Atul Naik"/>
    <s v="0865081032 00"/>
    <x v="0"/>
    <x v="20"/>
    <d v="2019-09-10T00:00:00"/>
    <x v="0"/>
    <n v="1"/>
    <s v="Vinay"/>
    <x v="0"/>
    <s v="Marine"/>
    <s v="Renewal"/>
    <n v="1072.5"/>
    <d v="2018-09-11T00:00:00"/>
    <s v="Brokerage"/>
    <x v="0"/>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Atul Naik"/>
    <s v="0865081032 00"/>
    <x v="0"/>
    <x v="20"/>
    <d v="2019-09-10T00:00:00"/>
    <x v="0"/>
    <n v="1"/>
    <s v="Vinay"/>
    <x v="0"/>
    <s v="Marine"/>
    <s v="Renewal"/>
    <n v="1072.5"/>
    <d v="2018-09-11T00:00:00"/>
    <s v="Brokerage"/>
    <x v="0"/>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Atul Naik"/>
    <s v="0865081032 00"/>
    <x v="0"/>
    <x v="20"/>
    <d v="2019-09-10T00:00:00"/>
    <x v="0"/>
    <n v="1"/>
    <s v="Vinay"/>
    <x v="0"/>
    <s v="Marine"/>
    <s v="Renewal"/>
    <n v="1072.5"/>
    <d v="2018-09-11T00:00:00"/>
    <s v="Brokerage"/>
    <x v="0"/>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Atul Naik"/>
    <s v="0865081032 00"/>
    <x v="0"/>
    <x v="20"/>
    <d v="2019-09-10T00:00:00"/>
    <x v="0"/>
    <n v="1"/>
    <s v="Vinay"/>
    <x v="0"/>
    <s v="Marine"/>
    <s v="Renewal"/>
    <n v="1072.5"/>
    <d v="2018-09-11T00:00:00"/>
    <s v="Brokerage"/>
    <x v="0"/>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Atul Naik"/>
    <s v="0865081032 00"/>
    <x v="0"/>
    <x v="20"/>
    <d v="2019-09-10T00:00:00"/>
    <x v="0"/>
    <n v="1"/>
    <s v="Vinay"/>
    <x v="0"/>
    <s v="Marine"/>
    <s v="Renewal"/>
    <n v="1072.5"/>
    <d v="2018-09-11T00:00:00"/>
    <s v="Brokerage"/>
    <x v="0"/>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Atul Naik"/>
    <s v="0865081032 00"/>
    <x v="0"/>
    <x v="20"/>
    <d v="2019-09-10T00:00:00"/>
    <x v="0"/>
    <n v="1"/>
    <s v="Vinay"/>
    <x v="0"/>
    <s v="Marine"/>
    <s v="Renewal"/>
    <n v="1072.5"/>
    <d v="2018-09-11T00:00:00"/>
    <s v="Brokerage"/>
    <x v="0"/>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Atul Naik"/>
    <s v="0865081032 00"/>
    <x v="0"/>
    <x v="20"/>
    <d v="2019-09-10T00:00:00"/>
    <x v="0"/>
    <n v="1"/>
    <s v="Vinay"/>
    <x v="0"/>
    <s v="Marine"/>
    <s v="Renewal"/>
    <n v="1072.5"/>
    <d v="2018-09-11T00:00:00"/>
    <s v="Brokerage"/>
    <x v="0"/>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Atul Naik"/>
    <s v="0865081032 00"/>
    <x v="0"/>
    <x v="20"/>
    <d v="2019-09-10T00:00:00"/>
    <x v="0"/>
    <n v="1"/>
    <s v="Vinay"/>
    <x v="0"/>
    <s v="Marine"/>
    <s v="Renewal"/>
    <n v="1072.5"/>
    <d v="2018-09-11T00:00:00"/>
    <s v="Brokerage"/>
    <x v="0"/>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Atul Naik"/>
    <s v="0865081032 00"/>
    <x v="0"/>
    <x v="20"/>
    <d v="2019-09-10T00:00:00"/>
    <x v="0"/>
    <n v="1"/>
    <s v="Vinay"/>
    <x v="0"/>
    <s v="Marine"/>
    <s v="Renewal"/>
    <n v="1072.5"/>
    <d v="2018-09-11T00:00:00"/>
    <s v="Brokerage"/>
    <x v="0"/>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Atul Naik"/>
    <s v="0865081032 00"/>
    <x v="0"/>
    <x v="20"/>
    <d v="2019-09-10T00:00:00"/>
    <x v="0"/>
    <n v="1"/>
    <s v="Vinay"/>
    <x v="0"/>
    <s v="Marine"/>
    <s v="Renewal"/>
    <n v="1072.5"/>
    <d v="2018-09-11T00:00:00"/>
    <s v="Brokerage"/>
    <x v="0"/>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Atul Naik"/>
    <s v="0865081032 00"/>
    <x v="0"/>
    <x v="20"/>
    <d v="2019-09-10T00:00:00"/>
    <x v="0"/>
    <n v="1"/>
    <s v="Vinay"/>
    <x v="0"/>
    <s v="Marine"/>
    <s v="Renewal"/>
    <n v="1072.5"/>
    <d v="2018-09-11T00:00:00"/>
    <s v="Brokerage"/>
    <x v="0"/>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Atul Naik"/>
    <s v="0865081032 00"/>
    <x v="0"/>
    <x v="20"/>
    <d v="2019-09-10T00:00:00"/>
    <x v="0"/>
    <n v="1"/>
    <s v="Vinay"/>
    <x v="0"/>
    <s v="Marine"/>
    <s v="Renewal"/>
    <n v="1072.5"/>
    <d v="2018-09-11T00:00:00"/>
    <s v="Brokerage"/>
    <x v="0"/>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Meena Bhargava"/>
    <s v="'310304111710000871"/>
    <x v="0"/>
    <x v="21"/>
    <d v="2019-03-26T00:00:00"/>
    <x v="1"/>
    <n v="1"/>
    <s v="Vinay"/>
    <x v="0"/>
    <s v="Property / BI"/>
    <s v="Renewal"/>
    <n v="4002.46"/>
    <d v="2018-03-27T00:00:00"/>
    <s v="Brokerage"/>
    <x v="0"/>
    <s v="OTHR - Other"/>
    <d v="2020-01-22T00:00:00"/>
    <s v="Other"/>
    <m/>
    <m/>
    <m/>
    <m/>
    <m/>
    <m/>
    <m/>
    <m/>
    <m/>
    <m/>
    <m/>
    <m/>
    <m/>
    <m/>
    <m/>
    <m/>
    <m/>
    <m/>
    <m/>
    <m/>
  </r>
  <r>
    <s v="Mona Chopra"/>
    <n v="3.10304E+17"/>
    <x v="0"/>
    <x v="22"/>
    <d v="2019-08-13T00:00:00"/>
    <x v="1"/>
    <n v="1"/>
    <s v="Vinay"/>
    <x v="0"/>
    <s v="Property / BI"/>
    <s v="Renewal"/>
    <n v="1374.25"/>
    <d v="2018-08-14T00:00:00"/>
    <s v="Brokerage"/>
    <x v="0"/>
    <s v="OTHR - Other"/>
    <d v="2020-01-22T00:00:00"/>
    <s v="Other"/>
    <m/>
    <m/>
    <m/>
    <m/>
    <m/>
    <m/>
    <m/>
    <m/>
    <m/>
    <m/>
    <m/>
    <m/>
    <m/>
    <m/>
    <m/>
    <m/>
    <m/>
    <m/>
    <m/>
    <m/>
  </r>
  <r>
    <s v="Mohit Tiwari"/>
    <n v="3.10305E+18"/>
    <x v="0"/>
    <x v="21"/>
    <d v="2019-03-26T00:00:00"/>
    <x v="1"/>
    <n v="1"/>
    <s v="Vinay"/>
    <x v="0"/>
    <s v="Property / BI"/>
    <s v="Cross Sell"/>
    <n v="566.25"/>
    <d v="2018-03-27T00:00:00"/>
    <s v="Brokerage"/>
    <x v="0"/>
    <s v="OTHR - Other"/>
    <d v="2020-01-22T00:00:00"/>
    <s v="Other"/>
    <m/>
    <m/>
    <m/>
    <m/>
    <m/>
    <m/>
    <m/>
    <m/>
    <m/>
    <m/>
    <m/>
    <m/>
    <m/>
    <m/>
    <m/>
    <m/>
    <m/>
    <m/>
    <m/>
    <m/>
  </r>
  <r>
    <s v="Tina Dutta"/>
    <s v="'310304591810000063"/>
    <x v="0"/>
    <x v="22"/>
    <d v="2019-08-13T00:00:00"/>
    <x v="2"/>
    <n v="1"/>
    <s v="Vinay"/>
    <x v="0"/>
    <s v="Property / BI"/>
    <s v="Renewal"/>
    <n v="445"/>
    <d v="2018-08-14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Tina Dutta"/>
    <s v="'310304591810000063"/>
    <x v="0"/>
    <x v="22"/>
    <d v="2019-08-13T00:00:00"/>
    <x v="2"/>
    <n v="1"/>
    <s v="Vinay"/>
    <x v="0"/>
    <s v="Property / BI"/>
    <s v="Renewal"/>
    <n v="445"/>
    <d v="2018-08-14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Tina Dutta"/>
    <s v="'310304591810000063"/>
    <x v="0"/>
    <x v="22"/>
    <d v="2019-08-13T00:00:00"/>
    <x v="2"/>
    <n v="1"/>
    <s v="Vinay"/>
    <x v="0"/>
    <s v="Property / BI"/>
    <s v="Renewal"/>
    <n v="445"/>
    <d v="2018-08-14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Tina Dutta"/>
    <s v="'310304591810000063"/>
    <x v="0"/>
    <x v="22"/>
    <d v="2019-08-13T00:00:00"/>
    <x v="2"/>
    <n v="1"/>
    <s v="Vinay"/>
    <x v="0"/>
    <s v="Property / BI"/>
    <s v="Renewal"/>
    <n v="445"/>
    <d v="2018-08-14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Tina Dutta"/>
    <s v="'310304591810000063"/>
    <x v="0"/>
    <x v="22"/>
    <d v="2019-08-13T00:00:00"/>
    <x v="2"/>
    <n v="1"/>
    <s v="Vinay"/>
    <x v="0"/>
    <s v="Property / BI"/>
    <s v="Renewal"/>
    <n v="445"/>
    <d v="2018-08-14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Hemant Das"/>
    <s v="'310300111910000401"/>
    <x v="0"/>
    <x v="23"/>
    <d v="2020-08-31T00:00:00"/>
    <x v="1"/>
    <n v="1"/>
    <s v="Vinay"/>
    <x v="0"/>
    <s v="Property / BI"/>
    <s v="Renewal"/>
    <n v="13114.95"/>
    <d v="2019-09-01T00:00:00"/>
    <s v="Brokerage"/>
    <x v="1"/>
    <s v="OTHR - Other"/>
    <d v="2020-01-22T00:00:00"/>
    <s v="Other"/>
    <m/>
    <m/>
    <m/>
    <m/>
    <m/>
    <m/>
    <m/>
    <m/>
    <m/>
    <m/>
    <m/>
    <m/>
    <m/>
    <m/>
    <m/>
    <m/>
    <m/>
    <m/>
    <m/>
    <m/>
  </r>
  <r>
    <s v="Sanjana Bhargava"/>
    <n v="3.10304E+17"/>
    <x v="1"/>
    <x v="24"/>
    <d v="2019-08-31T00:00:00"/>
    <x v="1"/>
    <n v="1"/>
    <s v="Vinay"/>
    <x v="0"/>
    <s v="Property / BI"/>
    <s v="Renewal"/>
    <n v="2049.42"/>
    <d v="2018-09-01T00:00:00"/>
    <s v="Brokerage"/>
    <x v="0"/>
    <s v="OTHR - Other"/>
    <d v="2020-01-22T00:00:00"/>
    <s v="Other"/>
    <m/>
    <m/>
    <m/>
    <m/>
    <m/>
    <m/>
    <m/>
    <m/>
    <m/>
    <m/>
    <m/>
    <m/>
    <m/>
    <m/>
    <m/>
    <m/>
    <m/>
    <m/>
    <m/>
    <m/>
  </r>
  <r>
    <s v="Kamlesh Trivedi"/>
    <n v="301002850"/>
    <x v="0"/>
    <x v="25"/>
    <d v="2019-07-31T00:00:00"/>
    <x v="4"/>
    <n v="6"/>
    <s v="Ketan Jain"/>
    <x v="0"/>
    <s v="Liability"/>
    <s v="Renewal"/>
    <n v="61425"/>
    <d v="2018-08-01T00:00:00"/>
    <s v="Brokerage"/>
    <x v="0"/>
    <s v="OTHR - Other"/>
    <d v="2020-01-22T00:00:00"/>
    <s v="Other"/>
    <m/>
    <m/>
    <m/>
    <m/>
    <m/>
    <m/>
    <m/>
    <m/>
    <m/>
    <m/>
    <m/>
    <m/>
    <m/>
    <m/>
    <m/>
    <m/>
    <m/>
    <m/>
    <m/>
    <m/>
  </r>
  <r>
    <s v="Nikita Tiwari"/>
    <n v="2.4122E+18"/>
    <x v="0"/>
    <x v="26"/>
    <d v="2019-09-26T00:00:00"/>
    <x v="0"/>
    <n v="1"/>
    <s v="Vinay"/>
    <x v="0"/>
    <s v="Marine"/>
    <s v="Renewal"/>
    <n v="1650"/>
    <d v="2018-09-27T00:00:00"/>
    <s v="Brokerage"/>
    <x v="0"/>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Nikita Tiwari"/>
    <n v="2.4122E+18"/>
    <x v="0"/>
    <x v="26"/>
    <d v="2019-09-26T00:00:00"/>
    <x v="0"/>
    <n v="1"/>
    <s v="Vinay"/>
    <x v="0"/>
    <s v="Marine"/>
    <s v="Renewal"/>
    <n v="1650"/>
    <d v="2018-09-27T00:00:00"/>
    <s v="Brokerage"/>
    <x v="0"/>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Nikita Tiwari"/>
    <n v="2.4122E+18"/>
    <x v="0"/>
    <x v="26"/>
    <d v="2019-09-26T00:00:00"/>
    <x v="0"/>
    <n v="1"/>
    <s v="Vinay"/>
    <x v="0"/>
    <s v="Marine"/>
    <s v="Renewal"/>
    <n v="1650"/>
    <d v="2018-09-27T00:00:00"/>
    <s v="Brokerage"/>
    <x v="0"/>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Nikita Tiwari"/>
    <n v="2.4122E+18"/>
    <x v="0"/>
    <x v="26"/>
    <d v="2019-09-26T00:00:00"/>
    <x v="0"/>
    <n v="1"/>
    <s v="Vinay"/>
    <x v="0"/>
    <s v="Marine"/>
    <s v="Renewal"/>
    <n v="1650"/>
    <d v="2018-09-27T00:00:00"/>
    <s v="Brokerage"/>
    <x v="0"/>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Nikita Tiwari"/>
    <n v="2.4122E+18"/>
    <x v="0"/>
    <x v="26"/>
    <d v="2019-09-26T00:00:00"/>
    <x v="0"/>
    <n v="1"/>
    <s v="Vinay"/>
    <x v="0"/>
    <s v="Marine"/>
    <s v="Renewal"/>
    <n v="1650"/>
    <d v="2018-09-27T00:00:00"/>
    <s v="Brokerage"/>
    <x v="0"/>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Nikita Tiwari"/>
    <n v="2.4122E+18"/>
    <x v="0"/>
    <x v="26"/>
    <d v="2019-09-26T00:00:00"/>
    <x v="0"/>
    <n v="1"/>
    <s v="Vinay"/>
    <x v="0"/>
    <s v="Marine"/>
    <s v="Renewal"/>
    <n v="1650"/>
    <d v="2018-09-27T00:00:00"/>
    <s v="Brokerage"/>
    <x v="0"/>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Nikita Tiwari"/>
    <n v="2.4122E+18"/>
    <x v="0"/>
    <x v="26"/>
    <d v="2019-09-26T00:00:00"/>
    <x v="0"/>
    <n v="1"/>
    <s v="Vinay"/>
    <x v="0"/>
    <s v="Marine"/>
    <s v="Renewal"/>
    <n v="1650"/>
    <d v="2018-09-27T00:00:00"/>
    <s v="Brokerage"/>
    <x v="0"/>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Nikita Tiwari"/>
    <n v="2.4122E+18"/>
    <x v="0"/>
    <x v="26"/>
    <d v="2019-09-26T00:00:00"/>
    <x v="0"/>
    <n v="1"/>
    <s v="Vinay"/>
    <x v="0"/>
    <s v="Marine"/>
    <s v="Renewal"/>
    <n v="1650"/>
    <d v="2018-09-27T00:00:00"/>
    <s v="Brokerage"/>
    <x v="0"/>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Nikita Tiwari"/>
    <n v="2.4122E+18"/>
    <x v="0"/>
    <x v="26"/>
    <d v="2019-09-26T00:00:00"/>
    <x v="0"/>
    <n v="1"/>
    <s v="Vinay"/>
    <x v="0"/>
    <s v="Marine"/>
    <s v="Renewal"/>
    <n v="1650"/>
    <d v="2018-09-27T00:00:00"/>
    <s v="Brokerage"/>
    <x v="0"/>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Nikita Tiwari"/>
    <n v="2.4122E+18"/>
    <x v="0"/>
    <x v="26"/>
    <d v="2019-09-26T00:00:00"/>
    <x v="0"/>
    <n v="1"/>
    <s v="Vinay"/>
    <x v="0"/>
    <s v="Marine"/>
    <s v="Renewal"/>
    <n v="1650"/>
    <d v="2018-09-27T00:00:00"/>
    <s v="Brokerage"/>
    <x v="0"/>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Nikita Tiwari"/>
    <n v="2.4122E+18"/>
    <x v="0"/>
    <x v="26"/>
    <d v="2019-09-26T00:00:00"/>
    <x v="0"/>
    <n v="1"/>
    <s v="Vinay"/>
    <x v="0"/>
    <s v="Marine"/>
    <s v="Renewal"/>
    <n v="1650"/>
    <d v="2018-09-27T00:00:00"/>
    <s v="Brokerage"/>
    <x v="0"/>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Nikita Tiwari"/>
    <n v="2.4122E+18"/>
    <x v="0"/>
    <x v="26"/>
    <d v="2019-09-26T00:00:00"/>
    <x v="0"/>
    <n v="1"/>
    <s v="Vinay"/>
    <x v="0"/>
    <s v="Marine"/>
    <s v="Renewal"/>
    <n v="1650"/>
    <d v="2018-09-27T00:00:00"/>
    <s v="Brokerage"/>
    <x v="0"/>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Nikita Tiwari"/>
    <n v="2.4122E+18"/>
    <x v="0"/>
    <x v="26"/>
    <d v="2019-09-26T00:00:00"/>
    <x v="0"/>
    <n v="1"/>
    <s v="Vinay"/>
    <x v="0"/>
    <s v="Marine"/>
    <s v="Renewal"/>
    <n v="1650"/>
    <d v="2018-09-27T00:00:00"/>
    <s v="Brokerage"/>
    <x v="0"/>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Nikita Tiwari"/>
    <n v="2.4122E+18"/>
    <x v="0"/>
    <x v="26"/>
    <d v="2019-09-26T00:00:00"/>
    <x v="0"/>
    <n v="1"/>
    <s v="Vinay"/>
    <x v="0"/>
    <s v="Marine"/>
    <s v="Renewal"/>
    <n v="1650"/>
    <d v="2018-09-27T00:00:00"/>
    <s v="Brokerage"/>
    <x v="0"/>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Nikita Tiwari"/>
    <n v="2.4122E+18"/>
    <x v="0"/>
    <x v="26"/>
    <d v="2019-09-26T00:00:00"/>
    <x v="0"/>
    <n v="1"/>
    <s v="Vinay"/>
    <x v="0"/>
    <s v="Marine"/>
    <s v="Renewal"/>
    <n v="1650"/>
    <d v="2018-09-27T00:00:00"/>
    <s v="Brokerage"/>
    <x v="0"/>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Nikita Tiwari"/>
    <n v="2.4122E+18"/>
    <x v="0"/>
    <x v="26"/>
    <d v="2019-09-26T00:00:00"/>
    <x v="0"/>
    <n v="1"/>
    <s v="Vinay"/>
    <x v="0"/>
    <s v="Marine"/>
    <s v="Renewal"/>
    <n v="1650"/>
    <d v="2018-09-27T00:00:00"/>
    <s v="Brokerage"/>
    <x v="0"/>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Nikita Tiwari"/>
    <n v="2.4122E+18"/>
    <x v="0"/>
    <x v="26"/>
    <d v="2019-09-26T00:00:00"/>
    <x v="0"/>
    <n v="1"/>
    <s v="Vinay"/>
    <x v="0"/>
    <s v="Marine"/>
    <s v="Renewal"/>
    <n v="1650"/>
    <d v="2018-09-27T00:00:00"/>
    <s v="Brokerage"/>
    <x v="0"/>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Nikita Tiwari"/>
    <n v="2.4122E+18"/>
    <x v="0"/>
    <x v="26"/>
    <d v="2019-09-26T00:00:00"/>
    <x v="0"/>
    <n v="1"/>
    <s v="Vinay"/>
    <x v="0"/>
    <s v="Marine"/>
    <s v="Renewal"/>
    <n v="1650"/>
    <d v="2018-09-27T00:00:00"/>
    <s v="Brokerage"/>
    <x v="0"/>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Nikita Tiwari"/>
    <n v="2.4122E+18"/>
    <x v="0"/>
    <x v="26"/>
    <d v="2019-09-26T00:00:00"/>
    <x v="0"/>
    <n v="1"/>
    <s v="Vinay"/>
    <x v="0"/>
    <s v="Marine"/>
    <s v="Renewal"/>
    <n v="1650"/>
    <d v="2018-09-27T00:00:00"/>
    <s v="Brokerage"/>
    <x v="0"/>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Nikita Tiwari"/>
    <n v="2.4122E+18"/>
    <x v="0"/>
    <x v="26"/>
    <d v="2019-09-26T00:00:00"/>
    <x v="0"/>
    <n v="1"/>
    <s v="Vinay"/>
    <x v="0"/>
    <s v="Marine"/>
    <s v="Renewal"/>
    <n v="1650"/>
    <d v="2018-09-27T00:00:00"/>
    <s v="Brokerage"/>
    <x v="0"/>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Kapil Kapoor"/>
    <s v="0830018899Ã‚Â 01"/>
    <x v="1"/>
    <x v="27"/>
    <d v="2019-02-28T00:00:00"/>
    <x v="0"/>
    <n v="3"/>
    <s v="Animesh Rawat"/>
    <x v="0"/>
    <s v="Global Client Network (GNB Inward)"/>
    <s v="Renewal"/>
    <n v="16335"/>
    <d v="2018-03-01T00:00:00"/>
    <s v="Brokerage"/>
    <x v="0"/>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Kapil Kapoor"/>
    <s v="0830018899Ã‚Â 01"/>
    <x v="1"/>
    <x v="27"/>
    <d v="2019-02-28T00:00:00"/>
    <x v="0"/>
    <n v="3"/>
    <s v="Animesh Rawat"/>
    <x v="0"/>
    <s v="Global Client Network (GNB Inward)"/>
    <s v="Renewal"/>
    <n v="16335"/>
    <d v="2018-03-01T00:00:00"/>
    <s v="Brokerage"/>
    <x v="0"/>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Kapil Kapoor"/>
    <s v="0830018899Ã‚Â 01"/>
    <x v="1"/>
    <x v="27"/>
    <d v="2019-02-28T00:00:00"/>
    <x v="0"/>
    <n v="3"/>
    <s v="Animesh Rawat"/>
    <x v="0"/>
    <s v="Global Client Network (GNB Inward)"/>
    <s v="Renewal"/>
    <n v="16335"/>
    <d v="2018-03-01T00:00:00"/>
    <s v="Brokerage"/>
    <x v="0"/>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Kapil Kapoor"/>
    <s v="0830018899Ã‚Â 01"/>
    <x v="1"/>
    <x v="27"/>
    <d v="2019-02-28T00:00:00"/>
    <x v="0"/>
    <n v="3"/>
    <s v="Animesh Rawat"/>
    <x v="0"/>
    <s v="Global Client Network (GNB Inward)"/>
    <s v="Renewal"/>
    <n v="16335"/>
    <d v="2018-03-01T00:00:00"/>
    <s v="Brokerage"/>
    <x v="0"/>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Kapil Kapoor"/>
    <s v="0830018899Ã‚Â 01"/>
    <x v="1"/>
    <x v="27"/>
    <d v="2019-02-28T00:00:00"/>
    <x v="0"/>
    <n v="3"/>
    <s v="Animesh Rawat"/>
    <x v="0"/>
    <s v="Global Client Network (GNB Inward)"/>
    <s v="Renewal"/>
    <n v="16335"/>
    <d v="2018-03-01T00:00:00"/>
    <s v="Brokerage"/>
    <x v="0"/>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Kapil Kapoor"/>
    <s v="0830018899Ã‚Â 01"/>
    <x v="1"/>
    <x v="27"/>
    <d v="2019-02-28T00:00:00"/>
    <x v="0"/>
    <n v="3"/>
    <s v="Animesh Rawat"/>
    <x v="0"/>
    <s v="Global Client Network (GNB Inward)"/>
    <s v="Renewal"/>
    <n v="16335"/>
    <d v="2018-03-01T00:00:00"/>
    <s v="Brokerage"/>
    <x v="0"/>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Kapil Kapoor"/>
    <s v="0830018899Ã‚Â 01"/>
    <x v="1"/>
    <x v="27"/>
    <d v="2019-02-28T00:00:00"/>
    <x v="0"/>
    <n v="3"/>
    <s v="Animesh Rawat"/>
    <x v="0"/>
    <s v="Global Client Network (GNB Inward)"/>
    <s v="Renewal"/>
    <n v="16335"/>
    <d v="2018-03-01T00:00:00"/>
    <s v="Brokerage"/>
    <x v="0"/>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Kapil Kapoor"/>
    <s v="0830018899Ã‚Â 01"/>
    <x v="1"/>
    <x v="27"/>
    <d v="2019-02-28T00:00:00"/>
    <x v="0"/>
    <n v="3"/>
    <s v="Animesh Rawat"/>
    <x v="0"/>
    <s v="Global Client Network (GNB Inward)"/>
    <s v="Renewal"/>
    <n v="16335"/>
    <d v="2018-03-01T00:00:00"/>
    <s v="Brokerage"/>
    <x v="0"/>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Harish Rana"/>
    <s v="OG-19-2202-1018-00000059"/>
    <x v="0"/>
    <x v="28"/>
    <d v="2020-02-29T00:00:00"/>
    <x v="0"/>
    <n v="3"/>
    <s v="Animesh Rawat"/>
    <x v="0"/>
    <s v="Global Client Network (GNB Inward)"/>
    <s v="Renewal"/>
    <n v="18562.5"/>
    <d v="2019-03-01T00:00:00"/>
    <s v="Brokerage"/>
    <x v="1"/>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Harish Rana"/>
    <s v="OG-19-2202-1018-00000059"/>
    <x v="0"/>
    <x v="28"/>
    <d v="2020-02-29T00:00:00"/>
    <x v="0"/>
    <n v="3"/>
    <s v="Animesh Rawat"/>
    <x v="0"/>
    <s v="Global Client Network (GNB Inward)"/>
    <s v="Renewal"/>
    <n v="18562.5"/>
    <d v="2019-03-01T00:00:00"/>
    <s v="Brokerage"/>
    <x v="1"/>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Harish Rana"/>
    <s v="OG-19-2202-1018-00000059"/>
    <x v="0"/>
    <x v="28"/>
    <d v="2020-02-29T00:00:00"/>
    <x v="0"/>
    <n v="3"/>
    <s v="Animesh Rawat"/>
    <x v="0"/>
    <s v="Global Client Network (GNB Inward)"/>
    <s v="Renewal"/>
    <n v="18562.5"/>
    <d v="2019-03-01T00:00:00"/>
    <s v="Brokerage"/>
    <x v="1"/>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Harish Rana"/>
    <s v="OG-19-2202-1018-00000059"/>
    <x v="0"/>
    <x v="28"/>
    <d v="2020-02-29T00:00:00"/>
    <x v="0"/>
    <n v="3"/>
    <s v="Animesh Rawat"/>
    <x v="0"/>
    <s v="Global Client Network (GNB Inward)"/>
    <s v="Renewal"/>
    <n v="18562.5"/>
    <d v="2019-03-01T00:00:00"/>
    <s v="Brokerage"/>
    <x v="1"/>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Harish Rana"/>
    <s v="OG-19-2202-1018-00000059"/>
    <x v="0"/>
    <x v="28"/>
    <d v="2020-02-29T00:00:00"/>
    <x v="0"/>
    <n v="3"/>
    <s v="Animesh Rawat"/>
    <x v="0"/>
    <s v="Global Client Network (GNB Inward)"/>
    <s v="Renewal"/>
    <n v="18562.5"/>
    <d v="2019-03-01T00:00:00"/>
    <s v="Brokerage"/>
    <x v="1"/>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Harish Rana"/>
    <s v="OG-19-2202-1018-00000059"/>
    <x v="0"/>
    <x v="28"/>
    <d v="2020-02-29T00:00:00"/>
    <x v="0"/>
    <n v="3"/>
    <s v="Animesh Rawat"/>
    <x v="0"/>
    <s v="Global Client Network (GNB Inward)"/>
    <s v="Renewal"/>
    <n v="18562.5"/>
    <d v="2019-03-01T00:00:00"/>
    <s v="Brokerage"/>
    <x v="1"/>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Harish Rana"/>
    <s v="OG-19-2202-1018-00000059"/>
    <x v="0"/>
    <x v="28"/>
    <d v="2020-02-29T00:00:00"/>
    <x v="0"/>
    <n v="3"/>
    <s v="Animesh Rawat"/>
    <x v="0"/>
    <s v="Global Client Network (GNB Inward)"/>
    <s v="Renewal"/>
    <n v="18562.5"/>
    <d v="2019-03-01T00:00:00"/>
    <s v="Brokerage"/>
    <x v="1"/>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Harish Rana"/>
    <s v="OG-19-2202-1018-00000059"/>
    <x v="0"/>
    <x v="28"/>
    <d v="2020-02-29T00:00:00"/>
    <x v="0"/>
    <n v="3"/>
    <s v="Animesh Rawat"/>
    <x v="0"/>
    <s v="Global Client Network (GNB Inward)"/>
    <s v="Renewal"/>
    <n v="18562.5"/>
    <d v="2019-03-01T00:00:00"/>
    <s v="Brokerage"/>
    <x v="1"/>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Nikhil Pandit"/>
    <s v="OG-19-2001-3315-00000015"/>
    <x v="0"/>
    <x v="29"/>
    <d v="2019-04-01T00:00:00"/>
    <x v="4"/>
    <n v="12"/>
    <s v="Shivani Sharma"/>
    <x v="0"/>
    <s v="Global Client Network (GNB Inward)"/>
    <s v="Renewal"/>
    <n v="0"/>
    <d v="2018-08-02T00:00:00"/>
    <s v="Brokerage"/>
    <x v="0"/>
    <s v="OTHR - Other"/>
    <d v="2020-01-22T00:00:00"/>
    <s v="Other"/>
    <s v="DB- Cyber Liability"/>
    <s v="OPP1900001138"/>
    <s v="Shivani Sharma"/>
    <n v="500000"/>
    <n v="75000"/>
    <d v="2020-05-31T00:00:00"/>
    <s v="Qualify Opportunity"/>
    <s v="Ahmedabad"/>
    <s v="Liability"/>
    <s v="Financial Lines"/>
    <s v="Cyber Liability Insurance"/>
    <m/>
    <m/>
    <s v="Madison Robinson"/>
    <d v="2020-01-21T00:00:00"/>
    <m/>
    <m/>
    <m/>
    <m/>
    <m/>
  </r>
  <r>
    <s v="Nikhil Pandit"/>
    <s v="OG-19-2001-3315-00000015"/>
    <x v="0"/>
    <x v="29"/>
    <d v="2019-04-01T00:00:00"/>
    <x v="4"/>
    <n v="12"/>
    <s v="Shivani Sharma"/>
    <x v="0"/>
    <s v="Global Client Network (GNB Inward)"/>
    <s v="Renewal"/>
    <n v="0"/>
    <d v="2018-08-02T00:00:00"/>
    <s v="Brokerage"/>
    <x v="0"/>
    <s v="OTHR - Other"/>
    <d v="2020-01-22T00:00:00"/>
    <s v="Other"/>
    <s v="DB- Cyber Liability"/>
    <s v="OPP1900001138"/>
    <s v="Shivani Sharma"/>
    <n v="500000"/>
    <n v="75000"/>
    <d v="2020-05-31T00:00:00"/>
    <s v="Qualify Opportunity"/>
    <s v="Ahmedabad"/>
    <s v="Liability"/>
    <s v="Financial Lines"/>
    <s v="Cyber Liability Insurance"/>
    <m/>
    <m/>
    <s v="David Hall"/>
    <d v="2020-01-21T00:00:00"/>
    <m/>
    <m/>
    <m/>
    <m/>
    <m/>
  </r>
  <r>
    <s v="Nikhil Pandit"/>
    <s v="OG-19-2001-3315-00000015"/>
    <x v="0"/>
    <x v="29"/>
    <d v="2019-04-01T00:00:00"/>
    <x v="4"/>
    <n v="12"/>
    <s v="Shivani Sharma"/>
    <x v="0"/>
    <s v="Global Client Network (GNB Inward)"/>
    <s v="Renewal"/>
    <n v="0"/>
    <d v="2018-08-02T00:00:00"/>
    <s v="Brokerage"/>
    <x v="0"/>
    <s v="OTHR - Other"/>
    <d v="2020-01-22T00:00:00"/>
    <s v="Other"/>
    <s v="DB- Cyber Liability"/>
    <s v="OPP1900001138"/>
    <s v="Shivani Sharma"/>
    <n v="500000"/>
    <n v="75000"/>
    <d v="2020-05-31T00:00:00"/>
    <s v="Qualify Opportunity"/>
    <s v="Ahmedabad"/>
    <s v="Liability"/>
    <s v="Financial Lines"/>
    <s v="Cyber Liability Insurance"/>
    <m/>
    <m/>
    <s v="Lily Young"/>
    <d v="2020-01-21T00:00:00"/>
    <m/>
    <m/>
    <m/>
    <m/>
    <m/>
  </r>
  <r>
    <s v="Nikhil Pandit"/>
    <s v="OG-19-2001-3315-00000015"/>
    <x v="0"/>
    <x v="29"/>
    <d v="2019-04-01T00:00:00"/>
    <x v="4"/>
    <n v="12"/>
    <s v="Shivani Sharma"/>
    <x v="0"/>
    <s v="Global Client Network (GNB Inward)"/>
    <s v="Renewal"/>
    <n v="0"/>
    <d v="2018-08-02T00:00:00"/>
    <s v="Brokerage"/>
    <x v="0"/>
    <s v="OTHR - Other"/>
    <d v="2020-01-22T00:00:00"/>
    <s v="Other"/>
    <s v="DB- Cyber Liability"/>
    <s v="OPP1900001138"/>
    <s v="Shivani Sharma"/>
    <n v="500000"/>
    <n v="75000"/>
    <d v="2020-05-31T00:00:00"/>
    <s v="Qualify Opportunity"/>
    <s v="Ahmedabad"/>
    <s v="Liability"/>
    <s v="Financial Lines"/>
    <s v="Cyber Liability Insurance"/>
    <m/>
    <m/>
    <s v="Samuel Allen"/>
    <d v="2020-01-22T00:00:00"/>
    <m/>
    <m/>
    <m/>
    <m/>
    <m/>
  </r>
  <r>
    <s v="Nikhil Pandit"/>
    <s v="OG-19-2001-3315-00000015"/>
    <x v="0"/>
    <x v="29"/>
    <d v="2019-04-01T00:00:00"/>
    <x v="4"/>
    <n v="12"/>
    <s v="Shivani Sharma"/>
    <x v="0"/>
    <s v="Global Client Network (GNB Inward)"/>
    <s v="Renewal"/>
    <n v="0"/>
    <d v="2018-08-02T00:00:00"/>
    <s v="Brokerage"/>
    <x v="0"/>
    <s v="OTHR - Other"/>
    <d v="2020-01-22T00:00:00"/>
    <s v="Other"/>
    <s v="VS.-D &amp; O"/>
    <s v="OPP1900002104"/>
    <s v="Shivani Sharma"/>
    <n v="0"/>
    <n v="50000"/>
    <d v="2020-03-31T00:00:00"/>
    <s v="Qualify Opportunity"/>
    <s v="Ahmedabad"/>
    <s v="Liability"/>
    <s v="Financial Lines"/>
    <s v="Director &amp;amp; Officers / Management  Liability"/>
    <m/>
    <m/>
    <s v="Madison Robinson"/>
    <d v="2020-01-21T00:00:00"/>
    <m/>
    <m/>
    <m/>
    <m/>
    <m/>
  </r>
  <r>
    <s v="Nikhil Pandit"/>
    <s v="OG-19-2001-3315-00000015"/>
    <x v="0"/>
    <x v="29"/>
    <d v="2019-04-01T00:00:00"/>
    <x v="4"/>
    <n v="12"/>
    <s v="Shivani Sharma"/>
    <x v="0"/>
    <s v="Global Client Network (GNB Inward)"/>
    <s v="Renewal"/>
    <n v="0"/>
    <d v="2018-08-02T00:00:00"/>
    <s v="Brokerage"/>
    <x v="0"/>
    <s v="OTHR - Other"/>
    <d v="2020-01-22T00:00:00"/>
    <s v="Other"/>
    <s v="VS.-D &amp; O"/>
    <s v="OPP1900002104"/>
    <s v="Shivani Sharma"/>
    <n v="0"/>
    <n v="50000"/>
    <d v="2020-03-31T00:00:00"/>
    <s v="Qualify Opportunity"/>
    <s v="Ahmedabad"/>
    <s v="Liability"/>
    <s v="Financial Lines"/>
    <s v="Director &amp;amp; Officers / Management  Liability"/>
    <m/>
    <m/>
    <s v="David Hall"/>
    <d v="2020-01-21T00:00:00"/>
    <m/>
    <m/>
    <m/>
    <m/>
    <m/>
  </r>
  <r>
    <s v="Nikhil Pandit"/>
    <s v="OG-19-2001-3315-00000015"/>
    <x v="0"/>
    <x v="29"/>
    <d v="2019-04-01T00:00:00"/>
    <x v="4"/>
    <n v="12"/>
    <s v="Shivani Sharma"/>
    <x v="0"/>
    <s v="Global Client Network (GNB Inward)"/>
    <s v="Renewal"/>
    <n v="0"/>
    <d v="2018-08-02T00:00:00"/>
    <s v="Brokerage"/>
    <x v="0"/>
    <s v="OTHR - Other"/>
    <d v="2020-01-22T00:00:00"/>
    <s v="Other"/>
    <s v="VS.-D &amp; O"/>
    <s v="OPP1900002104"/>
    <s v="Shivani Sharma"/>
    <n v="0"/>
    <n v="50000"/>
    <d v="2020-03-31T00:00:00"/>
    <s v="Qualify Opportunity"/>
    <s v="Ahmedabad"/>
    <s v="Liability"/>
    <s v="Financial Lines"/>
    <s v="Director &amp;amp; Officers / Management  Liability"/>
    <m/>
    <m/>
    <s v="Lily Young"/>
    <d v="2020-01-21T00:00:00"/>
    <m/>
    <m/>
    <m/>
    <m/>
    <m/>
  </r>
  <r>
    <s v="Nikhil Pandit"/>
    <s v="OG-19-2001-3315-00000015"/>
    <x v="0"/>
    <x v="29"/>
    <d v="2019-04-01T00:00:00"/>
    <x v="4"/>
    <n v="12"/>
    <s v="Shivani Sharma"/>
    <x v="0"/>
    <s v="Global Client Network (GNB Inward)"/>
    <s v="Renewal"/>
    <n v="0"/>
    <d v="2018-08-02T00:00:00"/>
    <s v="Brokerage"/>
    <x v="0"/>
    <s v="OTHR - Other"/>
    <d v="2020-01-22T00:00:00"/>
    <s v="Other"/>
    <s v="VS.-D &amp; O"/>
    <s v="OPP1900002104"/>
    <s v="Shivani Sharma"/>
    <n v="0"/>
    <n v="50000"/>
    <d v="2020-03-31T00:00:00"/>
    <s v="Qualify Opportunity"/>
    <s v="Ahmedabad"/>
    <s v="Liability"/>
    <s v="Financial Lines"/>
    <s v="Director &amp;amp; Officers / Management  Liability"/>
    <m/>
    <m/>
    <s v="Samuel Allen"/>
    <d v="2020-01-22T00:00:00"/>
    <m/>
    <m/>
    <m/>
    <m/>
    <m/>
  </r>
  <r>
    <s v="Vivek Rana"/>
    <s v="4005/134645920/01/000"/>
    <x v="1"/>
    <x v="30"/>
    <d v="2019-06-28T00:00:00"/>
    <x v="3"/>
    <n v="10"/>
    <s v="Mark"/>
    <x v="0"/>
    <s v="Employee Benefits (EB)"/>
    <s v="Renewal"/>
    <n v="4330.05"/>
    <d v="2018-06-29T00:00:00"/>
    <s v="Brokerage"/>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Vivek Rana"/>
    <s v="4005/134645920/01/000"/>
    <x v="1"/>
    <x v="30"/>
    <d v="2019-06-28T00:00:00"/>
    <x v="3"/>
    <n v="10"/>
    <s v="Mark"/>
    <x v="0"/>
    <s v="Employee Benefits (EB)"/>
    <s v="Renewal"/>
    <n v="4330.05"/>
    <d v="2018-06-29T00:00:00"/>
    <s v="Brokerage"/>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Vivek Rana"/>
    <s v="4005/134645920/01/000"/>
    <x v="1"/>
    <x v="30"/>
    <d v="2019-06-28T00:00:00"/>
    <x v="3"/>
    <n v="10"/>
    <s v="Mark"/>
    <x v="0"/>
    <s v="Employee Benefits (EB)"/>
    <s v="Renewal"/>
    <n v="4330.05"/>
    <d v="2018-06-29T00:00:00"/>
    <s v="Brokerage"/>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Vivek Rana"/>
    <s v="4005/134645920/01/000"/>
    <x v="1"/>
    <x v="30"/>
    <d v="2019-06-28T00:00:00"/>
    <x v="3"/>
    <n v="10"/>
    <s v="Mark"/>
    <x v="0"/>
    <s v="Employee Benefits (EB)"/>
    <s v="Renewal"/>
    <n v="4330.05"/>
    <d v="2018-06-29T00:00:00"/>
    <s v="Brokerage"/>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Vivek Rana"/>
    <s v="4005/134645920/01/000"/>
    <x v="1"/>
    <x v="30"/>
    <d v="2019-06-28T00:00:00"/>
    <x v="3"/>
    <n v="10"/>
    <s v="Mark"/>
    <x v="0"/>
    <s v="Employee Benefits (EB)"/>
    <s v="Renewal"/>
    <n v="4330.05"/>
    <d v="2018-06-29T00:00:00"/>
    <s v="Brokerage"/>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Vivek Rana"/>
    <s v="4005/134645920/01/000"/>
    <x v="1"/>
    <x v="30"/>
    <d v="2019-06-28T00:00:00"/>
    <x v="3"/>
    <n v="10"/>
    <s v="Mark"/>
    <x v="0"/>
    <s v="Employee Benefits (EB)"/>
    <s v="Renewal"/>
    <n v="4330.05"/>
    <d v="2018-06-29T00:00:00"/>
    <s v="Brokerage"/>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Vivek Rana"/>
    <s v="4005/134645920/01/000"/>
    <x v="1"/>
    <x v="30"/>
    <d v="2019-06-28T00:00:00"/>
    <x v="3"/>
    <n v="10"/>
    <s v="Mark"/>
    <x v="0"/>
    <s v="Employee Benefits (EB)"/>
    <s v="Renewal"/>
    <n v="4330.05"/>
    <d v="2018-06-29T00:00:00"/>
    <s v="Brokerage"/>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Vivek Rana"/>
    <s v="4005/134645920/01/000"/>
    <x v="1"/>
    <x v="30"/>
    <d v="2019-06-28T00:00:00"/>
    <x v="3"/>
    <n v="10"/>
    <s v="Mark"/>
    <x v="0"/>
    <s v="Employee Benefits (EB)"/>
    <s v="Renewal"/>
    <n v="4330.05"/>
    <d v="2018-06-29T00:00:00"/>
    <s v="Brokerage"/>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Vivek Rana"/>
    <s v="4005/134645920/01/000"/>
    <x v="1"/>
    <x v="30"/>
    <d v="2019-06-28T00:00:00"/>
    <x v="3"/>
    <n v="10"/>
    <s v="Mark"/>
    <x v="0"/>
    <s v="Employee Benefits (EB)"/>
    <s v="Renewal"/>
    <n v="4330.05"/>
    <d v="2018-06-29T00:00:00"/>
    <s v="Brokerage"/>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Vivek Rana"/>
    <s v="4005/134645920/01/000"/>
    <x v="1"/>
    <x v="30"/>
    <d v="2019-06-28T00:00:00"/>
    <x v="3"/>
    <n v="10"/>
    <s v="Mark"/>
    <x v="0"/>
    <s v="Employee Benefits (EB)"/>
    <s v="Renewal"/>
    <n v="4330.05"/>
    <d v="2018-06-29T00:00:00"/>
    <s v="Brokerage"/>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Hemant Nair"/>
    <s v="4005/134645920/01/000"/>
    <x v="1"/>
    <x v="30"/>
    <d v="2019-06-28T00:00:00"/>
    <x v="3"/>
    <n v="10"/>
    <s v="Mark"/>
    <x v="0"/>
    <s v="Employee Benefits (EB)"/>
    <s v="Renewal"/>
    <n v="13134.29"/>
    <d v="2018-07-05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Hemant Nair"/>
    <s v="4005/134645920/01/000"/>
    <x v="1"/>
    <x v="30"/>
    <d v="2019-06-28T00:00:00"/>
    <x v="3"/>
    <n v="10"/>
    <s v="Mark"/>
    <x v="0"/>
    <s v="Employee Benefits (EB)"/>
    <s v="Renewal"/>
    <n v="13134.29"/>
    <d v="2018-07-05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Hemant Nair"/>
    <s v="4005/134645920/01/000"/>
    <x v="1"/>
    <x v="30"/>
    <d v="2019-06-28T00:00:00"/>
    <x v="3"/>
    <n v="10"/>
    <s v="Mark"/>
    <x v="0"/>
    <s v="Employee Benefits (EB)"/>
    <s v="Renewal"/>
    <n v="13134.29"/>
    <d v="2018-07-05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Hemant Nair"/>
    <s v="4005/134645920/01/000"/>
    <x v="1"/>
    <x v="30"/>
    <d v="2019-06-28T00:00:00"/>
    <x v="3"/>
    <n v="10"/>
    <s v="Mark"/>
    <x v="0"/>
    <s v="Employee Benefits (EB)"/>
    <s v="Renewal"/>
    <n v="13134.29"/>
    <d v="2018-07-05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Hemant Nair"/>
    <s v="4005/134645920/01/000"/>
    <x v="1"/>
    <x v="30"/>
    <d v="2019-06-28T00:00:00"/>
    <x v="3"/>
    <n v="10"/>
    <s v="Mark"/>
    <x v="0"/>
    <s v="Employee Benefits (EB)"/>
    <s v="Renewal"/>
    <n v="13134.29"/>
    <d v="2018-07-05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Hemant Nair"/>
    <s v="4005/134645920/01/000"/>
    <x v="1"/>
    <x v="30"/>
    <d v="2019-06-28T00:00:00"/>
    <x v="3"/>
    <n v="10"/>
    <s v="Mark"/>
    <x v="0"/>
    <s v="Employee Benefits (EB)"/>
    <s v="Renewal"/>
    <n v="13134.29"/>
    <d v="2018-07-05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Hemant Nair"/>
    <s v="4005/134645920/01/000"/>
    <x v="1"/>
    <x v="30"/>
    <d v="2019-06-28T00:00:00"/>
    <x v="3"/>
    <n v="10"/>
    <s v="Mark"/>
    <x v="0"/>
    <s v="Employee Benefits (EB)"/>
    <s v="Renewal"/>
    <n v="13134.29"/>
    <d v="2018-07-05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Hemant Nair"/>
    <s v="4005/134645920/01/000"/>
    <x v="1"/>
    <x v="30"/>
    <d v="2019-06-28T00:00:00"/>
    <x v="3"/>
    <n v="10"/>
    <s v="Mark"/>
    <x v="0"/>
    <s v="Employee Benefits (EB)"/>
    <s v="Renewal"/>
    <n v="13134.29"/>
    <d v="2018-07-05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Hemant Nair"/>
    <s v="4005/134645920/01/000"/>
    <x v="1"/>
    <x v="30"/>
    <d v="2019-06-28T00:00:00"/>
    <x v="3"/>
    <n v="10"/>
    <s v="Mark"/>
    <x v="0"/>
    <s v="Employee Benefits (EB)"/>
    <s v="Renewal"/>
    <n v="13134.29"/>
    <d v="2018-07-05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Hemant Nair"/>
    <s v="4005/134645920/01/000"/>
    <x v="1"/>
    <x v="30"/>
    <d v="2019-06-28T00:00:00"/>
    <x v="3"/>
    <n v="10"/>
    <s v="Mark"/>
    <x v="0"/>
    <s v="Employee Benefits (EB)"/>
    <s v="Renewal"/>
    <n v="13134.29"/>
    <d v="2018-07-05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Veena Bhargava"/>
    <s v="4005/134645920/02/000"/>
    <x v="0"/>
    <x v="31"/>
    <d v="2020-06-28T00:00:00"/>
    <x v="3"/>
    <n v="10"/>
    <s v="Mark"/>
    <x v="0"/>
    <s v="Employee Benefits (EB)"/>
    <s v="Renewal"/>
    <n v="8604.68"/>
    <d v="2019-06-29T00:00:00"/>
    <s v="Brokerage"/>
    <x v="1"/>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Veena Bhargava"/>
    <s v="4005/134645920/02/000"/>
    <x v="0"/>
    <x v="31"/>
    <d v="2020-06-28T00:00:00"/>
    <x v="3"/>
    <n v="10"/>
    <s v="Mark"/>
    <x v="0"/>
    <s v="Employee Benefits (EB)"/>
    <s v="Renewal"/>
    <n v="8604.68"/>
    <d v="2019-06-29T00:00:00"/>
    <s v="Brokerage"/>
    <x v="1"/>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Veena Bhargava"/>
    <s v="4005/134645920/02/000"/>
    <x v="0"/>
    <x v="31"/>
    <d v="2020-06-28T00:00:00"/>
    <x v="3"/>
    <n v="10"/>
    <s v="Mark"/>
    <x v="0"/>
    <s v="Employee Benefits (EB)"/>
    <s v="Renewal"/>
    <n v="8604.68"/>
    <d v="2019-06-29T00:00:00"/>
    <s v="Brokerage"/>
    <x v="1"/>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Veena Bhargava"/>
    <s v="4005/134645920/02/000"/>
    <x v="0"/>
    <x v="31"/>
    <d v="2020-06-28T00:00:00"/>
    <x v="3"/>
    <n v="10"/>
    <s v="Mark"/>
    <x v="0"/>
    <s v="Employee Benefits (EB)"/>
    <s v="Renewal"/>
    <n v="8604.68"/>
    <d v="2019-06-29T00:00:00"/>
    <s v="Brokerage"/>
    <x v="1"/>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Veena Bhargava"/>
    <s v="4005/134645920/02/000"/>
    <x v="0"/>
    <x v="31"/>
    <d v="2020-06-28T00:00:00"/>
    <x v="3"/>
    <n v="10"/>
    <s v="Mark"/>
    <x v="0"/>
    <s v="Employee Benefits (EB)"/>
    <s v="Renewal"/>
    <n v="8604.68"/>
    <d v="2019-06-29T00:00:00"/>
    <s v="Brokerage"/>
    <x v="1"/>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Veena Bhargava"/>
    <s v="4005/134645920/02/000"/>
    <x v="0"/>
    <x v="31"/>
    <d v="2020-06-28T00:00:00"/>
    <x v="3"/>
    <n v="10"/>
    <s v="Mark"/>
    <x v="0"/>
    <s v="Employee Benefits (EB)"/>
    <s v="Renewal"/>
    <n v="8604.68"/>
    <d v="2019-06-29T00:00:00"/>
    <s v="Brokerage"/>
    <x v="1"/>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Veena Bhargava"/>
    <s v="4005/134645920/02/000"/>
    <x v="0"/>
    <x v="31"/>
    <d v="2020-06-28T00:00:00"/>
    <x v="3"/>
    <n v="10"/>
    <s v="Mark"/>
    <x v="0"/>
    <s v="Employee Benefits (EB)"/>
    <s v="Renewal"/>
    <n v="8604.68"/>
    <d v="2019-06-29T00:00:00"/>
    <s v="Brokerage"/>
    <x v="1"/>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Veena Bhargava"/>
    <s v="4005/134645920/02/000"/>
    <x v="0"/>
    <x v="31"/>
    <d v="2020-06-28T00:00:00"/>
    <x v="3"/>
    <n v="10"/>
    <s v="Mark"/>
    <x v="0"/>
    <s v="Employee Benefits (EB)"/>
    <s v="Renewal"/>
    <n v="8604.68"/>
    <d v="2019-06-29T00:00:00"/>
    <s v="Brokerage"/>
    <x v="1"/>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Veena Bhargava"/>
    <s v="4005/134645920/02/000"/>
    <x v="0"/>
    <x v="31"/>
    <d v="2020-06-28T00:00:00"/>
    <x v="3"/>
    <n v="10"/>
    <s v="Mark"/>
    <x v="0"/>
    <s v="Employee Benefits (EB)"/>
    <s v="Renewal"/>
    <n v="8604.68"/>
    <d v="2019-06-29T00:00:00"/>
    <s v="Brokerage"/>
    <x v="1"/>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Veena Bhargava"/>
    <s v="4005/134645920/02/000"/>
    <x v="0"/>
    <x v="31"/>
    <d v="2020-06-28T00:00:00"/>
    <x v="3"/>
    <n v="10"/>
    <s v="Mark"/>
    <x v="0"/>
    <s v="Employee Benefits (EB)"/>
    <s v="Renewal"/>
    <n v="8604.68"/>
    <d v="2019-06-29T00:00:00"/>
    <s v="Brokerage"/>
    <x v="1"/>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Shivam Shah"/>
    <s v="4016/133979727/01/000"/>
    <x v="1"/>
    <x v="30"/>
    <d v="2019-06-28T00:00:00"/>
    <x v="3"/>
    <n v="10"/>
    <s v="Mark"/>
    <x v="0"/>
    <s v="Employee Benefits (EB)"/>
    <s v="Renewal"/>
    <n v="41313.599999999999"/>
    <d v="2018-06-29T00:00:00"/>
    <s v="Brokerage"/>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Shivam Shah"/>
    <s v="4016/133979727/01/000"/>
    <x v="1"/>
    <x v="30"/>
    <d v="2019-06-28T00:00:00"/>
    <x v="3"/>
    <n v="10"/>
    <s v="Mark"/>
    <x v="0"/>
    <s v="Employee Benefits (EB)"/>
    <s v="Renewal"/>
    <n v="41313.599999999999"/>
    <d v="2018-06-29T00:00:00"/>
    <s v="Brokerage"/>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Shivam Shah"/>
    <s v="4016/133979727/01/000"/>
    <x v="1"/>
    <x v="30"/>
    <d v="2019-06-28T00:00:00"/>
    <x v="3"/>
    <n v="10"/>
    <s v="Mark"/>
    <x v="0"/>
    <s v="Employee Benefits (EB)"/>
    <s v="Renewal"/>
    <n v="41313.599999999999"/>
    <d v="2018-06-29T00:00:00"/>
    <s v="Brokerage"/>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Shivam Shah"/>
    <s v="4016/133979727/01/000"/>
    <x v="1"/>
    <x v="30"/>
    <d v="2019-06-28T00:00:00"/>
    <x v="3"/>
    <n v="10"/>
    <s v="Mark"/>
    <x v="0"/>
    <s v="Employee Benefits (EB)"/>
    <s v="Renewal"/>
    <n v="41313.599999999999"/>
    <d v="2018-06-29T00:00:00"/>
    <s v="Brokerage"/>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Shivam Shah"/>
    <s v="4016/133979727/01/000"/>
    <x v="1"/>
    <x v="30"/>
    <d v="2019-06-28T00:00:00"/>
    <x v="3"/>
    <n v="10"/>
    <s v="Mark"/>
    <x v="0"/>
    <s v="Employee Benefits (EB)"/>
    <s v="Renewal"/>
    <n v="41313.599999999999"/>
    <d v="2018-06-29T00:00:00"/>
    <s v="Brokerage"/>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Shivam Shah"/>
    <s v="4016/133979727/01/000"/>
    <x v="1"/>
    <x v="30"/>
    <d v="2019-06-28T00:00:00"/>
    <x v="3"/>
    <n v="10"/>
    <s v="Mark"/>
    <x v="0"/>
    <s v="Employee Benefits (EB)"/>
    <s v="Renewal"/>
    <n v="41313.599999999999"/>
    <d v="2018-06-29T00:00:00"/>
    <s v="Brokerage"/>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Shivam Shah"/>
    <s v="4016/133979727/01/000"/>
    <x v="1"/>
    <x v="30"/>
    <d v="2019-06-28T00:00:00"/>
    <x v="3"/>
    <n v="10"/>
    <s v="Mark"/>
    <x v="0"/>
    <s v="Employee Benefits (EB)"/>
    <s v="Renewal"/>
    <n v="41313.599999999999"/>
    <d v="2018-06-29T00:00:00"/>
    <s v="Brokerage"/>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Shivam Shah"/>
    <s v="4016/133979727/01/000"/>
    <x v="1"/>
    <x v="30"/>
    <d v="2019-06-28T00:00:00"/>
    <x v="3"/>
    <n v="10"/>
    <s v="Mark"/>
    <x v="0"/>
    <s v="Employee Benefits (EB)"/>
    <s v="Renewal"/>
    <n v="41313.599999999999"/>
    <d v="2018-06-29T00:00:00"/>
    <s v="Brokerage"/>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Shivam Shah"/>
    <s v="4016/133979727/01/000"/>
    <x v="1"/>
    <x v="30"/>
    <d v="2019-06-28T00:00:00"/>
    <x v="3"/>
    <n v="10"/>
    <s v="Mark"/>
    <x v="0"/>
    <s v="Employee Benefits (EB)"/>
    <s v="Renewal"/>
    <n v="41313.599999999999"/>
    <d v="2018-06-29T00:00:00"/>
    <s v="Brokerage"/>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Shivam Shah"/>
    <s v="4016/133979727/01/000"/>
    <x v="1"/>
    <x v="30"/>
    <d v="2019-06-28T00:00:00"/>
    <x v="3"/>
    <n v="10"/>
    <s v="Mark"/>
    <x v="0"/>
    <s v="Employee Benefits (EB)"/>
    <s v="Renewal"/>
    <n v="41313.599999999999"/>
    <d v="2018-06-29T00:00:00"/>
    <s v="Brokerage"/>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Bhavna Bhandari"/>
    <s v="4016/133979727/01/000"/>
    <x v="1"/>
    <x v="30"/>
    <d v="2019-06-28T00:00:00"/>
    <x v="3"/>
    <n v="10"/>
    <s v="Mark"/>
    <x v="0"/>
    <s v="Employee Benefits (EB)"/>
    <s v="Renewal"/>
    <n v="13134.29"/>
    <d v="2018-07-31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Bhavna Bhandari"/>
    <s v="4016/133979727/01/000"/>
    <x v="1"/>
    <x v="30"/>
    <d v="2019-06-28T00:00:00"/>
    <x v="3"/>
    <n v="10"/>
    <s v="Mark"/>
    <x v="0"/>
    <s v="Employee Benefits (EB)"/>
    <s v="Renewal"/>
    <n v="13134.29"/>
    <d v="2018-07-31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Bhavna Bhandari"/>
    <s v="4016/133979727/01/000"/>
    <x v="1"/>
    <x v="30"/>
    <d v="2019-06-28T00:00:00"/>
    <x v="3"/>
    <n v="10"/>
    <s v="Mark"/>
    <x v="0"/>
    <s v="Employee Benefits (EB)"/>
    <s v="Renewal"/>
    <n v="13134.29"/>
    <d v="2018-07-31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Bhavna Bhandari"/>
    <s v="4016/133979727/01/000"/>
    <x v="1"/>
    <x v="30"/>
    <d v="2019-06-28T00:00:00"/>
    <x v="3"/>
    <n v="10"/>
    <s v="Mark"/>
    <x v="0"/>
    <s v="Employee Benefits (EB)"/>
    <s v="Renewal"/>
    <n v="13134.29"/>
    <d v="2018-07-31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Bhavna Bhandari"/>
    <s v="4016/133979727/01/000"/>
    <x v="1"/>
    <x v="30"/>
    <d v="2019-06-28T00:00:00"/>
    <x v="3"/>
    <n v="10"/>
    <s v="Mark"/>
    <x v="0"/>
    <s v="Employee Benefits (EB)"/>
    <s v="Renewal"/>
    <n v="13134.29"/>
    <d v="2018-07-31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Bhavna Bhandari"/>
    <s v="4016/133979727/01/000"/>
    <x v="1"/>
    <x v="30"/>
    <d v="2019-06-28T00:00:00"/>
    <x v="3"/>
    <n v="10"/>
    <s v="Mark"/>
    <x v="0"/>
    <s v="Employee Benefits (EB)"/>
    <s v="Renewal"/>
    <n v="13134.29"/>
    <d v="2018-07-31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Bhavna Bhandari"/>
    <s v="4016/133979727/01/000"/>
    <x v="1"/>
    <x v="30"/>
    <d v="2019-06-28T00:00:00"/>
    <x v="3"/>
    <n v="10"/>
    <s v="Mark"/>
    <x v="0"/>
    <s v="Employee Benefits (EB)"/>
    <s v="Renewal"/>
    <n v="13134.29"/>
    <d v="2018-07-31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Bhavna Bhandari"/>
    <s v="4016/133979727/01/000"/>
    <x v="1"/>
    <x v="30"/>
    <d v="2019-06-28T00:00:00"/>
    <x v="3"/>
    <n v="10"/>
    <s v="Mark"/>
    <x v="0"/>
    <s v="Employee Benefits (EB)"/>
    <s v="Renewal"/>
    <n v="13134.29"/>
    <d v="2018-07-31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Bhavna Bhandari"/>
    <s v="4016/133979727/01/000"/>
    <x v="1"/>
    <x v="30"/>
    <d v="2019-06-28T00:00:00"/>
    <x v="3"/>
    <n v="10"/>
    <s v="Mark"/>
    <x v="0"/>
    <s v="Employee Benefits (EB)"/>
    <s v="Renewal"/>
    <n v="13134.29"/>
    <d v="2018-07-31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Bhavna Bhandari"/>
    <s v="4016/133979727/01/000"/>
    <x v="1"/>
    <x v="30"/>
    <d v="2019-06-28T00:00:00"/>
    <x v="3"/>
    <n v="10"/>
    <s v="Mark"/>
    <x v="0"/>
    <s v="Employee Benefits (EB)"/>
    <s v="Renewal"/>
    <n v="13134.29"/>
    <d v="2018-07-31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Tarun Shah"/>
    <s v="4016/133979727/02/000"/>
    <x v="0"/>
    <x v="31"/>
    <d v="2020-06-28T00:00:00"/>
    <x v="3"/>
    <n v="10"/>
    <s v="Mark"/>
    <x v="0"/>
    <s v="Employee Benefits (EB)"/>
    <s v="Renewal"/>
    <n v="74672.78"/>
    <d v="2019-06-29T00:00:00"/>
    <s v="Brokerage"/>
    <x v="1"/>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Tarun Shah"/>
    <s v="4016/133979727/02/000"/>
    <x v="0"/>
    <x v="31"/>
    <d v="2020-06-28T00:00:00"/>
    <x v="3"/>
    <n v="10"/>
    <s v="Mark"/>
    <x v="0"/>
    <s v="Employee Benefits (EB)"/>
    <s v="Renewal"/>
    <n v="74672.78"/>
    <d v="2019-06-29T00:00:00"/>
    <s v="Brokerage"/>
    <x v="1"/>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Tarun Shah"/>
    <s v="4016/133979727/02/000"/>
    <x v="0"/>
    <x v="31"/>
    <d v="2020-06-28T00:00:00"/>
    <x v="3"/>
    <n v="10"/>
    <s v="Mark"/>
    <x v="0"/>
    <s v="Employee Benefits (EB)"/>
    <s v="Renewal"/>
    <n v="74672.78"/>
    <d v="2019-06-29T00:00:00"/>
    <s v="Brokerage"/>
    <x v="1"/>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Tarun Shah"/>
    <s v="4016/133979727/02/000"/>
    <x v="0"/>
    <x v="31"/>
    <d v="2020-06-28T00:00:00"/>
    <x v="3"/>
    <n v="10"/>
    <s v="Mark"/>
    <x v="0"/>
    <s v="Employee Benefits (EB)"/>
    <s v="Renewal"/>
    <n v="74672.78"/>
    <d v="2019-06-29T00:00:00"/>
    <s v="Brokerage"/>
    <x v="1"/>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Tarun Shah"/>
    <s v="4016/133979727/02/000"/>
    <x v="0"/>
    <x v="31"/>
    <d v="2020-06-28T00:00:00"/>
    <x v="3"/>
    <n v="10"/>
    <s v="Mark"/>
    <x v="0"/>
    <s v="Employee Benefits (EB)"/>
    <s v="Renewal"/>
    <n v="74672.78"/>
    <d v="2019-06-29T00:00:00"/>
    <s v="Brokerage"/>
    <x v="1"/>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Tarun Shah"/>
    <s v="4016/133979727/02/000"/>
    <x v="0"/>
    <x v="31"/>
    <d v="2020-06-28T00:00:00"/>
    <x v="3"/>
    <n v="10"/>
    <s v="Mark"/>
    <x v="0"/>
    <s v="Employee Benefits (EB)"/>
    <s v="Renewal"/>
    <n v="74672.78"/>
    <d v="2019-06-29T00:00:00"/>
    <s v="Brokerage"/>
    <x v="1"/>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Tarun Shah"/>
    <s v="4016/133979727/02/000"/>
    <x v="0"/>
    <x v="31"/>
    <d v="2020-06-28T00:00:00"/>
    <x v="3"/>
    <n v="10"/>
    <s v="Mark"/>
    <x v="0"/>
    <s v="Employee Benefits (EB)"/>
    <s v="Renewal"/>
    <n v="74672.78"/>
    <d v="2019-06-29T00:00:00"/>
    <s v="Brokerage"/>
    <x v="1"/>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Tarun Shah"/>
    <s v="4016/133979727/02/000"/>
    <x v="0"/>
    <x v="31"/>
    <d v="2020-06-28T00:00:00"/>
    <x v="3"/>
    <n v="10"/>
    <s v="Mark"/>
    <x v="0"/>
    <s v="Employee Benefits (EB)"/>
    <s v="Renewal"/>
    <n v="74672.78"/>
    <d v="2019-06-29T00:00:00"/>
    <s v="Brokerage"/>
    <x v="1"/>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Tarun Shah"/>
    <s v="4016/133979727/02/000"/>
    <x v="0"/>
    <x v="31"/>
    <d v="2020-06-28T00:00:00"/>
    <x v="3"/>
    <n v="10"/>
    <s v="Mark"/>
    <x v="0"/>
    <s v="Employee Benefits (EB)"/>
    <s v="Renewal"/>
    <n v="74672.78"/>
    <d v="2019-06-29T00:00:00"/>
    <s v="Brokerage"/>
    <x v="1"/>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Tarun Shah"/>
    <s v="4016/133979727/02/000"/>
    <x v="0"/>
    <x v="31"/>
    <d v="2020-06-28T00:00:00"/>
    <x v="3"/>
    <n v="10"/>
    <s v="Mark"/>
    <x v="0"/>
    <s v="Employee Benefits (EB)"/>
    <s v="Renewal"/>
    <n v="74672.78"/>
    <d v="2019-06-29T00:00:00"/>
    <s v="Brokerage"/>
    <x v="1"/>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Hemant Chauhan"/>
    <s v="0865078861 00"/>
    <x v="0"/>
    <x v="32"/>
    <d v="2019-01-02T00:00:00"/>
    <x v="0"/>
    <n v="12"/>
    <s v="Shivani Sharma"/>
    <x v="0"/>
    <s v="Global Client Network (GNB Inward)"/>
    <s v="Renewal"/>
    <n v="66622.350000000006"/>
    <d v="2018-01-03T00:00:00"/>
    <s v="Brokerage"/>
    <x v="0"/>
    <s v="OTHR - Other"/>
    <d v="2020-01-22T00:00:00"/>
    <s v="Other"/>
    <s v="VS.-Marine"/>
    <s v="OPP1900001056"/>
    <s v="Shivani Sharma"/>
    <n v="0"/>
    <n v="200000"/>
    <d v="2020-03-31T00:00:00"/>
    <s v="Qualify Opportunity"/>
    <s v="Ahmedabad"/>
    <s v="Marine"/>
    <s v="Marine Hull"/>
    <s v="Charterers' Liability Policy"/>
    <m/>
    <m/>
    <s v="Madison Robinson"/>
    <d v="2020-01-21T00:00:00"/>
    <m/>
    <m/>
    <m/>
    <m/>
    <m/>
  </r>
  <r>
    <s v="Hemant Chauhan"/>
    <s v="0865078861 00"/>
    <x v="0"/>
    <x v="32"/>
    <d v="2019-01-02T00:00:00"/>
    <x v="0"/>
    <n v="12"/>
    <s v="Shivani Sharma"/>
    <x v="0"/>
    <s v="Global Client Network (GNB Inward)"/>
    <s v="Renewal"/>
    <n v="66622.350000000006"/>
    <d v="2018-01-03T00:00:00"/>
    <s v="Brokerage"/>
    <x v="0"/>
    <s v="OTHR - Other"/>
    <d v="2020-01-22T00:00:00"/>
    <s v="Other"/>
    <s v="VS.-Marine"/>
    <s v="OPP1900001056"/>
    <s v="Shivani Sharma"/>
    <n v="0"/>
    <n v="200000"/>
    <d v="2020-03-31T00:00:00"/>
    <s v="Qualify Opportunity"/>
    <s v="Ahmedabad"/>
    <s v="Marine"/>
    <s v="Marine Hull"/>
    <s v="Charterers' Liability Policy"/>
    <m/>
    <m/>
    <s v="David Hall"/>
    <d v="2020-01-21T00:00:00"/>
    <m/>
    <m/>
    <m/>
    <m/>
    <m/>
  </r>
  <r>
    <s v="Hemant Chauhan"/>
    <s v="0865078861 00"/>
    <x v="0"/>
    <x v="32"/>
    <d v="2019-01-02T00:00:00"/>
    <x v="0"/>
    <n v="12"/>
    <s v="Shivani Sharma"/>
    <x v="0"/>
    <s v="Global Client Network (GNB Inward)"/>
    <s v="Renewal"/>
    <n v="66622.350000000006"/>
    <d v="2018-01-03T00:00:00"/>
    <s v="Brokerage"/>
    <x v="0"/>
    <s v="OTHR - Other"/>
    <d v="2020-01-22T00:00:00"/>
    <s v="Other"/>
    <s v="VS.-Marine"/>
    <s v="OPP1900001056"/>
    <s v="Shivani Sharma"/>
    <n v="0"/>
    <n v="200000"/>
    <d v="2020-03-31T00:00:00"/>
    <s v="Qualify Opportunity"/>
    <s v="Ahmedabad"/>
    <s v="Marine"/>
    <s v="Marine Hull"/>
    <s v="Charterers' Liability Policy"/>
    <m/>
    <m/>
    <s v="Lily Young"/>
    <d v="2020-01-21T00:00:00"/>
    <m/>
    <m/>
    <m/>
    <m/>
    <m/>
  </r>
  <r>
    <s v="Hemant Chauhan"/>
    <s v="0865078861 00"/>
    <x v="0"/>
    <x v="32"/>
    <d v="2019-01-02T00:00:00"/>
    <x v="0"/>
    <n v="12"/>
    <s v="Shivani Sharma"/>
    <x v="0"/>
    <s v="Global Client Network (GNB Inward)"/>
    <s v="Renewal"/>
    <n v="66622.350000000006"/>
    <d v="2018-01-03T00:00:00"/>
    <s v="Brokerage"/>
    <x v="0"/>
    <s v="OTHR - Other"/>
    <d v="2020-01-22T00:00:00"/>
    <s v="Other"/>
    <s v="VS.-Marine"/>
    <s v="OPP1900001056"/>
    <s v="Shivani Sharma"/>
    <n v="0"/>
    <n v="200000"/>
    <d v="2020-03-31T00:00:00"/>
    <s v="Qualify Opportunity"/>
    <s v="Ahmedabad"/>
    <s v="Marine"/>
    <s v="Marine Hull"/>
    <s v="Charterers' Liability Policy"/>
    <m/>
    <m/>
    <s v="Samuel Allen"/>
    <d v="2020-01-22T00:00:00"/>
    <m/>
    <m/>
    <m/>
    <m/>
    <m/>
  </r>
  <r>
    <s v="Geeta Verma"/>
    <s v="4066/130374729/01/000"/>
    <x v="0"/>
    <x v="14"/>
    <d v="2019-03-31T00:00:00"/>
    <x v="4"/>
    <n v="12"/>
    <s v="Shivani Sharma"/>
    <x v="0"/>
    <s v="Global Client Network (GNB Inward)"/>
    <s v="Renewal"/>
    <n v="0"/>
    <d v="2018-04-01T00:00:00"/>
    <s v="Brokerage"/>
    <x v="0"/>
    <s v="OTHR - Other"/>
    <d v="2020-01-22T00:00:00"/>
    <s v="Other"/>
    <s v="DB- Cyber Liability"/>
    <s v="OPP1900001138"/>
    <s v="Shivani Sharma"/>
    <n v="500000"/>
    <n v="75000"/>
    <d v="2020-05-31T00:00:00"/>
    <s v="Qualify Opportunity"/>
    <s v="Ahmedabad"/>
    <s v="Liability"/>
    <s v="Financial Lines"/>
    <s v="Cyber Liability Insurance"/>
    <m/>
    <m/>
    <s v="Madison Robinson"/>
    <d v="2020-01-21T00:00:00"/>
    <m/>
    <m/>
    <m/>
    <m/>
    <m/>
  </r>
  <r>
    <s v="Geeta Verma"/>
    <s v="4066/130374729/01/000"/>
    <x v="0"/>
    <x v="14"/>
    <d v="2019-03-31T00:00:00"/>
    <x v="4"/>
    <n v="12"/>
    <s v="Shivani Sharma"/>
    <x v="0"/>
    <s v="Global Client Network (GNB Inward)"/>
    <s v="Renewal"/>
    <n v="0"/>
    <d v="2018-04-01T00:00:00"/>
    <s v="Brokerage"/>
    <x v="0"/>
    <s v="OTHR - Other"/>
    <d v="2020-01-22T00:00:00"/>
    <s v="Other"/>
    <s v="DB- Cyber Liability"/>
    <s v="OPP1900001138"/>
    <s v="Shivani Sharma"/>
    <n v="500000"/>
    <n v="75000"/>
    <d v="2020-05-31T00:00:00"/>
    <s v="Qualify Opportunity"/>
    <s v="Ahmedabad"/>
    <s v="Liability"/>
    <s v="Financial Lines"/>
    <s v="Cyber Liability Insurance"/>
    <m/>
    <m/>
    <s v="David Hall"/>
    <d v="2020-01-21T00:00:00"/>
    <m/>
    <m/>
    <m/>
    <m/>
    <m/>
  </r>
  <r>
    <s v="Geeta Verma"/>
    <s v="4066/130374729/01/000"/>
    <x v="0"/>
    <x v="14"/>
    <d v="2019-03-31T00:00:00"/>
    <x v="4"/>
    <n v="12"/>
    <s v="Shivani Sharma"/>
    <x v="0"/>
    <s v="Global Client Network (GNB Inward)"/>
    <s v="Renewal"/>
    <n v="0"/>
    <d v="2018-04-01T00:00:00"/>
    <s v="Brokerage"/>
    <x v="0"/>
    <s v="OTHR - Other"/>
    <d v="2020-01-22T00:00:00"/>
    <s v="Other"/>
    <s v="DB- Cyber Liability"/>
    <s v="OPP1900001138"/>
    <s v="Shivani Sharma"/>
    <n v="500000"/>
    <n v="75000"/>
    <d v="2020-05-31T00:00:00"/>
    <s v="Qualify Opportunity"/>
    <s v="Ahmedabad"/>
    <s v="Liability"/>
    <s v="Financial Lines"/>
    <s v="Cyber Liability Insurance"/>
    <m/>
    <m/>
    <s v="Lily Young"/>
    <d v="2020-01-21T00:00:00"/>
    <m/>
    <m/>
    <m/>
    <m/>
    <m/>
  </r>
  <r>
    <s v="Geeta Verma"/>
    <s v="4066/130374729/01/000"/>
    <x v="0"/>
    <x v="14"/>
    <d v="2019-03-31T00:00:00"/>
    <x v="4"/>
    <n v="12"/>
    <s v="Shivani Sharma"/>
    <x v="0"/>
    <s v="Global Client Network (GNB Inward)"/>
    <s v="Renewal"/>
    <n v="0"/>
    <d v="2018-04-01T00:00:00"/>
    <s v="Brokerage"/>
    <x v="0"/>
    <s v="OTHR - Other"/>
    <d v="2020-01-22T00:00:00"/>
    <s v="Other"/>
    <s v="DB- Cyber Liability"/>
    <s v="OPP1900001138"/>
    <s v="Shivani Sharma"/>
    <n v="500000"/>
    <n v="75000"/>
    <d v="2020-05-31T00:00:00"/>
    <s v="Qualify Opportunity"/>
    <s v="Ahmedabad"/>
    <s v="Liability"/>
    <s v="Financial Lines"/>
    <s v="Cyber Liability Insurance"/>
    <m/>
    <m/>
    <s v="Samuel Allen"/>
    <d v="2020-01-22T00:00:00"/>
    <m/>
    <m/>
    <m/>
    <m/>
    <m/>
  </r>
  <r>
    <s v="Geeta Verma"/>
    <s v="4066/130374729/01/000"/>
    <x v="0"/>
    <x v="14"/>
    <d v="2019-03-31T00:00:00"/>
    <x v="4"/>
    <n v="12"/>
    <s v="Shivani Sharma"/>
    <x v="0"/>
    <s v="Global Client Network (GNB Inward)"/>
    <s v="Renewal"/>
    <n v="0"/>
    <d v="2018-04-01T00:00:00"/>
    <s v="Brokerage"/>
    <x v="0"/>
    <s v="OTHR - Other"/>
    <d v="2020-01-22T00:00:00"/>
    <s v="Other"/>
    <s v="VS.-D &amp; O"/>
    <s v="OPP1900002104"/>
    <s v="Shivani Sharma"/>
    <n v="0"/>
    <n v="50000"/>
    <d v="2020-03-31T00:00:00"/>
    <s v="Qualify Opportunity"/>
    <s v="Ahmedabad"/>
    <s v="Liability"/>
    <s v="Financial Lines"/>
    <s v="Director &amp;amp; Officers / Management  Liability"/>
    <m/>
    <m/>
    <s v="Madison Robinson"/>
    <d v="2020-01-21T00:00:00"/>
    <m/>
    <m/>
    <m/>
    <m/>
    <m/>
  </r>
  <r>
    <s v="Geeta Verma"/>
    <s v="4066/130374729/01/000"/>
    <x v="0"/>
    <x v="14"/>
    <d v="2019-03-31T00:00:00"/>
    <x v="4"/>
    <n v="12"/>
    <s v="Shivani Sharma"/>
    <x v="0"/>
    <s v="Global Client Network (GNB Inward)"/>
    <s v="Renewal"/>
    <n v="0"/>
    <d v="2018-04-01T00:00:00"/>
    <s v="Brokerage"/>
    <x v="0"/>
    <s v="OTHR - Other"/>
    <d v="2020-01-22T00:00:00"/>
    <s v="Other"/>
    <s v="VS.-D &amp; O"/>
    <s v="OPP1900002104"/>
    <s v="Shivani Sharma"/>
    <n v="0"/>
    <n v="50000"/>
    <d v="2020-03-31T00:00:00"/>
    <s v="Qualify Opportunity"/>
    <s v="Ahmedabad"/>
    <s v="Liability"/>
    <s v="Financial Lines"/>
    <s v="Director &amp;amp; Officers / Management  Liability"/>
    <m/>
    <m/>
    <s v="David Hall"/>
    <d v="2020-01-21T00:00:00"/>
    <m/>
    <m/>
    <m/>
    <m/>
    <m/>
  </r>
  <r>
    <s v="Geeta Verma"/>
    <s v="4066/130374729/01/000"/>
    <x v="0"/>
    <x v="14"/>
    <d v="2019-03-31T00:00:00"/>
    <x v="4"/>
    <n v="12"/>
    <s v="Shivani Sharma"/>
    <x v="0"/>
    <s v="Global Client Network (GNB Inward)"/>
    <s v="Renewal"/>
    <n v="0"/>
    <d v="2018-04-01T00:00:00"/>
    <s v="Brokerage"/>
    <x v="0"/>
    <s v="OTHR - Other"/>
    <d v="2020-01-22T00:00:00"/>
    <s v="Other"/>
    <s v="VS.-D &amp; O"/>
    <s v="OPP1900002104"/>
    <s v="Shivani Sharma"/>
    <n v="0"/>
    <n v="50000"/>
    <d v="2020-03-31T00:00:00"/>
    <s v="Qualify Opportunity"/>
    <s v="Ahmedabad"/>
    <s v="Liability"/>
    <s v="Financial Lines"/>
    <s v="Director &amp;amp; Officers / Management  Liability"/>
    <m/>
    <m/>
    <s v="Lily Young"/>
    <d v="2020-01-21T00:00:00"/>
    <m/>
    <m/>
    <m/>
    <m/>
    <m/>
  </r>
  <r>
    <s v="Geeta Verma"/>
    <s v="4066/130374729/01/000"/>
    <x v="0"/>
    <x v="14"/>
    <d v="2019-03-31T00:00:00"/>
    <x v="4"/>
    <n v="12"/>
    <s v="Shivani Sharma"/>
    <x v="0"/>
    <s v="Global Client Network (GNB Inward)"/>
    <s v="Renewal"/>
    <n v="0"/>
    <d v="2018-04-01T00:00:00"/>
    <s v="Brokerage"/>
    <x v="0"/>
    <s v="OTHR - Other"/>
    <d v="2020-01-22T00:00:00"/>
    <s v="Other"/>
    <s v="VS.-D &amp; O"/>
    <s v="OPP1900002104"/>
    <s v="Shivani Sharma"/>
    <n v="0"/>
    <n v="50000"/>
    <d v="2020-03-31T00:00:00"/>
    <s v="Qualify Opportunity"/>
    <s v="Ahmedabad"/>
    <s v="Liability"/>
    <s v="Financial Lines"/>
    <s v="Director &amp;amp; Officers / Management  Liability"/>
    <m/>
    <m/>
    <s v="Samuel Allen"/>
    <d v="2020-01-22T00:00:00"/>
    <m/>
    <m/>
    <m/>
    <m/>
    <m/>
  </r>
  <r>
    <s v="Ashok Patel"/>
    <s v="2002/160040691/00/000"/>
    <x v="1"/>
    <x v="33"/>
    <d v="2019-10-31T00:00:00"/>
    <x v="0"/>
    <n v="1"/>
    <s v="Vinay"/>
    <x v="0"/>
    <s v="Marine"/>
    <s v="Renewal"/>
    <n v="92812.5"/>
    <d v="2018-11-01T00:00:00"/>
    <s v="Brokerage"/>
    <x v="1"/>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Ashok Patel"/>
    <s v="2002/160040691/00/000"/>
    <x v="1"/>
    <x v="33"/>
    <d v="2019-10-31T00:00:00"/>
    <x v="0"/>
    <n v="1"/>
    <s v="Vinay"/>
    <x v="0"/>
    <s v="Marine"/>
    <s v="Renewal"/>
    <n v="92812.5"/>
    <d v="2018-11-01T00:00:00"/>
    <s v="Brokerage"/>
    <x v="1"/>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Ashok Patel"/>
    <s v="2002/160040691/00/000"/>
    <x v="1"/>
    <x v="33"/>
    <d v="2019-10-31T00:00:00"/>
    <x v="0"/>
    <n v="1"/>
    <s v="Vinay"/>
    <x v="0"/>
    <s v="Marine"/>
    <s v="Renewal"/>
    <n v="92812.5"/>
    <d v="2018-11-01T00:00:00"/>
    <s v="Brokerage"/>
    <x v="1"/>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Ashok Patel"/>
    <s v="2002/160040691/00/000"/>
    <x v="1"/>
    <x v="33"/>
    <d v="2019-10-31T00:00:00"/>
    <x v="0"/>
    <n v="1"/>
    <s v="Vinay"/>
    <x v="0"/>
    <s v="Marine"/>
    <s v="Renewal"/>
    <n v="92812.5"/>
    <d v="2018-11-01T00:00:00"/>
    <s v="Brokerage"/>
    <x v="1"/>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Ashok Patel"/>
    <s v="2002/160040691/00/000"/>
    <x v="1"/>
    <x v="33"/>
    <d v="2019-10-31T00:00:00"/>
    <x v="0"/>
    <n v="1"/>
    <s v="Vinay"/>
    <x v="0"/>
    <s v="Marine"/>
    <s v="Renewal"/>
    <n v="92812.5"/>
    <d v="2018-11-01T00:00:00"/>
    <s v="Brokerage"/>
    <x v="1"/>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Ashok Patel"/>
    <s v="2002/160040691/00/000"/>
    <x v="1"/>
    <x v="33"/>
    <d v="2019-10-31T00:00:00"/>
    <x v="0"/>
    <n v="1"/>
    <s v="Vinay"/>
    <x v="0"/>
    <s v="Marine"/>
    <s v="Renewal"/>
    <n v="92812.5"/>
    <d v="2018-11-01T00:00:00"/>
    <s v="Brokerage"/>
    <x v="1"/>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Ashok Patel"/>
    <s v="2002/160040691/00/000"/>
    <x v="1"/>
    <x v="33"/>
    <d v="2019-10-31T00:00:00"/>
    <x v="0"/>
    <n v="1"/>
    <s v="Vinay"/>
    <x v="0"/>
    <s v="Marine"/>
    <s v="Renewal"/>
    <n v="92812.5"/>
    <d v="2018-11-01T00:00:00"/>
    <s v="Brokerage"/>
    <x v="1"/>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Ashok Patel"/>
    <s v="2002/160040691/00/000"/>
    <x v="1"/>
    <x v="33"/>
    <d v="2019-10-31T00:00:00"/>
    <x v="0"/>
    <n v="1"/>
    <s v="Vinay"/>
    <x v="0"/>
    <s v="Marine"/>
    <s v="Renewal"/>
    <n v="92812.5"/>
    <d v="2018-11-01T00:00:00"/>
    <s v="Brokerage"/>
    <x v="1"/>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Ashok Patel"/>
    <s v="2002/160040691/00/000"/>
    <x v="1"/>
    <x v="33"/>
    <d v="2019-10-31T00:00:00"/>
    <x v="0"/>
    <n v="1"/>
    <s v="Vinay"/>
    <x v="0"/>
    <s v="Marine"/>
    <s v="Renewal"/>
    <n v="92812.5"/>
    <d v="2018-11-01T00:00:00"/>
    <s v="Brokerage"/>
    <x v="1"/>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Ashok Patel"/>
    <s v="2002/160040691/00/000"/>
    <x v="1"/>
    <x v="33"/>
    <d v="2019-10-31T00:00:00"/>
    <x v="0"/>
    <n v="1"/>
    <s v="Vinay"/>
    <x v="0"/>
    <s v="Marine"/>
    <s v="Renewal"/>
    <n v="92812.5"/>
    <d v="2018-11-01T00:00:00"/>
    <s v="Brokerage"/>
    <x v="1"/>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Ashok Patel"/>
    <s v="2002/160040691/00/000"/>
    <x v="1"/>
    <x v="33"/>
    <d v="2019-10-31T00:00:00"/>
    <x v="0"/>
    <n v="1"/>
    <s v="Vinay"/>
    <x v="0"/>
    <s v="Marine"/>
    <s v="Renewal"/>
    <n v="92812.5"/>
    <d v="2018-11-01T00:00:00"/>
    <s v="Brokerage"/>
    <x v="1"/>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Ashok Patel"/>
    <s v="2002/160040691/00/000"/>
    <x v="1"/>
    <x v="33"/>
    <d v="2019-10-31T00:00:00"/>
    <x v="0"/>
    <n v="1"/>
    <s v="Vinay"/>
    <x v="0"/>
    <s v="Marine"/>
    <s v="Renewal"/>
    <n v="92812.5"/>
    <d v="2018-11-01T00:00:00"/>
    <s v="Brokerage"/>
    <x v="1"/>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Ashok Patel"/>
    <s v="2002/160040691/00/000"/>
    <x v="1"/>
    <x v="33"/>
    <d v="2019-10-31T00:00:00"/>
    <x v="0"/>
    <n v="1"/>
    <s v="Vinay"/>
    <x v="0"/>
    <s v="Marine"/>
    <s v="Renewal"/>
    <n v="92812.5"/>
    <d v="2018-11-01T00:00:00"/>
    <s v="Brokerage"/>
    <x v="1"/>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Ashok Patel"/>
    <s v="2002/160040691/00/000"/>
    <x v="1"/>
    <x v="33"/>
    <d v="2019-10-31T00:00:00"/>
    <x v="0"/>
    <n v="1"/>
    <s v="Vinay"/>
    <x v="0"/>
    <s v="Marine"/>
    <s v="Renewal"/>
    <n v="92812.5"/>
    <d v="2018-11-01T00:00:00"/>
    <s v="Brokerage"/>
    <x v="1"/>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Ashok Patel"/>
    <s v="2002/160040691/00/000"/>
    <x v="1"/>
    <x v="33"/>
    <d v="2019-10-31T00:00:00"/>
    <x v="0"/>
    <n v="1"/>
    <s v="Vinay"/>
    <x v="0"/>
    <s v="Marine"/>
    <s v="Renewal"/>
    <n v="92812.5"/>
    <d v="2018-11-01T00:00:00"/>
    <s v="Brokerage"/>
    <x v="1"/>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Ashok Patel"/>
    <s v="2002/160040691/00/000"/>
    <x v="1"/>
    <x v="33"/>
    <d v="2019-10-31T00:00:00"/>
    <x v="0"/>
    <n v="1"/>
    <s v="Vinay"/>
    <x v="0"/>
    <s v="Marine"/>
    <s v="Renewal"/>
    <n v="92812.5"/>
    <d v="2018-11-01T00:00:00"/>
    <s v="Brokerage"/>
    <x v="1"/>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Ashok Patel"/>
    <s v="2002/160040691/00/000"/>
    <x v="1"/>
    <x v="33"/>
    <d v="2019-10-31T00:00:00"/>
    <x v="0"/>
    <n v="1"/>
    <s v="Vinay"/>
    <x v="0"/>
    <s v="Marine"/>
    <s v="Renewal"/>
    <n v="92812.5"/>
    <d v="2018-11-01T00:00:00"/>
    <s v="Brokerage"/>
    <x v="1"/>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Ashok Patel"/>
    <s v="2002/160040691/00/000"/>
    <x v="1"/>
    <x v="33"/>
    <d v="2019-10-31T00:00:00"/>
    <x v="0"/>
    <n v="1"/>
    <s v="Vinay"/>
    <x v="0"/>
    <s v="Marine"/>
    <s v="Renewal"/>
    <n v="92812.5"/>
    <d v="2018-11-01T00:00:00"/>
    <s v="Brokerage"/>
    <x v="1"/>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Ashok Patel"/>
    <s v="2002/160040691/00/000"/>
    <x v="1"/>
    <x v="33"/>
    <d v="2019-10-31T00:00:00"/>
    <x v="0"/>
    <n v="1"/>
    <s v="Vinay"/>
    <x v="0"/>
    <s v="Marine"/>
    <s v="Renewal"/>
    <n v="92812.5"/>
    <d v="2018-11-01T00:00:00"/>
    <s v="Brokerage"/>
    <x v="1"/>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Ashok Patel"/>
    <s v="2002/160040691/00/000"/>
    <x v="1"/>
    <x v="33"/>
    <d v="2019-10-31T00:00:00"/>
    <x v="0"/>
    <n v="1"/>
    <s v="Vinay"/>
    <x v="0"/>
    <s v="Marine"/>
    <s v="Renewal"/>
    <n v="92812.5"/>
    <d v="2018-11-01T00:00:00"/>
    <s v="Brokerage"/>
    <x v="1"/>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Gayatri Reddy"/>
    <s v="2002/160040691/01/000"/>
    <x v="0"/>
    <x v="34"/>
    <d v="2020-11-13T00:00:00"/>
    <x v="0"/>
    <n v="1"/>
    <s v="Vinay"/>
    <x v="0"/>
    <s v="Marine"/>
    <s v="Renewal"/>
    <n v="18562.5"/>
    <d v="2019-11-14T00:00:00"/>
    <s v="Brokerage"/>
    <x v="1"/>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Gayatri Reddy"/>
    <s v="2002/160040691/01/000"/>
    <x v="0"/>
    <x v="34"/>
    <d v="2020-11-13T00:00:00"/>
    <x v="0"/>
    <n v="1"/>
    <s v="Vinay"/>
    <x v="0"/>
    <s v="Marine"/>
    <s v="Renewal"/>
    <n v="18562.5"/>
    <d v="2019-11-14T00:00:00"/>
    <s v="Brokerage"/>
    <x v="1"/>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Gayatri Reddy"/>
    <s v="2002/160040691/01/000"/>
    <x v="0"/>
    <x v="34"/>
    <d v="2020-11-13T00:00:00"/>
    <x v="0"/>
    <n v="1"/>
    <s v="Vinay"/>
    <x v="0"/>
    <s v="Marine"/>
    <s v="Renewal"/>
    <n v="18562.5"/>
    <d v="2019-11-14T00:00:00"/>
    <s v="Brokerage"/>
    <x v="1"/>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Gayatri Reddy"/>
    <s v="2002/160040691/01/000"/>
    <x v="0"/>
    <x v="34"/>
    <d v="2020-11-13T00:00:00"/>
    <x v="0"/>
    <n v="1"/>
    <s v="Vinay"/>
    <x v="0"/>
    <s v="Marine"/>
    <s v="Renewal"/>
    <n v="18562.5"/>
    <d v="2019-11-14T00:00:00"/>
    <s v="Brokerage"/>
    <x v="1"/>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Gayatri Reddy"/>
    <s v="2002/160040691/01/000"/>
    <x v="0"/>
    <x v="34"/>
    <d v="2020-11-13T00:00:00"/>
    <x v="0"/>
    <n v="1"/>
    <s v="Vinay"/>
    <x v="0"/>
    <s v="Marine"/>
    <s v="Renewal"/>
    <n v="18562.5"/>
    <d v="2019-11-14T00:00:00"/>
    <s v="Brokerage"/>
    <x v="1"/>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Gayatri Reddy"/>
    <s v="2002/160040691/01/000"/>
    <x v="0"/>
    <x v="34"/>
    <d v="2020-11-13T00:00:00"/>
    <x v="0"/>
    <n v="1"/>
    <s v="Vinay"/>
    <x v="0"/>
    <s v="Marine"/>
    <s v="Renewal"/>
    <n v="18562.5"/>
    <d v="2019-11-14T00:00:00"/>
    <s v="Brokerage"/>
    <x v="1"/>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Gayatri Reddy"/>
    <s v="2002/160040691/01/000"/>
    <x v="0"/>
    <x v="34"/>
    <d v="2020-11-13T00:00:00"/>
    <x v="0"/>
    <n v="1"/>
    <s v="Vinay"/>
    <x v="0"/>
    <s v="Marine"/>
    <s v="Renewal"/>
    <n v="18562.5"/>
    <d v="2019-11-14T00:00:00"/>
    <s v="Brokerage"/>
    <x v="1"/>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Gayatri Reddy"/>
    <s v="2002/160040691/01/000"/>
    <x v="0"/>
    <x v="34"/>
    <d v="2020-11-13T00:00:00"/>
    <x v="0"/>
    <n v="1"/>
    <s v="Vinay"/>
    <x v="0"/>
    <s v="Marine"/>
    <s v="Renewal"/>
    <n v="18562.5"/>
    <d v="2019-11-14T00:00:00"/>
    <s v="Brokerage"/>
    <x v="1"/>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Gayatri Reddy"/>
    <s v="2002/160040691/01/000"/>
    <x v="0"/>
    <x v="34"/>
    <d v="2020-11-13T00:00:00"/>
    <x v="0"/>
    <n v="1"/>
    <s v="Vinay"/>
    <x v="0"/>
    <s v="Marine"/>
    <s v="Renewal"/>
    <n v="18562.5"/>
    <d v="2019-11-14T00:00:00"/>
    <s v="Brokerage"/>
    <x v="1"/>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Gayatri Reddy"/>
    <s v="2002/160040691/01/000"/>
    <x v="0"/>
    <x v="34"/>
    <d v="2020-11-13T00:00:00"/>
    <x v="0"/>
    <n v="1"/>
    <s v="Vinay"/>
    <x v="0"/>
    <s v="Marine"/>
    <s v="Renewal"/>
    <n v="18562.5"/>
    <d v="2019-11-14T00:00:00"/>
    <s v="Brokerage"/>
    <x v="1"/>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Gayatri Reddy"/>
    <s v="2002/160040691/01/000"/>
    <x v="0"/>
    <x v="34"/>
    <d v="2020-11-13T00:00:00"/>
    <x v="0"/>
    <n v="1"/>
    <s v="Vinay"/>
    <x v="0"/>
    <s v="Marine"/>
    <s v="Renewal"/>
    <n v="18562.5"/>
    <d v="2019-11-14T00:00:00"/>
    <s v="Brokerage"/>
    <x v="1"/>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Gayatri Reddy"/>
    <s v="2002/160040691/01/000"/>
    <x v="0"/>
    <x v="34"/>
    <d v="2020-11-13T00:00:00"/>
    <x v="0"/>
    <n v="1"/>
    <s v="Vinay"/>
    <x v="0"/>
    <s v="Marine"/>
    <s v="Renewal"/>
    <n v="18562.5"/>
    <d v="2019-11-14T00:00:00"/>
    <s v="Brokerage"/>
    <x v="1"/>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Gayatri Reddy"/>
    <s v="2002/160040691/01/000"/>
    <x v="0"/>
    <x v="34"/>
    <d v="2020-11-13T00:00:00"/>
    <x v="0"/>
    <n v="1"/>
    <s v="Vinay"/>
    <x v="0"/>
    <s v="Marine"/>
    <s v="Renewal"/>
    <n v="18562.5"/>
    <d v="2019-11-14T00:00:00"/>
    <s v="Brokerage"/>
    <x v="1"/>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Gayatri Reddy"/>
    <s v="2002/160040691/01/000"/>
    <x v="0"/>
    <x v="34"/>
    <d v="2020-11-13T00:00:00"/>
    <x v="0"/>
    <n v="1"/>
    <s v="Vinay"/>
    <x v="0"/>
    <s v="Marine"/>
    <s v="Renewal"/>
    <n v="18562.5"/>
    <d v="2019-11-14T00:00:00"/>
    <s v="Brokerage"/>
    <x v="1"/>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Gayatri Reddy"/>
    <s v="2002/160040691/01/000"/>
    <x v="0"/>
    <x v="34"/>
    <d v="2020-11-13T00:00:00"/>
    <x v="0"/>
    <n v="1"/>
    <s v="Vinay"/>
    <x v="0"/>
    <s v="Marine"/>
    <s v="Renewal"/>
    <n v="18562.5"/>
    <d v="2019-11-14T00:00:00"/>
    <s v="Brokerage"/>
    <x v="1"/>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Gayatri Reddy"/>
    <s v="2002/160040691/01/000"/>
    <x v="0"/>
    <x v="34"/>
    <d v="2020-11-13T00:00:00"/>
    <x v="0"/>
    <n v="1"/>
    <s v="Vinay"/>
    <x v="0"/>
    <s v="Marine"/>
    <s v="Renewal"/>
    <n v="18562.5"/>
    <d v="2019-11-14T00:00:00"/>
    <s v="Brokerage"/>
    <x v="1"/>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Gayatri Reddy"/>
    <s v="2002/160040691/01/000"/>
    <x v="0"/>
    <x v="34"/>
    <d v="2020-11-13T00:00:00"/>
    <x v="0"/>
    <n v="1"/>
    <s v="Vinay"/>
    <x v="0"/>
    <s v="Marine"/>
    <s v="Renewal"/>
    <n v="18562.5"/>
    <d v="2019-11-14T00:00:00"/>
    <s v="Brokerage"/>
    <x v="1"/>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Gayatri Reddy"/>
    <s v="2002/160040691/01/000"/>
    <x v="0"/>
    <x v="34"/>
    <d v="2020-11-13T00:00:00"/>
    <x v="0"/>
    <n v="1"/>
    <s v="Vinay"/>
    <x v="0"/>
    <s v="Marine"/>
    <s v="Renewal"/>
    <n v="18562.5"/>
    <d v="2019-11-14T00:00:00"/>
    <s v="Brokerage"/>
    <x v="1"/>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Gayatri Reddy"/>
    <s v="2002/160040691/01/000"/>
    <x v="0"/>
    <x v="34"/>
    <d v="2020-11-13T00:00:00"/>
    <x v="0"/>
    <n v="1"/>
    <s v="Vinay"/>
    <x v="0"/>
    <s v="Marine"/>
    <s v="Renewal"/>
    <n v="18562.5"/>
    <d v="2019-11-14T00:00:00"/>
    <s v="Brokerage"/>
    <x v="1"/>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Gayatri Reddy"/>
    <s v="2002/160040691/01/000"/>
    <x v="0"/>
    <x v="34"/>
    <d v="2020-11-13T00:00:00"/>
    <x v="0"/>
    <n v="1"/>
    <s v="Vinay"/>
    <x v="0"/>
    <s v="Marine"/>
    <s v="Renewal"/>
    <n v="18562.5"/>
    <d v="2019-11-14T00:00:00"/>
    <s v="Brokerage"/>
    <x v="1"/>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Snehal Patel"/>
    <s v="2002/E/107876781/03/000"/>
    <x v="0"/>
    <x v="35"/>
    <d v="2019-10-07T00:00:00"/>
    <x v="0"/>
    <n v="1"/>
    <s v="Vinay"/>
    <x v="0"/>
    <s v="Marine"/>
    <s v="Renewal"/>
    <n v="3526.88"/>
    <d v="2019-10-08T00:00:00"/>
    <s v="Brokerage"/>
    <x v="1"/>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Snehal Patel"/>
    <s v="2002/E/107876781/03/000"/>
    <x v="0"/>
    <x v="35"/>
    <d v="2019-10-07T00:00:00"/>
    <x v="0"/>
    <n v="1"/>
    <s v="Vinay"/>
    <x v="0"/>
    <s v="Marine"/>
    <s v="Renewal"/>
    <n v="3526.88"/>
    <d v="2019-10-08T00:00:00"/>
    <s v="Brokerage"/>
    <x v="1"/>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Snehal Patel"/>
    <s v="2002/E/107876781/03/000"/>
    <x v="0"/>
    <x v="35"/>
    <d v="2019-10-07T00:00:00"/>
    <x v="0"/>
    <n v="1"/>
    <s v="Vinay"/>
    <x v="0"/>
    <s v="Marine"/>
    <s v="Renewal"/>
    <n v="3526.88"/>
    <d v="2019-10-08T00:00:00"/>
    <s v="Brokerage"/>
    <x v="1"/>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Snehal Patel"/>
    <s v="2002/E/107876781/03/000"/>
    <x v="0"/>
    <x v="35"/>
    <d v="2019-10-07T00:00:00"/>
    <x v="0"/>
    <n v="1"/>
    <s v="Vinay"/>
    <x v="0"/>
    <s v="Marine"/>
    <s v="Renewal"/>
    <n v="3526.88"/>
    <d v="2019-10-08T00:00:00"/>
    <s v="Brokerage"/>
    <x v="1"/>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Snehal Patel"/>
    <s v="2002/E/107876781/03/000"/>
    <x v="0"/>
    <x v="35"/>
    <d v="2019-10-07T00:00:00"/>
    <x v="0"/>
    <n v="1"/>
    <s v="Vinay"/>
    <x v="0"/>
    <s v="Marine"/>
    <s v="Renewal"/>
    <n v="3526.88"/>
    <d v="2019-10-08T00:00:00"/>
    <s v="Brokerage"/>
    <x v="1"/>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Snehal Patel"/>
    <s v="2002/E/107876781/03/000"/>
    <x v="0"/>
    <x v="35"/>
    <d v="2019-10-07T00:00:00"/>
    <x v="0"/>
    <n v="1"/>
    <s v="Vinay"/>
    <x v="0"/>
    <s v="Marine"/>
    <s v="Renewal"/>
    <n v="3526.88"/>
    <d v="2019-10-08T00:00:00"/>
    <s v="Brokerage"/>
    <x v="1"/>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Snehal Patel"/>
    <s v="2002/E/107876781/03/000"/>
    <x v="0"/>
    <x v="35"/>
    <d v="2019-10-07T00:00:00"/>
    <x v="0"/>
    <n v="1"/>
    <s v="Vinay"/>
    <x v="0"/>
    <s v="Marine"/>
    <s v="Renewal"/>
    <n v="3526.88"/>
    <d v="2019-10-08T00:00:00"/>
    <s v="Brokerage"/>
    <x v="1"/>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Snehal Patel"/>
    <s v="2002/E/107876781/03/000"/>
    <x v="0"/>
    <x v="35"/>
    <d v="2019-10-07T00:00:00"/>
    <x v="0"/>
    <n v="1"/>
    <s v="Vinay"/>
    <x v="0"/>
    <s v="Marine"/>
    <s v="Renewal"/>
    <n v="3526.88"/>
    <d v="2019-10-08T00:00:00"/>
    <s v="Brokerage"/>
    <x v="1"/>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Snehal Patel"/>
    <s v="2002/E/107876781/03/000"/>
    <x v="0"/>
    <x v="35"/>
    <d v="2019-10-07T00:00:00"/>
    <x v="0"/>
    <n v="1"/>
    <s v="Vinay"/>
    <x v="0"/>
    <s v="Marine"/>
    <s v="Renewal"/>
    <n v="3526.88"/>
    <d v="2019-10-08T00:00:00"/>
    <s v="Brokerage"/>
    <x v="1"/>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Snehal Patel"/>
    <s v="2002/E/107876781/03/000"/>
    <x v="0"/>
    <x v="35"/>
    <d v="2019-10-07T00:00:00"/>
    <x v="0"/>
    <n v="1"/>
    <s v="Vinay"/>
    <x v="0"/>
    <s v="Marine"/>
    <s v="Renewal"/>
    <n v="3526.88"/>
    <d v="2019-10-08T00:00:00"/>
    <s v="Brokerage"/>
    <x v="1"/>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Snehal Patel"/>
    <s v="2002/E/107876781/03/000"/>
    <x v="0"/>
    <x v="35"/>
    <d v="2019-10-07T00:00:00"/>
    <x v="0"/>
    <n v="1"/>
    <s v="Vinay"/>
    <x v="0"/>
    <s v="Marine"/>
    <s v="Renewal"/>
    <n v="3526.88"/>
    <d v="2019-10-08T00:00:00"/>
    <s v="Brokerage"/>
    <x v="1"/>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Snehal Patel"/>
    <s v="2002/E/107876781/03/000"/>
    <x v="0"/>
    <x v="35"/>
    <d v="2019-10-07T00:00:00"/>
    <x v="0"/>
    <n v="1"/>
    <s v="Vinay"/>
    <x v="0"/>
    <s v="Marine"/>
    <s v="Renewal"/>
    <n v="3526.88"/>
    <d v="2019-10-08T00:00:00"/>
    <s v="Brokerage"/>
    <x v="1"/>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Snehal Patel"/>
    <s v="2002/E/107876781/03/000"/>
    <x v="0"/>
    <x v="35"/>
    <d v="2019-10-07T00:00:00"/>
    <x v="0"/>
    <n v="1"/>
    <s v="Vinay"/>
    <x v="0"/>
    <s v="Marine"/>
    <s v="Renewal"/>
    <n v="3526.88"/>
    <d v="2019-10-08T00:00:00"/>
    <s v="Brokerage"/>
    <x v="1"/>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Snehal Patel"/>
    <s v="2002/E/107876781/03/000"/>
    <x v="0"/>
    <x v="35"/>
    <d v="2019-10-07T00:00:00"/>
    <x v="0"/>
    <n v="1"/>
    <s v="Vinay"/>
    <x v="0"/>
    <s v="Marine"/>
    <s v="Renewal"/>
    <n v="3526.88"/>
    <d v="2019-10-08T00:00:00"/>
    <s v="Brokerage"/>
    <x v="1"/>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Snehal Patel"/>
    <s v="2002/E/107876781/03/000"/>
    <x v="0"/>
    <x v="35"/>
    <d v="2019-10-07T00:00:00"/>
    <x v="0"/>
    <n v="1"/>
    <s v="Vinay"/>
    <x v="0"/>
    <s v="Marine"/>
    <s v="Renewal"/>
    <n v="3526.88"/>
    <d v="2019-10-08T00:00:00"/>
    <s v="Brokerage"/>
    <x v="1"/>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Snehal Patel"/>
    <s v="2002/E/107876781/03/000"/>
    <x v="0"/>
    <x v="35"/>
    <d v="2019-10-07T00:00:00"/>
    <x v="0"/>
    <n v="1"/>
    <s v="Vinay"/>
    <x v="0"/>
    <s v="Marine"/>
    <s v="Renewal"/>
    <n v="3526.88"/>
    <d v="2019-10-08T00:00:00"/>
    <s v="Brokerage"/>
    <x v="1"/>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Snehal Patel"/>
    <s v="2002/E/107876781/03/000"/>
    <x v="0"/>
    <x v="35"/>
    <d v="2019-10-07T00:00:00"/>
    <x v="0"/>
    <n v="1"/>
    <s v="Vinay"/>
    <x v="0"/>
    <s v="Marine"/>
    <s v="Renewal"/>
    <n v="3526.88"/>
    <d v="2019-10-08T00:00:00"/>
    <s v="Brokerage"/>
    <x v="1"/>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Snehal Patel"/>
    <s v="2002/E/107876781/03/000"/>
    <x v="0"/>
    <x v="35"/>
    <d v="2019-10-07T00:00:00"/>
    <x v="0"/>
    <n v="1"/>
    <s v="Vinay"/>
    <x v="0"/>
    <s v="Marine"/>
    <s v="Renewal"/>
    <n v="3526.88"/>
    <d v="2019-10-08T00:00:00"/>
    <s v="Brokerage"/>
    <x v="1"/>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Snehal Patel"/>
    <s v="2002/E/107876781/03/000"/>
    <x v="0"/>
    <x v="35"/>
    <d v="2019-10-07T00:00:00"/>
    <x v="0"/>
    <n v="1"/>
    <s v="Vinay"/>
    <x v="0"/>
    <s v="Marine"/>
    <s v="Renewal"/>
    <n v="3526.88"/>
    <d v="2019-10-08T00:00:00"/>
    <s v="Brokerage"/>
    <x v="1"/>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Snehal Patel"/>
    <s v="2002/E/107876781/03/000"/>
    <x v="0"/>
    <x v="35"/>
    <d v="2019-10-07T00:00:00"/>
    <x v="0"/>
    <n v="1"/>
    <s v="Vinay"/>
    <x v="0"/>
    <s v="Marine"/>
    <s v="Renewal"/>
    <n v="3526.88"/>
    <d v="2019-10-08T00:00:00"/>
    <s v="Brokerage"/>
    <x v="1"/>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Vivek Yadav"/>
    <s v="2002/E/1078781/02/000"/>
    <x v="0"/>
    <x v="36"/>
    <d v="2018-10-07T00:00:00"/>
    <x v="0"/>
    <n v="5"/>
    <s v="Juli"/>
    <x v="0"/>
    <s v="Marine"/>
    <s v="Renewal"/>
    <n v="34950.980000000003"/>
    <d v="2017-10-08T00:00:00"/>
    <s v="Brokerage"/>
    <x v="0"/>
    <s v="OTHR - Other"/>
    <d v="2020-01-22T00:00:00"/>
    <s v="Other"/>
    <m/>
    <m/>
    <m/>
    <m/>
    <m/>
    <m/>
    <m/>
    <m/>
    <m/>
    <m/>
    <m/>
    <m/>
    <m/>
    <m/>
    <m/>
    <m/>
    <m/>
    <m/>
    <m/>
    <m/>
  </r>
  <r>
    <s v="Kiran Saxena"/>
    <n v="22214272"/>
    <x v="0"/>
    <x v="37"/>
    <d v="2018-10-31T00:00:00"/>
    <x v="0"/>
    <n v="5"/>
    <s v="Juli"/>
    <x v="0"/>
    <s v="Marine"/>
    <s v="Renewal"/>
    <n v="55687.5"/>
    <d v="2017-11-01T00:00:00"/>
    <s v="Brokerage"/>
    <x v="0"/>
    <s v="OTHR - Other"/>
    <d v="2020-01-22T00:00:00"/>
    <s v="Other"/>
    <m/>
    <m/>
    <m/>
    <m/>
    <m/>
    <m/>
    <m/>
    <m/>
    <m/>
    <m/>
    <m/>
    <m/>
    <m/>
    <m/>
    <m/>
    <m/>
    <m/>
    <m/>
    <m/>
    <m/>
  </r>
  <r>
    <s v="Uday Reddy"/>
    <s v="'14220011190100000062"/>
    <x v="0"/>
    <x v="38"/>
    <d v="2020-04-11T00:00:00"/>
    <x v="1"/>
    <n v="11"/>
    <s v="Raju Kumar"/>
    <x v="0"/>
    <s v="Property / BI"/>
    <s v="Renewal"/>
    <n v="5187.3100000000004"/>
    <d v="2019-04-12T00:00:00"/>
    <s v="Brokerage"/>
    <x v="0"/>
    <s v="OTHR - Other"/>
    <d v="2020-01-22T00:00:00"/>
    <s v="Other"/>
    <m/>
    <m/>
    <m/>
    <m/>
    <m/>
    <m/>
    <m/>
    <m/>
    <m/>
    <m/>
    <m/>
    <m/>
    <m/>
    <m/>
    <m/>
    <m/>
    <m/>
    <m/>
    <m/>
    <m/>
  </r>
  <r>
    <s v="Anita Pandit"/>
    <s v="2690000138 04"/>
    <x v="0"/>
    <x v="39"/>
    <d v="2019-08-24T00:00:00"/>
    <x v="1"/>
    <n v="1"/>
    <s v="Vinay"/>
    <x v="0"/>
    <s v="Property / BI"/>
    <s v="Cross Sell"/>
    <n v="2116.48"/>
    <d v="2018-08-25T00:00:00"/>
    <s v="Brokerage"/>
    <x v="0"/>
    <s v="OTHR - Other"/>
    <d v="2020-01-22T00:00:00"/>
    <s v="Other"/>
    <m/>
    <m/>
    <m/>
    <m/>
    <m/>
    <m/>
    <m/>
    <m/>
    <m/>
    <m/>
    <m/>
    <m/>
    <m/>
    <m/>
    <m/>
    <m/>
    <m/>
    <m/>
    <m/>
    <m/>
  </r>
  <r>
    <s v="Hina Malhotra"/>
    <s v="2690000337 03"/>
    <x v="0"/>
    <x v="40"/>
    <d v="2019-11-29T00:00:00"/>
    <x v="1"/>
    <n v="1"/>
    <s v="Vinay"/>
    <x v="0"/>
    <s v="Property / BI"/>
    <s v="Renewal"/>
    <n v="810.28"/>
    <d v="2018-11-30T00:00:00"/>
    <s v="Brokerage"/>
    <x v="0"/>
    <s v="OTHR - Other"/>
    <d v="2020-01-22T00:00:00"/>
    <s v="Other"/>
    <m/>
    <m/>
    <m/>
    <m/>
    <m/>
    <m/>
    <m/>
    <m/>
    <m/>
    <m/>
    <m/>
    <m/>
    <m/>
    <m/>
    <m/>
    <m/>
    <m/>
    <m/>
    <m/>
    <m/>
  </r>
  <r>
    <s v="Alka Patel"/>
    <n v="30003393"/>
    <x v="0"/>
    <x v="1"/>
    <d v="2020-04-30T00:00:00"/>
    <x v="2"/>
    <n v="6"/>
    <s v="Ketan Jain"/>
    <x v="0"/>
    <s v="Trade Credit &amp;amp; Political Risk"/>
    <s v="New"/>
    <n v="379836.08"/>
    <d v="2019-05-01T00:00:00"/>
    <s v="Brokerage"/>
    <x v="0"/>
    <s v="OTHR - Other"/>
    <d v="2020-01-22T00:00:00"/>
    <s v="Other"/>
    <m/>
    <m/>
    <m/>
    <m/>
    <m/>
    <m/>
    <m/>
    <m/>
    <m/>
    <m/>
    <m/>
    <m/>
    <m/>
    <m/>
    <m/>
    <m/>
    <m/>
    <m/>
    <m/>
    <m/>
  </r>
  <r>
    <s v="Shruti Roy"/>
    <s v="OG-18-2202-3315-00000028"/>
    <x v="0"/>
    <x v="41"/>
    <d v="2020-03-30T00:00:00"/>
    <x v="4"/>
    <n v="6"/>
    <s v="Ketan Jain"/>
    <x v="0"/>
    <s v="Liability"/>
    <s v="Cross Sell"/>
    <n v="28087.5"/>
    <d v="2019-03-31T00:00:00"/>
    <s v="Brokerage"/>
    <x v="0"/>
    <s v="OTHR - Other"/>
    <d v="2020-01-22T00:00:00"/>
    <s v="Other"/>
    <m/>
    <m/>
    <m/>
    <m/>
    <m/>
    <m/>
    <m/>
    <m/>
    <m/>
    <m/>
    <m/>
    <m/>
    <m/>
    <m/>
    <m/>
    <m/>
    <m/>
    <m/>
    <m/>
    <m/>
  </r>
  <r>
    <s v="Archana Singh"/>
    <s v="'23060036180200000022"/>
    <x v="0"/>
    <x v="13"/>
    <d v="2019-12-31T00:00:00"/>
    <x v="4"/>
    <n v="1"/>
    <s v="Vinay"/>
    <x v="0"/>
    <s v="Liability"/>
    <s v="Renewal"/>
    <n v="137500"/>
    <d v="2019-01-01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Archana Singh"/>
    <s v="'23060036180200000022"/>
    <x v="0"/>
    <x v="13"/>
    <d v="2019-12-31T00:00:00"/>
    <x v="4"/>
    <n v="1"/>
    <s v="Vinay"/>
    <x v="0"/>
    <s v="Liability"/>
    <s v="Renewal"/>
    <n v="137500"/>
    <d v="2019-01-01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Archana Singh"/>
    <s v="'23060036180200000022"/>
    <x v="0"/>
    <x v="13"/>
    <d v="2019-12-31T00:00:00"/>
    <x v="4"/>
    <n v="1"/>
    <s v="Vinay"/>
    <x v="0"/>
    <s v="Liability"/>
    <s v="Renewal"/>
    <n v="137500"/>
    <d v="2019-01-01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Archana Singh"/>
    <s v="'23060036180200000022"/>
    <x v="0"/>
    <x v="13"/>
    <d v="2019-12-31T00:00:00"/>
    <x v="4"/>
    <n v="1"/>
    <s v="Vinay"/>
    <x v="0"/>
    <s v="Liability"/>
    <s v="Renewal"/>
    <n v="137500"/>
    <d v="2019-01-01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Archana Singh"/>
    <s v="'23060036180200000022"/>
    <x v="0"/>
    <x v="13"/>
    <d v="2019-12-31T00:00:00"/>
    <x v="4"/>
    <n v="1"/>
    <s v="Vinay"/>
    <x v="0"/>
    <s v="Liability"/>
    <s v="Renewal"/>
    <n v="137500"/>
    <d v="2019-01-01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Mukul Goyal"/>
    <s v="'2999202466609300000"/>
    <x v="0"/>
    <x v="42"/>
    <d v="2019-10-03T00:00:00"/>
    <x v="4"/>
    <n v="1"/>
    <s v="Vinay"/>
    <x v="0"/>
    <s v="Liability"/>
    <s v="Cross Sell"/>
    <n v="18750"/>
    <d v="2018-10-04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Mukul Goyal"/>
    <s v="'2999202466609300000"/>
    <x v="0"/>
    <x v="42"/>
    <d v="2019-10-03T00:00:00"/>
    <x v="4"/>
    <n v="1"/>
    <s v="Vinay"/>
    <x v="0"/>
    <s v="Liability"/>
    <s v="Cross Sell"/>
    <n v="18750"/>
    <d v="2018-10-04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Mukul Goyal"/>
    <s v="'2999202466609300000"/>
    <x v="0"/>
    <x v="42"/>
    <d v="2019-10-03T00:00:00"/>
    <x v="4"/>
    <n v="1"/>
    <s v="Vinay"/>
    <x v="0"/>
    <s v="Liability"/>
    <s v="Cross Sell"/>
    <n v="18750"/>
    <d v="2018-10-04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Mukul Goyal"/>
    <s v="'2999202466609300000"/>
    <x v="0"/>
    <x v="42"/>
    <d v="2019-10-03T00:00:00"/>
    <x v="4"/>
    <n v="1"/>
    <s v="Vinay"/>
    <x v="0"/>
    <s v="Liability"/>
    <s v="Cross Sell"/>
    <n v="18750"/>
    <d v="2018-10-04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Mukul Goyal"/>
    <s v="'2999202466609300000"/>
    <x v="0"/>
    <x v="42"/>
    <d v="2019-10-03T00:00:00"/>
    <x v="4"/>
    <n v="1"/>
    <s v="Vinay"/>
    <x v="0"/>
    <s v="Liability"/>
    <s v="Cross Sell"/>
    <n v="18750"/>
    <d v="2018-10-04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Namita Bajaj"/>
    <s v="'2999203175548500000"/>
    <x v="0"/>
    <x v="43"/>
    <d v="2020-12-01T00:00:00"/>
    <x v="4"/>
    <n v="1"/>
    <s v="Vinay"/>
    <x v="0"/>
    <s v="Liability"/>
    <s v="Renewal"/>
    <n v="8125"/>
    <d v="2019-12-02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Namita Bajaj"/>
    <s v="'2999203175548500000"/>
    <x v="0"/>
    <x v="43"/>
    <d v="2020-12-01T00:00:00"/>
    <x v="4"/>
    <n v="1"/>
    <s v="Vinay"/>
    <x v="0"/>
    <s v="Liability"/>
    <s v="Renewal"/>
    <n v="8125"/>
    <d v="2019-12-02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Namita Bajaj"/>
    <s v="'2999203175548500000"/>
    <x v="0"/>
    <x v="43"/>
    <d v="2020-12-01T00:00:00"/>
    <x v="4"/>
    <n v="1"/>
    <s v="Vinay"/>
    <x v="0"/>
    <s v="Liability"/>
    <s v="Renewal"/>
    <n v="8125"/>
    <d v="2019-12-02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Namita Bajaj"/>
    <s v="'2999203175548500000"/>
    <x v="0"/>
    <x v="43"/>
    <d v="2020-12-01T00:00:00"/>
    <x v="4"/>
    <n v="1"/>
    <s v="Vinay"/>
    <x v="0"/>
    <s v="Liability"/>
    <s v="Renewal"/>
    <n v="8125"/>
    <d v="2019-12-02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Namita Bajaj"/>
    <s v="'2999203175548500000"/>
    <x v="0"/>
    <x v="43"/>
    <d v="2020-12-01T00:00:00"/>
    <x v="4"/>
    <n v="1"/>
    <s v="Vinay"/>
    <x v="0"/>
    <s v="Liability"/>
    <s v="Renewal"/>
    <n v="8125"/>
    <d v="2019-12-02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Nikita Joshi"/>
    <s v="141400/11/2018/737"/>
    <x v="0"/>
    <x v="27"/>
    <d v="2019-02-28T00:00:00"/>
    <x v="1"/>
    <n v="5"/>
    <s v="Juli"/>
    <x v="0"/>
    <s v="Small Medium Enterpries (SME)"/>
    <s v="New"/>
    <n v="116487.03999999999"/>
    <d v="2018-03-01T00:00:00"/>
    <s v="Brokerage"/>
    <x v="0"/>
    <s v="OTHR - Other"/>
    <d v="2020-01-22T00:00:00"/>
    <s v="Other"/>
    <m/>
    <m/>
    <m/>
    <m/>
    <m/>
    <m/>
    <m/>
    <m/>
    <m/>
    <m/>
    <m/>
    <m/>
    <m/>
    <m/>
    <m/>
    <m/>
    <m/>
    <m/>
    <m/>
    <m/>
  </r>
  <r>
    <s v="Tejas Shah"/>
    <s v="141400/11/2018/738"/>
    <x v="0"/>
    <x v="27"/>
    <d v="2019-02-28T00:00:00"/>
    <x v="1"/>
    <n v="5"/>
    <s v="Juli"/>
    <x v="0"/>
    <s v="Small Medium Enterpries (SME)"/>
    <s v="New"/>
    <n v="2988.62"/>
    <d v="2018-03-01T00:00:00"/>
    <s v="Brokerage"/>
    <x v="0"/>
    <s v="OTHR - Other"/>
    <d v="2020-01-22T00:00:00"/>
    <s v="Other"/>
    <m/>
    <m/>
    <m/>
    <m/>
    <m/>
    <m/>
    <m/>
    <m/>
    <m/>
    <m/>
    <m/>
    <m/>
    <m/>
    <m/>
    <m/>
    <m/>
    <m/>
    <m/>
    <m/>
    <m/>
  </r>
  <r>
    <s v="Kavita Rao"/>
    <s v="141400/44/2018/101"/>
    <x v="0"/>
    <x v="27"/>
    <d v="2019-02-28T00:00:00"/>
    <x v="2"/>
    <n v="5"/>
    <s v="Juli"/>
    <x v="0"/>
    <s v="Small Medium Enterpries (SME)"/>
    <s v="New"/>
    <n v="14627.5"/>
    <d v="2018-03-01T00:00:00"/>
    <s v="Brokerage"/>
    <x v="0"/>
    <s v="OTHR - Other"/>
    <d v="2020-01-22T00:00:00"/>
    <s v="Other"/>
    <m/>
    <m/>
    <m/>
    <m/>
    <m/>
    <m/>
    <m/>
    <m/>
    <m/>
    <m/>
    <m/>
    <m/>
    <m/>
    <m/>
    <m/>
    <m/>
    <m/>
    <m/>
    <m/>
    <m/>
  </r>
  <r>
    <s v="Hemant Shah"/>
    <s v="141400/44/2018/102"/>
    <x v="0"/>
    <x v="27"/>
    <d v="2019-02-28T00:00:00"/>
    <x v="2"/>
    <n v="5"/>
    <s v="Juli"/>
    <x v="0"/>
    <s v="Small Medium Enterpries (SME)"/>
    <s v="New"/>
    <n v="2020.5"/>
    <d v="2018-03-01T00:00:00"/>
    <s v="Brokerage"/>
    <x v="0"/>
    <s v="OTHR - Other"/>
    <d v="2020-01-22T00:00:00"/>
    <s v="Other"/>
    <m/>
    <m/>
    <m/>
    <m/>
    <m/>
    <m/>
    <m/>
    <m/>
    <m/>
    <m/>
    <m/>
    <m/>
    <m/>
    <m/>
    <m/>
    <m/>
    <m/>
    <m/>
    <m/>
    <m/>
  </r>
  <r>
    <s v="Prabhat Naik"/>
    <s v="141400/48/2018/2149"/>
    <x v="0"/>
    <x v="27"/>
    <d v="2019-02-28T00:00:00"/>
    <x v="2"/>
    <n v="5"/>
    <s v="Juli"/>
    <x v="0"/>
    <s v="Small Medium Enterpries (SME)"/>
    <s v="New"/>
    <n v="625.13"/>
    <d v="2018-03-01T00:00:00"/>
    <s v="Brokerage"/>
    <x v="0"/>
    <s v="OTHR - Other"/>
    <d v="2020-01-22T00:00:00"/>
    <s v="Other"/>
    <m/>
    <m/>
    <m/>
    <m/>
    <m/>
    <m/>
    <m/>
    <m/>
    <m/>
    <m/>
    <m/>
    <m/>
    <m/>
    <m/>
    <m/>
    <m/>
    <m/>
    <m/>
    <m/>
    <m/>
  </r>
  <r>
    <s v="Nikhil Tiwari"/>
    <s v="141400/48/2018/2150"/>
    <x v="0"/>
    <x v="27"/>
    <d v="2019-02-28T00:00:00"/>
    <x v="2"/>
    <n v="5"/>
    <s v="Juli"/>
    <x v="0"/>
    <s v="Small Medium Enterpries (SME)"/>
    <s v="Cross Sell"/>
    <n v="417"/>
    <d v="2018-03-01T00:00:00"/>
    <s v="Brokerage"/>
    <x v="0"/>
    <s v="OTHR - Other"/>
    <d v="2020-01-22T00:00:00"/>
    <s v="Other"/>
    <m/>
    <m/>
    <m/>
    <m/>
    <m/>
    <m/>
    <m/>
    <m/>
    <m/>
    <m/>
    <m/>
    <m/>
    <m/>
    <m/>
    <m/>
    <m/>
    <m/>
    <m/>
    <m/>
    <m/>
  </r>
  <r>
    <s v="Neha Trivedi"/>
    <s v="141400/48/2018/2237"/>
    <x v="0"/>
    <x v="27"/>
    <d v="2019-02-28T00:00:00"/>
    <x v="2"/>
    <n v="5"/>
    <s v="Juli"/>
    <x v="0"/>
    <s v="Small Medium Enterpries (SME)"/>
    <s v="New"/>
    <n v="687.63"/>
    <d v="2018-03-01T00:00:00"/>
    <s v="Brokerage"/>
    <x v="0"/>
    <s v="OTHR - Other"/>
    <d v="2020-01-22T00:00:00"/>
    <s v="Other"/>
    <m/>
    <m/>
    <m/>
    <m/>
    <m/>
    <m/>
    <m/>
    <m/>
    <m/>
    <m/>
    <m/>
    <m/>
    <m/>
    <m/>
    <m/>
    <m/>
    <m/>
    <m/>
    <m/>
    <m/>
  </r>
  <r>
    <s v="Shruti Agarwal"/>
    <s v="141400/48/2018/2238"/>
    <x v="0"/>
    <x v="27"/>
    <d v="2019-02-28T00:00:00"/>
    <x v="4"/>
    <n v="5"/>
    <s v="Juli"/>
    <x v="0"/>
    <s v="Small Medium Enterpries (SME)"/>
    <s v="New"/>
    <n v="374.88"/>
    <d v="2018-03-01T00:00:00"/>
    <s v="Brokerage"/>
    <x v="0"/>
    <s v="OTHR - Other"/>
    <d v="2020-01-22T00:00:00"/>
    <s v="Other"/>
    <m/>
    <m/>
    <m/>
    <m/>
    <m/>
    <m/>
    <m/>
    <m/>
    <m/>
    <m/>
    <m/>
    <m/>
    <m/>
    <m/>
    <m/>
    <m/>
    <m/>
    <m/>
    <m/>
    <m/>
  </r>
  <r>
    <s v="Kiran Desai"/>
    <s v="141400/48/2018/2239"/>
    <x v="0"/>
    <x v="27"/>
    <d v="2019-02-28T00:00:00"/>
    <x v="2"/>
    <n v="5"/>
    <s v="Juli"/>
    <x v="0"/>
    <s v="Small Medium Enterpries (SME)"/>
    <s v="New"/>
    <n v="3537.25"/>
    <d v="2018-03-01T00:00:00"/>
    <s v="Brokerage"/>
    <x v="0"/>
    <s v="OTHR - Other"/>
    <d v="2020-01-22T00:00:00"/>
    <s v="Other"/>
    <m/>
    <m/>
    <m/>
    <m/>
    <m/>
    <m/>
    <m/>
    <m/>
    <m/>
    <m/>
    <m/>
    <m/>
    <m/>
    <m/>
    <m/>
    <m/>
    <m/>
    <m/>
    <m/>
    <m/>
  </r>
  <r>
    <s v="Kanchan Iyer"/>
    <s v="LWC/I2548354/71/02/005537"/>
    <x v="0"/>
    <x v="27"/>
    <d v="2019-02-28T00:00:00"/>
    <x v="2"/>
    <n v="5"/>
    <s v="Juli"/>
    <x v="0"/>
    <s v="Small Medium Enterpries (SME)"/>
    <s v="New"/>
    <n v="8881.5"/>
    <d v="2018-03-01T00:00:00"/>
    <s v="Brokerage"/>
    <x v="0"/>
    <s v="OTHR - Other"/>
    <d v="2020-01-22T00:00:00"/>
    <s v="Other"/>
    <m/>
    <m/>
    <m/>
    <m/>
    <m/>
    <m/>
    <m/>
    <m/>
    <m/>
    <m/>
    <m/>
    <m/>
    <m/>
    <m/>
    <m/>
    <m/>
    <m/>
    <m/>
    <m/>
    <m/>
  </r>
  <r>
    <s v="Bhavna Kapoor"/>
    <s v="'91000036191500000014"/>
    <x v="0"/>
    <x v="44"/>
    <d v="2020-05-22T00:00:00"/>
    <x v="4"/>
    <n v="1"/>
    <s v="Vinay"/>
    <x v="0"/>
    <s v="Liability"/>
    <s v="Renewal"/>
    <n v="28125"/>
    <d v="2019-05-23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Bhavna Kapoor"/>
    <s v="'91000036191500000014"/>
    <x v="0"/>
    <x v="44"/>
    <d v="2020-05-22T00:00:00"/>
    <x v="4"/>
    <n v="1"/>
    <s v="Vinay"/>
    <x v="0"/>
    <s v="Liability"/>
    <s v="Renewal"/>
    <n v="28125"/>
    <d v="2019-05-23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Bhavna Kapoor"/>
    <s v="'91000036191500000014"/>
    <x v="0"/>
    <x v="44"/>
    <d v="2020-05-22T00:00:00"/>
    <x v="4"/>
    <n v="1"/>
    <s v="Vinay"/>
    <x v="0"/>
    <s v="Liability"/>
    <s v="Renewal"/>
    <n v="28125"/>
    <d v="2019-05-23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Bhavna Kapoor"/>
    <s v="'91000036191500000014"/>
    <x v="0"/>
    <x v="44"/>
    <d v="2020-05-22T00:00:00"/>
    <x v="4"/>
    <n v="1"/>
    <s v="Vinay"/>
    <x v="0"/>
    <s v="Liability"/>
    <s v="Renewal"/>
    <n v="28125"/>
    <d v="2019-05-23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Bhavna Kapoor"/>
    <s v="'91000036191500000014"/>
    <x v="0"/>
    <x v="44"/>
    <d v="2020-05-22T00:00:00"/>
    <x v="4"/>
    <n v="1"/>
    <s v="Vinay"/>
    <x v="0"/>
    <s v="Liability"/>
    <s v="Renewal"/>
    <n v="28125"/>
    <d v="2019-05-23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Ritika Reddy"/>
    <s v="'91000036191700000002"/>
    <x v="0"/>
    <x v="44"/>
    <d v="2020-05-22T00:00:00"/>
    <x v="4"/>
    <n v="1"/>
    <s v="Vinay"/>
    <x v="0"/>
    <s v="Liability"/>
    <s v="Renewal"/>
    <n v="131250"/>
    <d v="2019-05-23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Ritika Reddy"/>
    <s v="'91000036191700000002"/>
    <x v="0"/>
    <x v="44"/>
    <d v="2020-05-22T00:00:00"/>
    <x v="4"/>
    <n v="1"/>
    <s v="Vinay"/>
    <x v="0"/>
    <s v="Liability"/>
    <s v="Renewal"/>
    <n v="131250"/>
    <d v="2019-05-23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Ritika Reddy"/>
    <s v="'91000036191700000002"/>
    <x v="0"/>
    <x v="44"/>
    <d v="2020-05-22T00:00:00"/>
    <x v="4"/>
    <n v="1"/>
    <s v="Vinay"/>
    <x v="0"/>
    <s v="Liability"/>
    <s v="Renewal"/>
    <n v="131250"/>
    <d v="2019-05-23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Ritika Reddy"/>
    <s v="'91000036191700000002"/>
    <x v="0"/>
    <x v="44"/>
    <d v="2020-05-22T00:00:00"/>
    <x v="4"/>
    <n v="1"/>
    <s v="Vinay"/>
    <x v="0"/>
    <s v="Liability"/>
    <s v="Renewal"/>
    <n v="131250"/>
    <d v="2019-05-23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Ritika Reddy"/>
    <s v="'91000036191700000002"/>
    <x v="0"/>
    <x v="44"/>
    <d v="2020-05-22T00:00:00"/>
    <x v="4"/>
    <n v="1"/>
    <s v="Vinay"/>
    <x v="0"/>
    <s v="Liability"/>
    <s v="Renewal"/>
    <n v="131250"/>
    <d v="2019-05-23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Suresh Das"/>
    <n v="302102591"/>
    <x v="1"/>
    <x v="45"/>
    <d v="2019-09-04T00:00:00"/>
    <x v="2"/>
    <n v="3"/>
    <s v="Animesh Rawat"/>
    <x v="0"/>
    <s v="Global Client Network (GNB Inward)"/>
    <s v="Renewal"/>
    <n v="6058.38"/>
    <d v="2018-09-05T00:00:00"/>
    <s v="Brokerage"/>
    <x v="0"/>
    <s v="OTHR - Other"/>
    <d v="2020-01-22T00:00:00"/>
    <s v="Other"/>
    <m/>
    <m/>
    <m/>
    <m/>
    <m/>
    <m/>
    <m/>
    <m/>
    <m/>
    <m/>
    <m/>
    <m/>
    <m/>
    <m/>
    <m/>
    <m/>
    <m/>
    <m/>
    <m/>
    <m/>
  </r>
  <r>
    <s v="Shikha Chauhan"/>
    <n v="668111383"/>
    <x v="0"/>
    <x v="46"/>
    <d v="2018-10-16T00:00:00"/>
    <x v="1"/>
    <n v="3"/>
    <s v="Animesh Rawat"/>
    <x v="0"/>
    <s v="Global Client Network (GNB Inward)"/>
    <s v="Renewal"/>
    <n v="29608.99"/>
    <d v="2017-10-17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Shikha Chauhan"/>
    <n v="668111383"/>
    <x v="0"/>
    <x v="46"/>
    <d v="2018-10-16T00:00:00"/>
    <x v="1"/>
    <n v="3"/>
    <s v="Animesh Rawat"/>
    <x v="0"/>
    <s v="Global Client Network (GNB Inward)"/>
    <s v="Renewal"/>
    <n v="29608.99"/>
    <d v="2017-10-17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Shikha Chauhan"/>
    <n v="668111383"/>
    <x v="0"/>
    <x v="46"/>
    <d v="2018-10-16T00:00:00"/>
    <x v="1"/>
    <n v="3"/>
    <s v="Animesh Rawat"/>
    <x v="0"/>
    <s v="Global Client Network (GNB Inward)"/>
    <s v="Renewal"/>
    <n v="29608.99"/>
    <d v="2017-10-17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Shikha Chauhan"/>
    <n v="668111383"/>
    <x v="0"/>
    <x v="46"/>
    <d v="2018-10-16T00:00:00"/>
    <x v="1"/>
    <n v="3"/>
    <s v="Animesh Rawat"/>
    <x v="0"/>
    <s v="Global Client Network (GNB Inward)"/>
    <s v="Renewal"/>
    <n v="29608.99"/>
    <d v="2017-10-17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Shikha Chauhan"/>
    <n v="668111383"/>
    <x v="0"/>
    <x v="46"/>
    <d v="2018-10-16T00:00:00"/>
    <x v="1"/>
    <n v="3"/>
    <s v="Animesh Rawat"/>
    <x v="0"/>
    <s v="Global Client Network (GNB Inward)"/>
    <s v="Renewal"/>
    <n v="29608.99"/>
    <d v="2017-10-17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Shikha Chauhan"/>
    <n v="668111383"/>
    <x v="0"/>
    <x v="46"/>
    <d v="2018-10-16T00:00:00"/>
    <x v="1"/>
    <n v="3"/>
    <s v="Animesh Rawat"/>
    <x v="0"/>
    <s v="Global Client Network (GNB Inward)"/>
    <s v="Renewal"/>
    <n v="29608.99"/>
    <d v="2017-10-17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Shikha Chauhan"/>
    <n v="668111383"/>
    <x v="0"/>
    <x v="46"/>
    <d v="2018-10-16T00:00:00"/>
    <x v="1"/>
    <n v="3"/>
    <s v="Animesh Rawat"/>
    <x v="0"/>
    <s v="Global Client Network (GNB Inward)"/>
    <s v="Renewal"/>
    <n v="29608.99"/>
    <d v="2017-10-17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Shikha Chauhan"/>
    <n v="668111383"/>
    <x v="0"/>
    <x v="46"/>
    <d v="2018-10-16T00:00:00"/>
    <x v="1"/>
    <n v="3"/>
    <s v="Animesh Rawat"/>
    <x v="0"/>
    <s v="Global Client Network (GNB Inward)"/>
    <s v="Renewal"/>
    <n v="29608.99"/>
    <d v="2017-10-17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Shikha Chauhan"/>
    <n v="668111383"/>
    <x v="0"/>
    <x v="46"/>
    <d v="2018-10-16T00:00:00"/>
    <x v="1"/>
    <n v="3"/>
    <s v="Animesh Rawat"/>
    <x v="0"/>
    <s v="Global Client Network (GNB Inward)"/>
    <s v="Renewal"/>
    <n v="29608.99"/>
    <d v="2017-10-17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Shikha Chauhan"/>
    <n v="668111383"/>
    <x v="0"/>
    <x v="46"/>
    <d v="2018-10-16T00:00:00"/>
    <x v="1"/>
    <n v="3"/>
    <s v="Animesh Rawat"/>
    <x v="0"/>
    <s v="Global Client Network (GNB Inward)"/>
    <s v="Renewal"/>
    <n v="29608.99"/>
    <d v="2017-10-17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Shikha Chauhan"/>
    <n v="668111383"/>
    <x v="0"/>
    <x v="46"/>
    <d v="2018-10-16T00:00:00"/>
    <x v="1"/>
    <n v="3"/>
    <s v="Animesh Rawat"/>
    <x v="0"/>
    <s v="Global Client Network (GNB Inward)"/>
    <s v="Renewal"/>
    <n v="29608.99"/>
    <d v="2017-10-17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Shikha Chauhan"/>
    <n v="668111383"/>
    <x v="0"/>
    <x v="46"/>
    <d v="2018-10-16T00:00:00"/>
    <x v="1"/>
    <n v="3"/>
    <s v="Animesh Rawat"/>
    <x v="0"/>
    <s v="Global Client Network (GNB Inward)"/>
    <s v="Renewal"/>
    <n v="29608.99"/>
    <d v="2017-10-17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Hemant Dutta"/>
    <n v="668111383"/>
    <x v="0"/>
    <x v="46"/>
    <d v="2018-10-16T00:00:00"/>
    <x v="1"/>
    <n v="3"/>
    <s v="Animesh Rawat"/>
    <x v="0"/>
    <s v="Global Client Network (GNB Inward)"/>
    <s v="Renewal"/>
    <n v="29638.400000000001"/>
    <d v="2017-10-17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Hemant Dutta"/>
    <n v="668111383"/>
    <x v="0"/>
    <x v="46"/>
    <d v="2018-10-16T00:00:00"/>
    <x v="1"/>
    <n v="3"/>
    <s v="Animesh Rawat"/>
    <x v="0"/>
    <s v="Global Client Network (GNB Inward)"/>
    <s v="Renewal"/>
    <n v="29638.400000000001"/>
    <d v="2017-10-17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Hemant Dutta"/>
    <n v="668111383"/>
    <x v="0"/>
    <x v="46"/>
    <d v="2018-10-16T00:00:00"/>
    <x v="1"/>
    <n v="3"/>
    <s v="Animesh Rawat"/>
    <x v="0"/>
    <s v="Global Client Network (GNB Inward)"/>
    <s v="Renewal"/>
    <n v="29638.400000000001"/>
    <d v="2017-10-17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Hemant Dutta"/>
    <n v="668111383"/>
    <x v="0"/>
    <x v="46"/>
    <d v="2018-10-16T00:00:00"/>
    <x v="1"/>
    <n v="3"/>
    <s v="Animesh Rawat"/>
    <x v="0"/>
    <s v="Global Client Network (GNB Inward)"/>
    <s v="Renewal"/>
    <n v="29638.400000000001"/>
    <d v="2017-10-17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Hemant Dutta"/>
    <n v="668111383"/>
    <x v="0"/>
    <x v="46"/>
    <d v="2018-10-16T00:00:00"/>
    <x v="1"/>
    <n v="3"/>
    <s v="Animesh Rawat"/>
    <x v="0"/>
    <s v="Global Client Network (GNB Inward)"/>
    <s v="Renewal"/>
    <n v="29638.400000000001"/>
    <d v="2017-10-17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Hemant Dutta"/>
    <n v="668111383"/>
    <x v="0"/>
    <x v="46"/>
    <d v="2018-10-16T00:00:00"/>
    <x v="1"/>
    <n v="3"/>
    <s v="Animesh Rawat"/>
    <x v="0"/>
    <s v="Global Client Network (GNB Inward)"/>
    <s v="Renewal"/>
    <n v="29638.400000000001"/>
    <d v="2017-10-17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Hemant Dutta"/>
    <n v="668111383"/>
    <x v="0"/>
    <x v="46"/>
    <d v="2018-10-16T00:00:00"/>
    <x v="1"/>
    <n v="3"/>
    <s v="Animesh Rawat"/>
    <x v="0"/>
    <s v="Global Client Network (GNB Inward)"/>
    <s v="Renewal"/>
    <n v="29638.400000000001"/>
    <d v="2017-10-17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Hemant Dutta"/>
    <n v="668111383"/>
    <x v="0"/>
    <x v="46"/>
    <d v="2018-10-16T00:00:00"/>
    <x v="1"/>
    <n v="3"/>
    <s v="Animesh Rawat"/>
    <x v="0"/>
    <s v="Global Client Network (GNB Inward)"/>
    <s v="Renewal"/>
    <n v="29638.400000000001"/>
    <d v="2017-10-17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Hemant Dutta"/>
    <n v="668111383"/>
    <x v="0"/>
    <x v="46"/>
    <d v="2018-10-16T00:00:00"/>
    <x v="1"/>
    <n v="3"/>
    <s v="Animesh Rawat"/>
    <x v="0"/>
    <s v="Global Client Network (GNB Inward)"/>
    <s v="Renewal"/>
    <n v="29638.400000000001"/>
    <d v="2017-10-17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Hemant Dutta"/>
    <n v="668111383"/>
    <x v="0"/>
    <x v="46"/>
    <d v="2018-10-16T00:00:00"/>
    <x v="1"/>
    <n v="3"/>
    <s v="Animesh Rawat"/>
    <x v="0"/>
    <s v="Global Client Network (GNB Inward)"/>
    <s v="Renewal"/>
    <n v="29638.400000000001"/>
    <d v="2017-10-17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Hemant Dutta"/>
    <n v="668111383"/>
    <x v="0"/>
    <x v="46"/>
    <d v="2018-10-16T00:00:00"/>
    <x v="1"/>
    <n v="3"/>
    <s v="Animesh Rawat"/>
    <x v="0"/>
    <s v="Global Client Network (GNB Inward)"/>
    <s v="Renewal"/>
    <n v="29638.400000000001"/>
    <d v="2017-10-17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Hemant Dutta"/>
    <n v="668111383"/>
    <x v="0"/>
    <x v="46"/>
    <d v="2018-10-16T00:00:00"/>
    <x v="1"/>
    <n v="3"/>
    <s v="Animesh Rawat"/>
    <x v="0"/>
    <s v="Global Client Network (GNB Inward)"/>
    <s v="Renewal"/>
    <n v="29638.400000000001"/>
    <d v="2017-10-17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Dinesh Pandey"/>
    <n v="668111383"/>
    <x v="0"/>
    <x v="46"/>
    <d v="2018-10-16T00:00:00"/>
    <x v="1"/>
    <n v="3"/>
    <s v="Animesh Rawat"/>
    <x v="0"/>
    <s v="Global Client Network (GNB Inward)"/>
    <s v="Renewal"/>
    <n v="237107.16"/>
    <d v="2017-10-17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Dinesh Pandey"/>
    <n v="668111383"/>
    <x v="0"/>
    <x v="46"/>
    <d v="2018-10-16T00:00:00"/>
    <x v="1"/>
    <n v="3"/>
    <s v="Animesh Rawat"/>
    <x v="0"/>
    <s v="Global Client Network (GNB Inward)"/>
    <s v="Renewal"/>
    <n v="237107.16"/>
    <d v="2017-10-17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Dinesh Pandey"/>
    <n v="668111383"/>
    <x v="0"/>
    <x v="46"/>
    <d v="2018-10-16T00:00:00"/>
    <x v="1"/>
    <n v="3"/>
    <s v="Animesh Rawat"/>
    <x v="0"/>
    <s v="Global Client Network (GNB Inward)"/>
    <s v="Renewal"/>
    <n v="237107.16"/>
    <d v="2017-10-17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Dinesh Pandey"/>
    <n v="668111383"/>
    <x v="0"/>
    <x v="46"/>
    <d v="2018-10-16T00:00:00"/>
    <x v="1"/>
    <n v="3"/>
    <s v="Animesh Rawat"/>
    <x v="0"/>
    <s v="Global Client Network (GNB Inward)"/>
    <s v="Renewal"/>
    <n v="237107.16"/>
    <d v="2017-10-17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Dinesh Pandey"/>
    <n v="668111383"/>
    <x v="0"/>
    <x v="46"/>
    <d v="2018-10-16T00:00:00"/>
    <x v="1"/>
    <n v="3"/>
    <s v="Animesh Rawat"/>
    <x v="0"/>
    <s v="Global Client Network (GNB Inward)"/>
    <s v="Renewal"/>
    <n v="237107.16"/>
    <d v="2017-10-17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Dinesh Pandey"/>
    <n v="668111383"/>
    <x v="0"/>
    <x v="46"/>
    <d v="2018-10-16T00:00:00"/>
    <x v="1"/>
    <n v="3"/>
    <s v="Animesh Rawat"/>
    <x v="0"/>
    <s v="Global Client Network (GNB Inward)"/>
    <s v="Renewal"/>
    <n v="237107.16"/>
    <d v="2017-10-17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Dinesh Pandey"/>
    <n v="668111383"/>
    <x v="0"/>
    <x v="46"/>
    <d v="2018-10-16T00:00:00"/>
    <x v="1"/>
    <n v="3"/>
    <s v="Animesh Rawat"/>
    <x v="0"/>
    <s v="Global Client Network (GNB Inward)"/>
    <s v="Renewal"/>
    <n v="237107.16"/>
    <d v="2017-10-17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Dinesh Pandey"/>
    <n v="668111383"/>
    <x v="0"/>
    <x v="46"/>
    <d v="2018-10-16T00:00:00"/>
    <x v="1"/>
    <n v="3"/>
    <s v="Animesh Rawat"/>
    <x v="0"/>
    <s v="Global Client Network (GNB Inward)"/>
    <s v="Renewal"/>
    <n v="237107.16"/>
    <d v="2017-10-17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Dinesh Pandey"/>
    <n v="668111383"/>
    <x v="0"/>
    <x v="46"/>
    <d v="2018-10-16T00:00:00"/>
    <x v="1"/>
    <n v="3"/>
    <s v="Animesh Rawat"/>
    <x v="0"/>
    <s v="Global Client Network (GNB Inward)"/>
    <s v="Renewal"/>
    <n v="237107.16"/>
    <d v="2017-10-17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Dinesh Pandey"/>
    <n v="668111383"/>
    <x v="0"/>
    <x v="46"/>
    <d v="2018-10-16T00:00:00"/>
    <x v="1"/>
    <n v="3"/>
    <s v="Animesh Rawat"/>
    <x v="0"/>
    <s v="Global Client Network (GNB Inward)"/>
    <s v="Renewal"/>
    <n v="237107.16"/>
    <d v="2017-10-17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Dinesh Pandey"/>
    <n v="668111383"/>
    <x v="0"/>
    <x v="46"/>
    <d v="2018-10-16T00:00:00"/>
    <x v="1"/>
    <n v="3"/>
    <s v="Animesh Rawat"/>
    <x v="0"/>
    <s v="Global Client Network (GNB Inward)"/>
    <s v="Renewal"/>
    <n v="237107.16"/>
    <d v="2017-10-17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Dinesh Pandey"/>
    <n v="668111383"/>
    <x v="0"/>
    <x v="46"/>
    <d v="2018-10-16T00:00:00"/>
    <x v="1"/>
    <n v="3"/>
    <s v="Animesh Rawat"/>
    <x v="0"/>
    <s v="Global Client Network (GNB Inward)"/>
    <s v="Renewal"/>
    <n v="237107.16"/>
    <d v="2017-10-17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Archana Iyer"/>
    <s v="0668111383 05"/>
    <x v="0"/>
    <x v="47"/>
    <d v="2019-10-16T00:00:00"/>
    <x v="2"/>
    <n v="3"/>
    <s v="Animesh Rawat"/>
    <x v="0"/>
    <s v="Global Client Network (GNB Inward)"/>
    <s v="Renewal"/>
    <n v="295501.76"/>
    <d v="2018-10-17T00:00:00"/>
    <s v="Brokerage"/>
    <x v="0"/>
    <s v="OTHR - Other"/>
    <d v="2020-01-22T00:00:00"/>
    <s v="Other"/>
    <m/>
    <m/>
    <m/>
    <m/>
    <m/>
    <m/>
    <m/>
    <m/>
    <m/>
    <m/>
    <m/>
    <m/>
    <m/>
    <m/>
    <m/>
    <m/>
    <m/>
    <m/>
    <m/>
    <m/>
  </r>
  <r>
    <s v="Deepak Menon"/>
    <n v="2250015394"/>
    <x v="0"/>
    <x v="48"/>
    <d v="2020-09-04T00:00:00"/>
    <x v="2"/>
    <n v="3"/>
    <s v="Animesh Rawat"/>
    <x v="0"/>
    <s v="Global Client Network (GNB Inward)"/>
    <s v="Renewal"/>
    <n v="5612.25"/>
    <d v="2019-09-05T00:00:00"/>
    <s v="Brokerage"/>
    <x v="1"/>
    <s v="OTHR - Other"/>
    <d v="2020-01-22T00:00:00"/>
    <s v="Other"/>
    <m/>
    <m/>
    <m/>
    <m/>
    <m/>
    <m/>
    <m/>
    <m/>
    <m/>
    <m/>
    <m/>
    <m/>
    <m/>
    <m/>
    <m/>
    <m/>
    <m/>
    <m/>
    <m/>
    <m/>
  </r>
  <r>
    <s v="Vivek Gupta"/>
    <n v="2309002394"/>
    <x v="0"/>
    <x v="49"/>
    <d v="2018-12-31T00:00:00"/>
    <x v="4"/>
    <n v="3"/>
    <s v="Animesh Rawat"/>
    <x v="0"/>
    <s v="Global Client Network (GNB Inward)"/>
    <s v="Renewal"/>
    <n v="30875"/>
    <d v="2018-01-01T00:00:00"/>
    <s v="Brokerage"/>
    <x v="0"/>
    <s v="OTHR - Other"/>
    <d v="2020-01-22T00:00:00"/>
    <s v="Other"/>
    <m/>
    <m/>
    <m/>
    <m/>
    <m/>
    <m/>
    <m/>
    <m/>
    <m/>
    <m/>
    <m/>
    <m/>
    <m/>
    <m/>
    <m/>
    <m/>
    <m/>
    <m/>
    <m/>
    <m/>
  </r>
  <r>
    <s v="Rina Shah"/>
    <n v="3.1142E+18"/>
    <x v="0"/>
    <x v="12"/>
    <d v="2020-08-25T00:00:00"/>
    <x v="2"/>
    <n v="3"/>
    <s v="Animesh Rawat"/>
    <x v="0"/>
    <s v="Global Client Network (GNB Inward)"/>
    <s v="Cross Sell"/>
    <n v="7022.25"/>
    <d v="2019-08-26T00:00:00"/>
    <s v="Brokerage"/>
    <x v="0"/>
    <s v="OTHR - Other"/>
    <d v="2020-01-22T00:00:00"/>
    <s v="Other"/>
    <m/>
    <m/>
    <m/>
    <m/>
    <m/>
    <m/>
    <m/>
    <m/>
    <m/>
    <m/>
    <m/>
    <m/>
    <m/>
    <m/>
    <m/>
    <m/>
    <m/>
    <m/>
    <m/>
    <m/>
  </r>
  <r>
    <s v="Uday Prasad"/>
    <s v="OG-19-2202-1018-00000053"/>
    <x v="0"/>
    <x v="13"/>
    <d v="2019-12-31T00:00:00"/>
    <x v="0"/>
    <n v="3"/>
    <s v="Animesh Rawat"/>
    <x v="0"/>
    <s v="Global Client Network (GNB Inward)"/>
    <s v="Cross Sell"/>
    <n v="77787.360000000001"/>
    <d v="2019-01-01T00:00:00"/>
    <s v="Brokerage"/>
    <x v="0"/>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Uday Prasad"/>
    <s v="OG-19-2202-1018-00000053"/>
    <x v="0"/>
    <x v="13"/>
    <d v="2019-12-31T00:00:00"/>
    <x v="0"/>
    <n v="3"/>
    <s v="Animesh Rawat"/>
    <x v="0"/>
    <s v="Global Client Network (GNB Inward)"/>
    <s v="Cross Sell"/>
    <n v="77787.360000000001"/>
    <d v="2019-01-01T00:00:00"/>
    <s v="Brokerage"/>
    <x v="0"/>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Uday Prasad"/>
    <s v="OG-19-2202-1018-00000053"/>
    <x v="0"/>
    <x v="13"/>
    <d v="2019-12-31T00:00:00"/>
    <x v="0"/>
    <n v="3"/>
    <s v="Animesh Rawat"/>
    <x v="0"/>
    <s v="Global Client Network (GNB Inward)"/>
    <s v="Cross Sell"/>
    <n v="77787.360000000001"/>
    <d v="2019-01-01T00:00:00"/>
    <s v="Brokerage"/>
    <x v="0"/>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Uday Prasad"/>
    <s v="OG-19-2202-1018-00000053"/>
    <x v="0"/>
    <x v="13"/>
    <d v="2019-12-31T00:00:00"/>
    <x v="0"/>
    <n v="3"/>
    <s v="Animesh Rawat"/>
    <x v="0"/>
    <s v="Global Client Network (GNB Inward)"/>
    <s v="Cross Sell"/>
    <n v="77787.360000000001"/>
    <d v="2019-01-01T00:00:00"/>
    <s v="Brokerage"/>
    <x v="0"/>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Uday Prasad"/>
    <s v="OG-19-2202-1018-00000053"/>
    <x v="0"/>
    <x v="13"/>
    <d v="2019-12-31T00:00:00"/>
    <x v="0"/>
    <n v="3"/>
    <s v="Animesh Rawat"/>
    <x v="0"/>
    <s v="Global Client Network (GNB Inward)"/>
    <s v="Cross Sell"/>
    <n v="77787.360000000001"/>
    <d v="2019-01-01T00:00:00"/>
    <s v="Brokerage"/>
    <x v="0"/>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Uday Prasad"/>
    <s v="OG-19-2202-1018-00000053"/>
    <x v="0"/>
    <x v="13"/>
    <d v="2019-12-31T00:00:00"/>
    <x v="0"/>
    <n v="3"/>
    <s v="Animesh Rawat"/>
    <x v="0"/>
    <s v="Global Client Network (GNB Inward)"/>
    <s v="Cross Sell"/>
    <n v="77787.360000000001"/>
    <d v="2019-01-01T00:00:00"/>
    <s v="Brokerage"/>
    <x v="0"/>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Uday Prasad"/>
    <s v="OG-19-2202-1018-00000053"/>
    <x v="0"/>
    <x v="13"/>
    <d v="2019-12-31T00:00:00"/>
    <x v="0"/>
    <n v="3"/>
    <s v="Animesh Rawat"/>
    <x v="0"/>
    <s v="Global Client Network (GNB Inward)"/>
    <s v="Cross Sell"/>
    <n v="77787.360000000001"/>
    <d v="2019-01-01T00:00:00"/>
    <s v="Brokerage"/>
    <x v="0"/>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Uday Prasad"/>
    <s v="OG-19-2202-1018-00000053"/>
    <x v="0"/>
    <x v="13"/>
    <d v="2019-12-31T00:00:00"/>
    <x v="0"/>
    <n v="3"/>
    <s v="Animesh Rawat"/>
    <x v="0"/>
    <s v="Global Client Network (GNB Inward)"/>
    <s v="Cross Sell"/>
    <n v="77787.360000000001"/>
    <d v="2019-01-01T00:00:00"/>
    <s v="Brokerage"/>
    <x v="0"/>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Nitin Kapoor"/>
    <s v="OG-19-2202-3383-00000008"/>
    <x v="0"/>
    <x v="13"/>
    <d v="2019-12-31T00:00:00"/>
    <x v="4"/>
    <n v="3"/>
    <s v="Animesh Rawat"/>
    <x v="0"/>
    <s v="Global Client Network (GNB Inward)"/>
    <s v="Cross Sell"/>
    <n v="30048.080000000002"/>
    <d v="2019-01-01T00:00:00"/>
    <s v="Brokerage"/>
    <x v="0"/>
    <s v="OTHR - Other"/>
    <d v="2020-01-22T00:00:00"/>
    <s v="Other"/>
    <m/>
    <m/>
    <m/>
    <m/>
    <m/>
    <m/>
    <m/>
    <m/>
    <m/>
    <m/>
    <m/>
    <m/>
    <m/>
    <m/>
    <m/>
    <m/>
    <m/>
    <m/>
    <m/>
    <m/>
  </r>
  <r>
    <s v="Harish Kaul"/>
    <s v="PROHLN000242106"/>
    <x v="0"/>
    <x v="50"/>
    <d v="2020-09-15T00:00:00"/>
    <x v="3"/>
    <n v="3"/>
    <s v="Animesh Rawat"/>
    <x v="0"/>
    <s v="Global Client Network (GNB Inward)"/>
    <s v="Cross Sell"/>
    <n v="7690.95"/>
    <d v="2019-09-16T00:00:00"/>
    <s v="Brokerage"/>
    <x v="0"/>
    <s v="OTHR - Other"/>
    <d v="2020-01-22T00:00:00"/>
    <s v="Other"/>
    <s v="EL-Group Mediclaim"/>
    <s v="OPP1900001042"/>
    <s v="Animesh Rawat"/>
    <n v="8000000"/>
    <n v="400000"/>
    <d v="2019-11-13T00:00:00"/>
    <s v="Qualify Opportunity"/>
    <s v="Ahmedabad"/>
    <s v="Employee Benefits (EB)"/>
    <s v="Mediclaim"/>
    <s v="Group Medical"/>
    <m/>
    <m/>
    <s v="Lucas Hernandez"/>
    <d v="2020-01-13T00:00:00"/>
    <s v="Animesh Rawat"/>
    <s v="Servicer"/>
    <n v="1278023"/>
    <n v="12365300"/>
    <n v="12900"/>
  </r>
  <r>
    <s v="Harish Kaul"/>
    <s v="PROHLN000242106"/>
    <x v="0"/>
    <x v="50"/>
    <d v="2020-09-15T00:00:00"/>
    <x v="3"/>
    <n v="3"/>
    <s v="Animesh Rawat"/>
    <x v="0"/>
    <s v="Global Client Network (GNB Inward)"/>
    <s v="Cross Sell"/>
    <n v="7690.95"/>
    <d v="2019-09-16T00:00:00"/>
    <s v="Brokerage"/>
    <x v="0"/>
    <s v="OTHR - Other"/>
    <d v="2020-01-22T00:00:00"/>
    <s v="Other"/>
    <s v="EL-Group Mediclaim"/>
    <s v="OPP1900001042"/>
    <s v="Animesh Rawat"/>
    <n v="8000000"/>
    <n v="400000"/>
    <d v="2019-11-13T00:00:00"/>
    <s v="Qualify Opportunity"/>
    <s v="Ahmedabad"/>
    <s v="Employee Benefits (EB)"/>
    <s v="Mediclaim"/>
    <s v="Group Medical"/>
    <m/>
    <m/>
    <s v="Amelia Moore"/>
    <d v="2020-01-13T00:00:00"/>
    <s v="Animesh Rawat"/>
    <s v="Servicer"/>
    <n v="1278023"/>
    <n v="12365300"/>
    <n v="12900"/>
  </r>
  <r>
    <s v="Harish Kaul"/>
    <s v="PROHLN000242106"/>
    <x v="0"/>
    <x v="50"/>
    <d v="2020-09-15T00:00:00"/>
    <x v="3"/>
    <n v="3"/>
    <s v="Animesh Rawat"/>
    <x v="0"/>
    <s v="Global Client Network (GNB Inward)"/>
    <s v="Cross Sell"/>
    <n v="7690.95"/>
    <d v="2019-09-16T00:00:00"/>
    <s v="Brokerage"/>
    <x v="0"/>
    <s v="OTHR - Other"/>
    <d v="2020-01-22T00:00:00"/>
    <s v="Other"/>
    <s v="EL-Group Mediclaim"/>
    <s v="OPP1900001042"/>
    <s v="Animesh Rawat"/>
    <n v="8000000"/>
    <n v="400000"/>
    <d v="2019-11-13T00:00:00"/>
    <s v="Qualify Opportunity"/>
    <s v="Ahmedabad"/>
    <s v="Employee Benefits (EB)"/>
    <s v="Mediclaim"/>
    <s v="Group Medical"/>
    <m/>
    <m/>
    <s v="Henry Thomas"/>
    <d v="2020-01-09T00:00:00"/>
    <s v="Animesh Rawat"/>
    <s v="Servicer"/>
    <n v="1278023"/>
    <n v="12365300"/>
    <n v="12900"/>
  </r>
  <r>
    <s v="Harish Kaul"/>
    <s v="PROHLN000242106"/>
    <x v="0"/>
    <x v="50"/>
    <d v="2020-09-15T00:00:00"/>
    <x v="3"/>
    <n v="3"/>
    <s v="Animesh Rawat"/>
    <x v="0"/>
    <s v="Global Client Network (GNB Inward)"/>
    <s v="Cross Sell"/>
    <n v="7690.95"/>
    <d v="2019-09-16T00:00:00"/>
    <s v="Brokerage"/>
    <x v="0"/>
    <s v="OTHR - Other"/>
    <d v="2020-01-22T00:00:00"/>
    <s v="Other"/>
    <s v="EL-Group Mediclaim"/>
    <s v="OPP1900001042"/>
    <s v="Animesh Rawat"/>
    <n v="8000000"/>
    <n v="400000"/>
    <d v="2019-11-13T00:00:00"/>
    <s v="Qualify Opportunity"/>
    <s v="Ahmedabad"/>
    <s v="Employee Benefits (EB)"/>
    <s v="Mediclaim"/>
    <s v="Group Medical"/>
    <m/>
    <m/>
    <s v="Harper Martin"/>
    <d v="2020-01-10T00:00:00"/>
    <s v="Animesh Rawat"/>
    <s v="Servicer"/>
    <n v="1278023"/>
    <n v="12365300"/>
    <n v="12900"/>
  </r>
  <r>
    <s v="Harish Kaul"/>
    <s v="PROHLN000242106"/>
    <x v="0"/>
    <x v="50"/>
    <d v="2020-09-15T00:00:00"/>
    <x v="3"/>
    <n v="3"/>
    <s v="Animesh Rawat"/>
    <x v="0"/>
    <s v="Global Client Network (GNB Inward)"/>
    <s v="Cross Sell"/>
    <n v="7690.95"/>
    <d v="2019-09-16T00:00:00"/>
    <s v="Brokerage"/>
    <x v="0"/>
    <s v="OTHR - Other"/>
    <d v="2020-01-22T00:00:00"/>
    <s v="Other"/>
    <s v="KB GMC"/>
    <s v="OPP1900001222"/>
    <s v="Animesh Rawat"/>
    <n v="2500000"/>
    <n v="125000"/>
    <d v="2019-12-01T00:00:00"/>
    <s v="Qualify Opportunity"/>
    <s v="Ahmedabad"/>
    <s v="Employee Benefits (EB)"/>
    <s v="Mediclaim"/>
    <s v="Group Medical"/>
    <m/>
    <m/>
    <s v="Lucas Hernandez"/>
    <d v="2020-01-13T00:00:00"/>
    <s v="Animesh Rawat"/>
    <s v="Servicer"/>
    <n v="1278023"/>
    <n v="12365300"/>
    <n v="12900"/>
  </r>
  <r>
    <s v="Harish Kaul"/>
    <s v="PROHLN000242106"/>
    <x v="0"/>
    <x v="50"/>
    <d v="2020-09-15T00:00:00"/>
    <x v="3"/>
    <n v="3"/>
    <s v="Animesh Rawat"/>
    <x v="0"/>
    <s v="Global Client Network (GNB Inward)"/>
    <s v="Cross Sell"/>
    <n v="7690.95"/>
    <d v="2019-09-16T00:00:00"/>
    <s v="Brokerage"/>
    <x v="0"/>
    <s v="OTHR - Other"/>
    <d v="2020-01-22T00:00:00"/>
    <s v="Other"/>
    <s v="KB GMC"/>
    <s v="OPP1900001222"/>
    <s v="Animesh Rawat"/>
    <n v="2500000"/>
    <n v="125000"/>
    <d v="2019-12-01T00:00:00"/>
    <s v="Qualify Opportunity"/>
    <s v="Ahmedabad"/>
    <s v="Employee Benefits (EB)"/>
    <s v="Mediclaim"/>
    <s v="Group Medical"/>
    <m/>
    <m/>
    <s v="Amelia Moore"/>
    <d v="2020-01-13T00:00:00"/>
    <s v="Animesh Rawat"/>
    <s v="Servicer"/>
    <n v="1278023"/>
    <n v="12365300"/>
    <n v="12900"/>
  </r>
  <r>
    <s v="Harish Kaul"/>
    <s v="PROHLN000242106"/>
    <x v="0"/>
    <x v="50"/>
    <d v="2020-09-15T00:00:00"/>
    <x v="3"/>
    <n v="3"/>
    <s v="Animesh Rawat"/>
    <x v="0"/>
    <s v="Global Client Network (GNB Inward)"/>
    <s v="Cross Sell"/>
    <n v="7690.95"/>
    <d v="2019-09-16T00:00:00"/>
    <s v="Brokerage"/>
    <x v="0"/>
    <s v="OTHR - Other"/>
    <d v="2020-01-22T00:00:00"/>
    <s v="Other"/>
    <s v="KB GMC"/>
    <s v="OPP1900001222"/>
    <s v="Animesh Rawat"/>
    <n v="2500000"/>
    <n v="125000"/>
    <d v="2019-12-01T00:00:00"/>
    <s v="Qualify Opportunity"/>
    <s v="Ahmedabad"/>
    <s v="Employee Benefits (EB)"/>
    <s v="Mediclaim"/>
    <s v="Group Medical"/>
    <m/>
    <m/>
    <s v="Henry Thomas"/>
    <d v="2020-01-09T00:00:00"/>
    <s v="Animesh Rawat"/>
    <s v="Servicer"/>
    <n v="1278023"/>
    <n v="12365300"/>
    <n v="12900"/>
  </r>
  <r>
    <s v="Harish Kaul"/>
    <s v="PROHLN000242106"/>
    <x v="0"/>
    <x v="50"/>
    <d v="2020-09-15T00:00:00"/>
    <x v="3"/>
    <n v="3"/>
    <s v="Animesh Rawat"/>
    <x v="0"/>
    <s v="Global Client Network (GNB Inward)"/>
    <s v="Cross Sell"/>
    <n v="7690.95"/>
    <d v="2019-09-16T00:00:00"/>
    <s v="Brokerage"/>
    <x v="0"/>
    <s v="OTHR - Other"/>
    <d v="2020-01-22T00:00:00"/>
    <s v="Other"/>
    <s v="KB GMC"/>
    <s v="OPP1900001222"/>
    <s v="Animesh Rawat"/>
    <n v="2500000"/>
    <n v="125000"/>
    <d v="2019-12-01T00:00:00"/>
    <s v="Qualify Opportunity"/>
    <s v="Ahmedabad"/>
    <s v="Employee Benefits (EB)"/>
    <s v="Mediclaim"/>
    <s v="Group Medical"/>
    <m/>
    <m/>
    <s v="Harper Martin"/>
    <d v="2020-01-10T00:00:00"/>
    <s v="Animesh Rawat"/>
    <s v="Servicer"/>
    <n v="1278023"/>
    <n v="12365300"/>
    <n v="12900"/>
  </r>
  <r>
    <s v="Harish Kaul"/>
    <s v="PROHLN000242106"/>
    <x v="0"/>
    <x v="50"/>
    <d v="2020-09-15T00:00:00"/>
    <x v="3"/>
    <n v="3"/>
    <s v="Animesh Rawat"/>
    <x v="0"/>
    <s v="Global Client Network (GNB Inward)"/>
    <s v="Cross Sell"/>
    <n v="7690.95"/>
    <d v="2019-09-16T00:00:00"/>
    <s v="Brokerage"/>
    <x v="0"/>
    <s v="OTHR - Other"/>
    <d v="2020-01-22T00:00:00"/>
    <s v="Other"/>
    <s v="Sin GMC"/>
    <s v="OPP1900001366"/>
    <s v="Animesh Rawat"/>
    <n v="9500000"/>
    <n v="200000"/>
    <d v="2019-09-30T00:00:00"/>
    <s v="Negotiate"/>
    <s v="Ahmedabad"/>
    <s v="Employee Benefits (EB)"/>
    <s v="Mediclaim"/>
    <s v="Group Medical"/>
    <m/>
    <m/>
    <s v="Lucas Hernandez"/>
    <d v="2020-01-13T00:00:00"/>
    <s v="Animesh Rawat"/>
    <s v="Servicer"/>
    <n v="1278023"/>
    <n v="12365300"/>
    <n v="12900"/>
  </r>
  <r>
    <s v="Harish Kaul"/>
    <s v="PROHLN000242106"/>
    <x v="0"/>
    <x v="50"/>
    <d v="2020-09-15T00:00:00"/>
    <x v="3"/>
    <n v="3"/>
    <s v="Animesh Rawat"/>
    <x v="0"/>
    <s v="Global Client Network (GNB Inward)"/>
    <s v="Cross Sell"/>
    <n v="7690.95"/>
    <d v="2019-09-16T00:00:00"/>
    <s v="Brokerage"/>
    <x v="0"/>
    <s v="OTHR - Other"/>
    <d v="2020-01-22T00:00:00"/>
    <s v="Other"/>
    <s v="Sin GMC"/>
    <s v="OPP1900001366"/>
    <s v="Animesh Rawat"/>
    <n v="9500000"/>
    <n v="200000"/>
    <d v="2019-09-30T00:00:00"/>
    <s v="Negotiate"/>
    <s v="Ahmedabad"/>
    <s v="Employee Benefits (EB)"/>
    <s v="Mediclaim"/>
    <s v="Group Medical"/>
    <m/>
    <m/>
    <s v="Amelia Moore"/>
    <d v="2020-01-13T00:00:00"/>
    <s v="Animesh Rawat"/>
    <s v="Servicer"/>
    <n v="1278023"/>
    <n v="12365300"/>
    <n v="12900"/>
  </r>
  <r>
    <s v="Harish Kaul"/>
    <s v="PROHLN000242106"/>
    <x v="0"/>
    <x v="50"/>
    <d v="2020-09-15T00:00:00"/>
    <x v="3"/>
    <n v="3"/>
    <s v="Animesh Rawat"/>
    <x v="0"/>
    <s v="Global Client Network (GNB Inward)"/>
    <s v="Cross Sell"/>
    <n v="7690.95"/>
    <d v="2019-09-16T00:00:00"/>
    <s v="Brokerage"/>
    <x v="0"/>
    <s v="OTHR - Other"/>
    <d v="2020-01-22T00:00:00"/>
    <s v="Other"/>
    <s v="Sin GMC"/>
    <s v="OPP1900001366"/>
    <s v="Animesh Rawat"/>
    <n v="9500000"/>
    <n v="200000"/>
    <d v="2019-09-30T00:00:00"/>
    <s v="Negotiate"/>
    <s v="Ahmedabad"/>
    <s v="Employee Benefits (EB)"/>
    <s v="Mediclaim"/>
    <s v="Group Medical"/>
    <m/>
    <m/>
    <s v="Henry Thomas"/>
    <d v="2020-01-09T00:00:00"/>
    <s v="Animesh Rawat"/>
    <s v="Servicer"/>
    <n v="1278023"/>
    <n v="12365300"/>
    <n v="12900"/>
  </r>
  <r>
    <s v="Harish Kaul"/>
    <s v="PROHLN000242106"/>
    <x v="0"/>
    <x v="50"/>
    <d v="2020-09-15T00:00:00"/>
    <x v="3"/>
    <n v="3"/>
    <s v="Animesh Rawat"/>
    <x v="0"/>
    <s v="Global Client Network (GNB Inward)"/>
    <s v="Cross Sell"/>
    <n v="7690.95"/>
    <d v="2019-09-16T00:00:00"/>
    <s v="Brokerage"/>
    <x v="0"/>
    <s v="OTHR - Other"/>
    <d v="2020-01-22T00:00:00"/>
    <s v="Other"/>
    <s v="Sin GMC"/>
    <s v="OPP1900001366"/>
    <s v="Animesh Rawat"/>
    <n v="9500000"/>
    <n v="200000"/>
    <d v="2019-09-30T00:00:00"/>
    <s v="Negotiate"/>
    <s v="Ahmedabad"/>
    <s v="Employee Benefits (EB)"/>
    <s v="Mediclaim"/>
    <s v="Group Medical"/>
    <m/>
    <m/>
    <s v="Harper Martin"/>
    <d v="2020-01-10T00:00:00"/>
    <s v="Animesh Rawat"/>
    <s v="Servicer"/>
    <n v="1278023"/>
    <n v="12365300"/>
    <n v="12900"/>
  </r>
  <r>
    <s v="Harish Kaul"/>
    <s v="PROHLN000242106"/>
    <x v="0"/>
    <x v="50"/>
    <d v="2020-09-15T00:00:00"/>
    <x v="3"/>
    <n v="3"/>
    <s v="Animesh Rawat"/>
    <x v="0"/>
    <s v="Global Client Network (GNB Inward)"/>
    <s v="Cross Sell"/>
    <n v="7690.95"/>
    <d v="2019-09-16T00:00:00"/>
    <s v="Brokerage"/>
    <x v="0"/>
    <s v="OTHR - Other"/>
    <d v="2020-01-22T00:00:00"/>
    <s v="Other"/>
    <s v="Stem GMC"/>
    <s v="OPP1900001391"/>
    <s v="Animesh Rawat"/>
    <n v="0"/>
    <n v="100000"/>
    <d v="2019-11-15T00:00:00"/>
    <s v="Qualify Opportunity"/>
    <s v="Ahmedabad"/>
    <s v="Employee Benefits (EB)"/>
    <s v="Mediclaim"/>
    <s v="Group Medical"/>
    <m/>
    <m/>
    <s v="Lucas Hernandez"/>
    <d v="2020-01-13T00:00:00"/>
    <s v="Animesh Rawat"/>
    <s v="Servicer"/>
    <n v="1278023"/>
    <n v="12365300"/>
    <n v="12900"/>
  </r>
  <r>
    <s v="Harish Kaul"/>
    <s v="PROHLN000242106"/>
    <x v="0"/>
    <x v="50"/>
    <d v="2020-09-15T00:00:00"/>
    <x v="3"/>
    <n v="3"/>
    <s v="Animesh Rawat"/>
    <x v="0"/>
    <s v="Global Client Network (GNB Inward)"/>
    <s v="Cross Sell"/>
    <n v="7690.95"/>
    <d v="2019-09-16T00:00:00"/>
    <s v="Brokerage"/>
    <x v="0"/>
    <s v="OTHR - Other"/>
    <d v="2020-01-22T00:00:00"/>
    <s v="Other"/>
    <s v="Stem GMC"/>
    <s v="OPP1900001391"/>
    <s v="Animesh Rawat"/>
    <n v="0"/>
    <n v="100000"/>
    <d v="2019-11-15T00:00:00"/>
    <s v="Qualify Opportunity"/>
    <s v="Ahmedabad"/>
    <s v="Employee Benefits (EB)"/>
    <s v="Mediclaim"/>
    <s v="Group Medical"/>
    <m/>
    <m/>
    <s v="Amelia Moore"/>
    <d v="2020-01-13T00:00:00"/>
    <s v="Animesh Rawat"/>
    <s v="Servicer"/>
    <n v="1278023"/>
    <n v="12365300"/>
    <n v="12900"/>
  </r>
  <r>
    <s v="Harish Kaul"/>
    <s v="PROHLN000242106"/>
    <x v="0"/>
    <x v="50"/>
    <d v="2020-09-15T00:00:00"/>
    <x v="3"/>
    <n v="3"/>
    <s v="Animesh Rawat"/>
    <x v="0"/>
    <s v="Global Client Network (GNB Inward)"/>
    <s v="Cross Sell"/>
    <n v="7690.95"/>
    <d v="2019-09-16T00:00:00"/>
    <s v="Brokerage"/>
    <x v="0"/>
    <s v="OTHR - Other"/>
    <d v="2020-01-22T00:00:00"/>
    <s v="Other"/>
    <s v="Stem GMC"/>
    <s v="OPP1900001391"/>
    <s v="Animesh Rawat"/>
    <n v="0"/>
    <n v="100000"/>
    <d v="2019-11-15T00:00:00"/>
    <s v="Qualify Opportunity"/>
    <s v="Ahmedabad"/>
    <s v="Employee Benefits (EB)"/>
    <s v="Mediclaim"/>
    <s v="Group Medical"/>
    <m/>
    <m/>
    <s v="Henry Thomas"/>
    <d v="2020-01-09T00:00:00"/>
    <s v="Animesh Rawat"/>
    <s v="Servicer"/>
    <n v="1278023"/>
    <n v="12365300"/>
    <n v="12900"/>
  </r>
  <r>
    <s v="Harish Kaul"/>
    <s v="PROHLN000242106"/>
    <x v="0"/>
    <x v="50"/>
    <d v="2020-09-15T00:00:00"/>
    <x v="3"/>
    <n v="3"/>
    <s v="Animesh Rawat"/>
    <x v="0"/>
    <s v="Global Client Network (GNB Inward)"/>
    <s v="Cross Sell"/>
    <n v="7690.95"/>
    <d v="2019-09-16T00:00:00"/>
    <s v="Brokerage"/>
    <x v="0"/>
    <s v="OTHR - Other"/>
    <d v="2020-01-22T00:00:00"/>
    <s v="Other"/>
    <s v="Stem GMC"/>
    <s v="OPP1900001391"/>
    <s v="Animesh Rawat"/>
    <n v="0"/>
    <n v="100000"/>
    <d v="2019-11-15T00:00:00"/>
    <s v="Qualify Opportunity"/>
    <s v="Ahmedabad"/>
    <s v="Employee Benefits (EB)"/>
    <s v="Mediclaim"/>
    <s v="Group Medical"/>
    <m/>
    <m/>
    <s v="Harper Martin"/>
    <d v="2020-01-10T00:00:00"/>
    <s v="Animesh Rawat"/>
    <s v="Servicer"/>
    <n v="1278023"/>
    <n v="12365300"/>
    <n v="12900"/>
  </r>
  <r>
    <s v="Harish Kaul"/>
    <s v="PROHLN000242106"/>
    <x v="0"/>
    <x v="50"/>
    <d v="2020-09-15T00:00:00"/>
    <x v="3"/>
    <n v="3"/>
    <s v="Animesh Rawat"/>
    <x v="0"/>
    <s v="Global Client Network (GNB Inward)"/>
    <s v="Cross Sell"/>
    <n v="7690.95"/>
    <d v="2019-09-16T00:00:00"/>
    <s v="Brokerage"/>
    <x v="0"/>
    <s v="OTHR - Other"/>
    <d v="2020-01-22T00:00:00"/>
    <s v="Other"/>
    <s v="DS- Employees GMC"/>
    <s v="OPP1900001392"/>
    <s v="Animesh Rawat"/>
    <n v="6000000"/>
    <n v="300000"/>
    <d v="2019-12-01T00:00:00"/>
    <s v="Qualify Opportunity"/>
    <s v="Ahmedabad"/>
    <s v="Employee Benefits (EB)"/>
    <s v="Mediclaim"/>
    <s v="Group Medical"/>
    <m/>
    <m/>
    <s v="Lucas Hernandez"/>
    <d v="2020-01-13T00:00:00"/>
    <s v="Animesh Rawat"/>
    <s v="Servicer"/>
    <n v="1278023"/>
    <n v="12365300"/>
    <n v="12900"/>
  </r>
  <r>
    <s v="Harish Kaul"/>
    <s v="PROHLN000242106"/>
    <x v="0"/>
    <x v="50"/>
    <d v="2020-09-15T00:00:00"/>
    <x v="3"/>
    <n v="3"/>
    <s v="Animesh Rawat"/>
    <x v="0"/>
    <s v="Global Client Network (GNB Inward)"/>
    <s v="Cross Sell"/>
    <n v="7690.95"/>
    <d v="2019-09-16T00:00:00"/>
    <s v="Brokerage"/>
    <x v="0"/>
    <s v="OTHR - Other"/>
    <d v="2020-01-22T00:00:00"/>
    <s v="Other"/>
    <s v="DS- Employees GMC"/>
    <s v="OPP1900001392"/>
    <s v="Animesh Rawat"/>
    <n v="6000000"/>
    <n v="300000"/>
    <d v="2019-12-01T00:00:00"/>
    <s v="Qualify Opportunity"/>
    <s v="Ahmedabad"/>
    <s v="Employee Benefits (EB)"/>
    <s v="Mediclaim"/>
    <s v="Group Medical"/>
    <m/>
    <m/>
    <s v="Amelia Moore"/>
    <d v="2020-01-13T00:00:00"/>
    <s v="Animesh Rawat"/>
    <s v="Servicer"/>
    <n v="1278023"/>
    <n v="12365300"/>
    <n v="12900"/>
  </r>
  <r>
    <s v="Harish Kaul"/>
    <s v="PROHLN000242106"/>
    <x v="0"/>
    <x v="50"/>
    <d v="2020-09-15T00:00:00"/>
    <x v="3"/>
    <n v="3"/>
    <s v="Animesh Rawat"/>
    <x v="0"/>
    <s v="Global Client Network (GNB Inward)"/>
    <s v="Cross Sell"/>
    <n v="7690.95"/>
    <d v="2019-09-16T00:00:00"/>
    <s v="Brokerage"/>
    <x v="0"/>
    <s v="OTHR - Other"/>
    <d v="2020-01-22T00:00:00"/>
    <s v="Other"/>
    <s v="DS- Employees GMC"/>
    <s v="OPP1900001392"/>
    <s v="Animesh Rawat"/>
    <n v="6000000"/>
    <n v="300000"/>
    <d v="2019-12-01T00:00:00"/>
    <s v="Qualify Opportunity"/>
    <s v="Ahmedabad"/>
    <s v="Employee Benefits (EB)"/>
    <s v="Mediclaim"/>
    <s v="Group Medical"/>
    <m/>
    <m/>
    <s v="Henry Thomas"/>
    <d v="2020-01-09T00:00:00"/>
    <s v="Animesh Rawat"/>
    <s v="Servicer"/>
    <n v="1278023"/>
    <n v="12365300"/>
    <n v="12900"/>
  </r>
  <r>
    <s v="Harish Kaul"/>
    <s v="PROHLN000242106"/>
    <x v="0"/>
    <x v="50"/>
    <d v="2020-09-15T00:00:00"/>
    <x v="3"/>
    <n v="3"/>
    <s v="Animesh Rawat"/>
    <x v="0"/>
    <s v="Global Client Network (GNB Inward)"/>
    <s v="Cross Sell"/>
    <n v="7690.95"/>
    <d v="2019-09-16T00:00:00"/>
    <s v="Brokerage"/>
    <x v="0"/>
    <s v="OTHR - Other"/>
    <d v="2020-01-22T00:00:00"/>
    <s v="Other"/>
    <s v="DS- Employees GMC"/>
    <s v="OPP1900001392"/>
    <s v="Animesh Rawat"/>
    <n v="6000000"/>
    <n v="300000"/>
    <d v="2019-12-01T00:00:00"/>
    <s v="Qualify Opportunity"/>
    <s v="Ahmedabad"/>
    <s v="Employee Benefits (EB)"/>
    <s v="Mediclaim"/>
    <s v="Group Medical"/>
    <m/>
    <m/>
    <s v="Harper Martin"/>
    <d v="2020-01-10T00:00:00"/>
    <s v="Animesh Rawat"/>
    <s v="Servicer"/>
    <n v="1278023"/>
    <n v="12365300"/>
    <n v="12900"/>
  </r>
  <r>
    <s v="Neeraj Arora"/>
    <n v="1.203E+19"/>
    <x v="1"/>
    <x v="51"/>
    <d v="2019-08-09T00:00:00"/>
    <x v="2"/>
    <n v="12"/>
    <s v="Shivani Sharma"/>
    <x v="0"/>
    <s v="Global Client Network (GNB Inward)"/>
    <s v="Renewal"/>
    <n v="86400"/>
    <d v="2018-08-10T00:00:00"/>
    <s v="Brokerage"/>
    <x v="0"/>
    <s v="OTHR - Other"/>
    <d v="2020-01-22T00:00:00"/>
    <s v="Other"/>
    <m/>
    <m/>
    <m/>
    <m/>
    <m/>
    <m/>
    <m/>
    <m/>
    <m/>
    <m/>
    <m/>
    <m/>
    <m/>
    <m/>
    <m/>
    <m/>
    <m/>
    <m/>
    <m/>
    <m/>
  </r>
  <r>
    <s v="Mukul Kumar"/>
    <n v="1.203E+19"/>
    <x v="1"/>
    <x v="51"/>
    <d v="2019-08-09T00:00:00"/>
    <x v="2"/>
    <n v="12"/>
    <s v="Shivani Sharma"/>
    <x v="0"/>
    <s v="Global Client Network (GNB Inward)"/>
    <s v="Renewal"/>
    <n v="345705"/>
    <d v="2018-08-10T00:00:00"/>
    <s v="Brokerage"/>
    <x v="0"/>
    <s v="OTHR - Other"/>
    <d v="2020-01-22T00:00:00"/>
    <s v="Other"/>
    <m/>
    <m/>
    <m/>
    <m/>
    <m/>
    <m/>
    <m/>
    <m/>
    <m/>
    <m/>
    <m/>
    <m/>
    <m/>
    <m/>
    <m/>
    <m/>
    <m/>
    <m/>
    <m/>
    <m/>
  </r>
  <r>
    <s v="Gauri Naik"/>
    <n v="1.203E+19"/>
    <x v="0"/>
    <x v="52"/>
    <d v="2020-08-09T00:00:00"/>
    <x v="2"/>
    <n v="3"/>
    <s v="Animesh Rawat"/>
    <x v="0"/>
    <s v="Global Client Network (GNB Inward)"/>
    <s v="Renewal"/>
    <n v="77400"/>
    <d v="2019-08-10T00:00:00"/>
    <s v="Brokerage"/>
    <x v="1"/>
    <s v="OTHR - Other"/>
    <d v="2020-01-22T00:00:00"/>
    <s v="Other"/>
    <m/>
    <m/>
    <m/>
    <m/>
    <m/>
    <m/>
    <m/>
    <m/>
    <m/>
    <m/>
    <m/>
    <m/>
    <m/>
    <m/>
    <m/>
    <m/>
    <m/>
    <m/>
    <m/>
    <m/>
  </r>
  <r>
    <s v="Harish Menon"/>
    <n v="1.203E+19"/>
    <x v="0"/>
    <x v="52"/>
    <d v="2020-08-09T00:00:00"/>
    <x v="2"/>
    <n v="3"/>
    <s v="Animesh Rawat"/>
    <x v="0"/>
    <s v="Global Client Network (GNB Inward)"/>
    <s v="Renewal"/>
    <n v="302811.08"/>
    <d v="2019-08-10T00:00:00"/>
    <s v="Brokerage"/>
    <x v="1"/>
    <s v="OTHR - Other"/>
    <d v="2020-01-22T00:00:00"/>
    <s v="Other"/>
    <m/>
    <m/>
    <m/>
    <m/>
    <m/>
    <m/>
    <m/>
    <m/>
    <m/>
    <m/>
    <m/>
    <m/>
    <m/>
    <m/>
    <m/>
    <m/>
    <m/>
    <m/>
    <m/>
    <m/>
  </r>
  <r>
    <s v="Mohit Gupta"/>
    <s v="P0319200002/9999/100065"/>
    <x v="0"/>
    <x v="53"/>
    <d v="2019-06-30T00:00:00"/>
    <x v="4"/>
    <n v="12"/>
    <s v="Shivani Sharma"/>
    <x v="0"/>
    <s v="Global Client Network (GNB Inward)"/>
    <s v="Renewal"/>
    <n v="1183.3800000000001"/>
    <d v="2018-07-01T00:00:00"/>
    <s v="Brokerage"/>
    <x v="0"/>
    <s v="OTHR - Other"/>
    <d v="2020-01-22T00:00:00"/>
    <s v="Other"/>
    <s v="DB- Cyber Liability"/>
    <s v="OPP1900001138"/>
    <s v="Shivani Sharma"/>
    <n v="500000"/>
    <n v="75000"/>
    <d v="2020-05-31T00:00:00"/>
    <s v="Qualify Opportunity"/>
    <s v="Ahmedabad"/>
    <s v="Liability"/>
    <s v="Financial Lines"/>
    <s v="Cyber Liability Insurance"/>
    <m/>
    <m/>
    <s v="Madison Robinson"/>
    <d v="2020-01-21T00:00:00"/>
    <m/>
    <m/>
    <m/>
    <m/>
    <m/>
  </r>
  <r>
    <s v="Mohit Gupta"/>
    <s v="P0319200002/9999/100065"/>
    <x v="0"/>
    <x v="53"/>
    <d v="2019-06-30T00:00:00"/>
    <x v="4"/>
    <n v="12"/>
    <s v="Shivani Sharma"/>
    <x v="0"/>
    <s v="Global Client Network (GNB Inward)"/>
    <s v="Renewal"/>
    <n v="1183.3800000000001"/>
    <d v="2018-07-01T00:00:00"/>
    <s v="Brokerage"/>
    <x v="0"/>
    <s v="OTHR - Other"/>
    <d v="2020-01-22T00:00:00"/>
    <s v="Other"/>
    <s v="DB- Cyber Liability"/>
    <s v="OPP1900001138"/>
    <s v="Shivani Sharma"/>
    <n v="500000"/>
    <n v="75000"/>
    <d v="2020-05-31T00:00:00"/>
    <s v="Qualify Opportunity"/>
    <s v="Ahmedabad"/>
    <s v="Liability"/>
    <s v="Financial Lines"/>
    <s v="Cyber Liability Insurance"/>
    <m/>
    <m/>
    <s v="David Hall"/>
    <d v="2020-01-21T00:00:00"/>
    <m/>
    <m/>
    <m/>
    <m/>
    <m/>
  </r>
  <r>
    <s v="Mohit Gupta"/>
    <s v="P0319200002/9999/100065"/>
    <x v="0"/>
    <x v="53"/>
    <d v="2019-06-30T00:00:00"/>
    <x v="4"/>
    <n v="12"/>
    <s v="Shivani Sharma"/>
    <x v="0"/>
    <s v="Global Client Network (GNB Inward)"/>
    <s v="Renewal"/>
    <n v="1183.3800000000001"/>
    <d v="2018-07-01T00:00:00"/>
    <s v="Brokerage"/>
    <x v="0"/>
    <s v="OTHR - Other"/>
    <d v="2020-01-22T00:00:00"/>
    <s v="Other"/>
    <s v="DB- Cyber Liability"/>
    <s v="OPP1900001138"/>
    <s v="Shivani Sharma"/>
    <n v="500000"/>
    <n v="75000"/>
    <d v="2020-05-31T00:00:00"/>
    <s v="Qualify Opportunity"/>
    <s v="Ahmedabad"/>
    <s v="Liability"/>
    <s v="Financial Lines"/>
    <s v="Cyber Liability Insurance"/>
    <m/>
    <m/>
    <s v="Lily Young"/>
    <d v="2020-01-21T00:00:00"/>
    <m/>
    <m/>
    <m/>
    <m/>
    <m/>
  </r>
  <r>
    <s v="Mohit Gupta"/>
    <s v="P0319200002/9999/100065"/>
    <x v="0"/>
    <x v="53"/>
    <d v="2019-06-30T00:00:00"/>
    <x v="4"/>
    <n v="12"/>
    <s v="Shivani Sharma"/>
    <x v="0"/>
    <s v="Global Client Network (GNB Inward)"/>
    <s v="Renewal"/>
    <n v="1183.3800000000001"/>
    <d v="2018-07-01T00:00:00"/>
    <s v="Brokerage"/>
    <x v="0"/>
    <s v="OTHR - Other"/>
    <d v="2020-01-22T00:00:00"/>
    <s v="Other"/>
    <s v="DB- Cyber Liability"/>
    <s v="OPP1900001138"/>
    <s v="Shivani Sharma"/>
    <n v="500000"/>
    <n v="75000"/>
    <d v="2020-05-31T00:00:00"/>
    <s v="Qualify Opportunity"/>
    <s v="Ahmedabad"/>
    <s v="Liability"/>
    <s v="Financial Lines"/>
    <s v="Cyber Liability Insurance"/>
    <m/>
    <m/>
    <s v="Samuel Allen"/>
    <d v="2020-01-22T00:00:00"/>
    <m/>
    <m/>
    <m/>
    <m/>
    <m/>
  </r>
  <r>
    <s v="Mohit Gupta"/>
    <s v="P0319200002/9999/100065"/>
    <x v="0"/>
    <x v="53"/>
    <d v="2019-06-30T00:00:00"/>
    <x v="4"/>
    <n v="12"/>
    <s v="Shivani Sharma"/>
    <x v="0"/>
    <s v="Global Client Network (GNB Inward)"/>
    <s v="Renewal"/>
    <n v="1183.3800000000001"/>
    <d v="2018-07-01T00:00:00"/>
    <s v="Brokerage"/>
    <x v="0"/>
    <s v="OTHR - Other"/>
    <d v="2020-01-22T00:00:00"/>
    <s v="Other"/>
    <s v="VS.-D &amp; O"/>
    <s v="OPP1900002104"/>
    <s v="Shivani Sharma"/>
    <n v="0"/>
    <n v="50000"/>
    <d v="2020-03-31T00:00:00"/>
    <s v="Qualify Opportunity"/>
    <s v="Ahmedabad"/>
    <s v="Liability"/>
    <s v="Financial Lines"/>
    <s v="Director &amp;amp; Officers / Management  Liability"/>
    <m/>
    <m/>
    <s v="Madison Robinson"/>
    <d v="2020-01-21T00:00:00"/>
    <m/>
    <m/>
    <m/>
    <m/>
    <m/>
  </r>
  <r>
    <s v="Mohit Gupta"/>
    <s v="P0319200002/9999/100065"/>
    <x v="0"/>
    <x v="53"/>
    <d v="2019-06-30T00:00:00"/>
    <x v="4"/>
    <n v="12"/>
    <s v="Shivani Sharma"/>
    <x v="0"/>
    <s v="Global Client Network (GNB Inward)"/>
    <s v="Renewal"/>
    <n v="1183.3800000000001"/>
    <d v="2018-07-01T00:00:00"/>
    <s v="Brokerage"/>
    <x v="0"/>
    <s v="OTHR - Other"/>
    <d v="2020-01-22T00:00:00"/>
    <s v="Other"/>
    <s v="VS.-D &amp; O"/>
    <s v="OPP1900002104"/>
    <s v="Shivani Sharma"/>
    <n v="0"/>
    <n v="50000"/>
    <d v="2020-03-31T00:00:00"/>
    <s v="Qualify Opportunity"/>
    <s v="Ahmedabad"/>
    <s v="Liability"/>
    <s v="Financial Lines"/>
    <s v="Director &amp;amp; Officers / Management  Liability"/>
    <m/>
    <m/>
    <s v="David Hall"/>
    <d v="2020-01-21T00:00:00"/>
    <m/>
    <m/>
    <m/>
    <m/>
    <m/>
  </r>
  <r>
    <s v="Mohit Gupta"/>
    <s v="P0319200002/9999/100065"/>
    <x v="0"/>
    <x v="53"/>
    <d v="2019-06-30T00:00:00"/>
    <x v="4"/>
    <n v="12"/>
    <s v="Shivani Sharma"/>
    <x v="0"/>
    <s v="Global Client Network (GNB Inward)"/>
    <s v="Renewal"/>
    <n v="1183.3800000000001"/>
    <d v="2018-07-01T00:00:00"/>
    <s v="Brokerage"/>
    <x v="0"/>
    <s v="OTHR - Other"/>
    <d v="2020-01-22T00:00:00"/>
    <s v="Other"/>
    <s v="VS.-D &amp; O"/>
    <s v="OPP1900002104"/>
    <s v="Shivani Sharma"/>
    <n v="0"/>
    <n v="50000"/>
    <d v="2020-03-31T00:00:00"/>
    <s v="Qualify Opportunity"/>
    <s v="Ahmedabad"/>
    <s v="Liability"/>
    <s v="Financial Lines"/>
    <s v="Director &amp;amp; Officers / Management  Liability"/>
    <m/>
    <m/>
    <s v="Lily Young"/>
    <d v="2020-01-21T00:00:00"/>
    <m/>
    <m/>
    <m/>
    <m/>
    <m/>
  </r>
  <r>
    <s v="Mohit Gupta"/>
    <s v="P0319200002/9999/100065"/>
    <x v="0"/>
    <x v="53"/>
    <d v="2019-06-30T00:00:00"/>
    <x v="4"/>
    <n v="12"/>
    <s v="Shivani Sharma"/>
    <x v="0"/>
    <s v="Global Client Network (GNB Inward)"/>
    <s v="Renewal"/>
    <n v="1183.3800000000001"/>
    <d v="2018-07-01T00:00:00"/>
    <s v="Brokerage"/>
    <x v="0"/>
    <s v="OTHR - Other"/>
    <d v="2020-01-22T00:00:00"/>
    <s v="Other"/>
    <s v="VS.-D &amp; O"/>
    <s v="OPP1900002104"/>
    <s v="Shivani Sharma"/>
    <n v="0"/>
    <n v="50000"/>
    <d v="2020-03-31T00:00:00"/>
    <s v="Qualify Opportunity"/>
    <s v="Ahmedabad"/>
    <s v="Liability"/>
    <s v="Financial Lines"/>
    <s v="Director &amp;amp; Officers / Management  Liability"/>
    <m/>
    <m/>
    <s v="Samuel Allen"/>
    <d v="2020-01-22T00:00:00"/>
    <m/>
    <m/>
    <m/>
    <m/>
    <m/>
  </r>
  <r>
    <s v="Amit Arora"/>
    <s v="2018-F0541357-FRE"/>
    <x v="0"/>
    <x v="54"/>
    <d v="2019-09-15T00:00:00"/>
    <x v="1"/>
    <n v="1"/>
    <s v="Vinay"/>
    <x v="0"/>
    <s v="Property / BI"/>
    <s v="Renewal"/>
    <n v="33977.82"/>
    <d v="2018-09-16T00:00:00"/>
    <s v="Brokerage"/>
    <x v="0"/>
    <s v="OTHR - Other"/>
    <d v="2020-01-22T00:00:00"/>
    <s v="Other"/>
    <m/>
    <m/>
    <m/>
    <m/>
    <m/>
    <m/>
    <m/>
    <m/>
    <m/>
    <m/>
    <m/>
    <m/>
    <m/>
    <m/>
    <m/>
    <m/>
    <m/>
    <m/>
    <m/>
    <m/>
  </r>
  <r>
    <s v="Nikita Pandit"/>
    <s v="'11120044170300000009"/>
    <x v="0"/>
    <x v="55"/>
    <d v="2020-11-26T00:00:00"/>
    <x v="5"/>
    <n v="11"/>
    <s v="Raju Kumar"/>
    <x v="0"/>
    <s v="Construction, Power &amp; Infrastructure"/>
    <s v="Cross Sell"/>
    <n v="25303.02"/>
    <d v="2018-05-27T00:00:00"/>
    <s v="Brokerage"/>
    <x v="0"/>
    <s v="OTHR - Other"/>
    <d v="2020-01-22T00:00:00"/>
    <s v="Other"/>
    <m/>
    <m/>
    <m/>
    <m/>
    <m/>
    <m/>
    <m/>
    <m/>
    <m/>
    <m/>
    <m/>
    <m/>
    <m/>
    <m/>
    <m/>
    <m/>
    <m/>
    <m/>
    <m/>
    <m/>
  </r>
  <r>
    <s v="Vikas Gupta"/>
    <s v="'11120044170300000009"/>
    <x v="0"/>
    <x v="55"/>
    <d v="2020-11-26T00:00:00"/>
    <x v="5"/>
    <n v="11"/>
    <s v="Raju Kumar"/>
    <x v="0"/>
    <s v="Construction, Power &amp; Infrastructure"/>
    <s v="Cross Sell"/>
    <n v="25302.959999999999"/>
    <d v="2019-05-27T00:00:00"/>
    <s v="Brokerage"/>
    <x v="0"/>
    <s v="OTHR - Other"/>
    <d v="2020-01-22T00:00:00"/>
    <s v="Other"/>
    <m/>
    <m/>
    <m/>
    <m/>
    <m/>
    <m/>
    <m/>
    <m/>
    <m/>
    <m/>
    <m/>
    <m/>
    <m/>
    <m/>
    <m/>
    <m/>
    <m/>
    <m/>
    <m/>
    <m/>
  </r>
  <r>
    <s v="Kamlesh Pillai"/>
    <s v="'11120044170300000009"/>
    <x v="0"/>
    <x v="55"/>
    <d v="2020-11-26T00:00:00"/>
    <x v="5"/>
    <n v="11"/>
    <s v="Raju Kumar"/>
    <x v="0"/>
    <s v="Construction, Power &amp; Infrastructure"/>
    <s v="Cross Sell"/>
    <n v="25302.959999999999"/>
    <d v="2019-08-27T00:00:00"/>
    <s v="Brokerage"/>
    <x v="0"/>
    <s v="OTHR - Other"/>
    <d v="2020-01-22T00:00:00"/>
    <s v="Other"/>
    <m/>
    <m/>
    <m/>
    <m/>
    <m/>
    <m/>
    <m/>
    <m/>
    <m/>
    <m/>
    <m/>
    <m/>
    <m/>
    <m/>
    <m/>
    <m/>
    <m/>
    <m/>
    <m/>
    <m/>
  </r>
  <r>
    <s v="Umesh Agarwal"/>
    <s v="'11120044170300000009"/>
    <x v="0"/>
    <x v="55"/>
    <d v="2020-11-26T00:00:00"/>
    <x v="5"/>
    <n v="11"/>
    <s v="Raju Kumar"/>
    <x v="0"/>
    <s v="Construction, Power &amp; Infrastructure"/>
    <s v="Cross Sell"/>
    <n v="25302.959999999999"/>
    <d v="2019-11-27T00:00:00"/>
    <s v="Brokerage"/>
    <x v="0"/>
    <s v="OTHR - Other"/>
    <d v="2020-01-22T00:00:00"/>
    <s v="Other"/>
    <m/>
    <m/>
    <m/>
    <m/>
    <m/>
    <m/>
    <m/>
    <m/>
    <m/>
    <m/>
    <m/>
    <m/>
    <m/>
    <m/>
    <m/>
    <m/>
    <m/>
    <m/>
    <m/>
    <m/>
  </r>
  <r>
    <s v="Ankur Gandhi"/>
    <s v="'11120044170300000009"/>
    <x v="0"/>
    <x v="55"/>
    <d v="2020-11-26T00:00:00"/>
    <x v="5"/>
    <n v="11"/>
    <s v="Raju Kumar"/>
    <x v="0"/>
    <s v="Construction, Power &amp; Infrastructure"/>
    <s v="Cross Sell"/>
    <n v="25302.959999999999"/>
    <d v="2020-02-27T00:00:00"/>
    <s v="Brokerage"/>
    <x v="0"/>
    <s v="OTHR - Other"/>
    <d v="2020-01-22T00:00:00"/>
    <s v="Other"/>
    <m/>
    <m/>
    <m/>
    <m/>
    <m/>
    <m/>
    <m/>
    <m/>
    <m/>
    <m/>
    <m/>
    <m/>
    <m/>
    <m/>
    <m/>
    <m/>
    <m/>
    <m/>
    <m/>
    <m/>
  </r>
  <r>
    <s v="Dinesh Kaul"/>
    <s v="'11120044170300000009"/>
    <x v="0"/>
    <x v="55"/>
    <d v="2020-11-26T00:00:00"/>
    <x v="5"/>
    <n v="11"/>
    <s v="Raju Kumar"/>
    <x v="0"/>
    <s v="Construction, Power &amp; Infrastructure"/>
    <s v="Cross Sell"/>
    <n v="25302.959999999999"/>
    <d v="2020-05-27T00:00:00"/>
    <s v="Brokerage"/>
    <x v="0"/>
    <s v="OTHR - Other"/>
    <d v="2020-01-22T00:00:00"/>
    <s v="Other"/>
    <m/>
    <m/>
    <m/>
    <m/>
    <m/>
    <m/>
    <m/>
    <m/>
    <m/>
    <m/>
    <m/>
    <m/>
    <m/>
    <m/>
    <m/>
    <m/>
    <m/>
    <m/>
    <m/>
    <m/>
  </r>
  <r>
    <s v="Ankur Naik"/>
    <s v="'11120044170300000009"/>
    <x v="0"/>
    <x v="55"/>
    <d v="2020-11-26T00:00:00"/>
    <x v="5"/>
    <n v="11"/>
    <s v="Raju Kumar"/>
    <x v="0"/>
    <s v="Construction, Power &amp; Infrastructure"/>
    <s v="Cross Sell"/>
    <n v="25302.959999999999"/>
    <d v="2018-08-27T00:00:00"/>
    <s v="Brokerage"/>
    <x v="0"/>
    <s v="OTHR - Other"/>
    <d v="2020-01-22T00:00:00"/>
    <s v="Other"/>
    <m/>
    <m/>
    <m/>
    <m/>
    <m/>
    <m/>
    <m/>
    <m/>
    <m/>
    <m/>
    <m/>
    <m/>
    <m/>
    <m/>
    <m/>
    <m/>
    <m/>
    <m/>
    <m/>
    <m/>
  </r>
  <r>
    <s v="BB"/>
    <s v="'11120044170300000009"/>
    <x v="0"/>
    <x v="55"/>
    <d v="2020-11-26T00:00:00"/>
    <x v="5"/>
    <n v="11"/>
    <s v="Raju Kumar"/>
    <x v="0"/>
    <s v="Construction, Power &amp; Infrastructure"/>
    <s v="Cross Sell"/>
    <n v="25302.959999999999"/>
    <d v="2018-11-27T00:00:00"/>
    <s v="Brokerage"/>
    <x v="0"/>
    <s v="OTHR - Other"/>
    <d v="2020-01-22T00:00:00"/>
    <s v="Other"/>
    <m/>
    <m/>
    <m/>
    <m/>
    <m/>
    <m/>
    <m/>
    <m/>
    <m/>
    <m/>
    <m/>
    <m/>
    <m/>
    <m/>
    <m/>
    <m/>
    <m/>
    <m/>
    <m/>
    <m/>
  </r>
  <r>
    <s v="BB"/>
    <s v="'11120044170300000009"/>
    <x v="0"/>
    <x v="55"/>
    <d v="2020-11-26T00:00:00"/>
    <x v="5"/>
    <n v="11"/>
    <s v="Raju Kumar"/>
    <x v="0"/>
    <s v="Construction, Power &amp; Infrastructure"/>
    <s v="Cross Sell"/>
    <n v="25302.959999999999"/>
    <d v="2019-02-27T00:00:00"/>
    <s v="Brokerage"/>
    <x v="0"/>
    <s v="OTHR - Other"/>
    <d v="2020-01-22T00:00:00"/>
    <s v="Other"/>
    <m/>
    <m/>
    <m/>
    <m/>
    <m/>
    <m/>
    <m/>
    <m/>
    <m/>
    <m/>
    <m/>
    <m/>
    <m/>
    <m/>
    <m/>
    <m/>
    <m/>
    <m/>
    <m/>
    <m/>
  </r>
  <r>
    <s v="BB"/>
    <s v="'11120044170300000009"/>
    <x v="0"/>
    <x v="55"/>
    <d v="2020-11-26T00:00:00"/>
    <x v="5"/>
    <n v="11"/>
    <s v="Raju Kumar"/>
    <x v="0"/>
    <s v="Construction, Power &amp; Infrastructure"/>
    <s v="Cross Sell"/>
    <n v="25303.02"/>
    <d v="2018-02-27T00:00:00"/>
    <s v="Brokerage"/>
    <x v="0"/>
    <s v="OTHR - Other"/>
    <d v="2020-01-22T00:00:00"/>
    <s v="Other"/>
    <m/>
    <m/>
    <m/>
    <m/>
    <m/>
    <m/>
    <m/>
    <m/>
    <m/>
    <m/>
    <m/>
    <m/>
    <m/>
    <m/>
    <m/>
    <m/>
    <m/>
    <m/>
    <m/>
    <m/>
  </r>
  <r>
    <s v="BB"/>
    <s v="'11120044170300000009"/>
    <x v="0"/>
    <x v="55"/>
    <d v="2020-11-26T00:00:00"/>
    <x v="5"/>
    <n v="11"/>
    <s v="Raju Kumar"/>
    <x v="0"/>
    <s v="Construction, Power &amp; Infrastructure"/>
    <s v="Cross Sell"/>
    <n v="39952.080000000002"/>
    <d v="2017-11-27T00:00:00"/>
    <s v="Brokerage"/>
    <x v="0"/>
    <s v="OTHR - Other"/>
    <d v="2020-01-22T00:00:00"/>
    <s v="Other"/>
    <m/>
    <m/>
    <m/>
    <m/>
    <m/>
    <m/>
    <m/>
    <m/>
    <m/>
    <m/>
    <m/>
    <m/>
    <m/>
    <m/>
    <m/>
    <m/>
    <m/>
    <m/>
    <m/>
    <m/>
  </r>
  <r>
    <s v="BB"/>
    <n v="8540162"/>
    <x v="1"/>
    <x v="56"/>
    <d v="2019-02-26T00:00:00"/>
    <x v="1"/>
    <n v="1"/>
    <s v="Vinay"/>
    <x v="0"/>
    <s v="Property / BI"/>
    <s v="Renewal"/>
    <n v="562.24"/>
    <d v="2018-02-27T00:00:00"/>
    <s v="Brokerage"/>
    <x v="0"/>
    <s v="OTHR - Other"/>
    <d v="2020-01-22T00:00:00"/>
    <s v="Other"/>
    <m/>
    <m/>
    <m/>
    <m/>
    <m/>
    <m/>
    <m/>
    <m/>
    <m/>
    <m/>
    <m/>
    <m/>
    <m/>
    <m/>
    <m/>
    <m/>
    <m/>
    <m/>
    <m/>
    <m/>
  </r>
  <r>
    <s v="BB"/>
    <s v="'0000000008540162-01"/>
    <x v="0"/>
    <x v="57"/>
    <d v="2020-02-26T00:00:00"/>
    <x v="1"/>
    <n v="1"/>
    <s v="Vinay"/>
    <x v="0"/>
    <s v="Property / BI"/>
    <s v="Renewal"/>
    <n v="628.70000000000005"/>
    <d v="2019-03-02T00:00:00"/>
    <s v="Brokerage"/>
    <x v="1"/>
    <s v="OTHR - Other"/>
    <d v="2020-01-22T00:00:00"/>
    <s v="Other"/>
    <m/>
    <m/>
    <m/>
    <m/>
    <m/>
    <m/>
    <m/>
    <m/>
    <m/>
    <m/>
    <m/>
    <m/>
    <m/>
    <m/>
    <m/>
    <m/>
    <m/>
    <m/>
    <m/>
    <m/>
  </r>
  <r>
    <s v="BB"/>
    <n v="304001926"/>
    <x v="1"/>
    <x v="14"/>
    <d v="2019-03-31T00:00:00"/>
    <x v="4"/>
    <n v="12"/>
    <s v="Shivani Sharma"/>
    <x v="0"/>
    <s v="Global Client Network (GNB Inward)"/>
    <s v="Renewal"/>
    <n v="5075.5"/>
    <d v="2018-04-01T00:00:00"/>
    <s v="Brokerage"/>
    <x v="0"/>
    <s v="OTHR - Other"/>
    <d v="2020-01-22T00:00:00"/>
    <s v="Other"/>
    <s v="DB- Cyber Liability"/>
    <s v="OPP1900001138"/>
    <s v="Shivani Sharma"/>
    <n v="500000"/>
    <n v="75000"/>
    <d v="2020-05-31T00:00:00"/>
    <s v="Qualify Opportunity"/>
    <s v="Ahmedabad"/>
    <s v="Liability"/>
    <s v="Financial Lines"/>
    <s v="Cyber Liability Insurance"/>
    <m/>
    <m/>
    <s v="Madison Robinson"/>
    <d v="2020-01-21T00:00:00"/>
    <m/>
    <m/>
    <m/>
    <m/>
    <m/>
  </r>
  <r>
    <s v="BB"/>
    <n v="304001926"/>
    <x v="1"/>
    <x v="14"/>
    <d v="2019-03-31T00:00:00"/>
    <x v="4"/>
    <n v="12"/>
    <s v="Shivani Sharma"/>
    <x v="0"/>
    <s v="Global Client Network (GNB Inward)"/>
    <s v="Renewal"/>
    <n v="5075.5"/>
    <d v="2018-04-01T00:00:00"/>
    <s v="Brokerage"/>
    <x v="0"/>
    <s v="OTHR - Other"/>
    <d v="2020-01-22T00:00:00"/>
    <s v="Other"/>
    <s v="DB- Cyber Liability"/>
    <s v="OPP1900001138"/>
    <s v="Shivani Sharma"/>
    <n v="500000"/>
    <n v="75000"/>
    <d v="2020-05-31T00:00:00"/>
    <s v="Qualify Opportunity"/>
    <s v="Ahmedabad"/>
    <s v="Liability"/>
    <s v="Financial Lines"/>
    <s v="Cyber Liability Insurance"/>
    <m/>
    <m/>
    <s v="David Hall"/>
    <d v="2020-01-21T00:00:00"/>
    <m/>
    <m/>
    <m/>
    <m/>
    <m/>
  </r>
  <r>
    <s v="BB"/>
    <n v="304001926"/>
    <x v="1"/>
    <x v="14"/>
    <d v="2019-03-31T00:00:00"/>
    <x v="4"/>
    <n v="12"/>
    <s v="Shivani Sharma"/>
    <x v="0"/>
    <s v="Global Client Network (GNB Inward)"/>
    <s v="Renewal"/>
    <n v="5075.5"/>
    <d v="2018-04-01T00:00:00"/>
    <s v="Brokerage"/>
    <x v="0"/>
    <s v="OTHR - Other"/>
    <d v="2020-01-22T00:00:00"/>
    <s v="Other"/>
    <s v="DB- Cyber Liability"/>
    <s v="OPP1900001138"/>
    <s v="Shivani Sharma"/>
    <n v="500000"/>
    <n v="75000"/>
    <d v="2020-05-31T00:00:00"/>
    <s v="Qualify Opportunity"/>
    <s v="Ahmedabad"/>
    <s v="Liability"/>
    <s v="Financial Lines"/>
    <s v="Cyber Liability Insurance"/>
    <m/>
    <m/>
    <s v="Lily Young"/>
    <d v="2020-01-21T00:00:00"/>
    <m/>
    <m/>
    <m/>
    <m/>
    <m/>
  </r>
  <r>
    <s v="BB"/>
    <n v="304001926"/>
    <x v="1"/>
    <x v="14"/>
    <d v="2019-03-31T00:00:00"/>
    <x v="4"/>
    <n v="12"/>
    <s v="Shivani Sharma"/>
    <x v="0"/>
    <s v="Global Client Network (GNB Inward)"/>
    <s v="Renewal"/>
    <n v="5075.5"/>
    <d v="2018-04-01T00:00:00"/>
    <s v="Brokerage"/>
    <x v="0"/>
    <s v="OTHR - Other"/>
    <d v="2020-01-22T00:00:00"/>
    <s v="Other"/>
    <s v="DB- Cyber Liability"/>
    <s v="OPP1900001138"/>
    <s v="Shivani Sharma"/>
    <n v="500000"/>
    <n v="75000"/>
    <d v="2020-05-31T00:00:00"/>
    <s v="Qualify Opportunity"/>
    <s v="Ahmedabad"/>
    <s v="Liability"/>
    <s v="Financial Lines"/>
    <s v="Cyber Liability Insurance"/>
    <m/>
    <m/>
    <s v="Samuel Allen"/>
    <d v="2020-01-22T00:00:00"/>
    <m/>
    <m/>
    <m/>
    <m/>
    <m/>
  </r>
  <r>
    <s v="BB"/>
    <n v="304001926"/>
    <x v="1"/>
    <x v="14"/>
    <d v="2019-03-31T00:00:00"/>
    <x v="4"/>
    <n v="12"/>
    <s v="Shivani Sharma"/>
    <x v="0"/>
    <s v="Global Client Network (GNB Inward)"/>
    <s v="Renewal"/>
    <n v="5075.5"/>
    <d v="2018-04-01T00:00:00"/>
    <s v="Brokerage"/>
    <x v="0"/>
    <s v="OTHR - Other"/>
    <d v="2020-01-22T00:00:00"/>
    <s v="Other"/>
    <s v="VS.-D &amp; O"/>
    <s v="OPP1900002104"/>
    <s v="Shivani Sharma"/>
    <n v="0"/>
    <n v="50000"/>
    <d v="2020-03-31T00:00:00"/>
    <s v="Qualify Opportunity"/>
    <s v="Ahmedabad"/>
    <s v="Liability"/>
    <s v="Financial Lines"/>
    <s v="Director &amp;amp; Officers / Management  Liability"/>
    <m/>
    <m/>
    <s v="Madison Robinson"/>
    <d v="2020-01-21T00:00:00"/>
    <m/>
    <m/>
    <m/>
    <m/>
    <m/>
  </r>
  <r>
    <s v="BB"/>
    <n v="304001926"/>
    <x v="1"/>
    <x v="14"/>
    <d v="2019-03-31T00:00:00"/>
    <x v="4"/>
    <n v="12"/>
    <s v="Shivani Sharma"/>
    <x v="0"/>
    <s v="Global Client Network (GNB Inward)"/>
    <s v="Renewal"/>
    <n v="5075.5"/>
    <d v="2018-04-01T00:00:00"/>
    <s v="Brokerage"/>
    <x v="0"/>
    <s v="OTHR - Other"/>
    <d v="2020-01-22T00:00:00"/>
    <s v="Other"/>
    <s v="VS.-D &amp; O"/>
    <s v="OPP1900002104"/>
    <s v="Shivani Sharma"/>
    <n v="0"/>
    <n v="50000"/>
    <d v="2020-03-31T00:00:00"/>
    <s v="Qualify Opportunity"/>
    <s v="Ahmedabad"/>
    <s v="Liability"/>
    <s v="Financial Lines"/>
    <s v="Director &amp;amp; Officers / Management  Liability"/>
    <m/>
    <m/>
    <s v="David Hall"/>
    <d v="2020-01-21T00:00:00"/>
    <m/>
    <m/>
    <m/>
    <m/>
    <m/>
  </r>
  <r>
    <s v="BB"/>
    <n v="304001926"/>
    <x v="1"/>
    <x v="14"/>
    <d v="2019-03-31T00:00:00"/>
    <x v="4"/>
    <n v="12"/>
    <s v="Shivani Sharma"/>
    <x v="0"/>
    <s v="Global Client Network (GNB Inward)"/>
    <s v="Renewal"/>
    <n v="5075.5"/>
    <d v="2018-04-01T00:00:00"/>
    <s v="Brokerage"/>
    <x v="0"/>
    <s v="OTHR - Other"/>
    <d v="2020-01-22T00:00:00"/>
    <s v="Other"/>
    <s v="VS.-D &amp; O"/>
    <s v="OPP1900002104"/>
    <s v="Shivani Sharma"/>
    <n v="0"/>
    <n v="50000"/>
    <d v="2020-03-31T00:00:00"/>
    <s v="Qualify Opportunity"/>
    <s v="Ahmedabad"/>
    <s v="Liability"/>
    <s v="Financial Lines"/>
    <s v="Director &amp;amp; Officers / Management  Liability"/>
    <m/>
    <m/>
    <s v="Lily Young"/>
    <d v="2020-01-21T00:00:00"/>
    <m/>
    <m/>
    <m/>
    <m/>
    <m/>
  </r>
  <r>
    <s v="BB"/>
    <n v="304001926"/>
    <x v="1"/>
    <x v="14"/>
    <d v="2019-03-31T00:00:00"/>
    <x v="4"/>
    <n v="12"/>
    <s v="Shivani Sharma"/>
    <x v="0"/>
    <s v="Global Client Network (GNB Inward)"/>
    <s v="Renewal"/>
    <n v="5075.5"/>
    <d v="2018-04-01T00:00:00"/>
    <s v="Brokerage"/>
    <x v="0"/>
    <s v="OTHR - Other"/>
    <d v="2020-01-22T00:00:00"/>
    <s v="Other"/>
    <s v="VS.-D &amp; O"/>
    <s v="OPP1900002104"/>
    <s v="Shivani Sharma"/>
    <n v="0"/>
    <n v="50000"/>
    <d v="2020-03-31T00:00:00"/>
    <s v="Qualify Opportunity"/>
    <s v="Ahmedabad"/>
    <s v="Liability"/>
    <s v="Financial Lines"/>
    <s v="Director &amp;amp; Officers / Management  Liability"/>
    <m/>
    <m/>
    <s v="Samuel Allen"/>
    <d v="2020-01-22T00:00:00"/>
    <m/>
    <m/>
    <m/>
    <m/>
    <m/>
  </r>
  <r>
    <s v="BB"/>
    <n v="304003761"/>
    <x v="0"/>
    <x v="16"/>
    <d v="2020-03-31T00:00:00"/>
    <x v="4"/>
    <n v="3"/>
    <s v="Animesh Rawat"/>
    <x v="0"/>
    <s v="Global Client Network (GNB Inward)"/>
    <s v="Renewal"/>
    <n v="5206"/>
    <d v="2019-04-01T00:00:00"/>
    <s v="Brokerage"/>
    <x v="1"/>
    <s v="OTHR - Other"/>
    <d v="2020-01-22T00:00:00"/>
    <s v="Other"/>
    <m/>
    <m/>
    <m/>
    <m/>
    <m/>
    <m/>
    <m/>
    <m/>
    <m/>
    <m/>
    <m/>
    <m/>
    <m/>
    <m/>
    <m/>
    <m/>
    <m/>
    <m/>
    <m/>
    <m/>
  </r>
  <r>
    <s v="Sanjay Trivedi"/>
    <s v="FM00104260000100"/>
    <x v="0"/>
    <x v="58"/>
    <d v="2020-01-28T00:00:00"/>
    <x v="1"/>
    <n v="13"/>
    <s v="Vididt Saha"/>
    <x v="0"/>
    <s v="Property / BI"/>
    <s v="New"/>
    <n v="5462.5"/>
    <d v="2019-01-29T00:00:00"/>
    <s v="Brokerage"/>
    <x v="0"/>
    <s v="OTHR - Other"/>
    <d v="2020-01-22T00:00:00"/>
    <s v="Other"/>
    <m/>
    <m/>
    <m/>
    <m/>
    <m/>
    <m/>
    <m/>
    <m/>
    <m/>
    <m/>
    <m/>
    <m/>
    <m/>
    <m/>
    <m/>
    <m/>
    <m/>
    <m/>
    <m/>
    <m/>
  </r>
  <r>
    <s v="Anita Sethi"/>
    <s v="2412/202063061201000"/>
    <x v="0"/>
    <x v="59"/>
    <d v="2020-01-06T00:00:00"/>
    <x v="0"/>
    <n v="1"/>
    <s v="Vinay"/>
    <x v="0"/>
    <s v="Marine"/>
    <s v="Renewal"/>
    <n v="13612.5"/>
    <d v="2019-01-07T00:00:00"/>
    <s v="Brokerage"/>
    <x v="2"/>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Anita Sethi"/>
    <s v="2412/202063061201000"/>
    <x v="0"/>
    <x v="59"/>
    <d v="2020-01-06T00:00:00"/>
    <x v="0"/>
    <n v="1"/>
    <s v="Vinay"/>
    <x v="0"/>
    <s v="Marine"/>
    <s v="Renewal"/>
    <n v="13612.5"/>
    <d v="2019-01-07T00:00:00"/>
    <s v="Brokerage"/>
    <x v="2"/>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Anita Sethi"/>
    <s v="2412/202063061201000"/>
    <x v="0"/>
    <x v="59"/>
    <d v="2020-01-06T00:00:00"/>
    <x v="0"/>
    <n v="1"/>
    <s v="Vinay"/>
    <x v="0"/>
    <s v="Marine"/>
    <s v="Renewal"/>
    <n v="13612.5"/>
    <d v="2019-01-07T00:00:00"/>
    <s v="Brokerage"/>
    <x v="2"/>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Anita Sethi"/>
    <s v="2412/202063061201000"/>
    <x v="0"/>
    <x v="59"/>
    <d v="2020-01-06T00:00:00"/>
    <x v="0"/>
    <n v="1"/>
    <s v="Vinay"/>
    <x v="0"/>
    <s v="Marine"/>
    <s v="Renewal"/>
    <n v="13612.5"/>
    <d v="2019-01-07T00:00:00"/>
    <s v="Brokerage"/>
    <x v="2"/>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Anita Sethi"/>
    <s v="2412/202063061201000"/>
    <x v="0"/>
    <x v="59"/>
    <d v="2020-01-06T00:00:00"/>
    <x v="0"/>
    <n v="1"/>
    <s v="Vinay"/>
    <x v="0"/>
    <s v="Marine"/>
    <s v="Renewal"/>
    <n v="13612.5"/>
    <d v="2019-01-07T00:00:00"/>
    <s v="Brokerage"/>
    <x v="2"/>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Anita Sethi"/>
    <s v="2412/202063061201000"/>
    <x v="0"/>
    <x v="59"/>
    <d v="2020-01-06T00:00:00"/>
    <x v="0"/>
    <n v="1"/>
    <s v="Vinay"/>
    <x v="0"/>
    <s v="Marine"/>
    <s v="Renewal"/>
    <n v="13612.5"/>
    <d v="2019-01-07T00:00:00"/>
    <s v="Brokerage"/>
    <x v="2"/>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Anita Sethi"/>
    <s v="2412/202063061201000"/>
    <x v="0"/>
    <x v="59"/>
    <d v="2020-01-06T00:00:00"/>
    <x v="0"/>
    <n v="1"/>
    <s v="Vinay"/>
    <x v="0"/>
    <s v="Marine"/>
    <s v="Renewal"/>
    <n v="13612.5"/>
    <d v="2019-01-07T00:00:00"/>
    <s v="Brokerage"/>
    <x v="2"/>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Anita Sethi"/>
    <s v="2412/202063061201000"/>
    <x v="0"/>
    <x v="59"/>
    <d v="2020-01-06T00:00:00"/>
    <x v="0"/>
    <n v="1"/>
    <s v="Vinay"/>
    <x v="0"/>
    <s v="Marine"/>
    <s v="Renewal"/>
    <n v="13612.5"/>
    <d v="2019-01-07T00:00:00"/>
    <s v="Brokerage"/>
    <x v="2"/>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Anita Sethi"/>
    <s v="2412/202063061201000"/>
    <x v="0"/>
    <x v="59"/>
    <d v="2020-01-06T00:00:00"/>
    <x v="0"/>
    <n v="1"/>
    <s v="Vinay"/>
    <x v="0"/>
    <s v="Marine"/>
    <s v="Renewal"/>
    <n v="13612.5"/>
    <d v="2019-01-07T00:00:00"/>
    <s v="Brokerage"/>
    <x v="2"/>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Anita Sethi"/>
    <s v="2412/202063061201000"/>
    <x v="0"/>
    <x v="59"/>
    <d v="2020-01-06T00:00:00"/>
    <x v="0"/>
    <n v="1"/>
    <s v="Vinay"/>
    <x v="0"/>
    <s v="Marine"/>
    <s v="Renewal"/>
    <n v="13612.5"/>
    <d v="2019-01-07T00:00:00"/>
    <s v="Brokerage"/>
    <x v="2"/>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Anita Sethi"/>
    <s v="2412/202063061201000"/>
    <x v="0"/>
    <x v="59"/>
    <d v="2020-01-06T00:00:00"/>
    <x v="0"/>
    <n v="1"/>
    <s v="Vinay"/>
    <x v="0"/>
    <s v="Marine"/>
    <s v="Renewal"/>
    <n v="13612.5"/>
    <d v="2019-01-07T00:00:00"/>
    <s v="Brokerage"/>
    <x v="2"/>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Anita Sethi"/>
    <s v="2412/202063061201000"/>
    <x v="0"/>
    <x v="59"/>
    <d v="2020-01-06T00:00:00"/>
    <x v="0"/>
    <n v="1"/>
    <s v="Vinay"/>
    <x v="0"/>
    <s v="Marine"/>
    <s v="Renewal"/>
    <n v="13612.5"/>
    <d v="2019-01-07T00:00:00"/>
    <s v="Brokerage"/>
    <x v="2"/>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Anita Sethi"/>
    <s v="2412/202063061201000"/>
    <x v="0"/>
    <x v="59"/>
    <d v="2020-01-06T00:00:00"/>
    <x v="0"/>
    <n v="1"/>
    <s v="Vinay"/>
    <x v="0"/>
    <s v="Marine"/>
    <s v="Renewal"/>
    <n v="13612.5"/>
    <d v="2019-01-07T00:00:00"/>
    <s v="Brokerage"/>
    <x v="2"/>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Anita Sethi"/>
    <s v="2412/202063061201000"/>
    <x v="0"/>
    <x v="59"/>
    <d v="2020-01-06T00:00:00"/>
    <x v="0"/>
    <n v="1"/>
    <s v="Vinay"/>
    <x v="0"/>
    <s v="Marine"/>
    <s v="Renewal"/>
    <n v="13612.5"/>
    <d v="2019-01-07T00:00:00"/>
    <s v="Brokerage"/>
    <x v="2"/>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Anita Sethi"/>
    <s v="2412/202063061201000"/>
    <x v="0"/>
    <x v="59"/>
    <d v="2020-01-06T00:00:00"/>
    <x v="0"/>
    <n v="1"/>
    <s v="Vinay"/>
    <x v="0"/>
    <s v="Marine"/>
    <s v="Renewal"/>
    <n v="13612.5"/>
    <d v="2019-01-07T00:00:00"/>
    <s v="Brokerage"/>
    <x v="2"/>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Anita Sethi"/>
    <s v="2412/202063061201000"/>
    <x v="0"/>
    <x v="59"/>
    <d v="2020-01-06T00:00:00"/>
    <x v="0"/>
    <n v="1"/>
    <s v="Vinay"/>
    <x v="0"/>
    <s v="Marine"/>
    <s v="Renewal"/>
    <n v="13612.5"/>
    <d v="2019-01-07T00:00:00"/>
    <s v="Brokerage"/>
    <x v="2"/>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Anita Sethi"/>
    <s v="2412/202063061201000"/>
    <x v="0"/>
    <x v="59"/>
    <d v="2020-01-06T00:00:00"/>
    <x v="0"/>
    <n v="1"/>
    <s v="Vinay"/>
    <x v="0"/>
    <s v="Marine"/>
    <s v="Renewal"/>
    <n v="13612.5"/>
    <d v="2019-01-07T00:00:00"/>
    <s v="Brokerage"/>
    <x v="2"/>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Anita Sethi"/>
    <s v="2412/202063061201000"/>
    <x v="0"/>
    <x v="59"/>
    <d v="2020-01-06T00:00:00"/>
    <x v="0"/>
    <n v="1"/>
    <s v="Vinay"/>
    <x v="0"/>
    <s v="Marine"/>
    <s v="Renewal"/>
    <n v="13612.5"/>
    <d v="2019-01-07T00:00:00"/>
    <s v="Brokerage"/>
    <x v="2"/>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Anita Sethi"/>
    <s v="2412/202063061201000"/>
    <x v="0"/>
    <x v="59"/>
    <d v="2020-01-06T00:00:00"/>
    <x v="0"/>
    <n v="1"/>
    <s v="Vinay"/>
    <x v="0"/>
    <s v="Marine"/>
    <s v="Renewal"/>
    <n v="13612.5"/>
    <d v="2019-01-07T00:00:00"/>
    <s v="Brokerage"/>
    <x v="2"/>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Anita Sethi"/>
    <s v="2412/202063061201000"/>
    <x v="0"/>
    <x v="59"/>
    <d v="2020-01-06T00:00:00"/>
    <x v="0"/>
    <n v="1"/>
    <s v="Vinay"/>
    <x v="0"/>
    <s v="Marine"/>
    <s v="Renewal"/>
    <n v="13612.5"/>
    <d v="2019-01-07T00:00:00"/>
    <s v="Brokerage"/>
    <x v="2"/>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Ashok Chatterjee"/>
    <s v="2412/202063061201000"/>
    <x v="0"/>
    <x v="59"/>
    <d v="2020-01-06T00:00:00"/>
    <x v="0"/>
    <n v="1"/>
    <s v="Vinay"/>
    <x v="0"/>
    <s v="Marine"/>
    <s v="Renewal"/>
    <n v="6991.55"/>
    <d v="2019-04-04T00:00:00"/>
    <s v="Brokerage "/>
    <x v="2"/>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Ashok Chatterjee"/>
    <s v="2412/202063061201000"/>
    <x v="0"/>
    <x v="59"/>
    <d v="2020-01-06T00:00:00"/>
    <x v="0"/>
    <n v="1"/>
    <s v="Vinay"/>
    <x v="0"/>
    <s v="Marine"/>
    <s v="Renewal"/>
    <n v="6991.55"/>
    <d v="2019-04-04T00:00:00"/>
    <s v="Brokerage "/>
    <x v="2"/>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Ashok Chatterjee"/>
    <s v="2412/202063061201000"/>
    <x v="0"/>
    <x v="59"/>
    <d v="2020-01-06T00:00:00"/>
    <x v="0"/>
    <n v="1"/>
    <s v="Vinay"/>
    <x v="0"/>
    <s v="Marine"/>
    <s v="Renewal"/>
    <n v="6991.55"/>
    <d v="2019-04-04T00:00:00"/>
    <s v="Brokerage "/>
    <x v="2"/>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Ashok Chatterjee"/>
    <s v="2412/202063061201000"/>
    <x v="0"/>
    <x v="59"/>
    <d v="2020-01-06T00:00:00"/>
    <x v="0"/>
    <n v="1"/>
    <s v="Vinay"/>
    <x v="0"/>
    <s v="Marine"/>
    <s v="Renewal"/>
    <n v="6991.55"/>
    <d v="2019-04-04T00:00:00"/>
    <s v="Brokerage "/>
    <x v="2"/>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Ashok Chatterjee"/>
    <s v="2412/202063061201000"/>
    <x v="0"/>
    <x v="59"/>
    <d v="2020-01-06T00:00:00"/>
    <x v="0"/>
    <n v="1"/>
    <s v="Vinay"/>
    <x v="0"/>
    <s v="Marine"/>
    <s v="Renewal"/>
    <n v="6991.55"/>
    <d v="2019-04-04T00:00:00"/>
    <s v="Brokerage "/>
    <x v="2"/>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Ashok Chatterjee"/>
    <s v="2412/202063061201000"/>
    <x v="0"/>
    <x v="59"/>
    <d v="2020-01-06T00:00:00"/>
    <x v="0"/>
    <n v="1"/>
    <s v="Vinay"/>
    <x v="0"/>
    <s v="Marine"/>
    <s v="Renewal"/>
    <n v="6991.55"/>
    <d v="2019-04-04T00:00:00"/>
    <s v="Brokerage "/>
    <x v="2"/>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Ashok Chatterjee"/>
    <s v="2412/202063061201000"/>
    <x v="0"/>
    <x v="59"/>
    <d v="2020-01-06T00:00:00"/>
    <x v="0"/>
    <n v="1"/>
    <s v="Vinay"/>
    <x v="0"/>
    <s v="Marine"/>
    <s v="Renewal"/>
    <n v="6991.55"/>
    <d v="2019-04-04T00:00:00"/>
    <s v="Brokerage "/>
    <x v="2"/>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Ashok Chatterjee"/>
    <s v="2412/202063061201000"/>
    <x v="0"/>
    <x v="59"/>
    <d v="2020-01-06T00:00:00"/>
    <x v="0"/>
    <n v="1"/>
    <s v="Vinay"/>
    <x v="0"/>
    <s v="Marine"/>
    <s v="Renewal"/>
    <n v="6991.55"/>
    <d v="2019-04-04T00:00:00"/>
    <s v="Brokerage "/>
    <x v="2"/>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Ashok Chatterjee"/>
    <s v="2412/202063061201000"/>
    <x v="0"/>
    <x v="59"/>
    <d v="2020-01-06T00:00:00"/>
    <x v="0"/>
    <n v="1"/>
    <s v="Vinay"/>
    <x v="0"/>
    <s v="Marine"/>
    <s v="Renewal"/>
    <n v="6991.55"/>
    <d v="2019-04-04T00:00:00"/>
    <s v="Brokerage "/>
    <x v="2"/>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Ashok Chatterjee"/>
    <s v="2412/202063061201000"/>
    <x v="0"/>
    <x v="59"/>
    <d v="2020-01-06T00:00:00"/>
    <x v="0"/>
    <n v="1"/>
    <s v="Vinay"/>
    <x v="0"/>
    <s v="Marine"/>
    <s v="Renewal"/>
    <n v="6991.55"/>
    <d v="2019-04-04T00:00:00"/>
    <s v="Brokerage "/>
    <x v="2"/>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Ashok Chatterjee"/>
    <s v="2412/202063061201000"/>
    <x v="0"/>
    <x v="59"/>
    <d v="2020-01-06T00:00:00"/>
    <x v="0"/>
    <n v="1"/>
    <s v="Vinay"/>
    <x v="0"/>
    <s v="Marine"/>
    <s v="Renewal"/>
    <n v="6991.55"/>
    <d v="2019-04-04T00:00:00"/>
    <s v="Brokerage "/>
    <x v="2"/>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Ashok Chatterjee"/>
    <s v="2412/202063061201000"/>
    <x v="0"/>
    <x v="59"/>
    <d v="2020-01-06T00:00:00"/>
    <x v="0"/>
    <n v="1"/>
    <s v="Vinay"/>
    <x v="0"/>
    <s v="Marine"/>
    <s v="Renewal"/>
    <n v="6991.55"/>
    <d v="2019-04-04T00:00:00"/>
    <s v="Brokerage "/>
    <x v="2"/>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Ashok Chatterjee"/>
    <s v="2412/202063061201000"/>
    <x v="0"/>
    <x v="59"/>
    <d v="2020-01-06T00:00:00"/>
    <x v="0"/>
    <n v="1"/>
    <s v="Vinay"/>
    <x v="0"/>
    <s v="Marine"/>
    <s v="Renewal"/>
    <n v="6991.55"/>
    <d v="2019-04-04T00:00:00"/>
    <s v="Brokerage "/>
    <x v="2"/>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Ashok Chatterjee"/>
    <s v="2412/202063061201000"/>
    <x v="0"/>
    <x v="59"/>
    <d v="2020-01-06T00:00:00"/>
    <x v="0"/>
    <n v="1"/>
    <s v="Vinay"/>
    <x v="0"/>
    <s v="Marine"/>
    <s v="Renewal"/>
    <n v="6991.55"/>
    <d v="2019-04-04T00:00:00"/>
    <s v="Brokerage "/>
    <x v="2"/>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Ashok Chatterjee"/>
    <s v="2412/202063061201000"/>
    <x v="0"/>
    <x v="59"/>
    <d v="2020-01-06T00:00:00"/>
    <x v="0"/>
    <n v="1"/>
    <s v="Vinay"/>
    <x v="0"/>
    <s v="Marine"/>
    <s v="Renewal"/>
    <n v="6991.55"/>
    <d v="2019-04-04T00:00:00"/>
    <s v="Brokerage "/>
    <x v="2"/>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Ashok Chatterjee"/>
    <s v="2412/202063061201000"/>
    <x v="0"/>
    <x v="59"/>
    <d v="2020-01-06T00:00:00"/>
    <x v="0"/>
    <n v="1"/>
    <s v="Vinay"/>
    <x v="0"/>
    <s v="Marine"/>
    <s v="Renewal"/>
    <n v="6991.55"/>
    <d v="2019-04-04T00:00:00"/>
    <s v="Brokerage "/>
    <x v="2"/>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Ashok Chatterjee"/>
    <s v="2412/202063061201000"/>
    <x v="0"/>
    <x v="59"/>
    <d v="2020-01-06T00:00:00"/>
    <x v="0"/>
    <n v="1"/>
    <s v="Vinay"/>
    <x v="0"/>
    <s v="Marine"/>
    <s v="Renewal"/>
    <n v="6991.55"/>
    <d v="2019-04-04T00:00:00"/>
    <s v="Brokerage "/>
    <x v="2"/>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Ashok Chatterjee"/>
    <s v="2412/202063061201000"/>
    <x v="0"/>
    <x v="59"/>
    <d v="2020-01-06T00:00:00"/>
    <x v="0"/>
    <n v="1"/>
    <s v="Vinay"/>
    <x v="0"/>
    <s v="Marine"/>
    <s v="Renewal"/>
    <n v="6991.55"/>
    <d v="2019-04-04T00:00:00"/>
    <s v="Brokerage "/>
    <x v="2"/>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Ashok Chatterjee"/>
    <s v="2412/202063061201000"/>
    <x v="0"/>
    <x v="59"/>
    <d v="2020-01-06T00:00:00"/>
    <x v="0"/>
    <n v="1"/>
    <s v="Vinay"/>
    <x v="0"/>
    <s v="Marine"/>
    <s v="Renewal"/>
    <n v="6991.55"/>
    <d v="2019-04-04T00:00:00"/>
    <s v="Brokerage "/>
    <x v="2"/>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Ashok Chatterjee"/>
    <s v="2412/202063061201000"/>
    <x v="0"/>
    <x v="59"/>
    <d v="2020-01-06T00:00:00"/>
    <x v="0"/>
    <n v="1"/>
    <s v="Vinay"/>
    <x v="0"/>
    <s v="Marine"/>
    <s v="Renewal"/>
    <n v="6991.55"/>
    <d v="2019-04-04T00:00:00"/>
    <s v="Brokerage "/>
    <x v="2"/>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Rani Agarwal"/>
    <n v="2302003012"/>
    <x v="0"/>
    <x v="60"/>
    <d v="2019-08-26T00:00:00"/>
    <x v="4"/>
    <n v="1"/>
    <s v="Vinay"/>
    <x v="0"/>
    <s v="Liability"/>
    <s v="Renewal"/>
    <n v="13750"/>
    <d v="2018-08-27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Rani Agarwal"/>
    <n v="2302003012"/>
    <x v="0"/>
    <x v="60"/>
    <d v="2019-08-26T00:00:00"/>
    <x v="4"/>
    <n v="1"/>
    <s v="Vinay"/>
    <x v="0"/>
    <s v="Liability"/>
    <s v="Renewal"/>
    <n v="13750"/>
    <d v="2018-08-27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Rani Agarwal"/>
    <n v="2302003012"/>
    <x v="0"/>
    <x v="60"/>
    <d v="2019-08-26T00:00:00"/>
    <x v="4"/>
    <n v="1"/>
    <s v="Vinay"/>
    <x v="0"/>
    <s v="Liability"/>
    <s v="Renewal"/>
    <n v="13750"/>
    <d v="2018-08-27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Rani Agarwal"/>
    <n v="2302003012"/>
    <x v="0"/>
    <x v="60"/>
    <d v="2019-08-26T00:00:00"/>
    <x v="4"/>
    <n v="1"/>
    <s v="Vinay"/>
    <x v="0"/>
    <s v="Liability"/>
    <s v="Renewal"/>
    <n v="13750"/>
    <d v="2018-08-27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Rani Agarwal"/>
    <n v="2302003012"/>
    <x v="0"/>
    <x v="60"/>
    <d v="2019-08-26T00:00:00"/>
    <x v="4"/>
    <n v="1"/>
    <s v="Vinay"/>
    <x v="0"/>
    <s v="Liability"/>
    <s v="Renewal"/>
    <n v="13750"/>
    <d v="2018-08-27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Arjun Rao"/>
    <n v="41045400"/>
    <x v="0"/>
    <x v="61"/>
    <d v="2020-03-18T00:00:00"/>
    <x v="4"/>
    <n v="13"/>
    <s v="Vididt Saha"/>
    <x v="0"/>
    <s v="Liability"/>
    <s v="New"/>
    <n v="70125"/>
    <d v="2019-03-19T00:00:00"/>
    <s v="Brokerage"/>
    <x v="0"/>
    <s v="OTHR - Other"/>
    <d v="2020-01-22T00:00:00"/>
    <s v="Other"/>
    <m/>
    <m/>
    <m/>
    <m/>
    <m/>
    <m/>
    <m/>
    <m/>
    <m/>
    <m/>
    <m/>
    <m/>
    <m/>
    <m/>
    <m/>
    <m/>
    <m/>
    <m/>
    <m/>
    <m/>
  </r>
  <r>
    <s v="Anil Naik"/>
    <n v="41045403"/>
    <x v="0"/>
    <x v="61"/>
    <d v="2020-03-18T00:00:00"/>
    <x v="4"/>
    <n v="13"/>
    <s v="Vididt Saha"/>
    <x v="0"/>
    <s v="Liability"/>
    <s v="New"/>
    <n v="70125"/>
    <d v="2019-03-19T00:00:00"/>
    <s v="Brokerage"/>
    <x v="0"/>
    <s v="OTHR - Other"/>
    <d v="2020-01-22T00:00:00"/>
    <s v="Other"/>
    <m/>
    <m/>
    <m/>
    <m/>
    <m/>
    <m/>
    <m/>
    <m/>
    <m/>
    <m/>
    <m/>
    <m/>
    <m/>
    <m/>
    <m/>
    <m/>
    <m/>
    <m/>
    <m/>
    <m/>
  </r>
  <r>
    <s v="Simran Trivedi"/>
    <s v="2018-C1742872-MLO"/>
    <x v="1"/>
    <x v="14"/>
    <d v="2019-03-31T00:00:00"/>
    <x v="0"/>
    <n v="3"/>
    <s v="Animesh Rawat"/>
    <x v="0"/>
    <s v="Global Client Network (GNB Inward)"/>
    <s v="Renewal"/>
    <n v="208122.92"/>
    <d v="2018-04-01T00:00:00"/>
    <s v="Brokerage"/>
    <x v="0"/>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Simran Trivedi"/>
    <s v="2018-C1742872-MLO"/>
    <x v="1"/>
    <x v="14"/>
    <d v="2019-03-31T00:00:00"/>
    <x v="0"/>
    <n v="3"/>
    <s v="Animesh Rawat"/>
    <x v="0"/>
    <s v="Global Client Network (GNB Inward)"/>
    <s v="Renewal"/>
    <n v="208122.92"/>
    <d v="2018-04-01T00:00:00"/>
    <s v="Brokerage"/>
    <x v="0"/>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Simran Trivedi"/>
    <s v="2018-C1742872-MLO"/>
    <x v="1"/>
    <x v="14"/>
    <d v="2019-03-31T00:00:00"/>
    <x v="0"/>
    <n v="3"/>
    <s v="Animesh Rawat"/>
    <x v="0"/>
    <s v="Global Client Network (GNB Inward)"/>
    <s v="Renewal"/>
    <n v="208122.92"/>
    <d v="2018-04-01T00:00:00"/>
    <s v="Brokerage"/>
    <x v="0"/>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Simran Trivedi"/>
    <s v="2018-C1742872-MLO"/>
    <x v="1"/>
    <x v="14"/>
    <d v="2019-03-31T00:00:00"/>
    <x v="0"/>
    <n v="3"/>
    <s v="Animesh Rawat"/>
    <x v="0"/>
    <s v="Global Client Network (GNB Inward)"/>
    <s v="Renewal"/>
    <n v="208122.92"/>
    <d v="2018-04-01T00:00:00"/>
    <s v="Brokerage"/>
    <x v="0"/>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Simran Trivedi"/>
    <s v="2018-C1742872-MLO"/>
    <x v="1"/>
    <x v="14"/>
    <d v="2019-03-31T00:00:00"/>
    <x v="0"/>
    <n v="3"/>
    <s v="Animesh Rawat"/>
    <x v="0"/>
    <s v="Global Client Network (GNB Inward)"/>
    <s v="Renewal"/>
    <n v="208122.92"/>
    <d v="2018-04-01T00:00:00"/>
    <s v="Brokerage"/>
    <x v="0"/>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Simran Trivedi"/>
    <s v="2018-C1742872-MLO"/>
    <x v="1"/>
    <x v="14"/>
    <d v="2019-03-31T00:00:00"/>
    <x v="0"/>
    <n v="3"/>
    <s v="Animesh Rawat"/>
    <x v="0"/>
    <s v="Global Client Network (GNB Inward)"/>
    <s v="Renewal"/>
    <n v="208122.92"/>
    <d v="2018-04-01T00:00:00"/>
    <s v="Brokerage"/>
    <x v="0"/>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Simran Trivedi"/>
    <s v="2018-C1742872-MLO"/>
    <x v="1"/>
    <x v="14"/>
    <d v="2019-03-31T00:00:00"/>
    <x v="0"/>
    <n v="3"/>
    <s v="Animesh Rawat"/>
    <x v="0"/>
    <s v="Global Client Network (GNB Inward)"/>
    <s v="Renewal"/>
    <n v="208122.92"/>
    <d v="2018-04-01T00:00:00"/>
    <s v="Brokerage"/>
    <x v="0"/>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Simran Trivedi"/>
    <s v="2018-C1742872-MLO"/>
    <x v="1"/>
    <x v="14"/>
    <d v="2019-03-31T00:00:00"/>
    <x v="0"/>
    <n v="3"/>
    <s v="Animesh Rawat"/>
    <x v="0"/>
    <s v="Global Client Network (GNB Inward)"/>
    <s v="Renewal"/>
    <n v="208122.92"/>
    <d v="2018-04-01T00:00:00"/>
    <s v="Brokerage"/>
    <x v="0"/>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Dhruv Chopra"/>
    <n v="8502066"/>
    <x v="1"/>
    <x v="27"/>
    <d v="2019-02-28T00:00:00"/>
    <x v="0"/>
    <n v="3"/>
    <s v="Animesh Rawat"/>
    <x v="0"/>
    <s v="Global Client Network (GNB Inward)"/>
    <s v="Renewal"/>
    <n v="45375.15"/>
    <d v="2018-03-01T00:00:00"/>
    <s v="Brokerage"/>
    <x v="2"/>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Dhruv Chopra"/>
    <n v="8502066"/>
    <x v="1"/>
    <x v="27"/>
    <d v="2019-02-28T00:00:00"/>
    <x v="0"/>
    <n v="3"/>
    <s v="Animesh Rawat"/>
    <x v="0"/>
    <s v="Global Client Network (GNB Inward)"/>
    <s v="Renewal"/>
    <n v="45375.15"/>
    <d v="2018-03-01T00:00:00"/>
    <s v="Brokerage"/>
    <x v="2"/>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Dhruv Chopra"/>
    <n v="8502066"/>
    <x v="1"/>
    <x v="27"/>
    <d v="2019-02-28T00:00:00"/>
    <x v="0"/>
    <n v="3"/>
    <s v="Animesh Rawat"/>
    <x v="0"/>
    <s v="Global Client Network (GNB Inward)"/>
    <s v="Renewal"/>
    <n v="45375.15"/>
    <d v="2018-03-01T00:00:00"/>
    <s v="Brokerage"/>
    <x v="2"/>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Dhruv Chopra"/>
    <n v="8502066"/>
    <x v="1"/>
    <x v="27"/>
    <d v="2019-02-28T00:00:00"/>
    <x v="0"/>
    <n v="3"/>
    <s v="Animesh Rawat"/>
    <x v="0"/>
    <s v="Global Client Network (GNB Inward)"/>
    <s v="Renewal"/>
    <n v="45375.15"/>
    <d v="2018-03-01T00:00:00"/>
    <s v="Brokerage"/>
    <x v="2"/>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Dhruv Chopra"/>
    <n v="8502066"/>
    <x v="1"/>
    <x v="27"/>
    <d v="2019-02-28T00:00:00"/>
    <x v="0"/>
    <n v="3"/>
    <s v="Animesh Rawat"/>
    <x v="0"/>
    <s v="Global Client Network (GNB Inward)"/>
    <s v="Renewal"/>
    <n v="45375.15"/>
    <d v="2018-03-01T00:00:00"/>
    <s v="Brokerage"/>
    <x v="2"/>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Dhruv Chopra"/>
    <n v="8502066"/>
    <x v="1"/>
    <x v="27"/>
    <d v="2019-02-28T00:00:00"/>
    <x v="0"/>
    <n v="3"/>
    <s v="Animesh Rawat"/>
    <x v="0"/>
    <s v="Global Client Network (GNB Inward)"/>
    <s v="Renewal"/>
    <n v="45375.15"/>
    <d v="2018-03-01T00:00:00"/>
    <s v="Brokerage"/>
    <x v="2"/>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Dhruv Chopra"/>
    <n v="8502066"/>
    <x v="1"/>
    <x v="27"/>
    <d v="2019-02-28T00:00:00"/>
    <x v="0"/>
    <n v="3"/>
    <s v="Animesh Rawat"/>
    <x v="0"/>
    <s v="Global Client Network (GNB Inward)"/>
    <s v="Renewal"/>
    <n v="45375.15"/>
    <d v="2018-03-01T00:00:00"/>
    <s v="Brokerage"/>
    <x v="2"/>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Dhruv Chopra"/>
    <n v="8502066"/>
    <x v="1"/>
    <x v="27"/>
    <d v="2019-02-28T00:00:00"/>
    <x v="0"/>
    <n v="3"/>
    <s v="Animesh Rawat"/>
    <x v="0"/>
    <s v="Global Client Network (GNB Inward)"/>
    <s v="Renewal"/>
    <n v="45375.15"/>
    <d v="2018-03-01T00:00:00"/>
    <s v="Brokerage"/>
    <x v="2"/>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Jaya Chopra"/>
    <n v="8502066"/>
    <x v="1"/>
    <x v="27"/>
    <d v="2019-02-28T00:00:00"/>
    <x v="0"/>
    <n v="3"/>
    <s v="Animesh Rawat"/>
    <x v="0"/>
    <s v="Global Client Network (GNB Inward)"/>
    <s v="Renewal"/>
    <n v="18150"/>
    <d v="2019-01-03T00:00:00"/>
    <s v="Brokerage "/>
    <x v="2"/>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Jaya Chopra"/>
    <n v="8502066"/>
    <x v="1"/>
    <x v="27"/>
    <d v="2019-02-28T00:00:00"/>
    <x v="0"/>
    <n v="3"/>
    <s v="Animesh Rawat"/>
    <x v="0"/>
    <s v="Global Client Network (GNB Inward)"/>
    <s v="Renewal"/>
    <n v="18150"/>
    <d v="2019-01-03T00:00:00"/>
    <s v="Brokerage "/>
    <x v="2"/>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Jaya Chopra"/>
    <n v="8502066"/>
    <x v="1"/>
    <x v="27"/>
    <d v="2019-02-28T00:00:00"/>
    <x v="0"/>
    <n v="3"/>
    <s v="Animesh Rawat"/>
    <x v="0"/>
    <s v="Global Client Network (GNB Inward)"/>
    <s v="Renewal"/>
    <n v="18150"/>
    <d v="2019-01-03T00:00:00"/>
    <s v="Brokerage "/>
    <x v="2"/>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Jaya Chopra"/>
    <n v="8502066"/>
    <x v="1"/>
    <x v="27"/>
    <d v="2019-02-28T00:00:00"/>
    <x v="0"/>
    <n v="3"/>
    <s v="Animesh Rawat"/>
    <x v="0"/>
    <s v="Global Client Network (GNB Inward)"/>
    <s v="Renewal"/>
    <n v="18150"/>
    <d v="2019-01-03T00:00:00"/>
    <s v="Brokerage "/>
    <x v="2"/>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Jaya Chopra"/>
    <n v="8502066"/>
    <x v="1"/>
    <x v="27"/>
    <d v="2019-02-28T00:00:00"/>
    <x v="0"/>
    <n v="3"/>
    <s v="Animesh Rawat"/>
    <x v="0"/>
    <s v="Global Client Network (GNB Inward)"/>
    <s v="Renewal"/>
    <n v="18150"/>
    <d v="2019-01-03T00:00:00"/>
    <s v="Brokerage "/>
    <x v="2"/>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Jaya Chopra"/>
    <n v="8502066"/>
    <x v="1"/>
    <x v="27"/>
    <d v="2019-02-28T00:00:00"/>
    <x v="0"/>
    <n v="3"/>
    <s v="Animesh Rawat"/>
    <x v="0"/>
    <s v="Global Client Network (GNB Inward)"/>
    <s v="Renewal"/>
    <n v="18150"/>
    <d v="2019-01-03T00:00:00"/>
    <s v="Brokerage "/>
    <x v="2"/>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Jaya Chopra"/>
    <n v="8502066"/>
    <x v="1"/>
    <x v="27"/>
    <d v="2019-02-28T00:00:00"/>
    <x v="0"/>
    <n v="3"/>
    <s v="Animesh Rawat"/>
    <x v="0"/>
    <s v="Global Client Network (GNB Inward)"/>
    <s v="Renewal"/>
    <n v="18150"/>
    <d v="2019-01-03T00:00:00"/>
    <s v="Brokerage "/>
    <x v="2"/>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Jaya Chopra"/>
    <n v="8502066"/>
    <x v="1"/>
    <x v="27"/>
    <d v="2019-02-28T00:00:00"/>
    <x v="0"/>
    <n v="3"/>
    <s v="Animesh Rawat"/>
    <x v="0"/>
    <s v="Global Client Network (GNB Inward)"/>
    <s v="Renewal"/>
    <n v="18150"/>
    <d v="2019-01-03T00:00:00"/>
    <s v="Brokerage "/>
    <x v="2"/>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Kiran Goyal"/>
    <s v="0000000008502066-01"/>
    <x v="0"/>
    <x v="28"/>
    <d v="2020-06-30T00:00:00"/>
    <x v="0"/>
    <n v="3"/>
    <s v="Animesh Rawat"/>
    <x v="0"/>
    <s v="Global Client Network (GNB Inward)"/>
    <s v="Renewal"/>
    <n v="45375.15"/>
    <d v="2019-03-01T00:00:00"/>
    <s v="Brokerage"/>
    <x v="2"/>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Kiran Goyal"/>
    <s v="0000000008502066-01"/>
    <x v="0"/>
    <x v="28"/>
    <d v="2020-06-30T00:00:00"/>
    <x v="0"/>
    <n v="3"/>
    <s v="Animesh Rawat"/>
    <x v="0"/>
    <s v="Global Client Network (GNB Inward)"/>
    <s v="Renewal"/>
    <n v="45375.15"/>
    <d v="2019-03-01T00:00:00"/>
    <s v="Brokerage"/>
    <x v="2"/>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Kiran Goyal"/>
    <s v="0000000008502066-01"/>
    <x v="0"/>
    <x v="28"/>
    <d v="2020-06-30T00:00:00"/>
    <x v="0"/>
    <n v="3"/>
    <s v="Animesh Rawat"/>
    <x v="0"/>
    <s v="Global Client Network (GNB Inward)"/>
    <s v="Renewal"/>
    <n v="45375.15"/>
    <d v="2019-03-01T00:00:00"/>
    <s v="Brokerage"/>
    <x v="2"/>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Kiran Goyal"/>
    <s v="0000000008502066-01"/>
    <x v="0"/>
    <x v="28"/>
    <d v="2020-06-30T00:00:00"/>
    <x v="0"/>
    <n v="3"/>
    <s v="Animesh Rawat"/>
    <x v="0"/>
    <s v="Global Client Network (GNB Inward)"/>
    <s v="Renewal"/>
    <n v="45375.15"/>
    <d v="2019-03-01T00:00:00"/>
    <s v="Brokerage"/>
    <x v="2"/>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Kiran Goyal"/>
    <s v="0000000008502066-01"/>
    <x v="0"/>
    <x v="28"/>
    <d v="2020-06-30T00:00:00"/>
    <x v="0"/>
    <n v="3"/>
    <s v="Animesh Rawat"/>
    <x v="0"/>
    <s v="Global Client Network (GNB Inward)"/>
    <s v="Renewal"/>
    <n v="45375.15"/>
    <d v="2019-03-01T00:00:00"/>
    <s v="Brokerage"/>
    <x v="2"/>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Kiran Goyal"/>
    <s v="0000000008502066-01"/>
    <x v="0"/>
    <x v="28"/>
    <d v="2020-06-30T00:00:00"/>
    <x v="0"/>
    <n v="3"/>
    <s v="Animesh Rawat"/>
    <x v="0"/>
    <s v="Global Client Network (GNB Inward)"/>
    <s v="Renewal"/>
    <n v="45375.15"/>
    <d v="2019-03-01T00:00:00"/>
    <s v="Brokerage"/>
    <x v="2"/>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Kiran Goyal"/>
    <s v="0000000008502066-01"/>
    <x v="0"/>
    <x v="28"/>
    <d v="2020-06-30T00:00:00"/>
    <x v="0"/>
    <n v="3"/>
    <s v="Animesh Rawat"/>
    <x v="0"/>
    <s v="Global Client Network (GNB Inward)"/>
    <s v="Renewal"/>
    <n v="45375.15"/>
    <d v="2019-03-01T00:00:00"/>
    <s v="Brokerage"/>
    <x v="2"/>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Kiran Goyal"/>
    <s v="0000000008502066-01"/>
    <x v="0"/>
    <x v="28"/>
    <d v="2020-06-30T00:00:00"/>
    <x v="0"/>
    <n v="3"/>
    <s v="Animesh Rawat"/>
    <x v="0"/>
    <s v="Global Client Network (GNB Inward)"/>
    <s v="Renewal"/>
    <n v="45375.15"/>
    <d v="2019-03-01T00:00:00"/>
    <s v="Brokerage"/>
    <x v="2"/>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Pravin Sengupta"/>
    <s v="0000000008502066-01"/>
    <x v="0"/>
    <x v="28"/>
    <d v="2020-02-29T00:00:00"/>
    <x v="0"/>
    <n v="3"/>
    <s v="Animesh Rawat"/>
    <x v="0"/>
    <s v="Global Client Network (GNB Inward)"/>
    <s v="Renewal"/>
    <n v="45375"/>
    <d v="2019-07-20T00:00:00"/>
    <s v="Brokerage "/>
    <x v="2"/>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Pravin Sengupta"/>
    <s v="0000000008502066-01"/>
    <x v="0"/>
    <x v="28"/>
    <d v="2020-02-29T00:00:00"/>
    <x v="0"/>
    <n v="3"/>
    <s v="Animesh Rawat"/>
    <x v="0"/>
    <s v="Global Client Network (GNB Inward)"/>
    <s v="Renewal"/>
    <n v="45375"/>
    <d v="2019-07-20T00:00:00"/>
    <s v="Brokerage "/>
    <x v="2"/>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Pravin Sengupta"/>
    <s v="0000000008502066-01"/>
    <x v="0"/>
    <x v="28"/>
    <d v="2020-02-29T00:00:00"/>
    <x v="0"/>
    <n v="3"/>
    <s v="Animesh Rawat"/>
    <x v="0"/>
    <s v="Global Client Network (GNB Inward)"/>
    <s v="Renewal"/>
    <n v="45375"/>
    <d v="2019-07-20T00:00:00"/>
    <s v="Brokerage "/>
    <x v="2"/>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Pravin Sengupta"/>
    <s v="0000000008502066-01"/>
    <x v="0"/>
    <x v="28"/>
    <d v="2020-02-29T00:00:00"/>
    <x v="0"/>
    <n v="3"/>
    <s v="Animesh Rawat"/>
    <x v="0"/>
    <s v="Global Client Network (GNB Inward)"/>
    <s v="Renewal"/>
    <n v="45375"/>
    <d v="2019-07-20T00:00:00"/>
    <s v="Brokerage "/>
    <x v="2"/>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Pravin Sengupta"/>
    <s v="0000000008502066-01"/>
    <x v="0"/>
    <x v="28"/>
    <d v="2020-02-29T00:00:00"/>
    <x v="0"/>
    <n v="3"/>
    <s v="Animesh Rawat"/>
    <x v="0"/>
    <s v="Global Client Network (GNB Inward)"/>
    <s v="Renewal"/>
    <n v="45375"/>
    <d v="2019-07-20T00:00:00"/>
    <s v="Brokerage "/>
    <x v="2"/>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Pravin Sengupta"/>
    <s v="0000000008502066-01"/>
    <x v="0"/>
    <x v="28"/>
    <d v="2020-02-29T00:00:00"/>
    <x v="0"/>
    <n v="3"/>
    <s v="Animesh Rawat"/>
    <x v="0"/>
    <s v="Global Client Network (GNB Inward)"/>
    <s v="Renewal"/>
    <n v="45375"/>
    <d v="2019-07-20T00:00:00"/>
    <s v="Brokerage "/>
    <x v="2"/>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Pravin Sengupta"/>
    <s v="0000000008502066-01"/>
    <x v="0"/>
    <x v="28"/>
    <d v="2020-02-29T00:00:00"/>
    <x v="0"/>
    <n v="3"/>
    <s v="Animesh Rawat"/>
    <x v="0"/>
    <s v="Global Client Network (GNB Inward)"/>
    <s v="Renewal"/>
    <n v="45375"/>
    <d v="2019-07-20T00:00:00"/>
    <s v="Brokerage "/>
    <x v="2"/>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Pravin Sengupta"/>
    <s v="0000000008502066-01"/>
    <x v="0"/>
    <x v="28"/>
    <d v="2020-02-29T00:00:00"/>
    <x v="0"/>
    <n v="3"/>
    <s v="Animesh Rawat"/>
    <x v="0"/>
    <s v="Global Client Network (GNB Inward)"/>
    <s v="Renewal"/>
    <n v="45375"/>
    <d v="2019-07-20T00:00:00"/>
    <s v="Brokerage "/>
    <x v="2"/>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Snehal Das"/>
    <s v="0000000008502066-01"/>
    <x v="0"/>
    <x v="28"/>
    <d v="2020-02-29T00:00:00"/>
    <x v="0"/>
    <n v="3"/>
    <s v="Animesh Rawat"/>
    <x v="0"/>
    <s v="Global Client Network (GNB Inward)"/>
    <s v="Renewal"/>
    <n v="0"/>
    <d v="2018-04-01T00:00:00"/>
    <s v="Brokerage "/>
    <x v="2"/>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Snehal Das"/>
    <s v="0000000008502066-01"/>
    <x v="0"/>
    <x v="28"/>
    <d v="2020-02-29T00:00:00"/>
    <x v="0"/>
    <n v="3"/>
    <s v="Animesh Rawat"/>
    <x v="0"/>
    <s v="Global Client Network (GNB Inward)"/>
    <s v="Renewal"/>
    <n v="0"/>
    <d v="2018-04-01T00:00:00"/>
    <s v="Brokerage "/>
    <x v="2"/>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Snehal Das"/>
    <s v="0000000008502066-01"/>
    <x v="0"/>
    <x v="28"/>
    <d v="2020-02-29T00:00:00"/>
    <x v="0"/>
    <n v="3"/>
    <s v="Animesh Rawat"/>
    <x v="0"/>
    <s v="Global Client Network (GNB Inward)"/>
    <s v="Renewal"/>
    <n v="0"/>
    <d v="2018-04-01T00:00:00"/>
    <s v="Brokerage "/>
    <x v="2"/>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Snehal Das"/>
    <s v="0000000008502066-01"/>
    <x v="0"/>
    <x v="28"/>
    <d v="2020-02-29T00:00:00"/>
    <x v="0"/>
    <n v="3"/>
    <s v="Animesh Rawat"/>
    <x v="0"/>
    <s v="Global Client Network (GNB Inward)"/>
    <s v="Renewal"/>
    <n v="0"/>
    <d v="2018-04-01T00:00:00"/>
    <s v="Brokerage "/>
    <x v="2"/>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Snehal Das"/>
    <s v="0000000008502066-01"/>
    <x v="0"/>
    <x v="28"/>
    <d v="2020-02-29T00:00:00"/>
    <x v="0"/>
    <n v="3"/>
    <s v="Animesh Rawat"/>
    <x v="0"/>
    <s v="Global Client Network (GNB Inward)"/>
    <s v="Renewal"/>
    <n v="0"/>
    <d v="2018-04-01T00:00:00"/>
    <s v="Brokerage "/>
    <x v="2"/>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Snehal Das"/>
    <s v="0000000008502066-01"/>
    <x v="0"/>
    <x v="28"/>
    <d v="2020-02-29T00:00:00"/>
    <x v="0"/>
    <n v="3"/>
    <s v="Animesh Rawat"/>
    <x v="0"/>
    <s v="Global Client Network (GNB Inward)"/>
    <s v="Renewal"/>
    <n v="0"/>
    <d v="2018-04-01T00:00:00"/>
    <s v="Brokerage "/>
    <x v="2"/>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Snehal Das"/>
    <s v="0000000008502066-01"/>
    <x v="0"/>
    <x v="28"/>
    <d v="2020-02-29T00:00:00"/>
    <x v="0"/>
    <n v="3"/>
    <s v="Animesh Rawat"/>
    <x v="0"/>
    <s v="Global Client Network (GNB Inward)"/>
    <s v="Renewal"/>
    <n v="0"/>
    <d v="2018-04-01T00:00:00"/>
    <s v="Brokerage "/>
    <x v="2"/>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Snehal Das"/>
    <s v="0000000008502066-01"/>
    <x v="0"/>
    <x v="28"/>
    <d v="2020-02-29T00:00:00"/>
    <x v="0"/>
    <n v="3"/>
    <s v="Animesh Rawat"/>
    <x v="0"/>
    <s v="Global Client Network (GNB Inward)"/>
    <s v="Renewal"/>
    <n v="0"/>
    <d v="2018-04-01T00:00:00"/>
    <s v="Brokerage "/>
    <x v="2"/>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Rajesh Malhotra"/>
    <n v="2.9992E+18"/>
    <x v="1"/>
    <x v="33"/>
    <d v="2019-10-31T00:00:00"/>
    <x v="3"/>
    <n v="10"/>
    <s v="Mark"/>
    <x v="0"/>
    <s v="Employee Benefits (EB)"/>
    <s v="Renewal"/>
    <n v="6157.88"/>
    <d v="2018-11-01T00:00:00"/>
    <s v="Brokerage"/>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Rajesh Malhotra"/>
    <n v="2.9992E+18"/>
    <x v="1"/>
    <x v="33"/>
    <d v="2019-10-31T00:00:00"/>
    <x v="3"/>
    <n v="10"/>
    <s v="Mark"/>
    <x v="0"/>
    <s v="Employee Benefits (EB)"/>
    <s v="Renewal"/>
    <n v="6157.88"/>
    <d v="2018-11-01T00:00:00"/>
    <s v="Brokerage"/>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Rajesh Malhotra"/>
    <n v="2.9992E+18"/>
    <x v="1"/>
    <x v="33"/>
    <d v="2019-10-31T00:00:00"/>
    <x v="3"/>
    <n v="10"/>
    <s v="Mark"/>
    <x v="0"/>
    <s v="Employee Benefits (EB)"/>
    <s v="Renewal"/>
    <n v="6157.88"/>
    <d v="2018-11-01T00:00:00"/>
    <s v="Brokerage"/>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Rajesh Malhotra"/>
    <n v="2.9992E+18"/>
    <x v="1"/>
    <x v="33"/>
    <d v="2019-10-31T00:00:00"/>
    <x v="3"/>
    <n v="10"/>
    <s v="Mark"/>
    <x v="0"/>
    <s v="Employee Benefits (EB)"/>
    <s v="Renewal"/>
    <n v="6157.88"/>
    <d v="2018-11-01T00:00:00"/>
    <s v="Brokerage"/>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Rajesh Malhotra"/>
    <n v="2.9992E+18"/>
    <x v="1"/>
    <x v="33"/>
    <d v="2019-10-31T00:00:00"/>
    <x v="3"/>
    <n v="10"/>
    <s v="Mark"/>
    <x v="0"/>
    <s v="Employee Benefits (EB)"/>
    <s v="Renewal"/>
    <n v="6157.88"/>
    <d v="2018-11-01T00:00:00"/>
    <s v="Brokerage"/>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Rajesh Malhotra"/>
    <n v="2.9992E+18"/>
    <x v="1"/>
    <x v="33"/>
    <d v="2019-10-31T00:00:00"/>
    <x v="3"/>
    <n v="10"/>
    <s v="Mark"/>
    <x v="0"/>
    <s v="Employee Benefits (EB)"/>
    <s v="Renewal"/>
    <n v="6157.88"/>
    <d v="2018-11-01T00:00:00"/>
    <s v="Brokerage"/>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Rajesh Malhotra"/>
    <n v="2.9992E+18"/>
    <x v="1"/>
    <x v="33"/>
    <d v="2019-10-31T00:00:00"/>
    <x v="3"/>
    <n v="10"/>
    <s v="Mark"/>
    <x v="0"/>
    <s v="Employee Benefits (EB)"/>
    <s v="Renewal"/>
    <n v="6157.88"/>
    <d v="2018-11-01T00:00:00"/>
    <s v="Brokerage"/>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Rajesh Malhotra"/>
    <n v="2.9992E+18"/>
    <x v="1"/>
    <x v="33"/>
    <d v="2019-10-31T00:00:00"/>
    <x v="3"/>
    <n v="10"/>
    <s v="Mark"/>
    <x v="0"/>
    <s v="Employee Benefits (EB)"/>
    <s v="Renewal"/>
    <n v="6157.88"/>
    <d v="2018-11-01T00:00:00"/>
    <s v="Brokerage"/>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Rajesh Malhotra"/>
    <n v="2.9992E+18"/>
    <x v="1"/>
    <x v="33"/>
    <d v="2019-10-31T00:00:00"/>
    <x v="3"/>
    <n v="10"/>
    <s v="Mark"/>
    <x v="0"/>
    <s v="Employee Benefits (EB)"/>
    <s v="Renewal"/>
    <n v="6157.88"/>
    <d v="2018-11-01T00:00:00"/>
    <s v="Brokerage"/>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Rajesh Malhotra"/>
    <n v="2.9992E+18"/>
    <x v="1"/>
    <x v="33"/>
    <d v="2019-10-31T00:00:00"/>
    <x v="3"/>
    <n v="10"/>
    <s v="Mark"/>
    <x v="0"/>
    <s v="Employee Benefits (EB)"/>
    <s v="Renewal"/>
    <n v="6157.88"/>
    <d v="2018-11-01T00:00:00"/>
    <s v="Brokerage"/>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Archana Bhatia"/>
    <n v="2.9992E+18"/>
    <x v="1"/>
    <x v="33"/>
    <d v="2019-10-31T00:00:00"/>
    <x v="3"/>
    <n v="10"/>
    <s v="Mark"/>
    <x v="0"/>
    <s v="Employee Benefits (EB)"/>
    <s v="Renewal"/>
    <n v="13134.29"/>
    <d v="2018-12-05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Archana Bhatia"/>
    <n v="2.9992E+18"/>
    <x v="1"/>
    <x v="33"/>
    <d v="2019-10-31T00:00:00"/>
    <x v="3"/>
    <n v="10"/>
    <s v="Mark"/>
    <x v="0"/>
    <s v="Employee Benefits (EB)"/>
    <s v="Renewal"/>
    <n v="13134.29"/>
    <d v="2018-12-05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Archana Bhatia"/>
    <n v="2.9992E+18"/>
    <x v="1"/>
    <x v="33"/>
    <d v="2019-10-31T00:00:00"/>
    <x v="3"/>
    <n v="10"/>
    <s v="Mark"/>
    <x v="0"/>
    <s v="Employee Benefits (EB)"/>
    <s v="Renewal"/>
    <n v="13134.29"/>
    <d v="2018-12-05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Archana Bhatia"/>
    <n v="2.9992E+18"/>
    <x v="1"/>
    <x v="33"/>
    <d v="2019-10-31T00:00:00"/>
    <x v="3"/>
    <n v="10"/>
    <s v="Mark"/>
    <x v="0"/>
    <s v="Employee Benefits (EB)"/>
    <s v="Renewal"/>
    <n v="13134.29"/>
    <d v="2018-12-05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Archana Bhatia"/>
    <n v="2.9992E+18"/>
    <x v="1"/>
    <x v="33"/>
    <d v="2019-10-31T00:00:00"/>
    <x v="3"/>
    <n v="10"/>
    <s v="Mark"/>
    <x v="0"/>
    <s v="Employee Benefits (EB)"/>
    <s v="Renewal"/>
    <n v="13134.29"/>
    <d v="2018-12-05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Archana Bhatia"/>
    <n v="2.9992E+18"/>
    <x v="1"/>
    <x v="33"/>
    <d v="2019-10-31T00:00:00"/>
    <x v="3"/>
    <n v="10"/>
    <s v="Mark"/>
    <x v="0"/>
    <s v="Employee Benefits (EB)"/>
    <s v="Renewal"/>
    <n v="13134.29"/>
    <d v="2018-12-05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Archana Bhatia"/>
    <n v="2.9992E+18"/>
    <x v="1"/>
    <x v="33"/>
    <d v="2019-10-31T00:00:00"/>
    <x v="3"/>
    <n v="10"/>
    <s v="Mark"/>
    <x v="0"/>
    <s v="Employee Benefits (EB)"/>
    <s v="Renewal"/>
    <n v="13134.29"/>
    <d v="2018-12-05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Archana Bhatia"/>
    <n v="2.9992E+18"/>
    <x v="1"/>
    <x v="33"/>
    <d v="2019-10-31T00:00:00"/>
    <x v="3"/>
    <n v="10"/>
    <s v="Mark"/>
    <x v="0"/>
    <s v="Employee Benefits (EB)"/>
    <s v="Renewal"/>
    <n v="13134.29"/>
    <d v="2018-12-05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Archana Bhatia"/>
    <n v="2.9992E+18"/>
    <x v="1"/>
    <x v="33"/>
    <d v="2019-10-31T00:00:00"/>
    <x v="3"/>
    <n v="10"/>
    <s v="Mark"/>
    <x v="0"/>
    <s v="Employee Benefits (EB)"/>
    <s v="Renewal"/>
    <n v="13134.29"/>
    <d v="2018-12-05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Archana Bhatia"/>
    <n v="2.9992E+18"/>
    <x v="1"/>
    <x v="33"/>
    <d v="2019-10-31T00:00:00"/>
    <x v="3"/>
    <n v="10"/>
    <s v="Mark"/>
    <x v="0"/>
    <s v="Employee Benefits (EB)"/>
    <s v="Renewal"/>
    <n v="13134.29"/>
    <d v="2018-12-05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Ashok Reddy"/>
    <n v="2.9992E+18"/>
    <x v="1"/>
    <x v="33"/>
    <d v="2019-10-31T00:00:00"/>
    <x v="3"/>
    <n v="10"/>
    <s v="Mark"/>
    <x v="0"/>
    <s v="Employee Benefits (EB)"/>
    <s v="Renewal"/>
    <n v="113.48"/>
    <d v="2019-02-08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Ashok Reddy"/>
    <n v="2.9992E+18"/>
    <x v="1"/>
    <x v="33"/>
    <d v="2019-10-31T00:00:00"/>
    <x v="3"/>
    <n v="10"/>
    <s v="Mark"/>
    <x v="0"/>
    <s v="Employee Benefits (EB)"/>
    <s v="Renewal"/>
    <n v="113.48"/>
    <d v="2019-02-08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Ashok Reddy"/>
    <n v="2.9992E+18"/>
    <x v="1"/>
    <x v="33"/>
    <d v="2019-10-31T00:00:00"/>
    <x v="3"/>
    <n v="10"/>
    <s v="Mark"/>
    <x v="0"/>
    <s v="Employee Benefits (EB)"/>
    <s v="Renewal"/>
    <n v="113.48"/>
    <d v="2019-02-08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Ashok Reddy"/>
    <n v="2.9992E+18"/>
    <x v="1"/>
    <x v="33"/>
    <d v="2019-10-31T00:00:00"/>
    <x v="3"/>
    <n v="10"/>
    <s v="Mark"/>
    <x v="0"/>
    <s v="Employee Benefits (EB)"/>
    <s v="Renewal"/>
    <n v="113.48"/>
    <d v="2019-02-08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Ashok Reddy"/>
    <n v="2.9992E+18"/>
    <x v="1"/>
    <x v="33"/>
    <d v="2019-10-31T00:00:00"/>
    <x v="3"/>
    <n v="10"/>
    <s v="Mark"/>
    <x v="0"/>
    <s v="Employee Benefits (EB)"/>
    <s v="Renewal"/>
    <n v="113.48"/>
    <d v="2019-02-08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Ashok Reddy"/>
    <n v="2.9992E+18"/>
    <x v="1"/>
    <x v="33"/>
    <d v="2019-10-31T00:00:00"/>
    <x v="3"/>
    <n v="10"/>
    <s v="Mark"/>
    <x v="0"/>
    <s v="Employee Benefits (EB)"/>
    <s v="Renewal"/>
    <n v="113.48"/>
    <d v="2019-02-08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Ashok Reddy"/>
    <n v="2.9992E+18"/>
    <x v="1"/>
    <x v="33"/>
    <d v="2019-10-31T00:00:00"/>
    <x v="3"/>
    <n v="10"/>
    <s v="Mark"/>
    <x v="0"/>
    <s v="Employee Benefits (EB)"/>
    <s v="Renewal"/>
    <n v="113.48"/>
    <d v="2019-02-08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Ashok Reddy"/>
    <n v="2.9992E+18"/>
    <x v="1"/>
    <x v="33"/>
    <d v="2019-10-31T00:00:00"/>
    <x v="3"/>
    <n v="10"/>
    <s v="Mark"/>
    <x v="0"/>
    <s v="Employee Benefits (EB)"/>
    <s v="Renewal"/>
    <n v="113.48"/>
    <d v="2019-02-08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Ashok Reddy"/>
    <n v="2.9992E+18"/>
    <x v="1"/>
    <x v="33"/>
    <d v="2019-10-31T00:00:00"/>
    <x v="3"/>
    <n v="10"/>
    <s v="Mark"/>
    <x v="0"/>
    <s v="Employee Benefits (EB)"/>
    <s v="Renewal"/>
    <n v="113.48"/>
    <d v="2019-02-08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Ashok Reddy"/>
    <n v="2.9992E+18"/>
    <x v="1"/>
    <x v="33"/>
    <d v="2019-10-31T00:00:00"/>
    <x v="3"/>
    <n v="10"/>
    <s v="Mark"/>
    <x v="0"/>
    <s v="Employee Benefits (EB)"/>
    <s v="Renewal"/>
    <n v="113.48"/>
    <d v="2019-02-08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Madhuri Bhatia"/>
    <n v="2.9992E+18"/>
    <x v="0"/>
    <x v="62"/>
    <d v="2020-10-31T00:00:00"/>
    <x v="3"/>
    <n v="10"/>
    <s v="Mark"/>
    <x v="0"/>
    <s v="Employee Benefits (EB)"/>
    <s v="Renewal"/>
    <n v="4302.3"/>
    <d v="2019-11-01T00:00:00"/>
    <s v="Brokerage"/>
    <x v="1"/>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Madhuri Bhatia"/>
    <n v="2.9992E+18"/>
    <x v="0"/>
    <x v="62"/>
    <d v="2020-10-31T00:00:00"/>
    <x v="3"/>
    <n v="10"/>
    <s v="Mark"/>
    <x v="0"/>
    <s v="Employee Benefits (EB)"/>
    <s v="Renewal"/>
    <n v="4302.3"/>
    <d v="2019-11-01T00:00:00"/>
    <s v="Brokerage"/>
    <x v="1"/>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Madhuri Bhatia"/>
    <n v="2.9992E+18"/>
    <x v="0"/>
    <x v="62"/>
    <d v="2020-10-31T00:00:00"/>
    <x v="3"/>
    <n v="10"/>
    <s v="Mark"/>
    <x v="0"/>
    <s v="Employee Benefits (EB)"/>
    <s v="Renewal"/>
    <n v="4302.3"/>
    <d v="2019-11-01T00:00:00"/>
    <s v="Brokerage"/>
    <x v="1"/>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Madhuri Bhatia"/>
    <n v="2.9992E+18"/>
    <x v="0"/>
    <x v="62"/>
    <d v="2020-10-31T00:00:00"/>
    <x v="3"/>
    <n v="10"/>
    <s v="Mark"/>
    <x v="0"/>
    <s v="Employee Benefits (EB)"/>
    <s v="Renewal"/>
    <n v="4302.3"/>
    <d v="2019-11-01T00:00:00"/>
    <s v="Brokerage"/>
    <x v="1"/>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Madhuri Bhatia"/>
    <n v="2.9992E+18"/>
    <x v="0"/>
    <x v="62"/>
    <d v="2020-10-31T00:00:00"/>
    <x v="3"/>
    <n v="10"/>
    <s v="Mark"/>
    <x v="0"/>
    <s v="Employee Benefits (EB)"/>
    <s v="Renewal"/>
    <n v="4302.3"/>
    <d v="2019-11-01T00:00:00"/>
    <s v="Brokerage"/>
    <x v="1"/>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Madhuri Bhatia"/>
    <n v="2.9992E+18"/>
    <x v="0"/>
    <x v="62"/>
    <d v="2020-10-31T00:00:00"/>
    <x v="3"/>
    <n v="10"/>
    <s v="Mark"/>
    <x v="0"/>
    <s v="Employee Benefits (EB)"/>
    <s v="Renewal"/>
    <n v="4302.3"/>
    <d v="2019-11-01T00:00:00"/>
    <s v="Brokerage"/>
    <x v="1"/>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Madhuri Bhatia"/>
    <n v="2.9992E+18"/>
    <x v="0"/>
    <x v="62"/>
    <d v="2020-10-31T00:00:00"/>
    <x v="3"/>
    <n v="10"/>
    <s v="Mark"/>
    <x v="0"/>
    <s v="Employee Benefits (EB)"/>
    <s v="Renewal"/>
    <n v="4302.3"/>
    <d v="2019-11-01T00:00:00"/>
    <s v="Brokerage"/>
    <x v="1"/>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Madhuri Bhatia"/>
    <n v="2.9992E+18"/>
    <x v="0"/>
    <x v="62"/>
    <d v="2020-10-31T00:00:00"/>
    <x v="3"/>
    <n v="10"/>
    <s v="Mark"/>
    <x v="0"/>
    <s v="Employee Benefits (EB)"/>
    <s v="Renewal"/>
    <n v="4302.3"/>
    <d v="2019-11-01T00:00:00"/>
    <s v="Brokerage"/>
    <x v="1"/>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Madhuri Bhatia"/>
    <n v="2.9992E+18"/>
    <x v="0"/>
    <x v="62"/>
    <d v="2020-10-31T00:00:00"/>
    <x v="3"/>
    <n v="10"/>
    <s v="Mark"/>
    <x v="0"/>
    <s v="Employee Benefits (EB)"/>
    <s v="Renewal"/>
    <n v="4302.3"/>
    <d v="2019-11-01T00:00:00"/>
    <s v="Brokerage"/>
    <x v="1"/>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Madhuri Bhatia"/>
    <n v="2.9992E+18"/>
    <x v="0"/>
    <x v="62"/>
    <d v="2020-10-31T00:00:00"/>
    <x v="3"/>
    <n v="10"/>
    <s v="Mark"/>
    <x v="0"/>
    <s v="Employee Benefits (EB)"/>
    <s v="Renewal"/>
    <n v="4302.3"/>
    <d v="2019-11-01T00:00:00"/>
    <s v="Brokerage"/>
    <x v="1"/>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Pranav Mishra"/>
    <s v="4101190600000030-00"/>
    <x v="0"/>
    <x v="63"/>
    <d v="2020-05-16T00:00:00"/>
    <x v="3"/>
    <n v="10"/>
    <s v="Mark"/>
    <x v="0"/>
    <s v="Employee Benefits (EB)"/>
    <s v="Renewal"/>
    <n v="52500"/>
    <d v="2019-05-17T00:00:00"/>
    <s v="Brokerage"/>
    <x v="0"/>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Pranav Mishra"/>
    <s v="4101190600000030-00"/>
    <x v="0"/>
    <x v="63"/>
    <d v="2020-05-16T00:00:00"/>
    <x v="3"/>
    <n v="10"/>
    <s v="Mark"/>
    <x v="0"/>
    <s v="Employee Benefits (EB)"/>
    <s v="Renewal"/>
    <n v="52500"/>
    <d v="2019-05-17T00:00:00"/>
    <s v="Brokerage"/>
    <x v="0"/>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Pranav Mishra"/>
    <s v="4101190600000030-00"/>
    <x v="0"/>
    <x v="63"/>
    <d v="2020-05-16T00:00:00"/>
    <x v="3"/>
    <n v="10"/>
    <s v="Mark"/>
    <x v="0"/>
    <s v="Employee Benefits (EB)"/>
    <s v="Renewal"/>
    <n v="52500"/>
    <d v="2019-05-17T00:00:00"/>
    <s v="Brokerage"/>
    <x v="0"/>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Pranav Mishra"/>
    <s v="4101190600000030-00"/>
    <x v="0"/>
    <x v="63"/>
    <d v="2020-05-16T00:00:00"/>
    <x v="3"/>
    <n v="10"/>
    <s v="Mark"/>
    <x v="0"/>
    <s v="Employee Benefits (EB)"/>
    <s v="Renewal"/>
    <n v="52500"/>
    <d v="2019-05-17T00:00:00"/>
    <s v="Brokerage"/>
    <x v="0"/>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Pranav Mishra"/>
    <s v="4101190600000030-00"/>
    <x v="0"/>
    <x v="63"/>
    <d v="2020-05-16T00:00:00"/>
    <x v="3"/>
    <n v="10"/>
    <s v="Mark"/>
    <x v="0"/>
    <s v="Employee Benefits (EB)"/>
    <s v="Renewal"/>
    <n v="52500"/>
    <d v="2019-05-17T00:00:00"/>
    <s v="Brokerage"/>
    <x v="0"/>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Pranav Mishra"/>
    <s v="4101190600000030-00"/>
    <x v="0"/>
    <x v="63"/>
    <d v="2020-05-16T00:00:00"/>
    <x v="3"/>
    <n v="10"/>
    <s v="Mark"/>
    <x v="0"/>
    <s v="Employee Benefits (EB)"/>
    <s v="Renewal"/>
    <n v="52500"/>
    <d v="2019-05-17T00:00:00"/>
    <s v="Brokerage"/>
    <x v="0"/>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Pranav Mishra"/>
    <s v="4101190600000030-00"/>
    <x v="0"/>
    <x v="63"/>
    <d v="2020-05-16T00:00:00"/>
    <x v="3"/>
    <n v="10"/>
    <s v="Mark"/>
    <x v="0"/>
    <s v="Employee Benefits (EB)"/>
    <s v="Renewal"/>
    <n v="52500"/>
    <d v="2019-05-17T00:00:00"/>
    <s v="Brokerage"/>
    <x v="0"/>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Pranav Mishra"/>
    <s v="4101190600000030-00"/>
    <x v="0"/>
    <x v="63"/>
    <d v="2020-05-16T00:00:00"/>
    <x v="3"/>
    <n v="10"/>
    <s v="Mark"/>
    <x v="0"/>
    <s v="Employee Benefits (EB)"/>
    <s v="Renewal"/>
    <n v="52500"/>
    <d v="2019-05-17T00:00:00"/>
    <s v="Brokerage"/>
    <x v="0"/>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Pranav Mishra"/>
    <s v="4101190600000030-00"/>
    <x v="0"/>
    <x v="63"/>
    <d v="2020-05-16T00:00:00"/>
    <x v="3"/>
    <n v="10"/>
    <s v="Mark"/>
    <x v="0"/>
    <s v="Employee Benefits (EB)"/>
    <s v="Renewal"/>
    <n v="52500"/>
    <d v="2019-05-17T00:00:00"/>
    <s v="Brokerage"/>
    <x v="0"/>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Pranav Mishra"/>
    <s v="4101190600000030-00"/>
    <x v="0"/>
    <x v="63"/>
    <d v="2020-05-16T00:00:00"/>
    <x v="3"/>
    <n v="10"/>
    <s v="Mark"/>
    <x v="0"/>
    <s v="Employee Benefits (EB)"/>
    <s v="Renewal"/>
    <n v="52500"/>
    <d v="2019-05-17T00:00:00"/>
    <s v="Brokerage"/>
    <x v="0"/>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Rina Goyal"/>
    <s v="OG-19-2202-0425-00000018"/>
    <x v="1"/>
    <x v="53"/>
    <d v="2019-06-30T00:00:00"/>
    <x v="2"/>
    <n v="3"/>
    <s v="Animesh Rawat"/>
    <x v="0"/>
    <s v="Global Client Network (GNB Inward)"/>
    <s v="Cross Sell"/>
    <n v="1147.82"/>
    <d v="2019-06-30T00:00:00"/>
    <s v="Brokerage"/>
    <x v="0"/>
    <s v="OTHR - Other"/>
    <d v="2020-01-22T00:00:00"/>
    <s v="Other"/>
    <m/>
    <m/>
    <m/>
    <m/>
    <m/>
    <m/>
    <m/>
    <m/>
    <m/>
    <m/>
    <m/>
    <m/>
    <m/>
    <m/>
    <m/>
    <m/>
    <m/>
    <m/>
    <m/>
    <m/>
  </r>
  <r>
    <s v="Geeta Gupta"/>
    <s v="OG-19-2202-3304-00000007"/>
    <x v="1"/>
    <x v="53"/>
    <d v="2019-06-30T00:00:00"/>
    <x v="4"/>
    <n v="3"/>
    <s v="Animesh Rawat"/>
    <x v="0"/>
    <s v="Global Client Network (GNB Inward)"/>
    <s v="Renewal"/>
    <n v="1896.63"/>
    <d v="2018-07-01T00:00:00"/>
    <s v="Brokerage"/>
    <x v="0"/>
    <s v="OTHR - Other"/>
    <d v="2020-01-22T00:00:00"/>
    <s v="Other"/>
    <m/>
    <m/>
    <m/>
    <m/>
    <m/>
    <m/>
    <m/>
    <m/>
    <m/>
    <m/>
    <m/>
    <m/>
    <m/>
    <m/>
    <m/>
    <m/>
    <m/>
    <m/>
    <m/>
    <m/>
  </r>
  <r>
    <s v="Sudhir Roy"/>
    <s v="OG-19-2202-3315-00000007-1"/>
    <x v="1"/>
    <x v="64"/>
    <d v="2019-06-30T00:00:00"/>
    <x v="4"/>
    <n v="3"/>
    <s v="Animesh Rawat"/>
    <x v="0"/>
    <s v="Global Client Network (GNB Inward)"/>
    <s v="Renewal"/>
    <n v="0"/>
    <d v="2019-06-30T00:00:00"/>
    <s v="Brokerage"/>
    <x v="0"/>
    <s v="OTHR - Other"/>
    <d v="2020-01-22T00:00:00"/>
    <s v="Other"/>
    <m/>
    <m/>
    <m/>
    <m/>
    <m/>
    <m/>
    <m/>
    <m/>
    <m/>
    <m/>
    <m/>
    <m/>
    <m/>
    <m/>
    <m/>
    <m/>
    <m/>
    <m/>
    <m/>
    <m/>
  </r>
  <r>
    <s v="Rani Kaul"/>
    <s v="OG-19-2202-3383-00000003"/>
    <x v="1"/>
    <x v="53"/>
    <d v="2019-06-30T00:00:00"/>
    <x v="4"/>
    <n v="3"/>
    <s v="Animesh Rawat"/>
    <x v="0"/>
    <s v="Global Client Network (GNB Inward)"/>
    <s v="Renewal"/>
    <n v="48125"/>
    <d v="2018-07-01T00:00:00"/>
    <s v="Brokerage"/>
    <x v="0"/>
    <s v="OTHR - Other"/>
    <d v="2020-01-22T00:00:00"/>
    <s v="Other"/>
    <m/>
    <m/>
    <m/>
    <m/>
    <m/>
    <m/>
    <m/>
    <m/>
    <m/>
    <m/>
    <m/>
    <m/>
    <m/>
    <m/>
    <m/>
    <m/>
    <m/>
    <m/>
    <m/>
    <m/>
  </r>
  <r>
    <s v="Kavita Sharma"/>
    <s v="OG-19-2202-4002-00000009"/>
    <x v="1"/>
    <x v="53"/>
    <d v="2019-06-30T00:00:00"/>
    <x v="1"/>
    <n v="3"/>
    <s v="Animesh Rawat"/>
    <x v="0"/>
    <s v="Global Client Network (GNB Inward)"/>
    <s v="Renewal"/>
    <n v="13560.92"/>
    <d v="2018-07-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Kavita Sharma"/>
    <s v="OG-19-2202-4002-00000009"/>
    <x v="1"/>
    <x v="53"/>
    <d v="2019-06-30T00:00:00"/>
    <x v="1"/>
    <n v="3"/>
    <s v="Animesh Rawat"/>
    <x v="0"/>
    <s v="Global Client Network (GNB Inward)"/>
    <s v="Renewal"/>
    <n v="13560.92"/>
    <d v="2018-07-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Kavita Sharma"/>
    <s v="OG-19-2202-4002-00000009"/>
    <x v="1"/>
    <x v="53"/>
    <d v="2019-06-30T00:00:00"/>
    <x v="1"/>
    <n v="3"/>
    <s v="Animesh Rawat"/>
    <x v="0"/>
    <s v="Global Client Network (GNB Inward)"/>
    <s v="Renewal"/>
    <n v="13560.92"/>
    <d v="2018-07-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Kavita Sharma"/>
    <s v="OG-19-2202-4002-00000009"/>
    <x v="1"/>
    <x v="53"/>
    <d v="2019-06-30T00:00:00"/>
    <x v="1"/>
    <n v="3"/>
    <s v="Animesh Rawat"/>
    <x v="0"/>
    <s v="Global Client Network (GNB Inward)"/>
    <s v="Renewal"/>
    <n v="13560.92"/>
    <d v="2018-07-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Kavita Sharma"/>
    <s v="OG-19-2202-4002-00000009"/>
    <x v="1"/>
    <x v="53"/>
    <d v="2019-06-30T00:00:00"/>
    <x v="1"/>
    <n v="3"/>
    <s v="Animesh Rawat"/>
    <x v="0"/>
    <s v="Global Client Network (GNB Inward)"/>
    <s v="Renewal"/>
    <n v="13560.92"/>
    <d v="2018-07-01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Kavita Sharma"/>
    <s v="OG-19-2202-4002-00000009"/>
    <x v="1"/>
    <x v="53"/>
    <d v="2019-06-30T00:00:00"/>
    <x v="1"/>
    <n v="3"/>
    <s v="Animesh Rawat"/>
    <x v="0"/>
    <s v="Global Client Network (GNB Inward)"/>
    <s v="Renewal"/>
    <n v="13560.92"/>
    <d v="2018-07-01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Kavita Sharma"/>
    <s v="OG-19-2202-4002-00000009"/>
    <x v="1"/>
    <x v="53"/>
    <d v="2019-06-30T00:00:00"/>
    <x v="1"/>
    <n v="3"/>
    <s v="Animesh Rawat"/>
    <x v="0"/>
    <s v="Global Client Network (GNB Inward)"/>
    <s v="Renewal"/>
    <n v="13560.92"/>
    <d v="2018-07-01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Kavita Sharma"/>
    <s v="OG-19-2202-4002-00000009"/>
    <x v="1"/>
    <x v="53"/>
    <d v="2019-06-30T00:00:00"/>
    <x v="1"/>
    <n v="3"/>
    <s v="Animesh Rawat"/>
    <x v="0"/>
    <s v="Global Client Network (GNB Inward)"/>
    <s v="Renewal"/>
    <n v="13560.92"/>
    <d v="2018-07-01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Kavita Sharma"/>
    <s v="OG-19-2202-4002-00000009"/>
    <x v="1"/>
    <x v="53"/>
    <d v="2019-06-30T00:00:00"/>
    <x v="1"/>
    <n v="3"/>
    <s v="Animesh Rawat"/>
    <x v="0"/>
    <s v="Global Client Network (GNB Inward)"/>
    <s v="Renewal"/>
    <n v="13560.92"/>
    <d v="2018-07-01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Kavita Sharma"/>
    <s v="OG-19-2202-4002-00000009"/>
    <x v="1"/>
    <x v="53"/>
    <d v="2019-06-30T00:00:00"/>
    <x v="1"/>
    <n v="3"/>
    <s v="Animesh Rawat"/>
    <x v="0"/>
    <s v="Global Client Network (GNB Inward)"/>
    <s v="Renewal"/>
    <n v="13560.92"/>
    <d v="2018-07-01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Kavita Sharma"/>
    <s v="OG-19-2202-4002-00000009"/>
    <x v="1"/>
    <x v="53"/>
    <d v="2019-06-30T00:00:00"/>
    <x v="1"/>
    <n v="3"/>
    <s v="Animesh Rawat"/>
    <x v="0"/>
    <s v="Global Client Network (GNB Inward)"/>
    <s v="Renewal"/>
    <n v="13560.92"/>
    <d v="2018-07-01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Kavita Sharma"/>
    <s v="OG-19-2202-4002-00000009"/>
    <x v="1"/>
    <x v="53"/>
    <d v="2019-06-30T00:00:00"/>
    <x v="1"/>
    <n v="3"/>
    <s v="Animesh Rawat"/>
    <x v="0"/>
    <s v="Global Client Network (GNB Inward)"/>
    <s v="Renewal"/>
    <n v="13560.92"/>
    <d v="2018-07-01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Shikha Sethi"/>
    <s v="OG-19-2202-4004-00000034"/>
    <x v="1"/>
    <x v="53"/>
    <d v="2019-06-30T00:00:00"/>
    <x v="1"/>
    <n v="3"/>
    <s v="Animesh Rawat"/>
    <x v="0"/>
    <s v="Global Client Network (GNB Inward)"/>
    <s v="Renewal"/>
    <n v="55052.69"/>
    <d v="2018-07-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Shikha Sethi"/>
    <s v="OG-19-2202-4004-00000034"/>
    <x v="1"/>
    <x v="53"/>
    <d v="2019-06-30T00:00:00"/>
    <x v="1"/>
    <n v="3"/>
    <s v="Animesh Rawat"/>
    <x v="0"/>
    <s v="Global Client Network (GNB Inward)"/>
    <s v="Renewal"/>
    <n v="55052.69"/>
    <d v="2018-07-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Shikha Sethi"/>
    <s v="OG-19-2202-4004-00000034"/>
    <x v="1"/>
    <x v="53"/>
    <d v="2019-06-30T00:00:00"/>
    <x v="1"/>
    <n v="3"/>
    <s v="Animesh Rawat"/>
    <x v="0"/>
    <s v="Global Client Network (GNB Inward)"/>
    <s v="Renewal"/>
    <n v="55052.69"/>
    <d v="2018-07-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Shikha Sethi"/>
    <s v="OG-19-2202-4004-00000034"/>
    <x v="1"/>
    <x v="53"/>
    <d v="2019-06-30T00:00:00"/>
    <x v="1"/>
    <n v="3"/>
    <s v="Animesh Rawat"/>
    <x v="0"/>
    <s v="Global Client Network (GNB Inward)"/>
    <s v="Renewal"/>
    <n v="55052.69"/>
    <d v="2018-07-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Shikha Sethi"/>
    <s v="OG-19-2202-4004-00000034"/>
    <x v="1"/>
    <x v="53"/>
    <d v="2019-06-30T00:00:00"/>
    <x v="1"/>
    <n v="3"/>
    <s v="Animesh Rawat"/>
    <x v="0"/>
    <s v="Global Client Network (GNB Inward)"/>
    <s v="Renewal"/>
    <n v="55052.69"/>
    <d v="2018-07-01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Shikha Sethi"/>
    <s v="OG-19-2202-4004-00000034"/>
    <x v="1"/>
    <x v="53"/>
    <d v="2019-06-30T00:00:00"/>
    <x v="1"/>
    <n v="3"/>
    <s v="Animesh Rawat"/>
    <x v="0"/>
    <s v="Global Client Network (GNB Inward)"/>
    <s v="Renewal"/>
    <n v="55052.69"/>
    <d v="2018-07-01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Shikha Sethi"/>
    <s v="OG-19-2202-4004-00000034"/>
    <x v="1"/>
    <x v="53"/>
    <d v="2019-06-30T00:00:00"/>
    <x v="1"/>
    <n v="3"/>
    <s v="Animesh Rawat"/>
    <x v="0"/>
    <s v="Global Client Network (GNB Inward)"/>
    <s v="Renewal"/>
    <n v="55052.69"/>
    <d v="2018-07-01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Shikha Sethi"/>
    <s v="OG-19-2202-4004-00000034"/>
    <x v="1"/>
    <x v="53"/>
    <d v="2019-06-30T00:00:00"/>
    <x v="1"/>
    <n v="3"/>
    <s v="Animesh Rawat"/>
    <x v="0"/>
    <s v="Global Client Network (GNB Inward)"/>
    <s v="Renewal"/>
    <n v="55052.69"/>
    <d v="2018-07-01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Shikha Sethi"/>
    <s v="OG-19-2202-4004-00000034"/>
    <x v="1"/>
    <x v="53"/>
    <d v="2019-06-30T00:00:00"/>
    <x v="1"/>
    <n v="3"/>
    <s v="Animesh Rawat"/>
    <x v="0"/>
    <s v="Global Client Network (GNB Inward)"/>
    <s v="Renewal"/>
    <n v="55052.69"/>
    <d v="2018-07-01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Shikha Sethi"/>
    <s v="OG-19-2202-4004-00000034"/>
    <x v="1"/>
    <x v="53"/>
    <d v="2019-06-30T00:00:00"/>
    <x v="1"/>
    <n v="3"/>
    <s v="Animesh Rawat"/>
    <x v="0"/>
    <s v="Global Client Network (GNB Inward)"/>
    <s v="Renewal"/>
    <n v="55052.69"/>
    <d v="2018-07-01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Shikha Sethi"/>
    <s v="OG-19-2202-4004-00000034"/>
    <x v="1"/>
    <x v="53"/>
    <d v="2019-06-30T00:00:00"/>
    <x v="1"/>
    <n v="3"/>
    <s v="Animesh Rawat"/>
    <x v="0"/>
    <s v="Global Client Network (GNB Inward)"/>
    <s v="Renewal"/>
    <n v="55052.69"/>
    <d v="2018-07-01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Shikha Sethi"/>
    <s v="OG-19-2202-4004-00000034"/>
    <x v="1"/>
    <x v="53"/>
    <d v="2019-06-30T00:00:00"/>
    <x v="1"/>
    <n v="3"/>
    <s v="Animesh Rawat"/>
    <x v="0"/>
    <s v="Global Client Network (GNB Inward)"/>
    <s v="Renewal"/>
    <n v="55052.69"/>
    <d v="2018-07-01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Amit Bhargava"/>
    <s v="OG-19-2202-4004-00000038"/>
    <x v="1"/>
    <x v="53"/>
    <d v="2019-06-30T00:00:00"/>
    <x v="1"/>
    <n v="3"/>
    <s v="Animesh Rawat"/>
    <x v="0"/>
    <s v="Global Client Network (GNB Inward)"/>
    <s v="Renewal"/>
    <n v="14131.43"/>
    <d v="2018-07-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Amit Bhargava"/>
    <s v="OG-19-2202-4004-00000038"/>
    <x v="1"/>
    <x v="53"/>
    <d v="2019-06-30T00:00:00"/>
    <x v="1"/>
    <n v="3"/>
    <s v="Animesh Rawat"/>
    <x v="0"/>
    <s v="Global Client Network (GNB Inward)"/>
    <s v="Renewal"/>
    <n v="14131.43"/>
    <d v="2018-07-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Amit Bhargava"/>
    <s v="OG-19-2202-4004-00000038"/>
    <x v="1"/>
    <x v="53"/>
    <d v="2019-06-30T00:00:00"/>
    <x v="1"/>
    <n v="3"/>
    <s v="Animesh Rawat"/>
    <x v="0"/>
    <s v="Global Client Network (GNB Inward)"/>
    <s v="Renewal"/>
    <n v="14131.43"/>
    <d v="2018-07-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Amit Bhargava"/>
    <s v="OG-19-2202-4004-00000038"/>
    <x v="1"/>
    <x v="53"/>
    <d v="2019-06-30T00:00:00"/>
    <x v="1"/>
    <n v="3"/>
    <s v="Animesh Rawat"/>
    <x v="0"/>
    <s v="Global Client Network (GNB Inward)"/>
    <s v="Renewal"/>
    <n v="14131.43"/>
    <d v="2018-07-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Amit Bhargava"/>
    <s v="OG-19-2202-4004-00000038"/>
    <x v="1"/>
    <x v="53"/>
    <d v="2019-06-30T00:00:00"/>
    <x v="1"/>
    <n v="3"/>
    <s v="Animesh Rawat"/>
    <x v="0"/>
    <s v="Global Client Network (GNB Inward)"/>
    <s v="Renewal"/>
    <n v="14131.43"/>
    <d v="2018-07-01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Amit Bhargava"/>
    <s v="OG-19-2202-4004-00000038"/>
    <x v="1"/>
    <x v="53"/>
    <d v="2019-06-30T00:00:00"/>
    <x v="1"/>
    <n v="3"/>
    <s v="Animesh Rawat"/>
    <x v="0"/>
    <s v="Global Client Network (GNB Inward)"/>
    <s v="Renewal"/>
    <n v="14131.43"/>
    <d v="2018-07-01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Amit Bhargava"/>
    <s v="OG-19-2202-4004-00000038"/>
    <x v="1"/>
    <x v="53"/>
    <d v="2019-06-30T00:00:00"/>
    <x v="1"/>
    <n v="3"/>
    <s v="Animesh Rawat"/>
    <x v="0"/>
    <s v="Global Client Network (GNB Inward)"/>
    <s v="Renewal"/>
    <n v="14131.43"/>
    <d v="2018-07-01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Amit Bhargava"/>
    <s v="OG-19-2202-4004-00000038"/>
    <x v="1"/>
    <x v="53"/>
    <d v="2019-06-30T00:00:00"/>
    <x v="1"/>
    <n v="3"/>
    <s v="Animesh Rawat"/>
    <x v="0"/>
    <s v="Global Client Network (GNB Inward)"/>
    <s v="Renewal"/>
    <n v="14131.43"/>
    <d v="2018-07-01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Amit Bhargava"/>
    <s v="OG-19-2202-4004-00000038"/>
    <x v="1"/>
    <x v="53"/>
    <d v="2019-06-30T00:00:00"/>
    <x v="1"/>
    <n v="3"/>
    <s v="Animesh Rawat"/>
    <x v="0"/>
    <s v="Global Client Network (GNB Inward)"/>
    <s v="Renewal"/>
    <n v="14131.43"/>
    <d v="2018-07-01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Amit Bhargava"/>
    <s v="OG-19-2202-4004-00000038"/>
    <x v="1"/>
    <x v="53"/>
    <d v="2019-06-30T00:00:00"/>
    <x v="1"/>
    <n v="3"/>
    <s v="Animesh Rawat"/>
    <x v="0"/>
    <s v="Global Client Network (GNB Inward)"/>
    <s v="Renewal"/>
    <n v="14131.43"/>
    <d v="2018-07-01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Amit Bhargava"/>
    <s v="OG-19-2202-4004-00000038"/>
    <x v="1"/>
    <x v="53"/>
    <d v="2019-06-30T00:00:00"/>
    <x v="1"/>
    <n v="3"/>
    <s v="Animesh Rawat"/>
    <x v="0"/>
    <s v="Global Client Network (GNB Inward)"/>
    <s v="Renewal"/>
    <n v="14131.43"/>
    <d v="2018-07-01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Amit Bhargava"/>
    <s v="OG-19-2202-4004-00000038"/>
    <x v="1"/>
    <x v="53"/>
    <d v="2019-06-30T00:00:00"/>
    <x v="1"/>
    <n v="3"/>
    <s v="Animesh Rawat"/>
    <x v="0"/>
    <s v="Global Client Network (GNB Inward)"/>
    <s v="Renewal"/>
    <n v="14131.43"/>
    <d v="2018-07-01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Alka Goel"/>
    <s v="OG-19-2202-4010-00000762"/>
    <x v="1"/>
    <x v="53"/>
    <d v="2019-06-30T00:00:00"/>
    <x v="2"/>
    <n v="3"/>
    <s v="Animesh Rawat"/>
    <x v="0"/>
    <s v="Global Client Network (GNB Inward)"/>
    <s v="Renewal"/>
    <n v="3125"/>
    <d v="2018-07-01T00:00:00"/>
    <s v="Brokerage"/>
    <x v="0"/>
    <s v="OTHR - Other"/>
    <d v="2020-01-22T00:00:00"/>
    <s v="Other"/>
    <m/>
    <m/>
    <m/>
    <m/>
    <m/>
    <m/>
    <m/>
    <m/>
    <m/>
    <m/>
    <m/>
    <m/>
    <m/>
    <m/>
    <m/>
    <m/>
    <m/>
    <m/>
    <m/>
    <m/>
  </r>
  <r>
    <s v="Harish Sharma"/>
    <s v="OG-19-2202-4010-00000789"/>
    <x v="1"/>
    <x v="53"/>
    <d v="2019-06-30T00:00:00"/>
    <x v="2"/>
    <n v="3"/>
    <s v="Animesh Rawat"/>
    <x v="0"/>
    <s v="Global Client Network (GNB Inward)"/>
    <s v="Renewal"/>
    <n v="1125"/>
    <d v="2018-07-01T00:00:00"/>
    <s v="Brokerage"/>
    <x v="0"/>
    <s v="OTHR - Other"/>
    <d v="2020-01-22T00:00:00"/>
    <s v="Other"/>
    <m/>
    <m/>
    <m/>
    <m/>
    <m/>
    <m/>
    <m/>
    <m/>
    <m/>
    <m/>
    <m/>
    <m/>
    <m/>
    <m/>
    <m/>
    <m/>
    <m/>
    <m/>
    <m/>
    <m/>
  </r>
  <r>
    <s v="Gaurav Goel"/>
    <s v="OG-19-2202-9931-00001420"/>
    <x v="1"/>
    <x v="53"/>
    <d v="2019-06-30T00:00:00"/>
    <x v="2"/>
    <n v="3"/>
    <s v="Animesh Rawat"/>
    <x v="0"/>
    <s v="Global Client Network (GNB Inward)"/>
    <s v="Renewal"/>
    <n v="4706.25"/>
    <d v="2018-07-01T00:00:00"/>
    <s v="Brokerage"/>
    <x v="0"/>
    <s v="OTHR - Other"/>
    <d v="2020-01-22T00:00:00"/>
    <s v="Other"/>
    <m/>
    <m/>
    <m/>
    <m/>
    <m/>
    <m/>
    <m/>
    <m/>
    <m/>
    <m/>
    <m/>
    <m/>
    <m/>
    <m/>
    <m/>
    <m/>
    <m/>
    <m/>
    <m/>
    <m/>
  </r>
  <r>
    <s v="Ravi Naik"/>
    <s v="OG-20-2202-0425-00000017"/>
    <x v="0"/>
    <x v="65"/>
    <d v="2020-06-30T00:00:00"/>
    <x v="2"/>
    <n v="3"/>
    <s v="Animesh Rawat"/>
    <x v="0"/>
    <s v="Global Client Network (GNB Inward)"/>
    <s v="Renewal"/>
    <n v="825"/>
    <d v="2019-07-01T00:00:00"/>
    <s v="Brokerage"/>
    <x v="1"/>
    <s v="OTHR - Other"/>
    <d v="2020-01-22T00:00:00"/>
    <s v="Other"/>
    <m/>
    <m/>
    <m/>
    <m/>
    <m/>
    <m/>
    <m/>
    <m/>
    <m/>
    <m/>
    <m/>
    <m/>
    <m/>
    <m/>
    <m/>
    <m/>
    <m/>
    <m/>
    <m/>
    <m/>
  </r>
  <r>
    <s v="Kamlesh Prasad"/>
    <s v="OG-20-2202-3304-00000009"/>
    <x v="0"/>
    <x v="65"/>
    <d v="2020-06-30T00:00:00"/>
    <x v="4"/>
    <n v="3"/>
    <s v="Animesh Rawat"/>
    <x v="0"/>
    <s v="Global Client Network (GNB Inward)"/>
    <s v="Renewal"/>
    <n v="1896.63"/>
    <d v="2019-07-01T00:00:00"/>
    <s v="Brokerage"/>
    <x v="1"/>
    <s v="OTHR - Other"/>
    <d v="2020-01-22T00:00:00"/>
    <s v="Other"/>
    <m/>
    <m/>
    <m/>
    <m/>
    <m/>
    <m/>
    <m/>
    <m/>
    <m/>
    <m/>
    <m/>
    <m/>
    <m/>
    <m/>
    <m/>
    <m/>
    <m/>
    <m/>
    <m/>
    <m/>
  </r>
  <r>
    <s v="Nikhil Verma"/>
    <s v="OG-20-2202-3315-00000012"/>
    <x v="0"/>
    <x v="66"/>
    <d v="2020-08-01T00:00:00"/>
    <x v="4"/>
    <n v="3"/>
    <s v="Animesh Rawat"/>
    <x v="0"/>
    <s v="Global Client Network (GNB Inward)"/>
    <s v="Renewal"/>
    <n v="19181.25"/>
    <d v="2019-08-02T00:00:00"/>
    <s v="Brokerage"/>
    <x v="1"/>
    <s v="OTHR - Other"/>
    <d v="2020-01-22T00:00:00"/>
    <s v="Other"/>
    <m/>
    <m/>
    <m/>
    <m/>
    <m/>
    <m/>
    <m/>
    <m/>
    <m/>
    <m/>
    <m/>
    <m/>
    <m/>
    <m/>
    <m/>
    <m/>
    <m/>
    <m/>
    <m/>
    <m/>
  </r>
  <r>
    <s v="Vaishali Desai"/>
    <s v="OG-20-2202-3383-00000002"/>
    <x v="0"/>
    <x v="65"/>
    <d v="2020-06-30T00:00:00"/>
    <x v="4"/>
    <n v="3"/>
    <s v="Animesh Rawat"/>
    <x v="0"/>
    <s v="Global Client Network (GNB Inward)"/>
    <s v="Renewal"/>
    <n v="42500"/>
    <d v="2019-07-01T00:00:00"/>
    <s v="Brokerage"/>
    <x v="1"/>
    <s v="OTHR - Other"/>
    <d v="2020-01-22T00:00:00"/>
    <s v="Other"/>
    <m/>
    <m/>
    <m/>
    <m/>
    <m/>
    <m/>
    <m/>
    <m/>
    <m/>
    <m/>
    <m/>
    <m/>
    <m/>
    <m/>
    <m/>
    <m/>
    <m/>
    <m/>
    <m/>
    <m/>
  </r>
  <r>
    <s v="Atul Naik"/>
    <s v="OG-20-2202-4002-00000010"/>
    <x v="0"/>
    <x v="65"/>
    <d v="2020-06-30T00:00:00"/>
    <x v="1"/>
    <n v="3"/>
    <s v="Animesh Rawat"/>
    <x v="0"/>
    <s v="Global Client Network (GNB Inward)"/>
    <s v="Renewal"/>
    <n v="10917.07"/>
    <d v="2019-07-01T00:00:00"/>
    <s v="Brokerage"/>
    <x v="1"/>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Atul Naik"/>
    <s v="OG-20-2202-4002-00000010"/>
    <x v="0"/>
    <x v="65"/>
    <d v="2020-06-30T00:00:00"/>
    <x v="1"/>
    <n v="3"/>
    <s v="Animesh Rawat"/>
    <x v="0"/>
    <s v="Global Client Network (GNB Inward)"/>
    <s v="Renewal"/>
    <n v="10917.07"/>
    <d v="2019-07-01T00:00:00"/>
    <s v="Brokerage"/>
    <x v="1"/>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Atul Naik"/>
    <s v="OG-20-2202-4002-00000010"/>
    <x v="0"/>
    <x v="65"/>
    <d v="2020-06-30T00:00:00"/>
    <x v="1"/>
    <n v="3"/>
    <s v="Animesh Rawat"/>
    <x v="0"/>
    <s v="Global Client Network (GNB Inward)"/>
    <s v="Renewal"/>
    <n v="10917.07"/>
    <d v="2019-07-01T00:00:00"/>
    <s v="Brokerage"/>
    <x v="1"/>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Atul Naik"/>
    <s v="OG-20-2202-4002-00000010"/>
    <x v="0"/>
    <x v="65"/>
    <d v="2020-06-30T00:00:00"/>
    <x v="1"/>
    <n v="3"/>
    <s v="Animesh Rawat"/>
    <x v="0"/>
    <s v="Global Client Network (GNB Inward)"/>
    <s v="Renewal"/>
    <n v="10917.07"/>
    <d v="2019-07-01T00:00:00"/>
    <s v="Brokerage"/>
    <x v="1"/>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Atul Naik"/>
    <s v="OG-20-2202-4002-00000010"/>
    <x v="0"/>
    <x v="65"/>
    <d v="2020-06-30T00:00:00"/>
    <x v="1"/>
    <n v="3"/>
    <s v="Animesh Rawat"/>
    <x v="0"/>
    <s v="Global Client Network (GNB Inward)"/>
    <s v="Renewal"/>
    <n v="10917.07"/>
    <d v="2019-07-01T00:00:00"/>
    <s v="Brokerage"/>
    <x v="1"/>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Atul Naik"/>
    <s v="OG-20-2202-4002-00000010"/>
    <x v="0"/>
    <x v="65"/>
    <d v="2020-06-30T00:00:00"/>
    <x v="1"/>
    <n v="3"/>
    <s v="Animesh Rawat"/>
    <x v="0"/>
    <s v="Global Client Network (GNB Inward)"/>
    <s v="Renewal"/>
    <n v="10917.07"/>
    <d v="2019-07-01T00:00:00"/>
    <s v="Brokerage"/>
    <x v="1"/>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Atul Naik"/>
    <s v="OG-20-2202-4002-00000010"/>
    <x v="0"/>
    <x v="65"/>
    <d v="2020-06-30T00:00:00"/>
    <x v="1"/>
    <n v="3"/>
    <s v="Animesh Rawat"/>
    <x v="0"/>
    <s v="Global Client Network (GNB Inward)"/>
    <s v="Renewal"/>
    <n v="10917.07"/>
    <d v="2019-07-01T00:00:00"/>
    <s v="Brokerage"/>
    <x v="1"/>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Atul Naik"/>
    <s v="OG-20-2202-4002-00000010"/>
    <x v="0"/>
    <x v="65"/>
    <d v="2020-06-30T00:00:00"/>
    <x v="1"/>
    <n v="3"/>
    <s v="Animesh Rawat"/>
    <x v="0"/>
    <s v="Global Client Network (GNB Inward)"/>
    <s v="Renewal"/>
    <n v="10917.07"/>
    <d v="2019-07-01T00:00:00"/>
    <s v="Brokerage"/>
    <x v="1"/>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Atul Naik"/>
    <s v="OG-20-2202-4002-00000010"/>
    <x v="0"/>
    <x v="65"/>
    <d v="2020-06-30T00:00:00"/>
    <x v="1"/>
    <n v="3"/>
    <s v="Animesh Rawat"/>
    <x v="0"/>
    <s v="Global Client Network (GNB Inward)"/>
    <s v="Renewal"/>
    <n v="10917.07"/>
    <d v="2019-07-01T00:00:00"/>
    <s v="Brokerage"/>
    <x v="1"/>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Atul Naik"/>
    <s v="OG-20-2202-4002-00000010"/>
    <x v="0"/>
    <x v="65"/>
    <d v="2020-06-30T00:00:00"/>
    <x v="1"/>
    <n v="3"/>
    <s v="Animesh Rawat"/>
    <x v="0"/>
    <s v="Global Client Network (GNB Inward)"/>
    <s v="Renewal"/>
    <n v="10917.07"/>
    <d v="2019-07-01T00:00:00"/>
    <s v="Brokerage"/>
    <x v="1"/>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Atul Naik"/>
    <s v="OG-20-2202-4002-00000010"/>
    <x v="0"/>
    <x v="65"/>
    <d v="2020-06-30T00:00:00"/>
    <x v="1"/>
    <n v="3"/>
    <s v="Animesh Rawat"/>
    <x v="0"/>
    <s v="Global Client Network (GNB Inward)"/>
    <s v="Renewal"/>
    <n v="10917.07"/>
    <d v="2019-07-01T00:00:00"/>
    <s v="Brokerage"/>
    <x v="1"/>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Atul Naik"/>
    <s v="OG-20-2202-4002-00000010"/>
    <x v="0"/>
    <x v="65"/>
    <d v="2020-06-30T00:00:00"/>
    <x v="1"/>
    <n v="3"/>
    <s v="Animesh Rawat"/>
    <x v="0"/>
    <s v="Global Client Network (GNB Inward)"/>
    <s v="Renewal"/>
    <n v="10917.07"/>
    <d v="2019-07-01T00:00:00"/>
    <s v="Brokerage"/>
    <x v="1"/>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Meena Bhargava"/>
    <s v="OG-20-2202-4004-00000062"/>
    <x v="0"/>
    <x v="65"/>
    <d v="2020-06-30T00:00:00"/>
    <x v="1"/>
    <n v="3"/>
    <s v="Animesh Rawat"/>
    <x v="0"/>
    <s v="Global Client Network (GNB Inward)"/>
    <s v="Renewal"/>
    <n v="60713.1"/>
    <d v="2019-07-01T00:00:00"/>
    <s v="Brokerage"/>
    <x v="1"/>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Meena Bhargava"/>
    <s v="OG-20-2202-4004-00000062"/>
    <x v="0"/>
    <x v="65"/>
    <d v="2020-06-30T00:00:00"/>
    <x v="1"/>
    <n v="3"/>
    <s v="Animesh Rawat"/>
    <x v="0"/>
    <s v="Global Client Network (GNB Inward)"/>
    <s v="Renewal"/>
    <n v="60713.1"/>
    <d v="2019-07-01T00:00:00"/>
    <s v="Brokerage"/>
    <x v="1"/>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Meena Bhargava"/>
    <s v="OG-20-2202-4004-00000062"/>
    <x v="0"/>
    <x v="65"/>
    <d v="2020-06-30T00:00:00"/>
    <x v="1"/>
    <n v="3"/>
    <s v="Animesh Rawat"/>
    <x v="0"/>
    <s v="Global Client Network (GNB Inward)"/>
    <s v="Renewal"/>
    <n v="60713.1"/>
    <d v="2019-07-01T00:00:00"/>
    <s v="Brokerage"/>
    <x v="1"/>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Meena Bhargava"/>
    <s v="OG-20-2202-4004-00000062"/>
    <x v="0"/>
    <x v="65"/>
    <d v="2020-06-30T00:00:00"/>
    <x v="1"/>
    <n v="3"/>
    <s v="Animesh Rawat"/>
    <x v="0"/>
    <s v="Global Client Network (GNB Inward)"/>
    <s v="Renewal"/>
    <n v="60713.1"/>
    <d v="2019-07-01T00:00:00"/>
    <s v="Brokerage"/>
    <x v="1"/>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Meena Bhargava"/>
    <s v="OG-20-2202-4004-00000062"/>
    <x v="0"/>
    <x v="65"/>
    <d v="2020-06-30T00:00:00"/>
    <x v="1"/>
    <n v="3"/>
    <s v="Animesh Rawat"/>
    <x v="0"/>
    <s v="Global Client Network (GNB Inward)"/>
    <s v="Renewal"/>
    <n v="60713.1"/>
    <d v="2019-07-01T00:00:00"/>
    <s v="Brokerage"/>
    <x v="1"/>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Meena Bhargava"/>
    <s v="OG-20-2202-4004-00000062"/>
    <x v="0"/>
    <x v="65"/>
    <d v="2020-06-30T00:00:00"/>
    <x v="1"/>
    <n v="3"/>
    <s v="Animesh Rawat"/>
    <x v="0"/>
    <s v="Global Client Network (GNB Inward)"/>
    <s v="Renewal"/>
    <n v="60713.1"/>
    <d v="2019-07-01T00:00:00"/>
    <s v="Brokerage"/>
    <x v="1"/>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Meena Bhargava"/>
    <s v="OG-20-2202-4004-00000062"/>
    <x v="0"/>
    <x v="65"/>
    <d v="2020-06-30T00:00:00"/>
    <x v="1"/>
    <n v="3"/>
    <s v="Animesh Rawat"/>
    <x v="0"/>
    <s v="Global Client Network (GNB Inward)"/>
    <s v="Renewal"/>
    <n v="60713.1"/>
    <d v="2019-07-01T00:00:00"/>
    <s v="Brokerage"/>
    <x v="1"/>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Meena Bhargava"/>
    <s v="OG-20-2202-4004-00000062"/>
    <x v="0"/>
    <x v="65"/>
    <d v="2020-06-30T00:00:00"/>
    <x v="1"/>
    <n v="3"/>
    <s v="Animesh Rawat"/>
    <x v="0"/>
    <s v="Global Client Network (GNB Inward)"/>
    <s v="Renewal"/>
    <n v="60713.1"/>
    <d v="2019-07-01T00:00:00"/>
    <s v="Brokerage"/>
    <x v="1"/>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Meena Bhargava"/>
    <s v="OG-20-2202-4004-00000062"/>
    <x v="0"/>
    <x v="65"/>
    <d v="2020-06-30T00:00:00"/>
    <x v="1"/>
    <n v="3"/>
    <s v="Animesh Rawat"/>
    <x v="0"/>
    <s v="Global Client Network (GNB Inward)"/>
    <s v="Renewal"/>
    <n v="60713.1"/>
    <d v="2019-07-01T00:00:00"/>
    <s v="Brokerage"/>
    <x v="1"/>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Meena Bhargava"/>
    <s v="OG-20-2202-4004-00000062"/>
    <x v="0"/>
    <x v="65"/>
    <d v="2020-06-30T00:00:00"/>
    <x v="1"/>
    <n v="3"/>
    <s v="Animesh Rawat"/>
    <x v="0"/>
    <s v="Global Client Network (GNB Inward)"/>
    <s v="Renewal"/>
    <n v="60713.1"/>
    <d v="2019-07-01T00:00:00"/>
    <s v="Brokerage"/>
    <x v="1"/>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Meena Bhargava"/>
    <s v="OG-20-2202-4004-00000062"/>
    <x v="0"/>
    <x v="65"/>
    <d v="2020-06-30T00:00:00"/>
    <x v="1"/>
    <n v="3"/>
    <s v="Animesh Rawat"/>
    <x v="0"/>
    <s v="Global Client Network (GNB Inward)"/>
    <s v="Renewal"/>
    <n v="60713.1"/>
    <d v="2019-07-01T00:00:00"/>
    <s v="Brokerage"/>
    <x v="1"/>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Meena Bhargava"/>
    <s v="OG-20-2202-4004-00000062"/>
    <x v="0"/>
    <x v="65"/>
    <d v="2020-06-30T00:00:00"/>
    <x v="1"/>
    <n v="3"/>
    <s v="Animesh Rawat"/>
    <x v="0"/>
    <s v="Global Client Network (GNB Inward)"/>
    <s v="Renewal"/>
    <n v="60713.1"/>
    <d v="2019-07-01T00:00:00"/>
    <s v="Brokerage"/>
    <x v="1"/>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Mona Chopra"/>
    <s v="OG-20-2202-4004-00000064"/>
    <x v="0"/>
    <x v="65"/>
    <d v="2020-06-30T00:00:00"/>
    <x v="1"/>
    <n v="3"/>
    <s v="Animesh Rawat"/>
    <x v="0"/>
    <s v="Global Client Network (GNB Inward)"/>
    <s v="Renewal"/>
    <n v="12349.97"/>
    <d v="2019-07-01T00:00:00"/>
    <s v="Brokerage"/>
    <x v="1"/>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Mona Chopra"/>
    <s v="OG-20-2202-4004-00000064"/>
    <x v="0"/>
    <x v="65"/>
    <d v="2020-06-30T00:00:00"/>
    <x v="1"/>
    <n v="3"/>
    <s v="Animesh Rawat"/>
    <x v="0"/>
    <s v="Global Client Network (GNB Inward)"/>
    <s v="Renewal"/>
    <n v="12349.97"/>
    <d v="2019-07-01T00:00:00"/>
    <s v="Brokerage"/>
    <x v="1"/>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Mona Chopra"/>
    <s v="OG-20-2202-4004-00000064"/>
    <x v="0"/>
    <x v="65"/>
    <d v="2020-06-30T00:00:00"/>
    <x v="1"/>
    <n v="3"/>
    <s v="Animesh Rawat"/>
    <x v="0"/>
    <s v="Global Client Network (GNB Inward)"/>
    <s v="Renewal"/>
    <n v="12349.97"/>
    <d v="2019-07-01T00:00:00"/>
    <s v="Brokerage"/>
    <x v="1"/>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Mona Chopra"/>
    <s v="OG-20-2202-4004-00000064"/>
    <x v="0"/>
    <x v="65"/>
    <d v="2020-06-30T00:00:00"/>
    <x v="1"/>
    <n v="3"/>
    <s v="Animesh Rawat"/>
    <x v="0"/>
    <s v="Global Client Network (GNB Inward)"/>
    <s v="Renewal"/>
    <n v="12349.97"/>
    <d v="2019-07-01T00:00:00"/>
    <s v="Brokerage"/>
    <x v="1"/>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Mona Chopra"/>
    <s v="OG-20-2202-4004-00000064"/>
    <x v="0"/>
    <x v="65"/>
    <d v="2020-06-30T00:00:00"/>
    <x v="1"/>
    <n v="3"/>
    <s v="Animesh Rawat"/>
    <x v="0"/>
    <s v="Global Client Network (GNB Inward)"/>
    <s v="Renewal"/>
    <n v="12349.97"/>
    <d v="2019-07-01T00:00:00"/>
    <s v="Brokerage"/>
    <x v="1"/>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Mona Chopra"/>
    <s v="OG-20-2202-4004-00000064"/>
    <x v="0"/>
    <x v="65"/>
    <d v="2020-06-30T00:00:00"/>
    <x v="1"/>
    <n v="3"/>
    <s v="Animesh Rawat"/>
    <x v="0"/>
    <s v="Global Client Network (GNB Inward)"/>
    <s v="Renewal"/>
    <n v="12349.97"/>
    <d v="2019-07-01T00:00:00"/>
    <s v="Brokerage"/>
    <x v="1"/>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Mona Chopra"/>
    <s v="OG-20-2202-4004-00000064"/>
    <x v="0"/>
    <x v="65"/>
    <d v="2020-06-30T00:00:00"/>
    <x v="1"/>
    <n v="3"/>
    <s v="Animesh Rawat"/>
    <x v="0"/>
    <s v="Global Client Network (GNB Inward)"/>
    <s v="Renewal"/>
    <n v="12349.97"/>
    <d v="2019-07-01T00:00:00"/>
    <s v="Brokerage"/>
    <x v="1"/>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Mona Chopra"/>
    <s v="OG-20-2202-4004-00000064"/>
    <x v="0"/>
    <x v="65"/>
    <d v="2020-06-30T00:00:00"/>
    <x v="1"/>
    <n v="3"/>
    <s v="Animesh Rawat"/>
    <x v="0"/>
    <s v="Global Client Network (GNB Inward)"/>
    <s v="Renewal"/>
    <n v="12349.97"/>
    <d v="2019-07-01T00:00:00"/>
    <s v="Brokerage"/>
    <x v="1"/>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Mona Chopra"/>
    <s v="OG-20-2202-4004-00000064"/>
    <x v="0"/>
    <x v="65"/>
    <d v="2020-06-30T00:00:00"/>
    <x v="1"/>
    <n v="3"/>
    <s v="Animesh Rawat"/>
    <x v="0"/>
    <s v="Global Client Network (GNB Inward)"/>
    <s v="Renewal"/>
    <n v="12349.97"/>
    <d v="2019-07-01T00:00:00"/>
    <s v="Brokerage"/>
    <x v="1"/>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Mona Chopra"/>
    <s v="OG-20-2202-4004-00000064"/>
    <x v="0"/>
    <x v="65"/>
    <d v="2020-06-30T00:00:00"/>
    <x v="1"/>
    <n v="3"/>
    <s v="Animesh Rawat"/>
    <x v="0"/>
    <s v="Global Client Network (GNB Inward)"/>
    <s v="Renewal"/>
    <n v="12349.97"/>
    <d v="2019-07-01T00:00:00"/>
    <s v="Brokerage"/>
    <x v="1"/>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Mona Chopra"/>
    <s v="OG-20-2202-4004-00000064"/>
    <x v="0"/>
    <x v="65"/>
    <d v="2020-06-30T00:00:00"/>
    <x v="1"/>
    <n v="3"/>
    <s v="Animesh Rawat"/>
    <x v="0"/>
    <s v="Global Client Network (GNB Inward)"/>
    <s v="Renewal"/>
    <n v="12349.97"/>
    <d v="2019-07-01T00:00:00"/>
    <s v="Brokerage"/>
    <x v="1"/>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Mona Chopra"/>
    <s v="OG-20-2202-4004-00000064"/>
    <x v="0"/>
    <x v="65"/>
    <d v="2020-06-30T00:00:00"/>
    <x v="1"/>
    <n v="3"/>
    <s v="Animesh Rawat"/>
    <x v="0"/>
    <s v="Global Client Network (GNB Inward)"/>
    <s v="Renewal"/>
    <n v="12349.97"/>
    <d v="2019-07-01T00:00:00"/>
    <s v="Brokerage"/>
    <x v="1"/>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Mohit Tiwari"/>
    <s v="OG-20-2202-4010-00000869"/>
    <x v="0"/>
    <x v="65"/>
    <d v="2020-06-30T00:00:00"/>
    <x v="2"/>
    <n v="3"/>
    <s v="Animesh Rawat"/>
    <x v="0"/>
    <s v="Global Client Network (GNB Inward)"/>
    <s v="Renewal"/>
    <n v="3375"/>
    <d v="2019-07-01T00:00:00"/>
    <s v="Brokerage"/>
    <x v="1"/>
    <s v="OTHR - Other"/>
    <d v="2020-01-22T00:00:00"/>
    <s v="Other"/>
    <m/>
    <m/>
    <m/>
    <m/>
    <m/>
    <m/>
    <m/>
    <m/>
    <m/>
    <m/>
    <m/>
    <m/>
    <m/>
    <m/>
    <m/>
    <m/>
    <m/>
    <m/>
    <m/>
    <m/>
  </r>
  <r>
    <s v="Tina Dutta"/>
    <s v="OG-20-2202-4010-00000905"/>
    <x v="0"/>
    <x v="65"/>
    <d v="2020-06-30T00:00:00"/>
    <x v="2"/>
    <n v="3"/>
    <s v="Animesh Rawat"/>
    <x v="0"/>
    <s v="Global Client Network (GNB Inward)"/>
    <s v="Renewal"/>
    <n v="875"/>
    <d v="2019-07-01T00:00:00"/>
    <s v="Brokerage"/>
    <x v="1"/>
    <s v="OTHR - Other"/>
    <d v="2020-01-22T00:00:00"/>
    <s v="Other"/>
    <m/>
    <m/>
    <m/>
    <m/>
    <m/>
    <m/>
    <m/>
    <m/>
    <m/>
    <m/>
    <m/>
    <m/>
    <m/>
    <m/>
    <m/>
    <m/>
    <m/>
    <m/>
    <m/>
    <m/>
  </r>
  <r>
    <s v="Hemant Das"/>
    <s v="OG-20-2202-9931-00032558"/>
    <x v="0"/>
    <x v="65"/>
    <d v="2020-06-30T00:00:00"/>
    <x v="2"/>
    <n v="3"/>
    <s v="Animesh Rawat"/>
    <x v="0"/>
    <s v="Global Client Network (GNB Inward)"/>
    <s v="Renewal"/>
    <n v="1556.25"/>
    <d v="2019-07-01T00:00:00"/>
    <s v="Brokerage"/>
    <x v="1"/>
    <s v="OTHR - Other"/>
    <d v="2020-01-22T00:00:00"/>
    <s v="Other"/>
    <m/>
    <m/>
    <m/>
    <m/>
    <m/>
    <m/>
    <m/>
    <m/>
    <m/>
    <m/>
    <m/>
    <m/>
    <m/>
    <m/>
    <m/>
    <m/>
    <m/>
    <m/>
    <m/>
    <m/>
  </r>
  <r>
    <s v="Sanjana Bhargava"/>
    <n v="301004728"/>
    <x v="1"/>
    <x v="67"/>
    <d v="2019-09-29T00:00:00"/>
    <x v="4"/>
    <n v="3"/>
    <s v="Animesh Rawat"/>
    <x v="0"/>
    <s v="Global Client Network (GNB Inward)"/>
    <s v="Renewal"/>
    <n v="186534.13"/>
    <d v="2018-09-30T00:00:00"/>
    <s v="Brokerage"/>
    <x v="0"/>
    <s v="OTHR - Other"/>
    <d v="2020-01-22T00:00:00"/>
    <s v="Other"/>
    <m/>
    <m/>
    <m/>
    <m/>
    <m/>
    <m/>
    <m/>
    <m/>
    <m/>
    <m/>
    <m/>
    <m/>
    <m/>
    <m/>
    <m/>
    <m/>
    <m/>
    <m/>
    <m/>
    <m/>
  </r>
  <r>
    <s v="Kamlesh Trivedi"/>
    <s v="0301004728-2019"/>
    <x v="0"/>
    <x v="68"/>
    <d v="2020-09-29T00:00:00"/>
    <x v="4"/>
    <n v="3"/>
    <s v="Animesh Rawat"/>
    <x v="0"/>
    <s v="Global Client Network (GNB Inward)"/>
    <s v="Renewal"/>
    <n v="202350"/>
    <d v="2019-09-30T00:00:00"/>
    <s v="Brokerage"/>
    <x v="1"/>
    <s v="OTHR - Other"/>
    <d v="2020-01-22T00:00:00"/>
    <s v="Other"/>
    <m/>
    <m/>
    <m/>
    <m/>
    <m/>
    <m/>
    <m/>
    <m/>
    <m/>
    <m/>
    <m/>
    <m/>
    <m/>
    <m/>
    <m/>
    <m/>
    <m/>
    <m/>
    <m/>
    <m/>
  </r>
  <r>
    <s v="Nikita Tiwari"/>
    <n v="600010004"/>
    <x v="1"/>
    <x v="69"/>
    <d v="2019-03-15T00:00:00"/>
    <x v="2"/>
    <n v="3"/>
    <s v="Animesh Rawat"/>
    <x v="0"/>
    <s v="Global Client Network (GNB Inward)"/>
    <s v="Cross Sell"/>
    <n v="750.63"/>
    <d v="2018-03-16T00:00:00"/>
    <s v="Brokerage"/>
    <x v="0"/>
    <s v="OTHR - Other"/>
    <d v="2020-01-22T00:00:00"/>
    <s v="Other"/>
    <m/>
    <m/>
    <m/>
    <m/>
    <m/>
    <m/>
    <m/>
    <m/>
    <m/>
    <m/>
    <m/>
    <m/>
    <m/>
    <m/>
    <m/>
    <m/>
    <m/>
    <m/>
    <m/>
    <m/>
  </r>
  <r>
    <s v="Kapil Kapoor"/>
    <s v="0600010004 01"/>
    <x v="1"/>
    <x v="70"/>
    <d v="2019-04-15T00:00:00"/>
    <x v="2"/>
    <n v="3"/>
    <s v="Animesh Rawat"/>
    <x v="0"/>
    <s v="Global Client Network (GNB Inward)"/>
    <s v="Renewal"/>
    <n v="63.75"/>
    <d v="2019-03-16T00:00:00"/>
    <s v="Brokerage"/>
    <x v="1"/>
    <s v="OTHR - Other"/>
    <d v="2020-01-22T00:00:00"/>
    <s v="Other"/>
    <m/>
    <m/>
    <m/>
    <m/>
    <m/>
    <m/>
    <m/>
    <m/>
    <m/>
    <m/>
    <m/>
    <m/>
    <m/>
    <m/>
    <m/>
    <m/>
    <m/>
    <m/>
    <m/>
    <m/>
  </r>
  <r>
    <s v="Harish Rana"/>
    <s v="0600010004 02"/>
    <x v="0"/>
    <x v="71"/>
    <d v="2020-04-15T00:00:00"/>
    <x v="2"/>
    <n v="3"/>
    <s v="Animesh Rawat"/>
    <x v="0"/>
    <s v="Global Client Network (GNB Inward)"/>
    <s v="Renewal"/>
    <n v="1556.5"/>
    <d v="2019-04-16T00:00:00"/>
    <s v="Brokerage"/>
    <x v="1"/>
    <s v="OTHR - Other"/>
    <d v="2020-01-22T00:00:00"/>
    <s v="Other"/>
    <m/>
    <m/>
    <m/>
    <m/>
    <m/>
    <m/>
    <m/>
    <m/>
    <m/>
    <m/>
    <m/>
    <m/>
    <m/>
    <m/>
    <m/>
    <m/>
    <m/>
    <m/>
    <m/>
    <m/>
  </r>
  <r>
    <s v="Nikhil Pandit"/>
    <n v="640002231"/>
    <x v="1"/>
    <x v="29"/>
    <d v="2019-04-01T00:00:00"/>
    <x v="1"/>
    <n v="3"/>
    <s v="Animesh Rawat"/>
    <x v="0"/>
    <s v="Global Client Network (GNB Inward)"/>
    <s v="Renewal"/>
    <n v="46087.63"/>
    <d v="2018-04-02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Nikhil Pandit"/>
    <n v="640002231"/>
    <x v="1"/>
    <x v="29"/>
    <d v="2019-04-01T00:00:00"/>
    <x v="1"/>
    <n v="3"/>
    <s v="Animesh Rawat"/>
    <x v="0"/>
    <s v="Global Client Network (GNB Inward)"/>
    <s v="Renewal"/>
    <n v="46087.63"/>
    <d v="2018-04-02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Nikhil Pandit"/>
    <n v="640002231"/>
    <x v="1"/>
    <x v="29"/>
    <d v="2019-04-01T00:00:00"/>
    <x v="1"/>
    <n v="3"/>
    <s v="Animesh Rawat"/>
    <x v="0"/>
    <s v="Global Client Network (GNB Inward)"/>
    <s v="Renewal"/>
    <n v="46087.63"/>
    <d v="2018-04-02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Nikhil Pandit"/>
    <n v="640002231"/>
    <x v="1"/>
    <x v="29"/>
    <d v="2019-04-01T00:00:00"/>
    <x v="1"/>
    <n v="3"/>
    <s v="Animesh Rawat"/>
    <x v="0"/>
    <s v="Global Client Network (GNB Inward)"/>
    <s v="Renewal"/>
    <n v="46087.63"/>
    <d v="2018-04-02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Nikhil Pandit"/>
    <n v="640002231"/>
    <x v="1"/>
    <x v="29"/>
    <d v="2019-04-01T00:00:00"/>
    <x v="1"/>
    <n v="3"/>
    <s v="Animesh Rawat"/>
    <x v="0"/>
    <s v="Global Client Network (GNB Inward)"/>
    <s v="Renewal"/>
    <n v="46087.63"/>
    <d v="2018-04-02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Nikhil Pandit"/>
    <n v="640002231"/>
    <x v="1"/>
    <x v="29"/>
    <d v="2019-04-01T00:00:00"/>
    <x v="1"/>
    <n v="3"/>
    <s v="Animesh Rawat"/>
    <x v="0"/>
    <s v="Global Client Network (GNB Inward)"/>
    <s v="Renewal"/>
    <n v="46087.63"/>
    <d v="2018-04-02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Nikhil Pandit"/>
    <n v="640002231"/>
    <x v="1"/>
    <x v="29"/>
    <d v="2019-04-01T00:00:00"/>
    <x v="1"/>
    <n v="3"/>
    <s v="Animesh Rawat"/>
    <x v="0"/>
    <s v="Global Client Network (GNB Inward)"/>
    <s v="Renewal"/>
    <n v="46087.63"/>
    <d v="2018-04-02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Nikhil Pandit"/>
    <n v="640002231"/>
    <x v="1"/>
    <x v="29"/>
    <d v="2019-04-01T00:00:00"/>
    <x v="1"/>
    <n v="3"/>
    <s v="Animesh Rawat"/>
    <x v="0"/>
    <s v="Global Client Network (GNB Inward)"/>
    <s v="Renewal"/>
    <n v="46087.63"/>
    <d v="2018-04-02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Nikhil Pandit"/>
    <n v="640002231"/>
    <x v="1"/>
    <x v="29"/>
    <d v="2019-04-01T00:00:00"/>
    <x v="1"/>
    <n v="3"/>
    <s v="Animesh Rawat"/>
    <x v="0"/>
    <s v="Global Client Network (GNB Inward)"/>
    <s v="Renewal"/>
    <n v="46087.63"/>
    <d v="2018-04-02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Nikhil Pandit"/>
    <n v="640002231"/>
    <x v="1"/>
    <x v="29"/>
    <d v="2019-04-01T00:00:00"/>
    <x v="1"/>
    <n v="3"/>
    <s v="Animesh Rawat"/>
    <x v="0"/>
    <s v="Global Client Network (GNB Inward)"/>
    <s v="Renewal"/>
    <n v="46087.63"/>
    <d v="2018-04-02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Nikhil Pandit"/>
    <n v="640002231"/>
    <x v="1"/>
    <x v="29"/>
    <d v="2019-04-01T00:00:00"/>
    <x v="1"/>
    <n v="3"/>
    <s v="Animesh Rawat"/>
    <x v="0"/>
    <s v="Global Client Network (GNB Inward)"/>
    <s v="Renewal"/>
    <n v="46087.63"/>
    <d v="2018-04-02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Nikhil Pandit"/>
    <n v="640002231"/>
    <x v="1"/>
    <x v="29"/>
    <d v="2019-04-01T00:00:00"/>
    <x v="1"/>
    <n v="3"/>
    <s v="Animesh Rawat"/>
    <x v="0"/>
    <s v="Global Client Network (GNB Inward)"/>
    <s v="Renewal"/>
    <n v="46087.63"/>
    <d v="2018-04-02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Vivek Rana"/>
    <s v="0640002231 03"/>
    <x v="1"/>
    <x v="72"/>
    <d v="2019-04-16T00:00:00"/>
    <x v="2"/>
    <n v="3"/>
    <s v="Animesh Rawat"/>
    <x v="0"/>
    <s v="Global Client Network (GNB Inward)"/>
    <s v="Renewal"/>
    <n v="4362.38"/>
    <d v="2019-04-02T00:00:00"/>
    <s v="Brokerage"/>
    <x v="1"/>
    <s v="OTHR - Other"/>
    <d v="2020-01-22T00:00:00"/>
    <s v="Other"/>
    <m/>
    <m/>
    <m/>
    <m/>
    <m/>
    <m/>
    <m/>
    <m/>
    <m/>
    <m/>
    <m/>
    <m/>
    <m/>
    <m/>
    <m/>
    <m/>
    <m/>
    <m/>
    <m/>
    <m/>
  </r>
  <r>
    <s v="Hemant Nair"/>
    <s v="0640002231 04"/>
    <x v="0"/>
    <x v="73"/>
    <d v="2020-04-01T00:00:00"/>
    <x v="2"/>
    <n v="3"/>
    <s v="Animesh Rawat"/>
    <x v="0"/>
    <s v="Global Client Network (GNB Inward)"/>
    <s v="Renewal"/>
    <n v="65370"/>
    <d v="2019-04-17T00:00:00"/>
    <s v="Brokerage"/>
    <x v="1"/>
    <s v="OTHR - Other"/>
    <d v="2020-01-22T00:00:00"/>
    <s v="Other"/>
    <m/>
    <m/>
    <m/>
    <m/>
    <m/>
    <m/>
    <m/>
    <m/>
    <m/>
    <m/>
    <m/>
    <m/>
    <m/>
    <m/>
    <m/>
    <m/>
    <m/>
    <m/>
    <m/>
    <m/>
  </r>
  <r>
    <s v="Veena Bhargava"/>
    <n v="22515779"/>
    <x v="0"/>
    <x v="68"/>
    <d v="2020-09-29T00:00:00"/>
    <x v="0"/>
    <n v="3"/>
    <s v="Animesh Rawat"/>
    <x v="0"/>
    <s v="Global Client Network (GNB Inward)"/>
    <s v="Cross Sell"/>
    <n v="44259.67"/>
    <d v="2019-09-30T00:00:00"/>
    <s v="Brokerage"/>
    <x v="0"/>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Veena Bhargava"/>
    <n v="22515779"/>
    <x v="0"/>
    <x v="68"/>
    <d v="2020-09-29T00:00:00"/>
    <x v="0"/>
    <n v="3"/>
    <s v="Animesh Rawat"/>
    <x v="0"/>
    <s v="Global Client Network (GNB Inward)"/>
    <s v="Cross Sell"/>
    <n v="44259.67"/>
    <d v="2019-09-30T00:00:00"/>
    <s v="Brokerage"/>
    <x v="0"/>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Veena Bhargava"/>
    <n v="22515779"/>
    <x v="0"/>
    <x v="68"/>
    <d v="2020-09-29T00:00:00"/>
    <x v="0"/>
    <n v="3"/>
    <s v="Animesh Rawat"/>
    <x v="0"/>
    <s v="Global Client Network (GNB Inward)"/>
    <s v="Cross Sell"/>
    <n v="44259.67"/>
    <d v="2019-09-30T00:00:00"/>
    <s v="Brokerage"/>
    <x v="0"/>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Veena Bhargava"/>
    <n v="22515779"/>
    <x v="0"/>
    <x v="68"/>
    <d v="2020-09-29T00:00:00"/>
    <x v="0"/>
    <n v="3"/>
    <s v="Animesh Rawat"/>
    <x v="0"/>
    <s v="Global Client Network (GNB Inward)"/>
    <s v="Cross Sell"/>
    <n v="44259.67"/>
    <d v="2019-09-30T00:00:00"/>
    <s v="Brokerage"/>
    <x v="0"/>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Veena Bhargava"/>
    <n v="22515779"/>
    <x v="0"/>
    <x v="68"/>
    <d v="2020-09-29T00:00:00"/>
    <x v="0"/>
    <n v="3"/>
    <s v="Animesh Rawat"/>
    <x v="0"/>
    <s v="Global Client Network (GNB Inward)"/>
    <s v="Cross Sell"/>
    <n v="44259.67"/>
    <d v="2019-09-30T00:00:00"/>
    <s v="Brokerage"/>
    <x v="0"/>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Veena Bhargava"/>
    <n v="22515779"/>
    <x v="0"/>
    <x v="68"/>
    <d v="2020-09-29T00:00:00"/>
    <x v="0"/>
    <n v="3"/>
    <s v="Animesh Rawat"/>
    <x v="0"/>
    <s v="Global Client Network (GNB Inward)"/>
    <s v="Cross Sell"/>
    <n v="44259.67"/>
    <d v="2019-09-30T00:00:00"/>
    <s v="Brokerage"/>
    <x v="0"/>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Veena Bhargava"/>
    <n v="22515779"/>
    <x v="0"/>
    <x v="68"/>
    <d v="2020-09-29T00:00:00"/>
    <x v="0"/>
    <n v="3"/>
    <s v="Animesh Rawat"/>
    <x v="0"/>
    <s v="Global Client Network (GNB Inward)"/>
    <s v="Cross Sell"/>
    <n v="44259.67"/>
    <d v="2019-09-30T00:00:00"/>
    <s v="Brokerage"/>
    <x v="0"/>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Veena Bhargava"/>
    <n v="22515779"/>
    <x v="0"/>
    <x v="68"/>
    <d v="2020-09-29T00:00:00"/>
    <x v="0"/>
    <n v="3"/>
    <s v="Animesh Rawat"/>
    <x v="0"/>
    <s v="Global Client Network (GNB Inward)"/>
    <s v="Cross Sell"/>
    <n v="44259.67"/>
    <d v="2019-09-30T00:00:00"/>
    <s v="Brokerage"/>
    <x v="0"/>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Shivam Shah"/>
    <n v="22531899"/>
    <x v="0"/>
    <x v="74"/>
    <d v="2020-10-26T00:00:00"/>
    <x v="0"/>
    <n v="3"/>
    <s v="Animesh Rawat"/>
    <x v="0"/>
    <s v="Marine"/>
    <s v="Renewal"/>
    <n v="35112"/>
    <d v="2019-10-27T00:00:00"/>
    <s v="Brokerage"/>
    <x v="1"/>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Shivam Shah"/>
    <n v="22531899"/>
    <x v="0"/>
    <x v="74"/>
    <d v="2020-10-26T00:00:00"/>
    <x v="0"/>
    <n v="3"/>
    <s v="Animesh Rawat"/>
    <x v="0"/>
    <s v="Marine"/>
    <s v="Renewal"/>
    <n v="35112"/>
    <d v="2019-10-27T00:00:00"/>
    <s v="Brokerage"/>
    <x v="1"/>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Shivam Shah"/>
    <n v="22531899"/>
    <x v="0"/>
    <x v="74"/>
    <d v="2020-10-26T00:00:00"/>
    <x v="0"/>
    <n v="3"/>
    <s v="Animesh Rawat"/>
    <x v="0"/>
    <s v="Marine"/>
    <s v="Renewal"/>
    <n v="35112"/>
    <d v="2019-10-27T00:00:00"/>
    <s v="Brokerage"/>
    <x v="1"/>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Shivam Shah"/>
    <n v="22531899"/>
    <x v="0"/>
    <x v="74"/>
    <d v="2020-10-26T00:00:00"/>
    <x v="0"/>
    <n v="3"/>
    <s v="Animesh Rawat"/>
    <x v="0"/>
    <s v="Marine"/>
    <s v="Renewal"/>
    <n v="35112"/>
    <d v="2019-10-27T00:00:00"/>
    <s v="Brokerage"/>
    <x v="1"/>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Shivam Shah"/>
    <n v="22531899"/>
    <x v="0"/>
    <x v="74"/>
    <d v="2020-10-26T00:00:00"/>
    <x v="0"/>
    <n v="3"/>
    <s v="Animesh Rawat"/>
    <x v="0"/>
    <s v="Marine"/>
    <s v="Renewal"/>
    <n v="35112"/>
    <d v="2019-10-27T00:00:00"/>
    <s v="Brokerage"/>
    <x v="1"/>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Shivam Shah"/>
    <n v="22531899"/>
    <x v="0"/>
    <x v="74"/>
    <d v="2020-10-26T00:00:00"/>
    <x v="0"/>
    <n v="3"/>
    <s v="Animesh Rawat"/>
    <x v="0"/>
    <s v="Marine"/>
    <s v="Renewal"/>
    <n v="35112"/>
    <d v="2019-10-27T00:00:00"/>
    <s v="Brokerage"/>
    <x v="1"/>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Shivam Shah"/>
    <n v="22531899"/>
    <x v="0"/>
    <x v="74"/>
    <d v="2020-10-26T00:00:00"/>
    <x v="0"/>
    <n v="3"/>
    <s v="Animesh Rawat"/>
    <x v="0"/>
    <s v="Marine"/>
    <s v="Renewal"/>
    <n v="35112"/>
    <d v="2019-10-27T00:00:00"/>
    <s v="Brokerage"/>
    <x v="1"/>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Shivam Shah"/>
    <n v="22531899"/>
    <x v="0"/>
    <x v="74"/>
    <d v="2020-10-26T00:00:00"/>
    <x v="0"/>
    <n v="3"/>
    <s v="Animesh Rawat"/>
    <x v="0"/>
    <s v="Marine"/>
    <s v="Renewal"/>
    <n v="35112"/>
    <d v="2019-10-27T00:00:00"/>
    <s v="Brokerage"/>
    <x v="1"/>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Bhavna Bhandari"/>
    <n v="22531899"/>
    <x v="0"/>
    <x v="74"/>
    <d v="2020-10-26T00:00:00"/>
    <x v="0"/>
    <n v="3"/>
    <s v="Animesh Rawat"/>
    <x v="0"/>
    <s v="Marine"/>
    <s v="Renewal"/>
    <n v="15048"/>
    <d v="2019-10-27T00:00:00"/>
    <s v="Brokerage"/>
    <x v="1"/>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Bhavna Bhandari"/>
    <n v="22531899"/>
    <x v="0"/>
    <x v="74"/>
    <d v="2020-10-26T00:00:00"/>
    <x v="0"/>
    <n v="3"/>
    <s v="Animesh Rawat"/>
    <x v="0"/>
    <s v="Marine"/>
    <s v="Renewal"/>
    <n v="15048"/>
    <d v="2019-10-27T00:00:00"/>
    <s v="Brokerage"/>
    <x v="1"/>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Bhavna Bhandari"/>
    <n v="22531899"/>
    <x v="0"/>
    <x v="74"/>
    <d v="2020-10-26T00:00:00"/>
    <x v="0"/>
    <n v="3"/>
    <s v="Animesh Rawat"/>
    <x v="0"/>
    <s v="Marine"/>
    <s v="Renewal"/>
    <n v="15048"/>
    <d v="2019-10-27T00:00:00"/>
    <s v="Brokerage"/>
    <x v="1"/>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Bhavna Bhandari"/>
    <n v="22531899"/>
    <x v="0"/>
    <x v="74"/>
    <d v="2020-10-26T00:00:00"/>
    <x v="0"/>
    <n v="3"/>
    <s v="Animesh Rawat"/>
    <x v="0"/>
    <s v="Marine"/>
    <s v="Renewal"/>
    <n v="15048"/>
    <d v="2019-10-27T00:00:00"/>
    <s v="Brokerage"/>
    <x v="1"/>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Bhavna Bhandari"/>
    <n v="22531899"/>
    <x v="0"/>
    <x v="74"/>
    <d v="2020-10-26T00:00:00"/>
    <x v="0"/>
    <n v="3"/>
    <s v="Animesh Rawat"/>
    <x v="0"/>
    <s v="Marine"/>
    <s v="Renewal"/>
    <n v="15048"/>
    <d v="2019-10-27T00:00:00"/>
    <s v="Brokerage"/>
    <x v="1"/>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Bhavna Bhandari"/>
    <n v="22531899"/>
    <x v="0"/>
    <x v="74"/>
    <d v="2020-10-26T00:00:00"/>
    <x v="0"/>
    <n v="3"/>
    <s v="Animesh Rawat"/>
    <x v="0"/>
    <s v="Marine"/>
    <s v="Renewal"/>
    <n v="15048"/>
    <d v="2019-10-27T00:00:00"/>
    <s v="Brokerage"/>
    <x v="1"/>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Bhavna Bhandari"/>
    <n v="22531899"/>
    <x v="0"/>
    <x v="74"/>
    <d v="2020-10-26T00:00:00"/>
    <x v="0"/>
    <n v="3"/>
    <s v="Animesh Rawat"/>
    <x v="0"/>
    <s v="Marine"/>
    <s v="Renewal"/>
    <n v="15048"/>
    <d v="2019-10-27T00:00:00"/>
    <s v="Brokerage"/>
    <x v="1"/>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Bhavna Bhandari"/>
    <n v="22531899"/>
    <x v="0"/>
    <x v="74"/>
    <d v="2020-10-26T00:00:00"/>
    <x v="0"/>
    <n v="3"/>
    <s v="Animesh Rawat"/>
    <x v="0"/>
    <s v="Marine"/>
    <s v="Renewal"/>
    <n v="15048"/>
    <d v="2019-10-27T00:00:00"/>
    <s v="Brokerage"/>
    <x v="1"/>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Tarun Shah"/>
    <n v="32099602"/>
    <x v="1"/>
    <x v="75"/>
    <d v="2019-01-22T00:00:00"/>
    <x v="5"/>
    <n v="12"/>
    <s v="Shivani Sharma"/>
    <x v="0"/>
    <s v="Global Client Network (GNB Inward)"/>
    <s v="Renewal"/>
    <n v="1072.3399999999999"/>
    <d v="2018-01-23T00:00:00"/>
    <s v="Brokerage"/>
    <x v="0"/>
    <s v="OTHR - Other"/>
    <d v="2020-01-22T00:00:00"/>
    <s v="Other"/>
    <s v="KG-CAR"/>
    <s v="OPP1900001947"/>
    <s v="Shivani Sharma"/>
    <n v="500000"/>
    <n v="50000"/>
    <d v="2019-12-31T00:00:00"/>
    <s v="Qualify Opportunity"/>
    <s v="Ahmedabad"/>
    <s v="Construction, Power &amp; Infrastructure"/>
    <s v="Engineering"/>
    <s v="Contractors All Risk"/>
    <m/>
    <m/>
    <s v="Madison Robinson"/>
    <d v="2020-01-21T00:00:00"/>
    <m/>
    <m/>
    <m/>
    <m/>
    <m/>
  </r>
  <r>
    <s v="Tarun Shah"/>
    <n v="32099602"/>
    <x v="1"/>
    <x v="75"/>
    <d v="2019-01-22T00:00:00"/>
    <x v="5"/>
    <n v="12"/>
    <s v="Shivani Sharma"/>
    <x v="0"/>
    <s v="Global Client Network (GNB Inward)"/>
    <s v="Renewal"/>
    <n v="1072.3399999999999"/>
    <d v="2018-01-23T00:00:00"/>
    <s v="Brokerage"/>
    <x v="0"/>
    <s v="OTHR - Other"/>
    <d v="2020-01-22T00:00:00"/>
    <s v="Other"/>
    <s v="KG-CAR"/>
    <s v="OPP1900001947"/>
    <s v="Shivani Sharma"/>
    <n v="500000"/>
    <n v="50000"/>
    <d v="2019-12-31T00:00:00"/>
    <s v="Qualify Opportunity"/>
    <s v="Ahmedabad"/>
    <s v="Construction, Power &amp; Infrastructure"/>
    <s v="Engineering"/>
    <s v="Contractors All Risk"/>
    <m/>
    <m/>
    <s v="David Hall"/>
    <d v="2020-01-21T00:00:00"/>
    <m/>
    <m/>
    <m/>
    <m/>
    <m/>
  </r>
  <r>
    <s v="Tarun Shah"/>
    <n v="32099602"/>
    <x v="1"/>
    <x v="75"/>
    <d v="2019-01-22T00:00:00"/>
    <x v="5"/>
    <n v="12"/>
    <s v="Shivani Sharma"/>
    <x v="0"/>
    <s v="Global Client Network (GNB Inward)"/>
    <s v="Renewal"/>
    <n v="1072.3399999999999"/>
    <d v="2018-01-23T00:00:00"/>
    <s v="Brokerage"/>
    <x v="0"/>
    <s v="OTHR - Other"/>
    <d v="2020-01-22T00:00:00"/>
    <s v="Other"/>
    <s v="KG-CAR"/>
    <s v="OPP1900001947"/>
    <s v="Shivani Sharma"/>
    <n v="500000"/>
    <n v="50000"/>
    <d v="2019-12-31T00:00:00"/>
    <s v="Qualify Opportunity"/>
    <s v="Ahmedabad"/>
    <s v="Construction, Power &amp; Infrastructure"/>
    <s v="Engineering"/>
    <s v="Contractors All Risk"/>
    <m/>
    <m/>
    <s v="Lily Young"/>
    <d v="2020-01-21T00:00:00"/>
    <m/>
    <m/>
    <m/>
    <m/>
    <m/>
  </r>
  <r>
    <s v="Tarun Shah"/>
    <n v="32099602"/>
    <x v="1"/>
    <x v="75"/>
    <d v="2019-01-22T00:00:00"/>
    <x v="5"/>
    <n v="12"/>
    <s v="Shivani Sharma"/>
    <x v="0"/>
    <s v="Global Client Network (GNB Inward)"/>
    <s v="Renewal"/>
    <n v="1072.3399999999999"/>
    <d v="2018-01-23T00:00:00"/>
    <s v="Brokerage"/>
    <x v="0"/>
    <s v="OTHR - Other"/>
    <d v="2020-01-22T00:00:00"/>
    <s v="Other"/>
    <s v="KG-CAR"/>
    <s v="OPP1900001947"/>
    <s v="Shivani Sharma"/>
    <n v="500000"/>
    <n v="50000"/>
    <d v="2019-12-31T00:00:00"/>
    <s v="Qualify Opportunity"/>
    <s v="Ahmedabad"/>
    <s v="Construction, Power &amp; Infrastructure"/>
    <s v="Engineering"/>
    <s v="Contractors All Risk"/>
    <m/>
    <m/>
    <s v="Samuel Allen"/>
    <d v="2020-01-22T00:00:00"/>
    <m/>
    <m/>
    <m/>
    <m/>
    <m/>
  </r>
  <r>
    <s v="Tarun Shah"/>
    <n v="32099602"/>
    <x v="1"/>
    <x v="75"/>
    <d v="2019-01-22T00:00:00"/>
    <x v="5"/>
    <n v="12"/>
    <s v="Shivani Sharma"/>
    <x v="0"/>
    <s v="Global Client Network (GNB Inward)"/>
    <s v="Renewal"/>
    <n v="1072.3399999999999"/>
    <d v="2018-01-23T00:00:00"/>
    <s v="Brokerage"/>
    <x v="0"/>
    <s v="OTHR - Other"/>
    <d v="2020-01-22T00:00:00"/>
    <s v="Other"/>
    <s v="G R -CAR"/>
    <s v="OPP1900001950"/>
    <s v="Shivani Sharma"/>
    <n v="1000000"/>
    <n v="100000"/>
    <d v="2019-09-30T00:00:00"/>
    <s v="Qualify Opportunity"/>
    <s v="Ahmedabad"/>
    <s v="Construction, Power &amp; Infrastructure"/>
    <s v="Engineering"/>
    <s v="Contractors All Risk"/>
    <m/>
    <m/>
    <s v="Madison Robinson"/>
    <d v="2020-01-21T00:00:00"/>
    <m/>
    <m/>
    <m/>
    <m/>
    <m/>
  </r>
  <r>
    <s v="Tarun Shah"/>
    <n v="32099602"/>
    <x v="1"/>
    <x v="75"/>
    <d v="2019-01-22T00:00:00"/>
    <x v="5"/>
    <n v="12"/>
    <s v="Shivani Sharma"/>
    <x v="0"/>
    <s v="Global Client Network (GNB Inward)"/>
    <s v="Renewal"/>
    <n v="1072.3399999999999"/>
    <d v="2018-01-23T00:00:00"/>
    <s v="Brokerage"/>
    <x v="0"/>
    <s v="OTHR - Other"/>
    <d v="2020-01-22T00:00:00"/>
    <s v="Other"/>
    <s v="G R -CAR"/>
    <s v="OPP1900001950"/>
    <s v="Shivani Sharma"/>
    <n v="1000000"/>
    <n v="100000"/>
    <d v="2019-09-30T00:00:00"/>
    <s v="Qualify Opportunity"/>
    <s v="Ahmedabad"/>
    <s v="Construction, Power &amp; Infrastructure"/>
    <s v="Engineering"/>
    <s v="Contractors All Risk"/>
    <m/>
    <m/>
    <s v="David Hall"/>
    <d v="2020-01-21T00:00:00"/>
    <m/>
    <m/>
    <m/>
    <m/>
    <m/>
  </r>
  <r>
    <s v="Tarun Shah"/>
    <n v="32099602"/>
    <x v="1"/>
    <x v="75"/>
    <d v="2019-01-22T00:00:00"/>
    <x v="5"/>
    <n v="12"/>
    <s v="Shivani Sharma"/>
    <x v="0"/>
    <s v="Global Client Network (GNB Inward)"/>
    <s v="Renewal"/>
    <n v="1072.3399999999999"/>
    <d v="2018-01-23T00:00:00"/>
    <s v="Brokerage"/>
    <x v="0"/>
    <s v="OTHR - Other"/>
    <d v="2020-01-22T00:00:00"/>
    <s v="Other"/>
    <s v="G R -CAR"/>
    <s v="OPP1900001950"/>
    <s v="Shivani Sharma"/>
    <n v="1000000"/>
    <n v="100000"/>
    <d v="2019-09-30T00:00:00"/>
    <s v="Qualify Opportunity"/>
    <s v="Ahmedabad"/>
    <s v="Construction, Power &amp; Infrastructure"/>
    <s v="Engineering"/>
    <s v="Contractors All Risk"/>
    <m/>
    <m/>
    <s v="Lily Young"/>
    <d v="2020-01-21T00:00:00"/>
    <m/>
    <m/>
    <m/>
    <m/>
    <m/>
  </r>
  <r>
    <s v="Tarun Shah"/>
    <n v="32099602"/>
    <x v="1"/>
    <x v="75"/>
    <d v="2019-01-22T00:00:00"/>
    <x v="5"/>
    <n v="12"/>
    <s v="Shivani Sharma"/>
    <x v="0"/>
    <s v="Global Client Network (GNB Inward)"/>
    <s v="Renewal"/>
    <n v="1072.3399999999999"/>
    <d v="2018-01-23T00:00:00"/>
    <s v="Brokerage"/>
    <x v="0"/>
    <s v="OTHR - Other"/>
    <d v="2020-01-22T00:00:00"/>
    <s v="Other"/>
    <s v="G R -CAR"/>
    <s v="OPP1900001950"/>
    <s v="Shivani Sharma"/>
    <n v="1000000"/>
    <n v="100000"/>
    <d v="2019-09-30T00:00:00"/>
    <s v="Qualify Opportunity"/>
    <s v="Ahmedabad"/>
    <s v="Construction, Power &amp; Infrastructure"/>
    <s v="Engineering"/>
    <s v="Contractors All Risk"/>
    <m/>
    <m/>
    <s v="Samuel Allen"/>
    <d v="2020-01-22T00:00:00"/>
    <m/>
    <m/>
    <m/>
    <m/>
    <m/>
  </r>
  <r>
    <s v="Hemant Chauhan"/>
    <s v="32099602-01"/>
    <x v="0"/>
    <x v="76"/>
    <d v="2020-01-22T00:00:00"/>
    <x v="5"/>
    <n v="3"/>
    <s v="Animesh Rawat"/>
    <x v="0"/>
    <s v="Global Client Network (GNB Inward)"/>
    <s v="Renewal"/>
    <n v="1111.77"/>
    <d v="2019-01-23T00:00:00"/>
    <s v="Brokerage"/>
    <x v="1"/>
    <s v="OTHR - Other"/>
    <d v="2020-01-22T00:00:00"/>
    <s v="Other"/>
    <m/>
    <m/>
    <m/>
    <m/>
    <m/>
    <m/>
    <m/>
    <m/>
    <m/>
    <m/>
    <m/>
    <m/>
    <m/>
    <m/>
    <m/>
    <m/>
    <m/>
    <m/>
    <m/>
    <m/>
  </r>
  <r>
    <s v="Geeta Verma"/>
    <n v="3.2134000000000001E+23"/>
    <x v="1"/>
    <x v="77"/>
    <d v="2019-07-30T00:00:00"/>
    <x v="5"/>
    <n v="3"/>
    <s v="Animesh Rawat"/>
    <x v="0"/>
    <s v="Global Client Network (GNB Inward)"/>
    <s v="Cross Sell"/>
    <n v="27057.200000000001"/>
    <d v="2018-07-31T00:00:00"/>
    <s v="Brokerage"/>
    <x v="0"/>
    <s v="OTHR - Other"/>
    <d v="2020-01-22T00:00:00"/>
    <s v="Other"/>
    <m/>
    <m/>
    <m/>
    <m/>
    <m/>
    <m/>
    <m/>
    <m/>
    <m/>
    <m/>
    <m/>
    <m/>
    <m/>
    <m/>
    <m/>
    <m/>
    <m/>
    <m/>
    <m/>
    <m/>
  </r>
  <r>
    <s v="Ashok Patel"/>
    <n v="3.2134000000000001E+23"/>
    <x v="0"/>
    <x v="78"/>
    <d v="2020-07-30T00:00:00"/>
    <x v="5"/>
    <n v="3"/>
    <s v="Animesh Rawat"/>
    <x v="0"/>
    <s v="Global Client Network (GNB Inward)"/>
    <s v="Cross Sell"/>
    <n v="87500"/>
    <d v="2019-07-31T00:00:00"/>
    <s v="Brokerage"/>
    <x v="1"/>
    <s v="OTHR - Other"/>
    <d v="2020-01-22T00:00:00"/>
    <s v="Other"/>
    <m/>
    <m/>
    <m/>
    <m/>
    <m/>
    <m/>
    <m/>
    <m/>
    <m/>
    <m/>
    <m/>
    <m/>
    <m/>
    <m/>
    <m/>
    <m/>
    <m/>
    <m/>
    <m/>
    <m/>
  </r>
  <r>
    <s v="Gayatri Reddy"/>
    <s v="APG/I2064820/71/11/006144"/>
    <x v="1"/>
    <x v="79"/>
    <d v="2019-11-26T00:00:00"/>
    <x v="3"/>
    <n v="10"/>
    <s v="Mark"/>
    <x v="0"/>
    <s v="Employee Benefits (EB)"/>
    <s v="Renewal"/>
    <n v="7647.1"/>
    <d v="2018-11-27T00:00:00"/>
    <s v="Brokerage"/>
    <x v="0"/>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Gayatri Reddy"/>
    <s v="APG/I2064820/71/11/006144"/>
    <x v="1"/>
    <x v="79"/>
    <d v="2019-11-26T00:00:00"/>
    <x v="3"/>
    <n v="10"/>
    <s v="Mark"/>
    <x v="0"/>
    <s v="Employee Benefits (EB)"/>
    <s v="Renewal"/>
    <n v="7647.1"/>
    <d v="2018-11-27T00:00:00"/>
    <s v="Brokerage"/>
    <x v="0"/>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Gayatri Reddy"/>
    <s v="APG/I2064820/71/11/006144"/>
    <x v="1"/>
    <x v="79"/>
    <d v="2019-11-26T00:00:00"/>
    <x v="3"/>
    <n v="10"/>
    <s v="Mark"/>
    <x v="0"/>
    <s v="Employee Benefits (EB)"/>
    <s v="Renewal"/>
    <n v="7647.1"/>
    <d v="2018-11-27T00:00:00"/>
    <s v="Brokerage"/>
    <x v="0"/>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Gayatri Reddy"/>
    <s v="APG/I2064820/71/11/006144"/>
    <x v="1"/>
    <x v="79"/>
    <d v="2019-11-26T00:00:00"/>
    <x v="3"/>
    <n v="10"/>
    <s v="Mark"/>
    <x v="0"/>
    <s v="Employee Benefits (EB)"/>
    <s v="Renewal"/>
    <n v="7647.1"/>
    <d v="2018-11-27T00:00:00"/>
    <s v="Brokerage"/>
    <x v="0"/>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Gayatri Reddy"/>
    <s v="APG/I2064820/71/11/006144"/>
    <x v="1"/>
    <x v="79"/>
    <d v="2019-11-26T00:00:00"/>
    <x v="3"/>
    <n v="10"/>
    <s v="Mark"/>
    <x v="0"/>
    <s v="Employee Benefits (EB)"/>
    <s v="Renewal"/>
    <n v="7647.1"/>
    <d v="2018-11-27T00:00:00"/>
    <s v="Brokerage"/>
    <x v="0"/>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Gayatri Reddy"/>
    <s v="APG/I2064820/71/11/006144"/>
    <x v="1"/>
    <x v="79"/>
    <d v="2019-11-26T00:00:00"/>
    <x v="3"/>
    <n v="10"/>
    <s v="Mark"/>
    <x v="0"/>
    <s v="Employee Benefits (EB)"/>
    <s v="Renewal"/>
    <n v="7647.1"/>
    <d v="2018-11-27T00:00:00"/>
    <s v="Brokerage"/>
    <x v="0"/>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Gayatri Reddy"/>
    <s v="APG/I2064820/71/11/006144"/>
    <x v="1"/>
    <x v="79"/>
    <d v="2019-11-26T00:00:00"/>
    <x v="3"/>
    <n v="10"/>
    <s v="Mark"/>
    <x v="0"/>
    <s v="Employee Benefits (EB)"/>
    <s v="Renewal"/>
    <n v="7647.1"/>
    <d v="2018-11-27T00:00:00"/>
    <s v="Brokerage"/>
    <x v="0"/>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Gayatri Reddy"/>
    <s v="APG/I2064820/71/11/006144"/>
    <x v="1"/>
    <x v="79"/>
    <d v="2019-11-26T00:00:00"/>
    <x v="3"/>
    <n v="10"/>
    <s v="Mark"/>
    <x v="0"/>
    <s v="Employee Benefits (EB)"/>
    <s v="Renewal"/>
    <n v="7647.1"/>
    <d v="2018-11-27T00:00:00"/>
    <s v="Brokerage"/>
    <x v="0"/>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Gayatri Reddy"/>
    <s v="APG/I2064820/71/11/006144"/>
    <x v="1"/>
    <x v="79"/>
    <d v="2019-11-26T00:00:00"/>
    <x v="3"/>
    <n v="10"/>
    <s v="Mark"/>
    <x v="0"/>
    <s v="Employee Benefits (EB)"/>
    <s v="Renewal"/>
    <n v="7647.1"/>
    <d v="2018-11-27T00:00:00"/>
    <s v="Brokerage"/>
    <x v="0"/>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Gayatri Reddy"/>
    <s v="APG/I2064820/71/11/006144"/>
    <x v="1"/>
    <x v="79"/>
    <d v="2019-11-26T00:00:00"/>
    <x v="3"/>
    <n v="10"/>
    <s v="Mark"/>
    <x v="0"/>
    <s v="Employee Benefits (EB)"/>
    <s v="Renewal"/>
    <n v="7647.1"/>
    <d v="2018-11-27T00:00:00"/>
    <s v="Brokerage"/>
    <x v="0"/>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Snehal Patel"/>
    <s v="APG/I2064820/71/11/006343"/>
    <x v="0"/>
    <x v="80"/>
    <d v="2020-11-26T00:00:00"/>
    <x v="3"/>
    <n v="10"/>
    <s v="Mark"/>
    <x v="0"/>
    <s v="Employee Benefits (EB)"/>
    <s v="Renewal"/>
    <n v="12491.85"/>
    <d v="2019-11-27T00:00:00"/>
    <s v="Brokerage"/>
    <x v="1"/>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Snehal Patel"/>
    <s v="APG/I2064820/71/11/006343"/>
    <x v="0"/>
    <x v="80"/>
    <d v="2020-11-26T00:00:00"/>
    <x v="3"/>
    <n v="10"/>
    <s v="Mark"/>
    <x v="0"/>
    <s v="Employee Benefits (EB)"/>
    <s v="Renewal"/>
    <n v="12491.85"/>
    <d v="2019-11-27T00:00:00"/>
    <s v="Brokerage"/>
    <x v="1"/>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Snehal Patel"/>
    <s v="APG/I2064820/71/11/006343"/>
    <x v="0"/>
    <x v="80"/>
    <d v="2020-11-26T00:00:00"/>
    <x v="3"/>
    <n v="10"/>
    <s v="Mark"/>
    <x v="0"/>
    <s v="Employee Benefits (EB)"/>
    <s v="Renewal"/>
    <n v="12491.85"/>
    <d v="2019-11-27T00:00:00"/>
    <s v="Brokerage"/>
    <x v="1"/>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Snehal Patel"/>
    <s v="APG/I2064820/71/11/006343"/>
    <x v="0"/>
    <x v="80"/>
    <d v="2020-11-26T00:00:00"/>
    <x v="3"/>
    <n v="10"/>
    <s v="Mark"/>
    <x v="0"/>
    <s v="Employee Benefits (EB)"/>
    <s v="Renewal"/>
    <n v="12491.85"/>
    <d v="2019-11-27T00:00:00"/>
    <s v="Brokerage"/>
    <x v="1"/>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Snehal Patel"/>
    <s v="APG/I2064820/71/11/006343"/>
    <x v="0"/>
    <x v="80"/>
    <d v="2020-11-26T00:00:00"/>
    <x v="3"/>
    <n v="10"/>
    <s v="Mark"/>
    <x v="0"/>
    <s v="Employee Benefits (EB)"/>
    <s v="Renewal"/>
    <n v="12491.85"/>
    <d v="2019-11-27T00:00:00"/>
    <s v="Brokerage"/>
    <x v="1"/>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Snehal Patel"/>
    <s v="APG/I2064820/71/11/006343"/>
    <x v="0"/>
    <x v="80"/>
    <d v="2020-11-26T00:00:00"/>
    <x v="3"/>
    <n v="10"/>
    <s v="Mark"/>
    <x v="0"/>
    <s v="Employee Benefits (EB)"/>
    <s v="Renewal"/>
    <n v="12491.85"/>
    <d v="2019-11-27T00:00:00"/>
    <s v="Brokerage"/>
    <x v="1"/>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Snehal Patel"/>
    <s v="APG/I2064820/71/11/006343"/>
    <x v="0"/>
    <x v="80"/>
    <d v="2020-11-26T00:00:00"/>
    <x v="3"/>
    <n v="10"/>
    <s v="Mark"/>
    <x v="0"/>
    <s v="Employee Benefits (EB)"/>
    <s v="Renewal"/>
    <n v="12491.85"/>
    <d v="2019-11-27T00:00:00"/>
    <s v="Brokerage"/>
    <x v="1"/>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Snehal Patel"/>
    <s v="APG/I2064820/71/11/006343"/>
    <x v="0"/>
    <x v="80"/>
    <d v="2020-11-26T00:00:00"/>
    <x v="3"/>
    <n v="10"/>
    <s v="Mark"/>
    <x v="0"/>
    <s v="Employee Benefits (EB)"/>
    <s v="Renewal"/>
    <n v="12491.85"/>
    <d v="2019-11-27T00:00:00"/>
    <s v="Brokerage"/>
    <x v="1"/>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Snehal Patel"/>
    <s v="APG/I2064820/71/11/006343"/>
    <x v="0"/>
    <x v="80"/>
    <d v="2020-11-26T00:00:00"/>
    <x v="3"/>
    <n v="10"/>
    <s v="Mark"/>
    <x v="0"/>
    <s v="Employee Benefits (EB)"/>
    <s v="Renewal"/>
    <n v="12491.85"/>
    <d v="2019-11-27T00:00:00"/>
    <s v="Brokerage"/>
    <x v="1"/>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Snehal Patel"/>
    <s v="APG/I2064820/71/11/006343"/>
    <x v="0"/>
    <x v="80"/>
    <d v="2020-11-26T00:00:00"/>
    <x v="3"/>
    <n v="10"/>
    <s v="Mark"/>
    <x v="0"/>
    <s v="Employee Benefits (EB)"/>
    <s v="Renewal"/>
    <n v="12491.85"/>
    <d v="2019-11-27T00:00:00"/>
    <s v="Brokerage"/>
    <x v="1"/>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Vivek Yadav"/>
    <s v="GHS/Q0226519/71"/>
    <x v="1"/>
    <x v="79"/>
    <d v="2019-11-26T00:00:00"/>
    <x v="3"/>
    <n v="10"/>
    <s v="Mark"/>
    <x v="0"/>
    <s v="Employee Benefits (EB)"/>
    <s v="Renewal"/>
    <n v="30620.9"/>
    <d v="2018-11-27T00:00:00"/>
    <s v="Brokerage"/>
    <x v="0"/>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Vivek Yadav"/>
    <s v="GHS/Q0226519/71"/>
    <x v="1"/>
    <x v="79"/>
    <d v="2019-11-26T00:00:00"/>
    <x v="3"/>
    <n v="10"/>
    <s v="Mark"/>
    <x v="0"/>
    <s v="Employee Benefits (EB)"/>
    <s v="Renewal"/>
    <n v="30620.9"/>
    <d v="2018-11-27T00:00:00"/>
    <s v="Brokerage"/>
    <x v="0"/>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Vivek Yadav"/>
    <s v="GHS/Q0226519/71"/>
    <x v="1"/>
    <x v="79"/>
    <d v="2019-11-26T00:00:00"/>
    <x v="3"/>
    <n v="10"/>
    <s v="Mark"/>
    <x v="0"/>
    <s v="Employee Benefits (EB)"/>
    <s v="Renewal"/>
    <n v="30620.9"/>
    <d v="2018-11-27T00:00:00"/>
    <s v="Brokerage"/>
    <x v="0"/>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Vivek Yadav"/>
    <s v="GHS/Q0226519/71"/>
    <x v="1"/>
    <x v="79"/>
    <d v="2019-11-26T00:00:00"/>
    <x v="3"/>
    <n v="10"/>
    <s v="Mark"/>
    <x v="0"/>
    <s v="Employee Benefits (EB)"/>
    <s v="Renewal"/>
    <n v="30620.9"/>
    <d v="2018-11-27T00:00:00"/>
    <s v="Brokerage"/>
    <x v="0"/>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Vivek Yadav"/>
    <s v="GHS/Q0226519/71"/>
    <x v="1"/>
    <x v="79"/>
    <d v="2019-11-26T00:00:00"/>
    <x v="3"/>
    <n v="10"/>
    <s v="Mark"/>
    <x v="0"/>
    <s v="Employee Benefits (EB)"/>
    <s v="Renewal"/>
    <n v="30620.9"/>
    <d v="2018-11-27T00:00:00"/>
    <s v="Brokerage"/>
    <x v="0"/>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Vivek Yadav"/>
    <s v="GHS/Q0226519/71"/>
    <x v="1"/>
    <x v="79"/>
    <d v="2019-11-26T00:00:00"/>
    <x v="3"/>
    <n v="10"/>
    <s v="Mark"/>
    <x v="0"/>
    <s v="Employee Benefits (EB)"/>
    <s v="Renewal"/>
    <n v="30620.9"/>
    <d v="2018-11-27T00:00:00"/>
    <s v="Brokerage"/>
    <x v="0"/>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Vivek Yadav"/>
    <s v="GHS/Q0226519/71"/>
    <x v="1"/>
    <x v="79"/>
    <d v="2019-11-26T00:00:00"/>
    <x v="3"/>
    <n v="10"/>
    <s v="Mark"/>
    <x v="0"/>
    <s v="Employee Benefits (EB)"/>
    <s v="Renewal"/>
    <n v="30620.9"/>
    <d v="2018-11-27T00:00:00"/>
    <s v="Brokerage"/>
    <x v="0"/>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Vivek Yadav"/>
    <s v="GHS/Q0226519/71"/>
    <x v="1"/>
    <x v="79"/>
    <d v="2019-11-26T00:00:00"/>
    <x v="3"/>
    <n v="10"/>
    <s v="Mark"/>
    <x v="0"/>
    <s v="Employee Benefits (EB)"/>
    <s v="Renewal"/>
    <n v="30620.9"/>
    <d v="2018-11-27T00:00:00"/>
    <s v="Brokerage"/>
    <x v="0"/>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Vivek Yadav"/>
    <s v="GHS/Q0226519/71"/>
    <x v="1"/>
    <x v="79"/>
    <d v="2019-11-26T00:00:00"/>
    <x v="3"/>
    <n v="10"/>
    <s v="Mark"/>
    <x v="0"/>
    <s v="Employee Benefits (EB)"/>
    <s v="Renewal"/>
    <n v="30620.9"/>
    <d v="2018-11-27T00:00:00"/>
    <s v="Brokerage"/>
    <x v="0"/>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Vivek Yadav"/>
    <s v="GHS/Q0226519/71"/>
    <x v="1"/>
    <x v="79"/>
    <d v="2019-11-26T00:00:00"/>
    <x v="3"/>
    <n v="10"/>
    <s v="Mark"/>
    <x v="0"/>
    <s v="Employee Benefits (EB)"/>
    <s v="Renewal"/>
    <n v="30620.9"/>
    <d v="2018-11-27T00:00:00"/>
    <s v="Brokerage"/>
    <x v="0"/>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Kiran Saxena"/>
    <s v="GHS/Q1166066/71"/>
    <x v="0"/>
    <x v="80"/>
    <d v="2020-11-26T00:00:00"/>
    <x v="3"/>
    <n v="10"/>
    <s v="Mark"/>
    <x v="0"/>
    <s v="Employee Benefits (EB)"/>
    <s v="Renewal"/>
    <n v="61342.1"/>
    <d v="2019-11-27T00:00:00"/>
    <s v="Brokerage"/>
    <x v="1"/>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Kiran Saxena"/>
    <s v="GHS/Q1166066/71"/>
    <x v="0"/>
    <x v="80"/>
    <d v="2020-11-26T00:00:00"/>
    <x v="3"/>
    <n v="10"/>
    <s v="Mark"/>
    <x v="0"/>
    <s v="Employee Benefits (EB)"/>
    <s v="Renewal"/>
    <n v="61342.1"/>
    <d v="2019-11-27T00:00:00"/>
    <s v="Brokerage"/>
    <x v="1"/>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Kiran Saxena"/>
    <s v="GHS/Q1166066/71"/>
    <x v="0"/>
    <x v="80"/>
    <d v="2020-11-26T00:00:00"/>
    <x v="3"/>
    <n v="10"/>
    <s v="Mark"/>
    <x v="0"/>
    <s v="Employee Benefits (EB)"/>
    <s v="Renewal"/>
    <n v="61342.1"/>
    <d v="2019-11-27T00:00:00"/>
    <s v="Brokerage"/>
    <x v="1"/>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Kiran Saxena"/>
    <s v="GHS/Q1166066/71"/>
    <x v="0"/>
    <x v="80"/>
    <d v="2020-11-26T00:00:00"/>
    <x v="3"/>
    <n v="10"/>
    <s v="Mark"/>
    <x v="0"/>
    <s v="Employee Benefits (EB)"/>
    <s v="Renewal"/>
    <n v="61342.1"/>
    <d v="2019-11-27T00:00:00"/>
    <s v="Brokerage"/>
    <x v="1"/>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Kiran Saxena"/>
    <s v="GHS/Q1166066/71"/>
    <x v="0"/>
    <x v="80"/>
    <d v="2020-11-26T00:00:00"/>
    <x v="3"/>
    <n v="10"/>
    <s v="Mark"/>
    <x v="0"/>
    <s v="Employee Benefits (EB)"/>
    <s v="Renewal"/>
    <n v="61342.1"/>
    <d v="2019-11-27T00:00:00"/>
    <s v="Brokerage"/>
    <x v="1"/>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Kiran Saxena"/>
    <s v="GHS/Q1166066/71"/>
    <x v="0"/>
    <x v="80"/>
    <d v="2020-11-26T00:00:00"/>
    <x v="3"/>
    <n v="10"/>
    <s v="Mark"/>
    <x v="0"/>
    <s v="Employee Benefits (EB)"/>
    <s v="Renewal"/>
    <n v="61342.1"/>
    <d v="2019-11-27T00:00:00"/>
    <s v="Brokerage"/>
    <x v="1"/>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Kiran Saxena"/>
    <s v="GHS/Q1166066/71"/>
    <x v="0"/>
    <x v="80"/>
    <d v="2020-11-26T00:00:00"/>
    <x v="3"/>
    <n v="10"/>
    <s v="Mark"/>
    <x v="0"/>
    <s v="Employee Benefits (EB)"/>
    <s v="Renewal"/>
    <n v="61342.1"/>
    <d v="2019-11-27T00:00:00"/>
    <s v="Brokerage"/>
    <x v="1"/>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Kiran Saxena"/>
    <s v="GHS/Q1166066/71"/>
    <x v="0"/>
    <x v="80"/>
    <d v="2020-11-26T00:00:00"/>
    <x v="3"/>
    <n v="10"/>
    <s v="Mark"/>
    <x v="0"/>
    <s v="Employee Benefits (EB)"/>
    <s v="Renewal"/>
    <n v="61342.1"/>
    <d v="2019-11-27T00:00:00"/>
    <s v="Brokerage"/>
    <x v="1"/>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Kiran Saxena"/>
    <s v="GHS/Q1166066/71"/>
    <x v="0"/>
    <x v="80"/>
    <d v="2020-11-26T00:00:00"/>
    <x v="3"/>
    <n v="10"/>
    <s v="Mark"/>
    <x v="0"/>
    <s v="Employee Benefits (EB)"/>
    <s v="Renewal"/>
    <n v="61342.1"/>
    <d v="2019-11-27T00:00:00"/>
    <s v="Brokerage"/>
    <x v="1"/>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Kiran Saxena"/>
    <s v="GHS/Q1166066/71"/>
    <x v="0"/>
    <x v="80"/>
    <d v="2020-11-26T00:00:00"/>
    <x v="3"/>
    <n v="10"/>
    <s v="Mark"/>
    <x v="0"/>
    <s v="Employee Benefits (EB)"/>
    <s v="Renewal"/>
    <n v="61342.1"/>
    <d v="2019-11-27T00:00:00"/>
    <s v="Brokerage"/>
    <x v="1"/>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Uday Reddy"/>
    <s v="LWC/I2328626/71/04/005537"/>
    <x v="0"/>
    <x v="81"/>
    <d v="2019-04-12T00:00:00"/>
    <x v="2"/>
    <n v="3"/>
    <s v="Animesh Rawat"/>
    <x v="0"/>
    <s v="Global Client Network (GNB Inward)"/>
    <s v="Renewal"/>
    <n v="3125"/>
    <d v="2018-04-13T00:00:00"/>
    <s v="Brokerage"/>
    <x v="0"/>
    <s v="OTHR - Other"/>
    <d v="2020-01-22T00:00:00"/>
    <s v="Other"/>
    <m/>
    <m/>
    <m/>
    <m/>
    <m/>
    <m/>
    <m/>
    <m/>
    <m/>
    <m/>
    <m/>
    <m/>
    <m/>
    <m/>
    <m/>
    <m/>
    <m/>
    <m/>
    <m/>
    <m/>
  </r>
  <r>
    <s v="Anita Pandit"/>
    <s v="OG-18-2202-1018-00000028"/>
    <x v="0"/>
    <x v="82"/>
    <d v="2018-10-26T00:00:00"/>
    <x v="0"/>
    <n v="3"/>
    <s v="Animesh Rawat"/>
    <x v="0"/>
    <s v="Global Client Network (GNB Inward)"/>
    <s v="Renewal"/>
    <n v="62714.03"/>
    <d v="2017-10-27T00:00:00"/>
    <s v="Brokerage"/>
    <x v="0"/>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Anita Pandit"/>
    <s v="OG-18-2202-1018-00000028"/>
    <x v="0"/>
    <x v="82"/>
    <d v="2018-10-26T00:00:00"/>
    <x v="0"/>
    <n v="3"/>
    <s v="Animesh Rawat"/>
    <x v="0"/>
    <s v="Global Client Network (GNB Inward)"/>
    <s v="Renewal"/>
    <n v="62714.03"/>
    <d v="2017-10-27T00:00:00"/>
    <s v="Brokerage"/>
    <x v="0"/>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Anita Pandit"/>
    <s v="OG-18-2202-1018-00000028"/>
    <x v="0"/>
    <x v="82"/>
    <d v="2018-10-26T00:00:00"/>
    <x v="0"/>
    <n v="3"/>
    <s v="Animesh Rawat"/>
    <x v="0"/>
    <s v="Global Client Network (GNB Inward)"/>
    <s v="Renewal"/>
    <n v="62714.03"/>
    <d v="2017-10-27T00:00:00"/>
    <s v="Brokerage"/>
    <x v="0"/>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Anita Pandit"/>
    <s v="OG-18-2202-1018-00000028"/>
    <x v="0"/>
    <x v="82"/>
    <d v="2018-10-26T00:00:00"/>
    <x v="0"/>
    <n v="3"/>
    <s v="Animesh Rawat"/>
    <x v="0"/>
    <s v="Global Client Network (GNB Inward)"/>
    <s v="Renewal"/>
    <n v="62714.03"/>
    <d v="2017-10-27T00:00:00"/>
    <s v="Brokerage"/>
    <x v="0"/>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Anita Pandit"/>
    <s v="OG-18-2202-1018-00000028"/>
    <x v="0"/>
    <x v="82"/>
    <d v="2018-10-26T00:00:00"/>
    <x v="0"/>
    <n v="3"/>
    <s v="Animesh Rawat"/>
    <x v="0"/>
    <s v="Global Client Network (GNB Inward)"/>
    <s v="Renewal"/>
    <n v="62714.03"/>
    <d v="2017-10-27T00:00:00"/>
    <s v="Brokerage"/>
    <x v="0"/>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Anita Pandit"/>
    <s v="OG-18-2202-1018-00000028"/>
    <x v="0"/>
    <x v="82"/>
    <d v="2018-10-26T00:00:00"/>
    <x v="0"/>
    <n v="3"/>
    <s v="Animesh Rawat"/>
    <x v="0"/>
    <s v="Global Client Network (GNB Inward)"/>
    <s v="Renewal"/>
    <n v="62714.03"/>
    <d v="2017-10-27T00:00:00"/>
    <s v="Brokerage"/>
    <x v="0"/>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Anita Pandit"/>
    <s v="OG-18-2202-1018-00000028"/>
    <x v="0"/>
    <x v="82"/>
    <d v="2018-10-26T00:00:00"/>
    <x v="0"/>
    <n v="3"/>
    <s v="Animesh Rawat"/>
    <x v="0"/>
    <s v="Global Client Network (GNB Inward)"/>
    <s v="Renewal"/>
    <n v="62714.03"/>
    <d v="2017-10-27T00:00:00"/>
    <s v="Brokerage"/>
    <x v="0"/>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Anita Pandit"/>
    <s v="OG-18-2202-1018-00000028"/>
    <x v="0"/>
    <x v="82"/>
    <d v="2018-10-26T00:00:00"/>
    <x v="0"/>
    <n v="3"/>
    <s v="Animesh Rawat"/>
    <x v="0"/>
    <s v="Global Client Network (GNB Inward)"/>
    <s v="Renewal"/>
    <n v="62714.03"/>
    <d v="2017-10-27T00:00:00"/>
    <s v="Brokerage"/>
    <x v="0"/>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Hina Malhotra"/>
    <s v="OG-19-2202-1018-00000047"/>
    <x v="1"/>
    <x v="83"/>
    <d v="2019-10-26T00:00:00"/>
    <x v="0"/>
    <n v="3"/>
    <s v="Animesh Rawat"/>
    <x v="0"/>
    <s v="Global Client Network (GNB Inward)"/>
    <s v="Renewal"/>
    <n v="85800"/>
    <d v="2018-10-27T00:00:00"/>
    <s v="Brokerage"/>
    <x v="2"/>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Hina Malhotra"/>
    <s v="OG-19-2202-1018-00000047"/>
    <x v="1"/>
    <x v="83"/>
    <d v="2019-10-26T00:00:00"/>
    <x v="0"/>
    <n v="3"/>
    <s v="Animesh Rawat"/>
    <x v="0"/>
    <s v="Global Client Network (GNB Inward)"/>
    <s v="Renewal"/>
    <n v="85800"/>
    <d v="2018-10-27T00:00:00"/>
    <s v="Brokerage"/>
    <x v="2"/>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Hina Malhotra"/>
    <s v="OG-19-2202-1018-00000047"/>
    <x v="1"/>
    <x v="83"/>
    <d v="2019-10-26T00:00:00"/>
    <x v="0"/>
    <n v="3"/>
    <s v="Animesh Rawat"/>
    <x v="0"/>
    <s v="Global Client Network (GNB Inward)"/>
    <s v="Renewal"/>
    <n v="85800"/>
    <d v="2018-10-27T00:00:00"/>
    <s v="Brokerage"/>
    <x v="2"/>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Hina Malhotra"/>
    <s v="OG-19-2202-1018-00000047"/>
    <x v="1"/>
    <x v="83"/>
    <d v="2019-10-26T00:00:00"/>
    <x v="0"/>
    <n v="3"/>
    <s v="Animesh Rawat"/>
    <x v="0"/>
    <s v="Global Client Network (GNB Inward)"/>
    <s v="Renewal"/>
    <n v="85800"/>
    <d v="2018-10-27T00:00:00"/>
    <s v="Brokerage"/>
    <x v="2"/>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Hina Malhotra"/>
    <s v="OG-19-2202-1018-00000047"/>
    <x v="1"/>
    <x v="83"/>
    <d v="2019-10-26T00:00:00"/>
    <x v="0"/>
    <n v="3"/>
    <s v="Animesh Rawat"/>
    <x v="0"/>
    <s v="Global Client Network (GNB Inward)"/>
    <s v="Renewal"/>
    <n v="85800"/>
    <d v="2018-10-27T00:00:00"/>
    <s v="Brokerage"/>
    <x v="2"/>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Hina Malhotra"/>
    <s v="OG-19-2202-1018-00000047"/>
    <x v="1"/>
    <x v="83"/>
    <d v="2019-10-26T00:00:00"/>
    <x v="0"/>
    <n v="3"/>
    <s v="Animesh Rawat"/>
    <x v="0"/>
    <s v="Global Client Network (GNB Inward)"/>
    <s v="Renewal"/>
    <n v="85800"/>
    <d v="2018-10-27T00:00:00"/>
    <s v="Brokerage"/>
    <x v="2"/>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Hina Malhotra"/>
    <s v="OG-19-2202-1018-00000047"/>
    <x v="1"/>
    <x v="83"/>
    <d v="2019-10-26T00:00:00"/>
    <x v="0"/>
    <n v="3"/>
    <s v="Animesh Rawat"/>
    <x v="0"/>
    <s v="Global Client Network (GNB Inward)"/>
    <s v="Renewal"/>
    <n v="85800"/>
    <d v="2018-10-27T00:00:00"/>
    <s v="Brokerage"/>
    <x v="2"/>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Hina Malhotra"/>
    <s v="OG-19-2202-1018-00000047"/>
    <x v="1"/>
    <x v="83"/>
    <d v="2019-10-26T00:00:00"/>
    <x v="0"/>
    <n v="3"/>
    <s v="Animesh Rawat"/>
    <x v="0"/>
    <s v="Global Client Network (GNB Inward)"/>
    <s v="Renewal"/>
    <n v="85800"/>
    <d v="2018-10-27T00:00:00"/>
    <s v="Brokerage"/>
    <x v="2"/>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Alka Patel"/>
    <s v="OG-19-2202-1018-00000047"/>
    <x v="1"/>
    <x v="83"/>
    <d v="2019-10-26T00:00:00"/>
    <x v="0"/>
    <n v="3"/>
    <s v="Animesh Rawat"/>
    <x v="0"/>
    <s v="Global Client Network (GNB Inward)"/>
    <s v="Renewal"/>
    <n v="21450"/>
    <d v="2018-10-27T00:00:00"/>
    <s v="Brokerage"/>
    <x v="2"/>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Alka Patel"/>
    <s v="OG-19-2202-1018-00000047"/>
    <x v="1"/>
    <x v="83"/>
    <d v="2019-10-26T00:00:00"/>
    <x v="0"/>
    <n v="3"/>
    <s v="Animesh Rawat"/>
    <x v="0"/>
    <s v="Global Client Network (GNB Inward)"/>
    <s v="Renewal"/>
    <n v="21450"/>
    <d v="2018-10-27T00:00:00"/>
    <s v="Brokerage"/>
    <x v="2"/>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Alka Patel"/>
    <s v="OG-19-2202-1018-00000047"/>
    <x v="1"/>
    <x v="83"/>
    <d v="2019-10-26T00:00:00"/>
    <x v="0"/>
    <n v="3"/>
    <s v="Animesh Rawat"/>
    <x v="0"/>
    <s v="Global Client Network (GNB Inward)"/>
    <s v="Renewal"/>
    <n v="21450"/>
    <d v="2018-10-27T00:00:00"/>
    <s v="Brokerage"/>
    <x v="2"/>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Alka Patel"/>
    <s v="OG-19-2202-1018-00000047"/>
    <x v="1"/>
    <x v="83"/>
    <d v="2019-10-26T00:00:00"/>
    <x v="0"/>
    <n v="3"/>
    <s v="Animesh Rawat"/>
    <x v="0"/>
    <s v="Global Client Network (GNB Inward)"/>
    <s v="Renewal"/>
    <n v="21450"/>
    <d v="2018-10-27T00:00:00"/>
    <s v="Brokerage"/>
    <x v="2"/>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Alka Patel"/>
    <s v="OG-19-2202-1018-00000047"/>
    <x v="1"/>
    <x v="83"/>
    <d v="2019-10-26T00:00:00"/>
    <x v="0"/>
    <n v="3"/>
    <s v="Animesh Rawat"/>
    <x v="0"/>
    <s v="Global Client Network (GNB Inward)"/>
    <s v="Renewal"/>
    <n v="21450"/>
    <d v="2018-10-27T00:00:00"/>
    <s v="Brokerage"/>
    <x v="2"/>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Alka Patel"/>
    <s v="OG-19-2202-1018-00000047"/>
    <x v="1"/>
    <x v="83"/>
    <d v="2019-10-26T00:00:00"/>
    <x v="0"/>
    <n v="3"/>
    <s v="Animesh Rawat"/>
    <x v="0"/>
    <s v="Global Client Network (GNB Inward)"/>
    <s v="Renewal"/>
    <n v="21450"/>
    <d v="2018-10-27T00:00:00"/>
    <s v="Brokerage"/>
    <x v="2"/>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Alka Patel"/>
    <s v="OG-19-2202-1018-00000047"/>
    <x v="1"/>
    <x v="83"/>
    <d v="2019-10-26T00:00:00"/>
    <x v="0"/>
    <n v="3"/>
    <s v="Animesh Rawat"/>
    <x v="0"/>
    <s v="Global Client Network (GNB Inward)"/>
    <s v="Renewal"/>
    <n v="21450"/>
    <d v="2018-10-27T00:00:00"/>
    <s v="Brokerage"/>
    <x v="2"/>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Alka Patel"/>
    <s v="OG-19-2202-1018-00000047"/>
    <x v="1"/>
    <x v="83"/>
    <d v="2019-10-26T00:00:00"/>
    <x v="0"/>
    <n v="3"/>
    <s v="Animesh Rawat"/>
    <x v="0"/>
    <s v="Global Client Network (GNB Inward)"/>
    <s v="Renewal"/>
    <n v="21450"/>
    <d v="2018-10-27T00:00:00"/>
    <s v="Brokerage"/>
    <x v="2"/>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Shruti Roy"/>
    <s v="OG-19-2202-1018-00000047"/>
    <x v="1"/>
    <x v="83"/>
    <d v="2019-10-26T00:00:00"/>
    <x v="0"/>
    <n v="3"/>
    <s v="Animesh Rawat"/>
    <x v="0"/>
    <s v="Global Client Network (GNB Inward)"/>
    <s v="Renewal"/>
    <n v="71765.36"/>
    <d v="2019-10-26T00:00:00"/>
    <s v="Brokerage "/>
    <x v="2"/>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Shruti Roy"/>
    <s v="OG-19-2202-1018-00000047"/>
    <x v="1"/>
    <x v="83"/>
    <d v="2019-10-26T00:00:00"/>
    <x v="0"/>
    <n v="3"/>
    <s v="Animesh Rawat"/>
    <x v="0"/>
    <s v="Global Client Network (GNB Inward)"/>
    <s v="Renewal"/>
    <n v="71765.36"/>
    <d v="2019-10-26T00:00:00"/>
    <s v="Brokerage "/>
    <x v="2"/>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Shruti Roy"/>
    <s v="OG-19-2202-1018-00000047"/>
    <x v="1"/>
    <x v="83"/>
    <d v="2019-10-26T00:00:00"/>
    <x v="0"/>
    <n v="3"/>
    <s v="Animesh Rawat"/>
    <x v="0"/>
    <s v="Global Client Network (GNB Inward)"/>
    <s v="Renewal"/>
    <n v="71765.36"/>
    <d v="2019-10-26T00:00:00"/>
    <s v="Brokerage "/>
    <x v="2"/>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Shruti Roy"/>
    <s v="OG-19-2202-1018-00000047"/>
    <x v="1"/>
    <x v="83"/>
    <d v="2019-10-26T00:00:00"/>
    <x v="0"/>
    <n v="3"/>
    <s v="Animesh Rawat"/>
    <x v="0"/>
    <s v="Global Client Network (GNB Inward)"/>
    <s v="Renewal"/>
    <n v="71765.36"/>
    <d v="2019-10-26T00:00:00"/>
    <s v="Brokerage "/>
    <x v="2"/>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Shruti Roy"/>
    <s v="OG-19-2202-1018-00000047"/>
    <x v="1"/>
    <x v="83"/>
    <d v="2019-10-26T00:00:00"/>
    <x v="0"/>
    <n v="3"/>
    <s v="Animesh Rawat"/>
    <x v="0"/>
    <s v="Global Client Network (GNB Inward)"/>
    <s v="Renewal"/>
    <n v="71765.36"/>
    <d v="2019-10-26T00:00:00"/>
    <s v="Brokerage "/>
    <x v="2"/>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Shruti Roy"/>
    <s v="OG-19-2202-1018-00000047"/>
    <x v="1"/>
    <x v="83"/>
    <d v="2019-10-26T00:00:00"/>
    <x v="0"/>
    <n v="3"/>
    <s v="Animesh Rawat"/>
    <x v="0"/>
    <s v="Global Client Network (GNB Inward)"/>
    <s v="Renewal"/>
    <n v="71765.36"/>
    <d v="2019-10-26T00:00:00"/>
    <s v="Brokerage "/>
    <x v="2"/>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Shruti Roy"/>
    <s v="OG-19-2202-1018-00000047"/>
    <x v="1"/>
    <x v="83"/>
    <d v="2019-10-26T00:00:00"/>
    <x v="0"/>
    <n v="3"/>
    <s v="Animesh Rawat"/>
    <x v="0"/>
    <s v="Global Client Network (GNB Inward)"/>
    <s v="Renewal"/>
    <n v="71765.36"/>
    <d v="2019-10-26T00:00:00"/>
    <s v="Brokerage "/>
    <x v="2"/>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Shruti Roy"/>
    <s v="OG-19-2202-1018-00000047"/>
    <x v="1"/>
    <x v="83"/>
    <d v="2019-10-26T00:00:00"/>
    <x v="0"/>
    <n v="3"/>
    <s v="Animesh Rawat"/>
    <x v="0"/>
    <s v="Global Client Network (GNB Inward)"/>
    <s v="Renewal"/>
    <n v="71765.36"/>
    <d v="2019-10-26T00:00:00"/>
    <s v="Brokerage "/>
    <x v="2"/>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Archana Singh"/>
    <s v="OG-19-2202-1018-00000047"/>
    <x v="1"/>
    <x v="83"/>
    <d v="2019-10-26T00:00:00"/>
    <x v="0"/>
    <n v="3"/>
    <s v="Animesh Rawat"/>
    <x v="0"/>
    <s v="Global Client Network (GNB Inward)"/>
    <s v="Renewal"/>
    <n v="17941.34"/>
    <d v="2019-10-26T00:00:00"/>
    <s v="Brokerage "/>
    <x v="2"/>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Archana Singh"/>
    <s v="OG-19-2202-1018-00000047"/>
    <x v="1"/>
    <x v="83"/>
    <d v="2019-10-26T00:00:00"/>
    <x v="0"/>
    <n v="3"/>
    <s v="Animesh Rawat"/>
    <x v="0"/>
    <s v="Global Client Network (GNB Inward)"/>
    <s v="Renewal"/>
    <n v="17941.34"/>
    <d v="2019-10-26T00:00:00"/>
    <s v="Brokerage "/>
    <x v="2"/>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Archana Singh"/>
    <s v="OG-19-2202-1018-00000047"/>
    <x v="1"/>
    <x v="83"/>
    <d v="2019-10-26T00:00:00"/>
    <x v="0"/>
    <n v="3"/>
    <s v="Animesh Rawat"/>
    <x v="0"/>
    <s v="Global Client Network (GNB Inward)"/>
    <s v="Renewal"/>
    <n v="17941.34"/>
    <d v="2019-10-26T00:00:00"/>
    <s v="Brokerage "/>
    <x v="2"/>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Archana Singh"/>
    <s v="OG-19-2202-1018-00000047"/>
    <x v="1"/>
    <x v="83"/>
    <d v="2019-10-26T00:00:00"/>
    <x v="0"/>
    <n v="3"/>
    <s v="Animesh Rawat"/>
    <x v="0"/>
    <s v="Global Client Network (GNB Inward)"/>
    <s v="Renewal"/>
    <n v="17941.34"/>
    <d v="2019-10-26T00:00:00"/>
    <s v="Brokerage "/>
    <x v="2"/>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Archana Singh"/>
    <s v="OG-19-2202-1018-00000047"/>
    <x v="1"/>
    <x v="83"/>
    <d v="2019-10-26T00:00:00"/>
    <x v="0"/>
    <n v="3"/>
    <s v="Animesh Rawat"/>
    <x v="0"/>
    <s v="Global Client Network (GNB Inward)"/>
    <s v="Renewal"/>
    <n v="17941.34"/>
    <d v="2019-10-26T00:00:00"/>
    <s v="Brokerage "/>
    <x v="2"/>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Archana Singh"/>
    <s v="OG-19-2202-1018-00000047"/>
    <x v="1"/>
    <x v="83"/>
    <d v="2019-10-26T00:00:00"/>
    <x v="0"/>
    <n v="3"/>
    <s v="Animesh Rawat"/>
    <x v="0"/>
    <s v="Global Client Network (GNB Inward)"/>
    <s v="Renewal"/>
    <n v="17941.34"/>
    <d v="2019-10-26T00:00:00"/>
    <s v="Brokerage "/>
    <x v="2"/>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Archana Singh"/>
    <s v="OG-19-2202-1018-00000047"/>
    <x v="1"/>
    <x v="83"/>
    <d v="2019-10-26T00:00:00"/>
    <x v="0"/>
    <n v="3"/>
    <s v="Animesh Rawat"/>
    <x v="0"/>
    <s v="Global Client Network (GNB Inward)"/>
    <s v="Renewal"/>
    <n v="17941.34"/>
    <d v="2019-10-26T00:00:00"/>
    <s v="Brokerage "/>
    <x v="2"/>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Archana Singh"/>
    <s v="OG-19-2202-1018-00000047"/>
    <x v="1"/>
    <x v="83"/>
    <d v="2019-10-26T00:00:00"/>
    <x v="0"/>
    <n v="3"/>
    <s v="Animesh Rawat"/>
    <x v="0"/>
    <s v="Global Client Network (GNB Inward)"/>
    <s v="Renewal"/>
    <n v="17941.34"/>
    <d v="2019-10-26T00:00:00"/>
    <s v="Brokerage "/>
    <x v="2"/>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Mukul Goyal"/>
    <s v="4016 X 166425941 00 000"/>
    <x v="0"/>
    <x v="84"/>
    <d v="2020-02-21T00:00:00"/>
    <x v="3"/>
    <n v="6"/>
    <s v="Ketan Jain"/>
    <x v="0"/>
    <s v="Employee Benefits (EB)"/>
    <s v="New"/>
    <n v="44999.85"/>
    <d v="2020-02-21T00:00:00"/>
    <s v="Brokerage"/>
    <x v="0"/>
    <s v="OTHR - Other"/>
    <d v="2020-01-22T00:00:00"/>
    <s v="Other"/>
    <m/>
    <m/>
    <m/>
    <m/>
    <m/>
    <m/>
    <m/>
    <m/>
    <m/>
    <m/>
    <m/>
    <m/>
    <m/>
    <m/>
    <m/>
    <m/>
    <m/>
    <m/>
    <m/>
    <m/>
  </r>
  <r>
    <s v="Namita Bajaj"/>
    <n v="2309004639"/>
    <x v="0"/>
    <x v="68"/>
    <d v="2025-09-29T00:00:00"/>
    <x v="4"/>
    <n v="13"/>
    <s v="Vididt Saha"/>
    <x v="0"/>
    <s v="Liability"/>
    <s v="Cross Sell"/>
    <n v="47500"/>
    <d v="2019-09-30T00:00:00"/>
    <s v="Brokerage"/>
    <x v="0"/>
    <s v="OTHR - Other"/>
    <d v="2020-01-22T00:00:00"/>
    <s v="Other"/>
    <m/>
    <m/>
    <m/>
    <m/>
    <m/>
    <m/>
    <m/>
    <m/>
    <m/>
    <m/>
    <m/>
    <m/>
    <m/>
    <m/>
    <m/>
    <m/>
    <m/>
    <m/>
    <m/>
    <m/>
  </r>
  <r>
    <s v="Nikita Joshi"/>
    <n v="43170512"/>
    <x v="1"/>
    <x v="85"/>
    <d v="2019-08-06T00:00:00"/>
    <x v="2"/>
    <n v="13"/>
    <s v="Vididt Saha"/>
    <x v="0"/>
    <s v="Liability"/>
    <s v="Cross Sell"/>
    <n v="6183.87"/>
    <d v="2019-02-06T00:00:00"/>
    <s v="Brokerage"/>
    <x v="0"/>
    <s v="OTHR - Other"/>
    <d v="2020-01-22T00:00:00"/>
    <s v="Other"/>
    <m/>
    <m/>
    <m/>
    <m/>
    <m/>
    <m/>
    <m/>
    <m/>
    <m/>
    <m/>
    <m/>
    <m/>
    <m/>
    <m/>
    <m/>
    <m/>
    <m/>
    <m/>
    <m/>
    <m/>
  </r>
  <r>
    <s v="Tejas Shah"/>
    <n v="43193940"/>
    <x v="0"/>
    <x v="86"/>
    <d v="2020-02-06T00:00:00"/>
    <x v="2"/>
    <n v="13"/>
    <s v="Vididt Saha"/>
    <x v="0"/>
    <s v="Liability"/>
    <s v="Cross Sell"/>
    <n v="6183.87"/>
    <d v="2019-08-07T00:00:00"/>
    <s v="Brokerage"/>
    <x v="1"/>
    <s v="OTHR - Other"/>
    <d v="2020-01-22T00:00:00"/>
    <s v="Other"/>
    <m/>
    <m/>
    <m/>
    <m/>
    <m/>
    <m/>
    <m/>
    <m/>
    <m/>
    <m/>
    <m/>
    <m/>
    <m/>
    <m/>
    <m/>
    <m/>
    <m/>
    <m/>
    <m/>
    <m/>
  </r>
  <r>
    <s v="Kavita Rao"/>
    <s v="141400/48/2020/1134"/>
    <x v="0"/>
    <x v="87"/>
    <d v="2020-11-07T00:00:00"/>
    <x v="4"/>
    <n v="2"/>
    <s v="Abhinav Shivam"/>
    <x v="0"/>
    <s v="Liability"/>
    <s v="New"/>
    <n v="13200"/>
    <d v="2019-11-08T00:00:00"/>
    <s v="Brokerage"/>
    <x v="0"/>
    <s v="OTHR - Other"/>
    <d v="2020-01-22T00:00:00"/>
    <s v="Other"/>
    <m/>
    <m/>
    <m/>
    <m/>
    <m/>
    <m/>
    <m/>
    <m/>
    <m/>
    <m/>
    <m/>
    <m/>
    <m/>
    <m/>
    <m/>
    <m/>
    <m/>
    <m/>
    <m/>
    <m/>
  </r>
  <r>
    <s v="Hemant Shah"/>
    <n v="2.306E+19"/>
    <x v="0"/>
    <x v="84"/>
    <d v="2020-02-21T00:00:00"/>
    <x v="1"/>
    <n v="2"/>
    <s v="Abhinav Shivam"/>
    <x v="0"/>
    <s v="Small Medium Enterpries (SME)"/>
    <s v="New"/>
    <n v="16258"/>
    <d v="2019-02-22T00:00:00"/>
    <s v="Brokerage"/>
    <x v="0"/>
    <s v="OTHR - Other"/>
    <d v="2020-01-22T00:00:00"/>
    <s v="Other"/>
    <m/>
    <m/>
    <m/>
    <m/>
    <m/>
    <m/>
    <m/>
    <m/>
    <m/>
    <m/>
    <m/>
    <m/>
    <m/>
    <m/>
    <m/>
    <m/>
    <m/>
    <m/>
    <m/>
    <m/>
  </r>
  <r>
    <s v="Prabhat Naik"/>
    <n v="2.306E+19"/>
    <x v="0"/>
    <x v="88"/>
    <d v="2020-02-27T00:00:00"/>
    <x v="1"/>
    <n v="2"/>
    <s v="Abhinav Shivam"/>
    <x v="0"/>
    <s v="Small Medium Enterpries (SME)"/>
    <s v="New"/>
    <n v="8227.7900000000009"/>
    <d v="2019-02-28T00:00:00"/>
    <s v="Brokerage"/>
    <x v="2"/>
    <s v="OTHR - Other"/>
    <d v="2020-01-22T00:00:00"/>
    <s v="Other"/>
    <m/>
    <m/>
    <m/>
    <m/>
    <m/>
    <m/>
    <m/>
    <m/>
    <m/>
    <m/>
    <m/>
    <m/>
    <m/>
    <m/>
    <m/>
    <m/>
    <m/>
    <m/>
    <m/>
    <m/>
  </r>
  <r>
    <s v="Nikhil Tiwari"/>
    <n v="2.306E+19"/>
    <x v="0"/>
    <x v="88"/>
    <d v="2020-02-27T00:00:00"/>
    <x v="1"/>
    <n v="2"/>
    <s v="Abhinav Shivam"/>
    <x v="0"/>
    <s v="Small Medium Enterpries (SME)"/>
    <s v="New"/>
    <n v="2925.72"/>
    <d v="2019-06-12T00:00:00"/>
    <s v="Brokerage "/>
    <x v="2"/>
    <s v="OTHR - Other"/>
    <d v="2020-01-22T00:00:00"/>
    <s v="Other"/>
    <m/>
    <m/>
    <m/>
    <m/>
    <m/>
    <m/>
    <m/>
    <m/>
    <m/>
    <m/>
    <m/>
    <m/>
    <m/>
    <m/>
    <m/>
    <m/>
    <m/>
    <m/>
    <m/>
    <m/>
  </r>
  <r>
    <s v="Neha Trivedi"/>
    <n v="2.306E+19"/>
    <x v="0"/>
    <x v="88"/>
    <d v="2020-02-27T00:00:00"/>
    <x v="1"/>
    <n v="2"/>
    <s v="Abhinav Shivam"/>
    <x v="0"/>
    <s v="Small Medium Enterpries (SME)"/>
    <s v="New"/>
    <n v="2925.72"/>
    <d v="2019-06-12T00:00:00"/>
    <s v="Brokerage "/>
    <x v="2"/>
    <s v="OTHR - Other"/>
    <d v="2020-01-22T00:00:00"/>
    <s v="Other"/>
    <m/>
    <m/>
    <m/>
    <m/>
    <m/>
    <m/>
    <m/>
    <m/>
    <m/>
    <m/>
    <m/>
    <m/>
    <m/>
    <m/>
    <m/>
    <m/>
    <m/>
    <m/>
    <m/>
    <m/>
  </r>
  <r>
    <s v="Shruti Agarwal"/>
    <n v="2.306E+19"/>
    <x v="0"/>
    <x v="88"/>
    <d v="2020-02-27T00:00:00"/>
    <x v="1"/>
    <n v="2"/>
    <s v="Abhinav Shivam"/>
    <x v="0"/>
    <s v="Small Medium Enterpries (SME)"/>
    <s v="New"/>
    <n v="5240.78"/>
    <d v="2019-07-12T00:00:00"/>
    <s v="Brokerage "/>
    <x v="2"/>
    <s v="OTHR - Other"/>
    <d v="2020-01-22T00:00:00"/>
    <s v="Other"/>
    <m/>
    <m/>
    <m/>
    <m/>
    <m/>
    <m/>
    <m/>
    <m/>
    <m/>
    <m/>
    <m/>
    <m/>
    <m/>
    <m/>
    <m/>
    <m/>
    <m/>
    <m/>
    <m/>
    <m/>
  </r>
  <r>
    <s v="Kiran Desai"/>
    <n v="3.103E+17"/>
    <x v="0"/>
    <x v="87"/>
    <d v="2020-11-07T00:00:00"/>
    <x v="1"/>
    <n v="2"/>
    <s v="Abhinav Shivam"/>
    <x v="0"/>
    <s v="Small Medium Enterpries (SME)"/>
    <s v="New"/>
    <n v="17232.75"/>
    <d v="2019-11-08T00:00:00"/>
    <s v="Brokerage"/>
    <x v="0"/>
    <s v="OTHR - Other"/>
    <d v="2020-01-22T00:00:00"/>
    <s v="Other"/>
    <m/>
    <m/>
    <m/>
    <m/>
    <m/>
    <m/>
    <m/>
    <m/>
    <m/>
    <m/>
    <m/>
    <m/>
    <m/>
    <m/>
    <m/>
    <m/>
    <m/>
    <m/>
    <m/>
    <m/>
  </r>
  <r>
    <s v="Kanchan Iyer"/>
    <n v="3.103E+17"/>
    <x v="0"/>
    <x v="87"/>
    <d v="2020-11-07T00:00:00"/>
    <x v="4"/>
    <n v="2"/>
    <s v="Abhinav Shivam"/>
    <x v="0"/>
    <s v="Liability"/>
    <s v="New"/>
    <n v="6250"/>
    <d v="2019-11-08T00:00:00"/>
    <s v="Brokerage"/>
    <x v="0"/>
    <s v="OTHR - Other"/>
    <d v="2020-01-22T00:00:00"/>
    <s v="Other"/>
    <m/>
    <m/>
    <m/>
    <m/>
    <m/>
    <m/>
    <m/>
    <m/>
    <m/>
    <m/>
    <m/>
    <m/>
    <m/>
    <m/>
    <m/>
    <m/>
    <m/>
    <m/>
    <m/>
    <m/>
  </r>
  <r>
    <s v="Bhavna Kapoor"/>
    <n v="9.9E+19"/>
    <x v="0"/>
    <x v="89"/>
    <d v="2020-09-07T00:00:00"/>
    <x v="1"/>
    <n v="2"/>
    <s v="Abhinav Shivam"/>
    <x v="0"/>
    <s v="Small Medium Enterpries (SME)"/>
    <s v="New"/>
    <n v="72138.929999999993"/>
    <d v="2019-09-08T00:00:00"/>
    <s v="Brokerage"/>
    <x v="0"/>
    <s v="OTHR - Other"/>
    <d v="2020-01-22T00:00:00"/>
    <s v="Other"/>
    <m/>
    <m/>
    <m/>
    <m/>
    <m/>
    <m/>
    <m/>
    <m/>
    <m/>
    <m/>
    <m/>
    <m/>
    <m/>
    <m/>
    <m/>
    <m/>
    <m/>
    <m/>
    <m/>
    <m/>
  </r>
  <r>
    <s v="Ritika Reddy"/>
    <n v="9.9E+19"/>
    <x v="0"/>
    <x v="89"/>
    <d v="2020-09-07T00:00:00"/>
    <x v="1"/>
    <n v="2"/>
    <s v="Abhinav Shivam"/>
    <x v="0"/>
    <s v="Small Medium Enterpries (SME)"/>
    <s v="New"/>
    <n v="43032.54"/>
    <d v="2019-09-08T00:00:00"/>
    <s v="Brokerage"/>
    <x v="0"/>
    <s v="OTHR - Other"/>
    <d v="2020-01-22T00:00:00"/>
    <s v="Other"/>
    <m/>
    <m/>
    <m/>
    <m/>
    <m/>
    <m/>
    <m/>
    <m/>
    <m/>
    <m/>
    <m/>
    <m/>
    <m/>
    <m/>
    <m/>
    <m/>
    <m/>
    <m/>
    <m/>
    <m/>
  </r>
  <r>
    <s v="Suresh Das"/>
    <n v="9.9E+19"/>
    <x v="0"/>
    <x v="89"/>
    <d v="2020-09-07T00:00:00"/>
    <x v="2"/>
    <n v="2"/>
    <s v="Abhinav Shivam"/>
    <x v="0"/>
    <s v="Property / BI"/>
    <s v="New"/>
    <n v="11550"/>
    <d v="2019-09-08T00:00:00"/>
    <s v="Brokerage"/>
    <x v="0"/>
    <s v="OTHR - Other"/>
    <d v="2020-01-22T00:00:00"/>
    <s v="Other"/>
    <m/>
    <m/>
    <m/>
    <m/>
    <m/>
    <m/>
    <m/>
    <m/>
    <m/>
    <m/>
    <m/>
    <m/>
    <m/>
    <m/>
    <m/>
    <m/>
    <m/>
    <m/>
    <m/>
    <m/>
  </r>
  <r>
    <s v="Shikha Chauhan"/>
    <n v="9.9E+19"/>
    <x v="0"/>
    <x v="89"/>
    <d v="2020-09-07T00:00:00"/>
    <x v="2"/>
    <n v="2"/>
    <s v="Abhinav Shivam"/>
    <x v="0"/>
    <s v="Property / BI"/>
    <s v="New"/>
    <n v="7700"/>
    <d v="2019-09-08T00:00:00"/>
    <s v="Brokerage"/>
    <x v="0"/>
    <s v="OTHR - Other"/>
    <d v="2020-01-22T00:00:00"/>
    <s v="Other"/>
    <m/>
    <m/>
    <m/>
    <m/>
    <m/>
    <m/>
    <m/>
    <m/>
    <m/>
    <m/>
    <m/>
    <m/>
    <m/>
    <m/>
    <m/>
    <m/>
    <m/>
    <m/>
    <m/>
    <m/>
  </r>
  <r>
    <s v="Hemant Dutta"/>
    <n v="9.9E+19"/>
    <x v="0"/>
    <x v="89"/>
    <d v="2020-09-07T00:00:00"/>
    <x v="2"/>
    <n v="2"/>
    <s v="Abhinav Shivam"/>
    <x v="0"/>
    <s v="Small Medium Enterpries (SME)"/>
    <s v="New"/>
    <n v="14461.25"/>
    <d v="2019-09-08T00:00:00"/>
    <s v="Brokerage"/>
    <x v="2"/>
    <s v="OTHR - Other"/>
    <d v="2020-01-22T00:00:00"/>
    <s v="Other"/>
    <m/>
    <m/>
    <m/>
    <m/>
    <m/>
    <m/>
    <m/>
    <m/>
    <m/>
    <m/>
    <m/>
    <m/>
    <m/>
    <m/>
    <m/>
    <m/>
    <m/>
    <m/>
    <m/>
    <m/>
  </r>
  <r>
    <s v="Dinesh Pandey"/>
    <n v="9.9E+19"/>
    <x v="0"/>
    <x v="89"/>
    <d v="2020-09-07T00:00:00"/>
    <x v="2"/>
    <n v="2"/>
    <s v="Abhinav Shivam"/>
    <x v="0"/>
    <s v="Small Medium Enterpries (SME)"/>
    <s v="New"/>
    <n v="13153.63"/>
    <d v="2019-10-10T00:00:00"/>
    <s v="Brokerage "/>
    <x v="2"/>
    <s v="OTHR - Other"/>
    <d v="2020-01-22T00:00:00"/>
    <s v="Other"/>
    <m/>
    <m/>
    <m/>
    <m/>
    <m/>
    <m/>
    <m/>
    <m/>
    <m/>
    <m/>
    <m/>
    <m/>
    <m/>
    <m/>
    <m/>
    <m/>
    <m/>
    <m/>
    <m/>
    <m/>
  </r>
  <r>
    <s v="Archana Iyer"/>
    <n v="9.9E+19"/>
    <x v="1"/>
    <x v="90"/>
    <d v="2024-07-05T00:00:00"/>
    <x v="5"/>
    <n v="13"/>
    <s v="Vididt Saha"/>
    <x v="0"/>
    <s v="Construction, Power &amp; Infrastructure"/>
    <s v="New"/>
    <n v="0"/>
    <d v="2018-04-04T00:00:00"/>
    <s v="Brokerage"/>
    <x v="3"/>
    <s v="OTHR - Other"/>
    <d v="2020-01-22T00:00:00"/>
    <s v="Other"/>
    <m/>
    <m/>
    <m/>
    <m/>
    <m/>
    <m/>
    <m/>
    <m/>
    <m/>
    <m/>
    <m/>
    <m/>
    <m/>
    <m/>
    <m/>
    <m/>
    <m/>
    <m/>
    <m/>
    <m/>
  </r>
  <r>
    <s v="Deepak Menon"/>
    <n v="9.9E+19"/>
    <x v="1"/>
    <x v="91"/>
    <d v="2019-09-21T00:00:00"/>
    <x v="5"/>
    <n v="13"/>
    <s v="Vididt Saha"/>
    <x v="0"/>
    <s v="Construction, Power &amp; Infrastructure"/>
    <s v="Cross Sell"/>
    <n v="15625"/>
    <d v="2018-06-22T00:00:00"/>
    <s v="Brokerage"/>
    <x v="3"/>
    <s v="MERC - Merged with new combined policy"/>
    <d v="2020-01-22T00:00:00"/>
    <s v="MERC - Merged with new combined policy"/>
    <m/>
    <m/>
    <m/>
    <m/>
    <m/>
    <m/>
    <m/>
    <m/>
    <m/>
    <m/>
    <m/>
    <m/>
    <m/>
    <m/>
    <m/>
    <m/>
    <m/>
    <m/>
    <m/>
    <m/>
  </r>
  <r>
    <s v="Vivek Gupta"/>
    <n v="9.9E+19"/>
    <x v="0"/>
    <x v="92"/>
    <d v="2021-04-24T00:00:00"/>
    <x v="5"/>
    <n v="13"/>
    <s v="Vididt Saha"/>
    <x v="0"/>
    <s v="Construction, Power &amp; Infrastructure"/>
    <s v="Cross Sell"/>
    <n v="134736.13"/>
    <d v="2019-04-25T00:00:00"/>
    <s v="Brokerage"/>
    <x v="0"/>
    <s v="OTHR - Other"/>
    <d v="2020-01-22T00:00:00"/>
    <s v="Other"/>
    <m/>
    <m/>
    <m/>
    <m/>
    <m/>
    <m/>
    <m/>
    <m/>
    <m/>
    <m/>
    <m/>
    <m/>
    <m/>
    <m/>
    <m/>
    <m/>
    <m/>
    <m/>
    <m/>
    <m/>
  </r>
  <r>
    <s v="Rina Shah"/>
    <n v="9.9E+19"/>
    <x v="0"/>
    <x v="93"/>
    <d v="2020-09-10T00:00:00"/>
    <x v="5"/>
    <n v="13"/>
    <s v="Vididt Saha"/>
    <x v="0"/>
    <s v="Construction, Power &amp; Infrastructure"/>
    <s v="Cross Sell"/>
    <n v="32584.880000000001"/>
    <d v="2019-09-11T00:00:00"/>
    <s v="Brokerage"/>
    <x v="0"/>
    <s v="OTHR - Other"/>
    <d v="2020-01-22T00:00:00"/>
    <s v="Other"/>
    <m/>
    <m/>
    <m/>
    <m/>
    <m/>
    <m/>
    <m/>
    <m/>
    <m/>
    <m/>
    <m/>
    <m/>
    <m/>
    <m/>
    <m/>
    <m/>
    <m/>
    <m/>
    <m/>
    <m/>
  </r>
  <r>
    <s v="Uday Prasad"/>
    <n v="9.9E+19"/>
    <x v="0"/>
    <x v="94"/>
    <d v="2020-03-21T00:00:00"/>
    <x v="5"/>
    <n v="13"/>
    <s v="Vididt Saha"/>
    <x v="0"/>
    <s v="Construction, Power &amp; Infrastructure"/>
    <s v="Cross Sell"/>
    <n v="8044.5"/>
    <d v="2019-09-22T00:00:00"/>
    <s v="Brokerage"/>
    <x v="0"/>
    <s v="OTHR - Other"/>
    <d v="2020-01-22T00:00:00"/>
    <s v="Other"/>
    <m/>
    <m/>
    <m/>
    <m/>
    <m/>
    <m/>
    <m/>
    <m/>
    <m/>
    <m/>
    <m/>
    <m/>
    <m/>
    <m/>
    <m/>
    <m/>
    <m/>
    <m/>
    <m/>
    <m/>
  </r>
  <r>
    <s v="Nitin Kapoor"/>
    <s v="'0000000008539844-01"/>
    <x v="1"/>
    <x v="57"/>
    <d v="2020-02-26T00:00:00"/>
    <x v="1"/>
    <n v="1"/>
    <s v="Vinay"/>
    <x v="0"/>
    <s v="Property / BI"/>
    <s v="Renewal"/>
    <n v="2141.5500000000002"/>
    <d v="2019-02-27T00:00:00"/>
    <s v="Brokerage"/>
    <x v="3"/>
    <s v="OTHR - Other"/>
    <d v="2020-01-22T00:00:00"/>
    <s v="Other"/>
    <m/>
    <m/>
    <m/>
    <m/>
    <m/>
    <m/>
    <m/>
    <m/>
    <m/>
    <m/>
    <m/>
    <m/>
    <m/>
    <m/>
    <m/>
    <m/>
    <m/>
    <m/>
    <m/>
    <m/>
  </r>
  <r>
    <s v="Harish Kaul"/>
    <s v="00000000085/39886"/>
    <x v="0"/>
    <x v="56"/>
    <d v="2019-02-26T00:00:00"/>
    <x v="1"/>
    <n v="1"/>
    <s v="Vinay"/>
    <x v="0"/>
    <s v="Property / BI"/>
    <s v="Renewal"/>
    <n v="2486.0700000000002"/>
    <d v="2018-02-27T00:00:00"/>
    <s v="Brokerage"/>
    <x v="0"/>
    <s v="OTHR - Other"/>
    <d v="2020-01-22T00:00:00"/>
    <s v="Other"/>
    <m/>
    <m/>
    <m/>
    <m/>
    <m/>
    <m/>
    <m/>
    <m/>
    <m/>
    <m/>
    <m/>
    <m/>
    <m/>
    <m/>
    <m/>
    <m/>
    <m/>
    <m/>
    <m/>
    <m/>
  </r>
  <r>
    <s v="Neeraj Arora"/>
    <n v="8539944"/>
    <x v="1"/>
    <x v="56"/>
    <d v="2019-02-26T00:00:00"/>
    <x v="1"/>
    <n v="1"/>
    <s v="Vinay"/>
    <x v="0"/>
    <s v="Property / BI"/>
    <s v="Renewal"/>
    <n v="6653.1"/>
    <d v="2018-02-27T00:00:00"/>
    <s v="Brokerage"/>
    <x v="0"/>
    <s v="OTHR - Other"/>
    <d v="2020-01-22T00:00:00"/>
    <s v="Other"/>
    <m/>
    <m/>
    <m/>
    <m/>
    <m/>
    <m/>
    <m/>
    <m/>
    <m/>
    <m/>
    <m/>
    <m/>
    <m/>
    <m/>
    <m/>
    <m/>
    <m/>
    <m/>
    <m/>
    <m/>
  </r>
  <r>
    <s v="Mukul Kumar"/>
    <s v="'0000000008539944-01"/>
    <x v="0"/>
    <x v="57"/>
    <d v="2020-02-26T00:00:00"/>
    <x v="1"/>
    <n v="1"/>
    <s v="Vinay"/>
    <x v="0"/>
    <s v="Property / BI"/>
    <s v="Renewal"/>
    <n v="6979.74"/>
    <d v="2019-02-27T00:00:00"/>
    <s v="Brokerage"/>
    <x v="1"/>
    <s v="OTHR - Other"/>
    <d v="2020-01-22T00:00:00"/>
    <s v="Other"/>
    <m/>
    <m/>
    <m/>
    <m/>
    <m/>
    <m/>
    <m/>
    <m/>
    <m/>
    <m/>
    <m/>
    <m/>
    <m/>
    <m/>
    <m/>
    <m/>
    <m/>
    <m/>
    <m/>
    <m/>
  </r>
  <r>
    <s v="Gauri Naik"/>
    <s v="00000000086/43966"/>
    <x v="0"/>
    <x v="56"/>
    <d v="2019-02-26T00:00:00"/>
    <x v="1"/>
    <n v="1"/>
    <s v="Vinay"/>
    <x v="0"/>
    <s v="Property / BI"/>
    <s v="Cross Sell"/>
    <n v="2283.33"/>
    <d v="2018-02-27T00:00:00"/>
    <s v="Brokerage"/>
    <x v="0"/>
    <s v="OTHR - Other"/>
    <d v="2020-01-22T00:00:00"/>
    <s v="Other"/>
    <m/>
    <m/>
    <m/>
    <m/>
    <m/>
    <m/>
    <m/>
    <m/>
    <m/>
    <m/>
    <m/>
    <m/>
    <m/>
    <m/>
    <m/>
    <m/>
    <m/>
    <m/>
    <m/>
    <m/>
  </r>
  <r>
    <s v="Harish Menon"/>
    <n v="41045915"/>
    <x v="0"/>
    <x v="95"/>
    <d v="2020-03-29T00:00:00"/>
    <x v="4"/>
    <n v="6"/>
    <s v="Ketan Jain"/>
    <x v="0"/>
    <s v="Liability"/>
    <s v="New"/>
    <n v="14107.5"/>
    <d v="2019-03-30T00:00:00"/>
    <s v="Brokerage"/>
    <x v="0"/>
    <s v="OTHR - Other"/>
    <d v="2020-01-22T00:00:00"/>
    <s v="Other"/>
    <m/>
    <m/>
    <m/>
    <m/>
    <m/>
    <m/>
    <m/>
    <m/>
    <m/>
    <m/>
    <m/>
    <m/>
    <m/>
    <m/>
    <m/>
    <m/>
    <m/>
    <m/>
    <m/>
    <m/>
  </r>
  <r>
    <s v="Mohit Gupta"/>
    <n v="2690000174"/>
    <x v="0"/>
    <x v="96"/>
    <d v="2018-12-30T00:00:00"/>
    <x v="2"/>
    <n v="1"/>
    <s v="Vinay"/>
    <x v="0"/>
    <s v="Property / BI"/>
    <s v="Renewal"/>
    <n v="2535.87"/>
    <d v="2017-12-31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Mohit Gupta"/>
    <n v="2690000174"/>
    <x v="0"/>
    <x v="96"/>
    <d v="2018-12-30T00:00:00"/>
    <x v="2"/>
    <n v="1"/>
    <s v="Vinay"/>
    <x v="0"/>
    <s v="Property / BI"/>
    <s v="Renewal"/>
    <n v="2535.87"/>
    <d v="2017-12-31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Mohit Gupta"/>
    <n v="2690000174"/>
    <x v="0"/>
    <x v="96"/>
    <d v="2018-12-30T00:00:00"/>
    <x v="2"/>
    <n v="1"/>
    <s v="Vinay"/>
    <x v="0"/>
    <s v="Property / BI"/>
    <s v="Renewal"/>
    <n v="2535.87"/>
    <d v="2017-12-31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Mohit Gupta"/>
    <n v="2690000174"/>
    <x v="0"/>
    <x v="96"/>
    <d v="2018-12-30T00:00:00"/>
    <x v="2"/>
    <n v="1"/>
    <s v="Vinay"/>
    <x v="0"/>
    <s v="Property / BI"/>
    <s v="Renewal"/>
    <n v="2535.87"/>
    <d v="2017-12-31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Mohit Gupta"/>
    <n v="2690000174"/>
    <x v="0"/>
    <x v="96"/>
    <d v="2018-12-30T00:00:00"/>
    <x v="2"/>
    <n v="1"/>
    <s v="Vinay"/>
    <x v="0"/>
    <s v="Property / BI"/>
    <s v="Renewal"/>
    <n v="2535.87"/>
    <d v="2017-12-31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Amit Arora"/>
    <n v="300004329"/>
    <x v="1"/>
    <x v="97"/>
    <d v="2019-01-30T00:00:00"/>
    <x v="4"/>
    <n v="1"/>
    <s v="Vinay"/>
    <x v="0"/>
    <s v="Liability"/>
    <s v="Renewal"/>
    <n v="125000"/>
    <d v="2018-01-31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Amit Arora"/>
    <n v="300004329"/>
    <x v="1"/>
    <x v="97"/>
    <d v="2019-01-30T00:00:00"/>
    <x v="4"/>
    <n v="1"/>
    <s v="Vinay"/>
    <x v="0"/>
    <s v="Liability"/>
    <s v="Renewal"/>
    <n v="125000"/>
    <d v="2018-01-31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Amit Arora"/>
    <n v="300004329"/>
    <x v="1"/>
    <x v="97"/>
    <d v="2019-01-30T00:00:00"/>
    <x v="4"/>
    <n v="1"/>
    <s v="Vinay"/>
    <x v="0"/>
    <s v="Liability"/>
    <s v="Renewal"/>
    <n v="125000"/>
    <d v="2018-01-31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Amit Arora"/>
    <n v="300004329"/>
    <x v="1"/>
    <x v="97"/>
    <d v="2019-01-30T00:00:00"/>
    <x v="4"/>
    <n v="1"/>
    <s v="Vinay"/>
    <x v="0"/>
    <s v="Liability"/>
    <s v="Renewal"/>
    <n v="125000"/>
    <d v="2018-01-31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Amit Arora"/>
    <n v="300004329"/>
    <x v="1"/>
    <x v="97"/>
    <d v="2019-01-30T00:00:00"/>
    <x v="4"/>
    <n v="1"/>
    <s v="Vinay"/>
    <x v="0"/>
    <s v="Liability"/>
    <s v="Renewal"/>
    <n v="125000"/>
    <d v="2018-01-31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Nikita Pandit"/>
    <s v="'0300004329"/>
    <x v="0"/>
    <x v="98"/>
    <d v="2020-01-30T00:00:00"/>
    <x v="4"/>
    <n v="1"/>
    <s v="Vinay"/>
    <x v="0"/>
    <s v="Liability"/>
    <s v="Renewal"/>
    <n v="125000"/>
    <d v="2019-01-31T00:00:00"/>
    <s v="Brokerage"/>
    <x v="1"/>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Nikita Pandit"/>
    <s v="'0300004329"/>
    <x v="0"/>
    <x v="98"/>
    <d v="2020-01-30T00:00:00"/>
    <x v="4"/>
    <n v="1"/>
    <s v="Vinay"/>
    <x v="0"/>
    <s v="Liability"/>
    <s v="Renewal"/>
    <n v="125000"/>
    <d v="2019-01-31T00:00:00"/>
    <s v="Brokerage"/>
    <x v="1"/>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Nikita Pandit"/>
    <s v="'0300004329"/>
    <x v="0"/>
    <x v="98"/>
    <d v="2020-01-30T00:00:00"/>
    <x v="4"/>
    <n v="1"/>
    <s v="Vinay"/>
    <x v="0"/>
    <s v="Liability"/>
    <s v="Renewal"/>
    <n v="125000"/>
    <d v="2019-01-31T00:00:00"/>
    <s v="Brokerage"/>
    <x v="1"/>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Nikita Pandit"/>
    <s v="'0300004329"/>
    <x v="0"/>
    <x v="98"/>
    <d v="2020-01-30T00:00:00"/>
    <x v="4"/>
    <n v="1"/>
    <s v="Vinay"/>
    <x v="0"/>
    <s v="Liability"/>
    <s v="Renewal"/>
    <n v="125000"/>
    <d v="2019-01-31T00:00:00"/>
    <s v="Brokerage"/>
    <x v="1"/>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Nikita Pandit"/>
    <s v="'0300004329"/>
    <x v="0"/>
    <x v="98"/>
    <d v="2020-01-30T00:00:00"/>
    <x v="4"/>
    <n v="1"/>
    <s v="Vinay"/>
    <x v="0"/>
    <s v="Liability"/>
    <s v="Renewal"/>
    <n v="125000"/>
    <d v="2019-01-31T00:00:00"/>
    <s v="Brokerage"/>
    <x v="1"/>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Vikas Gupta"/>
    <n v="304001755"/>
    <x v="1"/>
    <x v="97"/>
    <d v="2019-01-30T00:00:00"/>
    <x v="4"/>
    <n v="1"/>
    <s v="Vinay"/>
    <x v="0"/>
    <s v="Liability"/>
    <s v="Renewal"/>
    <n v="80000"/>
    <d v="2018-01-31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Vikas Gupta"/>
    <n v="304001755"/>
    <x v="1"/>
    <x v="97"/>
    <d v="2019-01-30T00:00:00"/>
    <x v="4"/>
    <n v="1"/>
    <s v="Vinay"/>
    <x v="0"/>
    <s v="Liability"/>
    <s v="Renewal"/>
    <n v="80000"/>
    <d v="2018-01-31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Vikas Gupta"/>
    <n v="304001755"/>
    <x v="1"/>
    <x v="97"/>
    <d v="2019-01-30T00:00:00"/>
    <x v="4"/>
    <n v="1"/>
    <s v="Vinay"/>
    <x v="0"/>
    <s v="Liability"/>
    <s v="Renewal"/>
    <n v="80000"/>
    <d v="2018-01-31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Vikas Gupta"/>
    <n v="304001755"/>
    <x v="1"/>
    <x v="97"/>
    <d v="2019-01-30T00:00:00"/>
    <x v="4"/>
    <n v="1"/>
    <s v="Vinay"/>
    <x v="0"/>
    <s v="Liability"/>
    <s v="Renewal"/>
    <n v="80000"/>
    <d v="2018-01-31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Vikas Gupta"/>
    <n v="304001755"/>
    <x v="1"/>
    <x v="97"/>
    <d v="2019-01-30T00:00:00"/>
    <x v="4"/>
    <n v="1"/>
    <s v="Vinay"/>
    <x v="0"/>
    <s v="Liability"/>
    <s v="Renewal"/>
    <n v="80000"/>
    <d v="2018-01-31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Kamlesh Pillai"/>
    <n v="304001755"/>
    <x v="1"/>
    <x v="97"/>
    <d v="2019-01-30T00:00:00"/>
    <x v="4"/>
    <n v="1"/>
    <s v="Vinay"/>
    <x v="0"/>
    <s v="Liability"/>
    <s v="Renewal"/>
    <n v="320000"/>
    <d v="2018-01-31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Kamlesh Pillai"/>
    <n v="304001755"/>
    <x v="1"/>
    <x v="97"/>
    <d v="2019-01-30T00:00:00"/>
    <x v="4"/>
    <n v="1"/>
    <s v="Vinay"/>
    <x v="0"/>
    <s v="Liability"/>
    <s v="Renewal"/>
    <n v="320000"/>
    <d v="2018-01-31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Kamlesh Pillai"/>
    <n v="304001755"/>
    <x v="1"/>
    <x v="97"/>
    <d v="2019-01-30T00:00:00"/>
    <x v="4"/>
    <n v="1"/>
    <s v="Vinay"/>
    <x v="0"/>
    <s v="Liability"/>
    <s v="Renewal"/>
    <n v="320000"/>
    <d v="2018-01-31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Kamlesh Pillai"/>
    <n v="304001755"/>
    <x v="1"/>
    <x v="97"/>
    <d v="2019-01-30T00:00:00"/>
    <x v="4"/>
    <n v="1"/>
    <s v="Vinay"/>
    <x v="0"/>
    <s v="Liability"/>
    <s v="Renewal"/>
    <n v="320000"/>
    <d v="2018-01-31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Kamlesh Pillai"/>
    <n v="304001755"/>
    <x v="1"/>
    <x v="97"/>
    <d v="2019-01-30T00:00:00"/>
    <x v="4"/>
    <n v="1"/>
    <s v="Vinay"/>
    <x v="0"/>
    <s v="Liability"/>
    <s v="Renewal"/>
    <n v="320000"/>
    <d v="2018-01-31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Umesh Agarwal"/>
    <s v="'0304001755"/>
    <x v="0"/>
    <x v="98"/>
    <d v="2020-01-30T00:00:00"/>
    <x v="4"/>
    <n v="1"/>
    <s v="Vinay"/>
    <x v="0"/>
    <s v="Liability"/>
    <s v="Renewal"/>
    <n v="320000"/>
    <d v="2019-01-31T00:00:00"/>
    <s v="Brokerage"/>
    <x v="1"/>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Umesh Agarwal"/>
    <s v="'0304001755"/>
    <x v="0"/>
    <x v="98"/>
    <d v="2020-01-30T00:00:00"/>
    <x v="4"/>
    <n v="1"/>
    <s v="Vinay"/>
    <x v="0"/>
    <s v="Liability"/>
    <s v="Renewal"/>
    <n v="320000"/>
    <d v="2019-01-31T00:00:00"/>
    <s v="Brokerage"/>
    <x v="1"/>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Umesh Agarwal"/>
    <s v="'0304001755"/>
    <x v="0"/>
    <x v="98"/>
    <d v="2020-01-30T00:00:00"/>
    <x v="4"/>
    <n v="1"/>
    <s v="Vinay"/>
    <x v="0"/>
    <s v="Liability"/>
    <s v="Renewal"/>
    <n v="320000"/>
    <d v="2019-01-31T00:00:00"/>
    <s v="Brokerage"/>
    <x v="1"/>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Umesh Agarwal"/>
    <s v="'0304001755"/>
    <x v="0"/>
    <x v="98"/>
    <d v="2020-01-30T00:00:00"/>
    <x v="4"/>
    <n v="1"/>
    <s v="Vinay"/>
    <x v="0"/>
    <s v="Liability"/>
    <s v="Renewal"/>
    <n v="320000"/>
    <d v="2019-01-31T00:00:00"/>
    <s v="Brokerage"/>
    <x v="1"/>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Umesh Agarwal"/>
    <s v="'0304001755"/>
    <x v="0"/>
    <x v="98"/>
    <d v="2020-01-30T00:00:00"/>
    <x v="4"/>
    <n v="1"/>
    <s v="Vinay"/>
    <x v="0"/>
    <s v="Liability"/>
    <s v="Renewal"/>
    <n v="320000"/>
    <d v="2019-01-31T00:00:00"/>
    <s v="Brokerage"/>
    <x v="1"/>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Ankur Gandhi"/>
    <n v="640001622"/>
    <x v="1"/>
    <x v="96"/>
    <d v="2018-12-30T00:00:00"/>
    <x v="2"/>
    <n v="1"/>
    <s v="Vinay"/>
    <x v="0"/>
    <s v="Property / BI"/>
    <s v="Renewal"/>
    <n v="211206.7"/>
    <d v="2017-12-31T00:00:00"/>
    <s v="Brokerage"/>
    <x v="3"/>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Ankur Gandhi"/>
    <n v="640001622"/>
    <x v="1"/>
    <x v="96"/>
    <d v="2018-12-30T00:00:00"/>
    <x v="2"/>
    <n v="1"/>
    <s v="Vinay"/>
    <x v="0"/>
    <s v="Property / BI"/>
    <s v="Renewal"/>
    <n v="211206.7"/>
    <d v="2017-12-31T00:00:00"/>
    <s v="Brokerage"/>
    <x v="3"/>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Ankur Gandhi"/>
    <n v="640001622"/>
    <x v="1"/>
    <x v="96"/>
    <d v="2018-12-30T00:00:00"/>
    <x v="2"/>
    <n v="1"/>
    <s v="Vinay"/>
    <x v="0"/>
    <s v="Property / BI"/>
    <s v="Renewal"/>
    <n v="211206.7"/>
    <d v="2017-12-31T00:00:00"/>
    <s v="Brokerage"/>
    <x v="3"/>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Ankur Gandhi"/>
    <n v="640001622"/>
    <x v="1"/>
    <x v="96"/>
    <d v="2018-12-30T00:00:00"/>
    <x v="2"/>
    <n v="1"/>
    <s v="Vinay"/>
    <x v="0"/>
    <s v="Property / BI"/>
    <s v="Renewal"/>
    <n v="211206.7"/>
    <d v="2017-12-31T00:00:00"/>
    <s v="Brokerage"/>
    <x v="3"/>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Ankur Gandhi"/>
    <n v="640001622"/>
    <x v="1"/>
    <x v="96"/>
    <d v="2018-12-30T00:00:00"/>
    <x v="2"/>
    <n v="1"/>
    <s v="Vinay"/>
    <x v="0"/>
    <s v="Property / BI"/>
    <s v="Renewal"/>
    <n v="211206.7"/>
    <d v="2017-12-31T00:00:00"/>
    <s v="Brokerage"/>
    <x v="3"/>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Dinesh Kaul"/>
    <n v="655001664"/>
    <x v="1"/>
    <x v="27"/>
    <d v="2019-02-28T00:00:00"/>
    <x v="1"/>
    <n v="1"/>
    <s v="Vinay"/>
    <x v="0"/>
    <s v="Property / BI"/>
    <s v="Renewal"/>
    <n v="275569.44"/>
    <d v="2019-03-01T00:00:00"/>
    <s v="Brokerage"/>
    <x v="0"/>
    <s v="OTHR - Other"/>
    <d v="2020-01-22T00:00:00"/>
    <s v="Other"/>
    <m/>
    <m/>
    <m/>
    <m/>
    <m/>
    <m/>
    <m/>
    <m/>
    <m/>
    <m/>
    <m/>
    <m/>
    <m/>
    <m/>
    <m/>
    <m/>
    <m/>
    <m/>
    <m/>
    <m/>
  </r>
  <r>
    <s v="Ankur Naik"/>
    <s v="'0655001664 03"/>
    <x v="0"/>
    <x v="28"/>
    <d v="2020-02-29T00:00:00"/>
    <x v="1"/>
    <n v="1"/>
    <s v="Vinay"/>
    <x v="0"/>
    <s v="Property / BI"/>
    <s v="Renewal"/>
    <n v="275569.44"/>
    <d v="2019-03-01T00:00:00"/>
    <s v="Brokerage"/>
    <x v="1"/>
    <s v="OTHR - Other"/>
    <d v="2020-01-22T00:00:00"/>
    <s v="Other"/>
    <m/>
    <m/>
    <m/>
    <m/>
    <m/>
    <m/>
    <m/>
    <m/>
    <m/>
    <m/>
    <m/>
    <m/>
    <m/>
    <m/>
    <m/>
    <m/>
    <m/>
    <m/>
    <m/>
    <m/>
  </r>
  <r>
    <s v="ABC"/>
    <s v="0830016972 02"/>
    <x v="0"/>
    <x v="28"/>
    <d v="2020-02-29T00:00:00"/>
    <x v="0"/>
    <n v="1"/>
    <s v="Vinay"/>
    <x v="0"/>
    <s v="Marine"/>
    <s v="Renewal"/>
    <n v="50332.73"/>
    <d v="2019-03-01T00:00:00"/>
    <s v="Brokerage"/>
    <x v="1"/>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ABC"/>
    <s v="0830016972 02"/>
    <x v="0"/>
    <x v="28"/>
    <d v="2020-02-29T00:00:00"/>
    <x v="0"/>
    <n v="1"/>
    <s v="Vinay"/>
    <x v="0"/>
    <s v="Marine"/>
    <s v="Renewal"/>
    <n v="50332.73"/>
    <d v="2019-03-01T00:00:00"/>
    <s v="Brokerage"/>
    <x v="1"/>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ABC"/>
    <s v="0830016972 02"/>
    <x v="0"/>
    <x v="28"/>
    <d v="2020-02-29T00:00:00"/>
    <x v="0"/>
    <n v="1"/>
    <s v="Vinay"/>
    <x v="0"/>
    <s v="Marine"/>
    <s v="Renewal"/>
    <n v="50332.73"/>
    <d v="2019-03-01T00:00:00"/>
    <s v="Brokerage"/>
    <x v="1"/>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ABC"/>
    <s v="0830016972 02"/>
    <x v="0"/>
    <x v="28"/>
    <d v="2020-02-29T00:00:00"/>
    <x v="0"/>
    <n v="1"/>
    <s v="Vinay"/>
    <x v="0"/>
    <s v="Marine"/>
    <s v="Renewal"/>
    <n v="50332.73"/>
    <d v="2019-03-01T00:00:00"/>
    <s v="Brokerage"/>
    <x v="1"/>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ABC"/>
    <s v="0830016972 02"/>
    <x v="0"/>
    <x v="28"/>
    <d v="2020-02-29T00:00:00"/>
    <x v="0"/>
    <n v="1"/>
    <s v="Vinay"/>
    <x v="0"/>
    <s v="Marine"/>
    <s v="Renewal"/>
    <n v="50332.73"/>
    <d v="2019-03-01T00:00:00"/>
    <s v="Brokerage"/>
    <x v="1"/>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ABC"/>
    <s v="0830016972 02"/>
    <x v="0"/>
    <x v="28"/>
    <d v="2020-02-29T00:00:00"/>
    <x v="0"/>
    <n v="1"/>
    <s v="Vinay"/>
    <x v="0"/>
    <s v="Marine"/>
    <s v="Renewal"/>
    <n v="50332.73"/>
    <d v="2019-03-01T00:00:00"/>
    <s v="Brokerage"/>
    <x v="1"/>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ABC"/>
    <s v="0830016972 02"/>
    <x v="0"/>
    <x v="28"/>
    <d v="2020-02-29T00:00:00"/>
    <x v="0"/>
    <n v="1"/>
    <s v="Vinay"/>
    <x v="0"/>
    <s v="Marine"/>
    <s v="Renewal"/>
    <n v="50332.73"/>
    <d v="2019-03-01T00:00:00"/>
    <s v="Brokerage"/>
    <x v="1"/>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ABC"/>
    <s v="0830016972 02"/>
    <x v="0"/>
    <x v="28"/>
    <d v="2020-02-29T00:00:00"/>
    <x v="0"/>
    <n v="1"/>
    <s v="Vinay"/>
    <x v="0"/>
    <s v="Marine"/>
    <s v="Renewal"/>
    <n v="50332.73"/>
    <d v="2019-03-01T00:00:00"/>
    <s v="Brokerage"/>
    <x v="1"/>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ABC"/>
    <s v="0830016972 02"/>
    <x v="0"/>
    <x v="28"/>
    <d v="2020-02-29T00:00:00"/>
    <x v="0"/>
    <n v="1"/>
    <s v="Vinay"/>
    <x v="0"/>
    <s v="Marine"/>
    <s v="Renewal"/>
    <n v="50332.73"/>
    <d v="2019-03-01T00:00:00"/>
    <s v="Brokerage"/>
    <x v="1"/>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ABC"/>
    <s v="0830016972 02"/>
    <x v="0"/>
    <x v="28"/>
    <d v="2020-02-29T00:00:00"/>
    <x v="0"/>
    <n v="1"/>
    <s v="Vinay"/>
    <x v="0"/>
    <s v="Marine"/>
    <s v="Renewal"/>
    <n v="50332.73"/>
    <d v="2019-03-01T00:00:00"/>
    <s v="Brokerage"/>
    <x v="1"/>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ABC"/>
    <s v="0830016972 02"/>
    <x v="0"/>
    <x v="28"/>
    <d v="2020-02-29T00:00:00"/>
    <x v="0"/>
    <n v="1"/>
    <s v="Vinay"/>
    <x v="0"/>
    <s v="Marine"/>
    <s v="Renewal"/>
    <n v="50332.73"/>
    <d v="2019-03-01T00:00:00"/>
    <s v="Brokerage"/>
    <x v="1"/>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ABC"/>
    <s v="0830016972 02"/>
    <x v="0"/>
    <x v="28"/>
    <d v="2020-02-29T00:00:00"/>
    <x v="0"/>
    <n v="1"/>
    <s v="Vinay"/>
    <x v="0"/>
    <s v="Marine"/>
    <s v="Renewal"/>
    <n v="50332.73"/>
    <d v="2019-03-01T00:00:00"/>
    <s v="Brokerage"/>
    <x v="1"/>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ABC"/>
    <s v="0830016972 02"/>
    <x v="0"/>
    <x v="28"/>
    <d v="2020-02-29T00:00:00"/>
    <x v="0"/>
    <n v="1"/>
    <s v="Vinay"/>
    <x v="0"/>
    <s v="Marine"/>
    <s v="Renewal"/>
    <n v="50332.73"/>
    <d v="2019-03-01T00:00:00"/>
    <s v="Brokerage"/>
    <x v="1"/>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ABC"/>
    <s v="0830016972 02"/>
    <x v="0"/>
    <x v="28"/>
    <d v="2020-02-29T00:00:00"/>
    <x v="0"/>
    <n v="1"/>
    <s v="Vinay"/>
    <x v="0"/>
    <s v="Marine"/>
    <s v="Renewal"/>
    <n v="50332.73"/>
    <d v="2019-03-01T00:00:00"/>
    <s v="Brokerage"/>
    <x v="1"/>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ABC"/>
    <s v="0830016972 02"/>
    <x v="0"/>
    <x v="28"/>
    <d v="2020-02-29T00:00:00"/>
    <x v="0"/>
    <n v="1"/>
    <s v="Vinay"/>
    <x v="0"/>
    <s v="Marine"/>
    <s v="Renewal"/>
    <n v="50332.73"/>
    <d v="2019-03-01T00:00:00"/>
    <s v="Brokerage"/>
    <x v="1"/>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ABC"/>
    <s v="0830016972 02"/>
    <x v="0"/>
    <x v="28"/>
    <d v="2020-02-29T00:00:00"/>
    <x v="0"/>
    <n v="1"/>
    <s v="Vinay"/>
    <x v="0"/>
    <s v="Marine"/>
    <s v="Renewal"/>
    <n v="50332.73"/>
    <d v="2019-03-01T00:00:00"/>
    <s v="Brokerage"/>
    <x v="1"/>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ABC"/>
    <s v="0830016972 02"/>
    <x v="0"/>
    <x v="28"/>
    <d v="2020-02-29T00:00:00"/>
    <x v="0"/>
    <n v="1"/>
    <s v="Vinay"/>
    <x v="0"/>
    <s v="Marine"/>
    <s v="Renewal"/>
    <n v="50332.73"/>
    <d v="2019-03-01T00:00:00"/>
    <s v="Brokerage"/>
    <x v="1"/>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ABC"/>
    <s v="0830016972 02"/>
    <x v="0"/>
    <x v="28"/>
    <d v="2020-02-29T00:00:00"/>
    <x v="0"/>
    <n v="1"/>
    <s v="Vinay"/>
    <x v="0"/>
    <s v="Marine"/>
    <s v="Renewal"/>
    <n v="50332.73"/>
    <d v="2019-03-01T00:00:00"/>
    <s v="Brokerage"/>
    <x v="1"/>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ABC"/>
    <s v="0830016972 02"/>
    <x v="0"/>
    <x v="28"/>
    <d v="2020-02-29T00:00:00"/>
    <x v="0"/>
    <n v="1"/>
    <s v="Vinay"/>
    <x v="0"/>
    <s v="Marine"/>
    <s v="Renewal"/>
    <n v="50332.73"/>
    <d v="2019-03-01T00:00:00"/>
    <s v="Brokerage"/>
    <x v="1"/>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ABC"/>
    <s v="0830016972 02"/>
    <x v="0"/>
    <x v="28"/>
    <d v="2020-02-29T00:00:00"/>
    <x v="0"/>
    <n v="1"/>
    <s v="Vinay"/>
    <x v="0"/>
    <s v="Marine"/>
    <s v="Renewal"/>
    <n v="50332.73"/>
    <d v="2019-03-01T00:00:00"/>
    <s v="Brokerage"/>
    <x v="1"/>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ABC"/>
    <s v="0830016972Ã‚Â 01"/>
    <x v="1"/>
    <x v="27"/>
    <d v="2019-02-28T00:00:00"/>
    <x v="0"/>
    <n v="1"/>
    <s v="Vinay"/>
    <x v="0"/>
    <s v="Marine"/>
    <s v="Renewal"/>
    <n v="57539.3"/>
    <d v="2018-03-01T00:00:00"/>
    <s v="Brokerage"/>
    <x v="0"/>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ABC"/>
    <s v="0830016972Ã‚Â 01"/>
    <x v="1"/>
    <x v="27"/>
    <d v="2019-02-28T00:00:00"/>
    <x v="0"/>
    <n v="1"/>
    <s v="Vinay"/>
    <x v="0"/>
    <s v="Marine"/>
    <s v="Renewal"/>
    <n v="57539.3"/>
    <d v="2018-03-01T00:00:00"/>
    <s v="Brokerage"/>
    <x v="0"/>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ABC"/>
    <s v="0830016972Ã‚Â 01"/>
    <x v="1"/>
    <x v="27"/>
    <d v="2019-02-28T00:00:00"/>
    <x v="0"/>
    <n v="1"/>
    <s v="Vinay"/>
    <x v="0"/>
    <s v="Marine"/>
    <s v="Renewal"/>
    <n v="57539.3"/>
    <d v="2018-03-01T00:00:00"/>
    <s v="Brokerage"/>
    <x v="0"/>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ABC"/>
    <s v="0830016972Ã‚Â 01"/>
    <x v="1"/>
    <x v="27"/>
    <d v="2019-02-28T00:00:00"/>
    <x v="0"/>
    <n v="1"/>
    <s v="Vinay"/>
    <x v="0"/>
    <s v="Marine"/>
    <s v="Renewal"/>
    <n v="57539.3"/>
    <d v="2018-03-01T00:00:00"/>
    <s v="Brokerage"/>
    <x v="0"/>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ABC"/>
    <s v="0830016972Ã‚Â 01"/>
    <x v="1"/>
    <x v="27"/>
    <d v="2019-02-28T00:00:00"/>
    <x v="0"/>
    <n v="1"/>
    <s v="Vinay"/>
    <x v="0"/>
    <s v="Marine"/>
    <s v="Renewal"/>
    <n v="57539.3"/>
    <d v="2018-03-01T00:00:00"/>
    <s v="Brokerage"/>
    <x v="0"/>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ABC"/>
    <s v="0830016972Ã‚Â 01"/>
    <x v="1"/>
    <x v="27"/>
    <d v="2019-02-28T00:00:00"/>
    <x v="0"/>
    <n v="1"/>
    <s v="Vinay"/>
    <x v="0"/>
    <s v="Marine"/>
    <s v="Renewal"/>
    <n v="57539.3"/>
    <d v="2018-03-01T00:00:00"/>
    <s v="Brokerage"/>
    <x v="0"/>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ABC"/>
    <s v="0830016972Ã‚Â 01"/>
    <x v="1"/>
    <x v="27"/>
    <d v="2019-02-28T00:00:00"/>
    <x v="0"/>
    <n v="1"/>
    <s v="Vinay"/>
    <x v="0"/>
    <s v="Marine"/>
    <s v="Renewal"/>
    <n v="57539.3"/>
    <d v="2018-03-01T00:00:00"/>
    <s v="Brokerage"/>
    <x v="0"/>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ABC"/>
    <s v="0830016972Ã‚Â 01"/>
    <x v="1"/>
    <x v="27"/>
    <d v="2019-02-28T00:00:00"/>
    <x v="0"/>
    <n v="1"/>
    <s v="Vinay"/>
    <x v="0"/>
    <s v="Marine"/>
    <s v="Renewal"/>
    <n v="57539.3"/>
    <d v="2018-03-01T00:00:00"/>
    <s v="Brokerage"/>
    <x v="0"/>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ABC"/>
    <s v="0830016972Ã‚Â 01"/>
    <x v="1"/>
    <x v="27"/>
    <d v="2019-02-28T00:00:00"/>
    <x v="0"/>
    <n v="1"/>
    <s v="Vinay"/>
    <x v="0"/>
    <s v="Marine"/>
    <s v="Renewal"/>
    <n v="57539.3"/>
    <d v="2018-03-01T00:00:00"/>
    <s v="Brokerage"/>
    <x v="0"/>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ABC"/>
    <s v="0830016972Ã‚Â 01"/>
    <x v="1"/>
    <x v="27"/>
    <d v="2019-02-28T00:00:00"/>
    <x v="0"/>
    <n v="1"/>
    <s v="Vinay"/>
    <x v="0"/>
    <s v="Marine"/>
    <s v="Renewal"/>
    <n v="57539.3"/>
    <d v="2018-03-01T00:00:00"/>
    <s v="Brokerage"/>
    <x v="0"/>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ABC"/>
    <s v="0830016972Ã‚Â 01"/>
    <x v="1"/>
    <x v="27"/>
    <d v="2019-02-28T00:00:00"/>
    <x v="0"/>
    <n v="1"/>
    <s v="Vinay"/>
    <x v="0"/>
    <s v="Marine"/>
    <s v="Renewal"/>
    <n v="57539.3"/>
    <d v="2018-03-01T00:00:00"/>
    <s v="Brokerage"/>
    <x v="0"/>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ABC"/>
    <s v="0830016972Ã‚Â 01"/>
    <x v="1"/>
    <x v="27"/>
    <d v="2019-02-28T00:00:00"/>
    <x v="0"/>
    <n v="1"/>
    <s v="Vinay"/>
    <x v="0"/>
    <s v="Marine"/>
    <s v="Renewal"/>
    <n v="57539.3"/>
    <d v="2018-03-01T00:00:00"/>
    <s v="Brokerage"/>
    <x v="0"/>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ABC"/>
    <s v="0830016972Ã‚Â 01"/>
    <x v="1"/>
    <x v="27"/>
    <d v="2019-02-28T00:00:00"/>
    <x v="0"/>
    <n v="1"/>
    <s v="Vinay"/>
    <x v="0"/>
    <s v="Marine"/>
    <s v="Renewal"/>
    <n v="57539.3"/>
    <d v="2018-03-01T00:00:00"/>
    <s v="Brokerage"/>
    <x v="0"/>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ABC"/>
    <s v="0830016972Ã‚Â 01"/>
    <x v="1"/>
    <x v="27"/>
    <d v="2019-02-28T00:00:00"/>
    <x v="0"/>
    <n v="1"/>
    <s v="Vinay"/>
    <x v="0"/>
    <s v="Marine"/>
    <s v="Renewal"/>
    <n v="57539.3"/>
    <d v="2018-03-01T00:00:00"/>
    <s v="Brokerage"/>
    <x v="0"/>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ABC"/>
    <s v="0830016972Ã‚Â 01"/>
    <x v="1"/>
    <x v="27"/>
    <d v="2019-02-28T00:00:00"/>
    <x v="0"/>
    <n v="1"/>
    <s v="Vinay"/>
    <x v="0"/>
    <s v="Marine"/>
    <s v="Renewal"/>
    <n v="57539.3"/>
    <d v="2018-03-01T00:00:00"/>
    <s v="Brokerage"/>
    <x v="0"/>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ABC"/>
    <s v="0830016972Ã‚Â 01"/>
    <x v="1"/>
    <x v="27"/>
    <d v="2019-02-28T00:00:00"/>
    <x v="0"/>
    <n v="1"/>
    <s v="Vinay"/>
    <x v="0"/>
    <s v="Marine"/>
    <s v="Renewal"/>
    <n v="57539.3"/>
    <d v="2018-03-01T00:00:00"/>
    <s v="Brokerage"/>
    <x v="0"/>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ABC"/>
    <s v="0830016972Ã‚Â 01"/>
    <x v="1"/>
    <x v="27"/>
    <d v="2019-02-28T00:00:00"/>
    <x v="0"/>
    <n v="1"/>
    <s v="Vinay"/>
    <x v="0"/>
    <s v="Marine"/>
    <s v="Renewal"/>
    <n v="57539.3"/>
    <d v="2018-03-01T00:00:00"/>
    <s v="Brokerage"/>
    <x v="0"/>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ABC"/>
    <s v="0830016972Ã‚Â 01"/>
    <x v="1"/>
    <x v="27"/>
    <d v="2019-02-28T00:00:00"/>
    <x v="0"/>
    <n v="1"/>
    <s v="Vinay"/>
    <x v="0"/>
    <s v="Marine"/>
    <s v="Renewal"/>
    <n v="57539.3"/>
    <d v="2018-03-01T00:00:00"/>
    <s v="Brokerage"/>
    <x v="0"/>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ABC"/>
    <s v="0830016972Ã‚Â 01"/>
    <x v="1"/>
    <x v="27"/>
    <d v="2019-02-28T00:00:00"/>
    <x v="0"/>
    <n v="1"/>
    <s v="Vinay"/>
    <x v="0"/>
    <s v="Marine"/>
    <s v="Renewal"/>
    <n v="57539.3"/>
    <d v="2018-03-01T00:00:00"/>
    <s v="Brokerage"/>
    <x v="0"/>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ABC"/>
    <s v="0830016972Ã‚Â 01"/>
    <x v="1"/>
    <x v="27"/>
    <d v="2019-02-28T00:00:00"/>
    <x v="0"/>
    <n v="1"/>
    <s v="Vinay"/>
    <x v="0"/>
    <s v="Marine"/>
    <s v="Renewal"/>
    <n v="57539.3"/>
    <d v="2018-03-01T00:00:00"/>
    <s v="Brokerage"/>
    <x v="0"/>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ABC"/>
    <s v="'12063453"/>
    <x v="0"/>
    <x v="99"/>
    <d v="2019-12-13T00:00:00"/>
    <x v="1"/>
    <n v="1"/>
    <s v="Vinay"/>
    <x v="0"/>
    <s v="Property / BI"/>
    <s v="Renewal"/>
    <n v="212357.74"/>
    <d v="2018-12-14T00:00:00"/>
    <s v="Brokerage"/>
    <x v="0"/>
    <s v="OTHR - Other"/>
    <d v="2020-01-22T00:00:00"/>
    <s v="Other"/>
    <m/>
    <m/>
    <m/>
    <m/>
    <m/>
    <m/>
    <m/>
    <m/>
    <m/>
    <m/>
    <m/>
    <m/>
    <m/>
    <m/>
    <m/>
    <m/>
    <m/>
    <m/>
    <m/>
    <m/>
  </r>
  <r>
    <s v="ABC"/>
    <n v="1.214E+19"/>
    <x v="1"/>
    <x v="27"/>
    <d v="2019-02-28T00:00:00"/>
    <x v="4"/>
    <n v="1"/>
    <s v="Vinay"/>
    <x v="0"/>
    <s v="Liability"/>
    <s v="Cross Sell"/>
    <n v="31250"/>
    <d v="2018-03-01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ABC"/>
    <n v="1.214E+19"/>
    <x v="1"/>
    <x v="27"/>
    <d v="2019-02-28T00:00:00"/>
    <x v="4"/>
    <n v="1"/>
    <s v="Vinay"/>
    <x v="0"/>
    <s v="Liability"/>
    <s v="Cross Sell"/>
    <n v="31250"/>
    <d v="2018-03-01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ABC"/>
    <n v="1.214E+19"/>
    <x v="1"/>
    <x v="27"/>
    <d v="2019-02-28T00:00:00"/>
    <x v="4"/>
    <n v="1"/>
    <s v="Vinay"/>
    <x v="0"/>
    <s v="Liability"/>
    <s v="Cross Sell"/>
    <n v="31250"/>
    <d v="2018-03-01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ABC"/>
    <n v="1.214E+19"/>
    <x v="1"/>
    <x v="27"/>
    <d v="2019-02-28T00:00:00"/>
    <x v="4"/>
    <n v="1"/>
    <s v="Vinay"/>
    <x v="0"/>
    <s v="Liability"/>
    <s v="Cross Sell"/>
    <n v="31250"/>
    <d v="2018-03-01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ABC"/>
    <n v="1.214E+19"/>
    <x v="1"/>
    <x v="27"/>
    <d v="2019-02-28T00:00:00"/>
    <x v="4"/>
    <n v="1"/>
    <s v="Vinay"/>
    <x v="0"/>
    <s v="Liability"/>
    <s v="Cross Sell"/>
    <n v="31250"/>
    <d v="2018-03-01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ABC"/>
    <s v="121400/36/17/17/00000005 "/>
    <x v="1"/>
    <x v="27"/>
    <d v="2019-02-28T00:00:00"/>
    <x v="4"/>
    <n v="1"/>
    <s v="Vinay"/>
    <x v="0"/>
    <s v="Liability"/>
    <s v="Renewal"/>
    <n v="43750"/>
    <d v="2018-03-01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ABC"/>
    <s v="121400/36/17/17/00000005 "/>
    <x v="1"/>
    <x v="27"/>
    <d v="2019-02-28T00:00:00"/>
    <x v="4"/>
    <n v="1"/>
    <s v="Vinay"/>
    <x v="0"/>
    <s v="Liability"/>
    <s v="Renewal"/>
    <n v="43750"/>
    <d v="2018-03-01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ABC"/>
    <s v="121400/36/17/17/00000005 "/>
    <x v="1"/>
    <x v="27"/>
    <d v="2019-02-28T00:00:00"/>
    <x v="4"/>
    <n v="1"/>
    <s v="Vinay"/>
    <x v="0"/>
    <s v="Liability"/>
    <s v="Renewal"/>
    <n v="43750"/>
    <d v="2018-03-01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ABC"/>
    <s v="121400/36/17/17/00000005 "/>
    <x v="1"/>
    <x v="27"/>
    <d v="2019-02-28T00:00:00"/>
    <x v="4"/>
    <n v="1"/>
    <s v="Vinay"/>
    <x v="0"/>
    <s v="Liability"/>
    <s v="Renewal"/>
    <n v="43750"/>
    <d v="2018-03-01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ABC"/>
    <s v="121400/36/17/17/00000005 "/>
    <x v="1"/>
    <x v="27"/>
    <d v="2019-02-28T00:00:00"/>
    <x v="4"/>
    <n v="1"/>
    <s v="Vinay"/>
    <x v="0"/>
    <s v="Liability"/>
    <s v="Renewal"/>
    <n v="43750"/>
    <d v="2018-03-01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ABC"/>
    <s v="121400/36/17/30/00000014"/>
    <x v="1"/>
    <x v="27"/>
    <d v="2019-02-28T00:00:00"/>
    <x v="4"/>
    <n v="1"/>
    <s v="Vinay"/>
    <x v="0"/>
    <s v="Liability"/>
    <s v="Cross Sell"/>
    <n v="75000"/>
    <d v="2018-03-01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ABC"/>
    <s v="121400/36/17/30/00000014"/>
    <x v="1"/>
    <x v="27"/>
    <d v="2019-02-28T00:00:00"/>
    <x v="4"/>
    <n v="1"/>
    <s v="Vinay"/>
    <x v="0"/>
    <s v="Liability"/>
    <s v="Cross Sell"/>
    <n v="75000"/>
    <d v="2018-03-01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ABC"/>
    <s v="121400/36/17/30/00000014"/>
    <x v="1"/>
    <x v="27"/>
    <d v="2019-02-28T00:00:00"/>
    <x v="4"/>
    <n v="1"/>
    <s v="Vinay"/>
    <x v="0"/>
    <s v="Liability"/>
    <s v="Cross Sell"/>
    <n v="75000"/>
    <d v="2018-03-01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ABC"/>
    <s v="121400/36/17/30/00000014"/>
    <x v="1"/>
    <x v="27"/>
    <d v="2019-02-28T00:00:00"/>
    <x v="4"/>
    <n v="1"/>
    <s v="Vinay"/>
    <x v="0"/>
    <s v="Liability"/>
    <s v="Cross Sell"/>
    <n v="75000"/>
    <d v="2018-03-01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ABC"/>
    <s v="121400/36/17/30/00000014"/>
    <x v="1"/>
    <x v="27"/>
    <d v="2019-02-28T00:00:00"/>
    <x v="4"/>
    <n v="1"/>
    <s v="Vinay"/>
    <x v="0"/>
    <s v="Liability"/>
    <s v="Cross Sell"/>
    <n v="75000"/>
    <d v="2018-03-01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ABC"/>
    <s v="'12140036180800000001"/>
    <x v="0"/>
    <x v="28"/>
    <d v="2020-02-29T00:00:00"/>
    <x v="4"/>
    <n v="1"/>
    <s v="Vinay"/>
    <x v="0"/>
    <s v="Liability"/>
    <s v="Cross Sell"/>
    <n v="31250"/>
    <d v="2019-03-01T00:00:00"/>
    <s v="Brokerage"/>
    <x v="1"/>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ABC"/>
    <s v="'12140036180800000001"/>
    <x v="0"/>
    <x v="28"/>
    <d v="2020-02-29T00:00:00"/>
    <x v="4"/>
    <n v="1"/>
    <s v="Vinay"/>
    <x v="0"/>
    <s v="Liability"/>
    <s v="Cross Sell"/>
    <n v="31250"/>
    <d v="2019-03-01T00:00:00"/>
    <s v="Brokerage"/>
    <x v="1"/>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ABC"/>
    <s v="'12140036180800000001"/>
    <x v="0"/>
    <x v="28"/>
    <d v="2020-02-29T00:00:00"/>
    <x v="4"/>
    <n v="1"/>
    <s v="Vinay"/>
    <x v="0"/>
    <s v="Liability"/>
    <s v="Cross Sell"/>
    <n v="31250"/>
    <d v="2019-03-01T00:00:00"/>
    <s v="Brokerage"/>
    <x v="1"/>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ABC"/>
    <s v="'12140036180800000001"/>
    <x v="0"/>
    <x v="28"/>
    <d v="2020-02-29T00:00:00"/>
    <x v="4"/>
    <n v="1"/>
    <s v="Vinay"/>
    <x v="0"/>
    <s v="Liability"/>
    <s v="Cross Sell"/>
    <n v="31250"/>
    <d v="2019-03-01T00:00:00"/>
    <s v="Brokerage"/>
    <x v="1"/>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ABC"/>
    <s v="'12140036180800000001"/>
    <x v="0"/>
    <x v="28"/>
    <d v="2020-02-29T00:00:00"/>
    <x v="4"/>
    <n v="1"/>
    <s v="Vinay"/>
    <x v="0"/>
    <s v="Liability"/>
    <s v="Cross Sell"/>
    <n v="31250"/>
    <d v="2019-03-01T00:00:00"/>
    <s v="Brokerage"/>
    <x v="1"/>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ABC"/>
    <s v="'12140036181700000021"/>
    <x v="0"/>
    <x v="28"/>
    <d v="2020-02-29T00:00:00"/>
    <x v="4"/>
    <n v="1"/>
    <s v="Vinay"/>
    <x v="0"/>
    <s v="Liability"/>
    <s v="Renewal"/>
    <n v="43750"/>
    <d v="2019-03-01T00:00:00"/>
    <s v="Brokerage"/>
    <x v="1"/>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ABC"/>
    <s v="'12140036181700000021"/>
    <x v="0"/>
    <x v="28"/>
    <d v="2020-02-29T00:00:00"/>
    <x v="4"/>
    <n v="1"/>
    <s v="Vinay"/>
    <x v="0"/>
    <s v="Liability"/>
    <s v="Renewal"/>
    <n v="43750"/>
    <d v="2019-03-01T00:00:00"/>
    <s v="Brokerage"/>
    <x v="1"/>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ABC"/>
    <s v="'12140036181700000021"/>
    <x v="0"/>
    <x v="28"/>
    <d v="2020-02-29T00:00:00"/>
    <x v="4"/>
    <n v="1"/>
    <s v="Vinay"/>
    <x v="0"/>
    <s v="Liability"/>
    <s v="Renewal"/>
    <n v="43750"/>
    <d v="2019-03-01T00:00:00"/>
    <s v="Brokerage"/>
    <x v="1"/>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ABC"/>
    <s v="'12140036181700000021"/>
    <x v="0"/>
    <x v="28"/>
    <d v="2020-02-29T00:00:00"/>
    <x v="4"/>
    <n v="1"/>
    <s v="Vinay"/>
    <x v="0"/>
    <s v="Liability"/>
    <s v="Renewal"/>
    <n v="43750"/>
    <d v="2019-03-01T00:00:00"/>
    <s v="Brokerage"/>
    <x v="1"/>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ABC"/>
    <s v="'12140036181700000021"/>
    <x v="0"/>
    <x v="28"/>
    <d v="2020-02-29T00:00:00"/>
    <x v="4"/>
    <n v="1"/>
    <s v="Vinay"/>
    <x v="0"/>
    <s v="Liability"/>
    <s v="Renewal"/>
    <n v="43750"/>
    <d v="2019-03-01T00:00:00"/>
    <s v="Brokerage"/>
    <x v="1"/>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ABC"/>
    <s v="'12140036183000000021"/>
    <x v="0"/>
    <x v="28"/>
    <d v="2020-02-29T00:00:00"/>
    <x v="4"/>
    <n v="1"/>
    <s v="Vinay"/>
    <x v="0"/>
    <s v="Liability"/>
    <s v="Cross Sell"/>
    <n v="75000"/>
    <d v="2019-03-01T00:00:00"/>
    <s v="Brokerage"/>
    <x v="1"/>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ABC"/>
    <s v="'12140036183000000021"/>
    <x v="0"/>
    <x v="28"/>
    <d v="2020-02-29T00:00:00"/>
    <x v="4"/>
    <n v="1"/>
    <s v="Vinay"/>
    <x v="0"/>
    <s v="Liability"/>
    <s v="Cross Sell"/>
    <n v="75000"/>
    <d v="2019-03-01T00:00:00"/>
    <s v="Brokerage"/>
    <x v="1"/>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ABC"/>
    <s v="'12140036183000000021"/>
    <x v="0"/>
    <x v="28"/>
    <d v="2020-02-29T00:00:00"/>
    <x v="4"/>
    <n v="1"/>
    <s v="Vinay"/>
    <x v="0"/>
    <s v="Liability"/>
    <s v="Cross Sell"/>
    <n v="75000"/>
    <d v="2019-03-01T00:00:00"/>
    <s v="Brokerage"/>
    <x v="1"/>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ABC"/>
    <s v="'12140036183000000021"/>
    <x v="0"/>
    <x v="28"/>
    <d v="2020-02-29T00:00:00"/>
    <x v="4"/>
    <n v="1"/>
    <s v="Vinay"/>
    <x v="0"/>
    <s v="Liability"/>
    <s v="Cross Sell"/>
    <n v="75000"/>
    <d v="2019-03-01T00:00:00"/>
    <s v="Brokerage"/>
    <x v="1"/>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ABC"/>
    <s v="'12140036183000000021"/>
    <x v="0"/>
    <x v="28"/>
    <d v="2020-02-29T00:00:00"/>
    <x v="4"/>
    <n v="1"/>
    <s v="Vinay"/>
    <x v="0"/>
    <s v="Liability"/>
    <s v="Cross Sell"/>
    <n v="75000"/>
    <d v="2019-03-01T00:00:00"/>
    <s v="Brokerage"/>
    <x v="1"/>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ABC"/>
    <n v="2302003268"/>
    <x v="1"/>
    <x v="100"/>
    <d v="2019-02-10T00:00:00"/>
    <x v="4"/>
    <n v="1"/>
    <s v="Vinay"/>
    <x v="0"/>
    <s v="Liability"/>
    <s v="Cross Sell"/>
    <n v="23125"/>
    <d v="2018-02-11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ABC"/>
    <n v="2302003268"/>
    <x v="1"/>
    <x v="100"/>
    <d v="2019-02-10T00:00:00"/>
    <x v="4"/>
    <n v="1"/>
    <s v="Vinay"/>
    <x v="0"/>
    <s v="Liability"/>
    <s v="Cross Sell"/>
    <n v="23125"/>
    <d v="2018-02-11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ABC"/>
    <n v="2302003268"/>
    <x v="1"/>
    <x v="100"/>
    <d v="2019-02-10T00:00:00"/>
    <x v="4"/>
    <n v="1"/>
    <s v="Vinay"/>
    <x v="0"/>
    <s v="Liability"/>
    <s v="Cross Sell"/>
    <n v="23125"/>
    <d v="2018-02-11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ABC"/>
    <n v="2302003268"/>
    <x v="1"/>
    <x v="100"/>
    <d v="2019-02-10T00:00:00"/>
    <x v="4"/>
    <n v="1"/>
    <s v="Vinay"/>
    <x v="0"/>
    <s v="Liability"/>
    <s v="Cross Sell"/>
    <n v="23125"/>
    <d v="2018-02-11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ABC"/>
    <n v="2302003268"/>
    <x v="1"/>
    <x v="100"/>
    <d v="2019-02-10T00:00:00"/>
    <x v="4"/>
    <n v="1"/>
    <s v="Vinay"/>
    <x v="0"/>
    <s v="Liability"/>
    <s v="Cross Sell"/>
    <n v="23125"/>
    <d v="2018-02-11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ABC"/>
    <s v="'2302003268"/>
    <x v="0"/>
    <x v="101"/>
    <d v="2020-02-10T00:00:00"/>
    <x v="4"/>
    <n v="1"/>
    <s v="Vinay"/>
    <x v="0"/>
    <s v="Liability"/>
    <s v="Cross Sell"/>
    <n v="21875"/>
    <d v="2019-02-11T00:00:00"/>
    <s v="Brokerage"/>
    <x v="1"/>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ABC"/>
    <s v="'2302003268"/>
    <x v="0"/>
    <x v="101"/>
    <d v="2020-02-10T00:00:00"/>
    <x v="4"/>
    <n v="1"/>
    <s v="Vinay"/>
    <x v="0"/>
    <s v="Liability"/>
    <s v="Cross Sell"/>
    <n v="21875"/>
    <d v="2019-02-11T00:00:00"/>
    <s v="Brokerage"/>
    <x v="1"/>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ABC"/>
    <s v="'2302003268"/>
    <x v="0"/>
    <x v="101"/>
    <d v="2020-02-10T00:00:00"/>
    <x v="4"/>
    <n v="1"/>
    <s v="Vinay"/>
    <x v="0"/>
    <s v="Liability"/>
    <s v="Cross Sell"/>
    <n v="21875"/>
    <d v="2019-02-11T00:00:00"/>
    <s v="Brokerage"/>
    <x v="1"/>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ABC"/>
    <s v="'2302003268"/>
    <x v="0"/>
    <x v="101"/>
    <d v="2020-02-10T00:00:00"/>
    <x v="4"/>
    <n v="1"/>
    <s v="Vinay"/>
    <x v="0"/>
    <s v="Liability"/>
    <s v="Cross Sell"/>
    <n v="21875"/>
    <d v="2019-02-11T00:00:00"/>
    <s v="Brokerage"/>
    <x v="1"/>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ABC"/>
    <s v="'2302003268"/>
    <x v="0"/>
    <x v="101"/>
    <d v="2020-02-10T00:00:00"/>
    <x v="4"/>
    <n v="1"/>
    <s v="Vinay"/>
    <x v="0"/>
    <s v="Liability"/>
    <s v="Cross Sell"/>
    <n v="21875"/>
    <d v="2019-02-11T00:00:00"/>
    <s v="Brokerage"/>
    <x v="1"/>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ABC"/>
    <n v="2309003346"/>
    <x v="0"/>
    <x v="19"/>
    <d v="2024-08-19T00:00:00"/>
    <x v="4"/>
    <n v="1"/>
    <s v="Vinay"/>
    <x v="0"/>
    <s v="Liability"/>
    <s v="Cross Sell"/>
    <n v="47500"/>
    <d v="2018-08-20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ABC"/>
    <n v="2309003346"/>
    <x v="0"/>
    <x v="19"/>
    <d v="2024-08-19T00:00:00"/>
    <x v="4"/>
    <n v="1"/>
    <s v="Vinay"/>
    <x v="0"/>
    <s v="Liability"/>
    <s v="Cross Sell"/>
    <n v="47500"/>
    <d v="2018-08-20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ABC"/>
    <n v="2309003346"/>
    <x v="0"/>
    <x v="19"/>
    <d v="2024-08-19T00:00:00"/>
    <x v="4"/>
    <n v="1"/>
    <s v="Vinay"/>
    <x v="0"/>
    <s v="Liability"/>
    <s v="Cross Sell"/>
    <n v="47500"/>
    <d v="2018-08-20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ABC"/>
    <n v="2309003346"/>
    <x v="0"/>
    <x v="19"/>
    <d v="2024-08-19T00:00:00"/>
    <x v="4"/>
    <n v="1"/>
    <s v="Vinay"/>
    <x v="0"/>
    <s v="Liability"/>
    <s v="Cross Sell"/>
    <n v="47500"/>
    <d v="2018-08-20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ABC"/>
    <n v="2309003346"/>
    <x v="0"/>
    <x v="19"/>
    <d v="2024-08-19T00:00:00"/>
    <x v="4"/>
    <n v="1"/>
    <s v="Vinay"/>
    <x v="0"/>
    <s v="Liability"/>
    <s v="Cross Sell"/>
    <n v="47500"/>
    <d v="2018-08-20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ABC"/>
    <n v="2690000349"/>
    <x v="0"/>
    <x v="96"/>
    <d v="2018-12-30T00:00:00"/>
    <x v="2"/>
    <n v="1"/>
    <s v="Vinay"/>
    <x v="0"/>
    <s v="Property / BI"/>
    <s v="Renewal"/>
    <n v="7632.55"/>
    <d v="2017-12-31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ABC"/>
    <n v="2690000349"/>
    <x v="0"/>
    <x v="96"/>
    <d v="2018-12-30T00:00:00"/>
    <x v="2"/>
    <n v="1"/>
    <s v="Vinay"/>
    <x v="0"/>
    <s v="Property / BI"/>
    <s v="Renewal"/>
    <n v="7632.55"/>
    <d v="2017-12-31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ABC"/>
    <n v="2690000349"/>
    <x v="0"/>
    <x v="96"/>
    <d v="2018-12-30T00:00:00"/>
    <x v="2"/>
    <n v="1"/>
    <s v="Vinay"/>
    <x v="0"/>
    <s v="Property / BI"/>
    <s v="Renewal"/>
    <n v="7632.55"/>
    <d v="2017-12-31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ABC"/>
    <n v="2690000349"/>
    <x v="0"/>
    <x v="96"/>
    <d v="2018-12-30T00:00:00"/>
    <x v="2"/>
    <n v="1"/>
    <s v="Vinay"/>
    <x v="0"/>
    <s v="Property / BI"/>
    <s v="Renewal"/>
    <n v="7632.55"/>
    <d v="2017-12-31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ABC"/>
    <n v="2690000349"/>
    <x v="0"/>
    <x v="96"/>
    <d v="2018-12-30T00:00:00"/>
    <x v="2"/>
    <n v="1"/>
    <s v="Vinay"/>
    <x v="0"/>
    <s v="Property / BI"/>
    <s v="Renewal"/>
    <n v="7632.55"/>
    <d v="2017-12-31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ABC"/>
    <n v="55020309"/>
    <x v="0"/>
    <x v="99"/>
    <d v="2019-12-13T00:00:00"/>
    <x v="2"/>
    <n v="1"/>
    <s v="Vinay"/>
    <x v="0"/>
    <s v="Property / BI"/>
    <s v="Renewal"/>
    <n v="2563.13"/>
    <d v="2018-12-14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ABC"/>
    <n v="55020309"/>
    <x v="0"/>
    <x v="99"/>
    <d v="2019-12-13T00:00:00"/>
    <x v="2"/>
    <n v="1"/>
    <s v="Vinay"/>
    <x v="0"/>
    <s v="Property / BI"/>
    <s v="Renewal"/>
    <n v="2563.13"/>
    <d v="2018-12-14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ABC"/>
    <n v="55020309"/>
    <x v="0"/>
    <x v="99"/>
    <d v="2019-12-13T00:00:00"/>
    <x v="2"/>
    <n v="1"/>
    <s v="Vinay"/>
    <x v="0"/>
    <s v="Property / BI"/>
    <s v="Renewal"/>
    <n v="2563.13"/>
    <d v="2018-12-14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ABC"/>
    <n v="55020309"/>
    <x v="0"/>
    <x v="99"/>
    <d v="2019-12-13T00:00:00"/>
    <x v="2"/>
    <n v="1"/>
    <s v="Vinay"/>
    <x v="0"/>
    <s v="Property / BI"/>
    <s v="Renewal"/>
    <n v="2563.13"/>
    <d v="2018-12-14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ABC"/>
    <n v="55020309"/>
    <x v="0"/>
    <x v="99"/>
    <d v="2019-12-13T00:00:00"/>
    <x v="2"/>
    <n v="1"/>
    <s v="Vinay"/>
    <x v="0"/>
    <s v="Property / BI"/>
    <s v="Renewal"/>
    <n v="2563.13"/>
    <d v="2018-12-14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ABC"/>
    <s v="2018-F0513845-BSS"/>
    <x v="1"/>
    <x v="102"/>
    <d v="2019-06-22T00:00:00"/>
    <x v="2"/>
    <n v="12"/>
    <s v="Shivani Sharma"/>
    <x v="0"/>
    <s v="Global Client Network (GNB Inward)"/>
    <s v="Renewal"/>
    <n v="8269.74"/>
    <d v="2018-06-23T00:00:00"/>
    <s v="Brokerage"/>
    <x v="2"/>
    <s v="OTHR - Other"/>
    <d v="2020-01-22T00:00:00"/>
    <s v="Other"/>
    <m/>
    <m/>
    <m/>
    <m/>
    <m/>
    <m/>
    <m/>
    <m/>
    <m/>
    <m/>
    <m/>
    <m/>
    <m/>
    <m/>
    <m/>
    <m/>
    <m/>
    <m/>
    <m/>
    <m/>
  </r>
  <r>
    <s v="ABC"/>
    <s v="2018-F0513845-BSS"/>
    <x v="1"/>
    <x v="102"/>
    <d v="2019-06-22T00:00:00"/>
    <x v="2"/>
    <n v="12"/>
    <s v="Shivani Sharma"/>
    <x v="0"/>
    <s v="Global Client Network (GNB Inward)"/>
    <s v="Renewal"/>
    <n v="5891"/>
    <d v="2019-02-04T00:00:00"/>
    <s v="Brokerage "/>
    <x v="2"/>
    <s v="OTHR - Other"/>
    <d v="2020-01-22T00:00:00"/>
    <s v="Other"/>
    <m/>
    <m/>
    <m/>
    <m/>
    <m/>
    <m/>
    <m/>
    <m/>
    <m/>
    <m/>
    <m/>
    <m/>
    <m/>
    <m/>
    <m/>
    <m/>
    <m/>
    <m/>
    <m/>
    <m/>
  </r>
  <r>
    <s v="ABC"/>
    <s v="2018-L0116737-FWC"/>
    <x v="1"/>
    <x v="102"/>
    <d v="2019-06-22T00:00:00"/>
    <x v="4"/>
    <n v="12"/>
    <s v="Shivani Sharma"/>
    <x v="0"/>
    <s v="Global Client Network (GNB Inward)"/>
    <s v="Renewal"/>
    <n v="2720.25"/>
    <d v="2018-06-23T00:00:00"/>
    <s v="Brokerage"/>
    <x v="0"/>
    <s v="OTHR - Other"/>
    <d v="2020-01-22T00:00:00"/>
    <s v="Other"/>
    <s v="DB- Cyber Liability"/>
    <s v="OPP1900001138"/>
    <s v="Shivani Sharma"/>
    <n v="500000"/>
    <n v="75000"/>
    <d v="2020-05-31T00:00:00"/>
    <s v="Qualify Opportunity"/>
    <s v="Ahmedabad"/>
    <s v="Liability"/>
    <s v="Financial Lines"/>
    <s v="Cyber Liability Insurance"/>
    <m/>
    <m/>
    <s v="Madison Robinson"/>
    <d v="2020-01-21T00:00:00"/>
    <m/>
    <m/>
    <m/>
    <m/>
    <m/>
  </r>
  <r>
    <s v="ABC"/>
    <s v="2018-L0116737-FWC"/>
    <x v="1"/>
    <x v="102"/>
    <d v="2019-06-22T00:00:00"/>
    <x v="4"/>
    <n v="12"/>
    <s v="Shivani Sharma"/>
    <x v="0"/>
    <s v="Global Client Network (GNB Inward)"/>
    <s v="Renewal"/>
    <n v="2720.25"/>
    <d v="2018-06-23T00:00:00"/>
    <s v="Brokerage"/>
    <x v="0"/>
    <s v="OTHR - Other"/>
    <d v="2020-01-22T00:00:00"/>
    <s v="Other"/>
    <s v="DB- Cyber Liability"/>
    <s v="OPP1900001138"/>
    <s v="Shivani Sharma"/>
    <n v="500000"/>
    <n v="75000"/>
    <d v="2020-05-31T00:00:00"/>
    <s v="Qualify Opportunity"/>
    <s v="Ahmedabad"/>
    <s v="Liability"/>
    <s v="Financial Lines"/>
    <s v="Cyber Liability Insurance"/>
    <m/>
    <m/>
    <s v="David Hall"/>
    <d v="2020-01-21T00:00:00"/>
    <m/>
    <m/>
    <m/>
    <m/>
    <m/>
  </r>
  <r>
    <s v="ABC"/>
    <s v="2018-L0116737-FWC"/>
    <x v="1"/>
    <x v="102"/>
    <d v="2019-06-22T00:00:00"/>
    <x v="4"/>
    <n v="12"/>
    <s v="Shivani Sharma"/>
    <x v="0"/>
    <s v="Global Client Network (GNB Inward)"/>
    <s v="Renewal"/>
    <n v="2720.25"/>
    <d v="2018-06-23T00:00:00"/>
    <s v="Brokerage"/>
    <x v="0"/>
    <s v="OTHR - Other"/>
    <d v="2020-01-22T00:00:00"/>
    <s v="Other"/>
    <s v="DB- Cyber Liability"/>
    <s v="OPP1900001138"/>
    <s v="Shivani Sharma"/>
    <n v="500000"/>
    <n v="75000"/>
    <d v="2020-05-31T00:00:00"/>
    <s v="Qualify Opportunity"/>
    <s v="Ahmedabad"/>
    <s v="Liability"/>
    <s v="Financial Lines"/>
    <s v="Cyber Liability Insurance"/>
    <m/>
    <m/>
    <s v="Lily Young"/>
    <d v="2020-01-21T00:00:00"/>
    <m/>
    <m/>
    <m/>
    <m/>
    <m/>
  </r>
  <r>
    <s v="ABC"/>
    <s v="2018-L0116737-FWC"/>
    <x v="1"/>
    <x v="102"/>
    <d v="2019-06-22T00:00:00"/>
    <x v="4"/>
    <n v="12"/>
    <s v="Shivani Sharma"/>
    <x v="0"/>
    <s v="Global Client Network (GNB Inward)"/>
    <s v="Renewal"/>
    <n v="2720.25"/>
    <d v="2018-06-23T00:00:00"/>
    <s v="Brokerage"/>
    <x v="0"/>
    <s v="OTHR - Other"/>
    <d v="2020-01-22T00:00:00"/>
    <s v="Other"/>
    <s v="DB- Cyber Liability"/>
    <s v="OPP1900001138"/>
    <s v="Shivani Sharma"/>
    <n v="500000"/>
    <n v="75000"/>
    <d v="2020-05-31T00:00:00"/>
    <s v="Qualify Opportunity"/>
    <s v="Ahmedabad"/>
    <s v="Liability"/>
    <s v="Financial Lines"/>
    <s v="Cyber Liability Insurance"/>
    <m/>
    <m/>
    <s v="Samuel Allen"/>
    <d v="2020-01-22T00:00:00"/>
    <m/>
    <m/>
    <m/>
    <m/>
    <m/>
  </r>
  <r>
    <s v="ABC"/>
    <s v="2018-L0116737-FWC"/>
    <x v="1"/>
    <x v="102"/>
    <d v="2019-06-22T00:00:00"/>
    <x v="4"/>
    <n v="12"/>
    <s v="Shivani Sharma"/>
    <x v="0"/>
    <s v="Global Client Network (GNB Inward)"/>
    <s v="Renewal"/>
    <n v="2720.25"/>
    <d v="2018-06-23T00:00:00"/>
    <s v="Brokerage"/>
    <x v="0"/>
    <s v="OTHR - Other"/>
    <d v="2020-01-22T00:00:00"/>
    <s v="Other"/>
    <s v="VS.-D &amp; O"/>
    <s v="OPP1900002104"/>
    <s v="Shivani Sharma"/>
    <n v="0"/>
    <n v="50000"/>
    <d v="2020-03-31T00:00:00"/>
    <s v="Qualify Opportunity"/>
    <s v="Ahmedabad"/>
    <s v="Liability"/>
    <s v="Financial Lines"/>
    <s v="Director &amp;amp; Officers / Management  Liability"/>
    <m/>
    <m/>
    <s v="Madison Robinson"/>
    <d v="2020-01-21T00:00:00"/>
    <m/>
    <m/>
    <m/>
    <m/>
    <m/>
  </r>
  <r>
    <s v="ABC"/>
    <s v="2018-L0116737-FWC"/>
    <x v="1"/>
    <x v="102"/>
    <d v="2019-06-22T00:00:00"/>
    <x v="4"/>
    <n v="12"/>
    <s v="Shivani Sharma"/>
    <x v="0"/>
    <s v="Global Client Network (GNB Inward)"/>
    <s v="Renewal"/>
    <n v="2720.25"/>
    <d v="2018-06-23T00:00:00"/>
    <s v="Brokerage"/>
    <x v="0"/>
    <s v="OTHR - Other"/>
    <d v="2020-01-22T00:00:00"/>
    <s v="Other"/>
    <s v="VS.-D &amp; O"/>
    <s v="OPP1900002104"/>
    <s v="Shivani Sharma"/>
    <n v="0"/>
    <n v="50000"/>
    <d v="2020-03-31T00:00:00"/>
    <s v="Qualify Opportunity"/>
    <s v="Ahmedabad"/>
    <s v="Liability"/>
    <s v="Financial Lines"/>
    <s v="Director &amp;amp; Officers / Management  Liability"/>
    <m/>
    <m/>
    <s v="David Hall"/>
    <d v="2020-01-21T00:00:00"/>
    <m/>
    <m/>
    <m/>
    <m/>
    <m/>
  </r>
  <r>
    <s v="ABC"/>
    <s v="2018-L0116737-FWC"/>
    <x v="1"/>
    <x v="102"/>
    <d v="2019-06-22T00:00:00"/>
    <x v="4"/>
    <n v="12"/>
    <s v="Shivani Sharma"/>
    <x v="0"/>
    <s v="Global Client Network (GNB Inward)"/>
    <s v="Renewal"/>
    <n v="2720.25"/>
    <d v="2018-06-23T00:00:00"/>
    <s v="Brokerage"/>
    <x v="0"/>
    <s v="OTHR - Other"/>
    <d v="2020-01-22T00:00:00"/>
    <s v="Other"/>
    <s v="VS.-D &amp; O"/>
    <s v="OPP1900002104"/>
    <s v="Shivani Sharma"/>
    <n v="0"/>
    <n v="50000"/>
    <d v="2020-03-31T00:00:00"/>
    <s v="Qualify Opportunity"/>
    <s v="Ahmedabad"/>
    <s v="Liability"/>
    <s v="Financial Lines"/>
    <s v="Director &amp;amp; Officers / Management  Liability"/>
    <m/>
    <m/>
    <s v="Lily Young"/>
    <d v="2020-01-21T00:00:00"/>
    <m/>
    <m/>
    <m/>
    <m/>
    <m/>
  </r>
  <r>
    <s v="ABC"/>
    <s v="2018-L0116737-FWC"/>
    <x v="1"/>
    <x v="102"/>
    <d v="2019-06-22T00:00:00"/>
    <x v="4"/>
    <n v="12"/>
    <s v="Shivani Sharma"/>
    <x v="0"/>
    <s v="Global Client Network (GNB Inward)"/>
    <s v="Renewal"/>
    <n v="2720.25"/>
    <d v="2018-06-23T00:00:00"/>
    <s v="Brokerage"/>
    <x v="0"/>
    <s v="OTHR - Other"/>
    <d v="2020-01-22T00:00:00"/>
    <s v="Other"/>
    <s v="VS.-D &amp; O"/>
    <s v="OPP1900002104"/>
    <s v="Shivani Sharma"/>
    <n v="0"/>
    <n v="50000"/>
    <d v="2020-03-31T00:00:00"/>
    <s v="Qualify Opportunity"/>
    <s v="Ahmedabad"/>
    <s v="Liability"/>
    <s v="Financial Lines"/>
    <s v="Director &amp;amp; Officers / Management  Liability"/>
    <m/>
    <m/>
    <s v="Samuel Allen"/>
    <d v="2020-01-22T00:00:00"/>
    <m/>
    <m/>
    <m/>
    <m/>
    <m/>
  </r>
  <r>
    <s v="ABC"/>
    <s v="2018-L0116800-PBL"/>
    <x v="1"/>
    <x v="102"/>
    <d v="2019-06-22T00:00:00"/>
    <x v="4"/>
    <n v="12"/>
    <s v="Shivani Sharma"/>
    <x v="0"/>
    <s v="Global Client Network (GNB Inward)"/>
    <s v="Renewal"/>
    <n v="375"/>
    <d v="2018-06-23T00:00:00"/>
    <s v="Brokerage"/>
    <x v="0"/>
    <s v="OTHR - Other"/>
    <d v="2020-01-22T00:00:00"/>
    <s v="Other"/>
    <s v="DB- Cyber Liability"/>
    <s v="OPP1900001138"/>
    <s v="Shivani Sharma"/>
    <n v="500000"/>
    <n v="75000"/>
    <d v="2020-05-31T00:00:00"/>
    <s v="Qualify Opportunity"/>
    <s v="Ahmedabad"/>
    <s v="Liability"/>
    <s v="Financial Lines"/>
    <s v="Cyber Liability Insurance"/>
    <m/>
    <m/>
    <s v="Madison Robinson"/>
    <d v="2020-01-21T00:00:00"/>
    <m/>
    <m/>
    <m/>
    <m/>
    <m/>
  </r>
  <r>
    <s v="ABC"/>
    <s v="2018-L0116800-PBL"/>
    <x v="1"/>
    <x v="102"/>
    <d v="2019-06-22T00:00:00"/>
    <x v="4"/>
    <n v="12"/>
    <s v="Shivani Sharma"/>
    <x v="0"/>
    <s v="Global Client Network (GNB Inward)"/>
    <s v="Renewal"/>
    <n v="375"/>
    <d v="2018-06-23T00:00:00"/>
    <s v="Brokerage"/>
    <x v="0"/>
    <s v="OTHR - Other"/>
    <d v="2020-01-22T00:00:00"/>
    <s v="Other"/>
    <s v="DB- Cyber Liability"/>
    <s v="OPP1900001138"/>
    <s v="Shivani Sharma"/>
    <n v="500000"/>
    <n v="75000"/>
    <d v="2020-05-31T00:00:00"/>
    <s v="Qualify Opportunity"/>
    <s v="Ahmedabad"/>
    <s v="Liability"/>
    <s v="Financial Lines"/>
    <s v="Cyber Liability Insurance"/>
    <m/>
    <m/>
    <s v="David Hall"/>
    <d v="2020-01-21T00:00:00"/>
    <m/>
    <m/>
    <m/>
    <m/>
    <m/>
  </r>
  <r>
    <s v="ABC"/>
    <s v="2018-L0116800-PBL"/>
    <x v="1"/>
    <x v="102"/>
    <d v="2019-06-22T00:00:00"/>
    <x v="4"/>
    <n v="12"/>
    <s v="Shivani Sharma"/>
    <x v="0"/>
    <s v="Global Client Network (GNB Inward)"/>
    <s v="Renewal"/>
    <n v="375"/>
    <d v="2018-06-23T00:00:00"/>
    <s v="Brokerage"/>
    <x v="0"/>
    <s v="OTHR - Other"/>
    <d v="2020-01-22T00:00:00"/>
    <s v="Other"/>
    <s v="DB- Cyber Liability"/>
    <s v="OPP1900001138"/>
    <s v="Shivani Sharma"/>
    <n v="500000"/>
    <n v="75000"/>
    <d v="2020-05-31T00:00:00"/>
    <s v="Qualify Opportunity"/>
    <s v="Ahmedabad"/>
    <s v="Liability"/>
    <s v="Financial Lines"/>
    <s v="Cyber Liability Insurance"/>
    <m/>
    <m/>
    <s v="Lily Young"/>
    <d v="2020-01-21T00:00:00"/>
    <m/>
    <m/>
    <m/>
    <m/>
    <m/>
  </r>
  <r>
    <s v="ABC"/>
    <s v="2018-L0116800-PBL"/>
    <x v="1"/>
    <x v="102"/>
    <d v="2019-06-22T00:00:00"/>
    <x v="4"/>
    <n v="12"/>
    <s v="Shivani Sharma"/>
    <x v="0"/>
    <s v="Global Client Network (GNB Inward)"/>
    <s v="Renewal"/>
    <n v="375"/>
    <d v="2018-06-23T00:00:00"/>
    <s v="Brokerage"/>
    <x v="0"/>
    <s v="OTHR - Other"/>
    <d v="2020-01-22T00:00:00"/>
    <s v="Other"/>
    <s v="DB- Cyber Liability"/>
    <s v="OPP1900001138"/>
    <s v="Shivani Sharma"/>
    <n v="500000"/>
    <n v="75000"/>
    <d v="2020-05-31T00:00:00"/>
    <s v="Qualify Opportunity"/>
    <s v="Ahmedabad"/>
    <s v="Liability"/>
    <s v="Financial Lines"/>
    <s v="Cyber Liability Insurance"/>
    <m/>
    <m/>
    <s v="Samuel Allen"/>
    <d v="2020-01-22T00:00:00"/>
    <m/>
    <m/>
    <m/>
    <m/>
    <m/>
  </r>
  <r>
    <s v="ABC"/>
    <s v="2018-L0116800-PBL"/>
    <x v="1"/>
    <x v="102"/>
    <d v="2019-06-22T00:00:00"/>
    <x v="4"/>
    <n v="12"/>
    <s v="Shivani Sharma"/>
    <x v="0"/>
    <s v="Global Client Network (GNB Inward)"/>
    <s v="Renewal"/>
    <n v="375"/>
    <d v="2018-06-23T00:00:00"/>
    <s v="Brokerage"/>
    <x v="0"/>
    <s v="OTHR - Other"/>
    <d v="2020-01-22T00:00:00"/>
    <s v="Other"/>
    <s v="VS.-D &amp; O"/>
    <s v="OPP1900002104"/>
    <s v="Shivani Sharma"/>
    <n v="0"/>
    <n v="50000"/>
    <d v="2020-03-31T00:00:00"/>
    <s v="Qualify Opportunity"/>
    <s v="Ahmedabad"/>
    <s v="Liability"/>
    <s v="Financial Lines"/>
    <s v="Director &amp;amp; Officers / Management  Liability"/>
    <m/>
    <m/>
    <s v="Madison Robinson"/>
    <d v="2020-01-21T00:00:00"/>
    <m/>
    <m/>
    <m/>
    <m/>
    <m/>
  </r>
  <r>
    <s v="ABC"/>
    <s v="2018-L0116800-PBL"/>
    <x v="1"/>
    <x v="102"/>
    <d v="2019-06-22T00:00:00"/>
    <x v="4"/>
    <n v="12"/>
    <s v="Shivani Sharma"/>
    <x v="0"/>
    <s v="Global Client Network (GNB Inward)"/>
    <s v="Renewal"/>
    <n v="375"/>
    <d v="2018-06-23T00:00:00"/>
    <s v="Brokerage"/>
    <x v="0"/>
    <s v="OTHR - Other"/>
    <d v="2020-01-22T00:00:00"/>
    <s v="Other"/>
    <s v="VS.-D &amp; O"/>
    <s v="OPP1900002104"/>
    <s v="Shivani Sharma"/>
    <n v="0"/>
    <n v="50000"/>
    <d v="2020-03-31T00:00:00"/>
    <s v="Qualify Opportunity"/>
    <s v="Ahmedabad"/>
    <s v="Liability"/>
    <s v="Financial Lines"/>
    <s v="Director &amp;amp; Officers / Management  Liability"/>
    <m/>
    <m/>
    <s v="David Hall"/>
    <d v="2020-01-21T00:00:00"/>
    <m/>
    <m/>
    <m/>
    <m/>
    <m/>
  </r>
  <r>
    <s v="ABC"/>
    <s v="2018-L0116800-PBL"/>
    <x v="1"/>
    <x v="102"/>
    <d v="2019-06-22T00:00:00"/>
    <x v="4"/>
    <n v="12"/>
    <s v="Shivani Sharma"/>
    <x v="0"/>
    <s v="Global Client Network (GNB Inward)"/>
    <s v="Renewal"/>
    <n v="375"/>
    <d v="2018-06-23T00:00:00"/>
    <s v="Brokerage"/>
    <x v="0"/>
    <s v="OTHR - Other"/>
    <d v="2020-01-22T00:00:00"/>
    <s v="Other"/>
    <s v="VS.-D &amp; O"/>
    <s v="OPP1900002104"/>
    <s v="Shivani Sharma"/>
    <n v="0"/>
    <n v="50000"/>
    <d v="2020-03-31T00:00:00"/>
    <s v="Qualify Opportunity"/>
    <s v="Ahmedabad"/>
    <s v="Liability"/>
    <s v="Financial Lines"/>
    <s v="Director &amp;amp; Officers / Management  Liability"/>
    <m/>
    <m/>
    <s v="Lily Young"/>
    <d v="2020-01-21T00:00:00"/>
    <m/>
    <m/>
    <m/>
    <m/>
    <m/>
  </r>
  <r>
    <s v="ABC"/>
    <s v="2018-L0116800-PBL"/>
    <x v="1"/>
    <x v="102"/>
    <d v="2019-06-22T00:00:00"/>
    <x v="4"/>
    <n v="12"/>
    <s v="Shivani Sharma"/>
    <x v="0"/>
    <s v="Global Client Network (GNB Inward)"/>
    <s v="Renewal"/>
    <n v="375"/>
    <d v="2018-06-23T00:00:00"/>
    <s v="Brokerage"/>
    <x v="0"/>
    <s v="OTHR - Other"/>
    <d v="2020-01-22T00:00:00"/>
    <s v="Other"/>
    <s v="VS.-D &amp; O"/>
    <s v="OPP1900002104"/>
    <s v="Shivani Sharma"/>
    <n v="0"/>
    <n v="50000"/>
    <d v="2020-03-31T00:00:00"/>
    <s v="Qualify Opportunity"/>
    <s v="Ahmedabad"/>
    <s v="Liability"/>
    <s v="Financial Lines"/>
    <s v="Director &amp;amp; Officers / Management  Liability"/>
    <m/>
    <m/>
    <s v="Samuel Allen"/>
    <d v="2020-01-22T00:00:00"/>
    <m/>
    <m/>
    <m/>
    <m/>
    <m/>
  </r>
  <r>
    <s v="ABC"/>
    <s v="2019-F0673106-BSS"/>
    <x v="0"/>
    <x v="103"/>
    <d v="2020-06-22T00:00:00"/>
    <x v="2"/>
    <n v="3"/>
    <s v="Animesh Rawat"/>
    <x v="0"/>
    <s v="Global Client Network (GNB Inward)"/>
    <s v="Renewal"/>
    <n v="15047.5"/>
    <d v="2019-06-23T00:00:00"/>
    <s v="Brokerage"/>
    <x v="1"/>
    <s v="OTHR - Other"/>
    <d v="2020-01-22T00:00:00"/>
    <s v="Other"/>
    <m/>
    <m/>
    <m/>
    <m/>
    <m/>
    <m/>
    <m/>
    <m/>
    <m/>
    <m/>
    <m/>
    <m/>
    <m/>
    <m/>
    <m/>
    <m/>
    <m/>
    <m/>
    <m/>
    <m/>
  </r>
  <r>
    <s v="ABC"/>
    <s v="2019-L0138835-FWC"/>
    <x v="0"/>
    <x v="103"/>
    <d v="2020-06-22T00:00:00"/>
    <x v="4"/>
    <n v="3"/>
    <s v="Animesh Rawat"/>
    <x v="0"/>
    <s v="Global Client Network (GNB Inward)"/>
    <s v="Renewal"/>
    <n v="2852.5"/>
    <d v="2019-06-23T00:00:00"/>
    <s v="Brokerage"/>
    <x v="1"/>
    <s v="OTHR - Other"/>
    <d v="2020-01-22T00:00:00"/>
    <s v="Other"/>
    <m/>
    <m/>
    <m/>
    <m/>
    <m/>
    <m/>
    <m/>
    <m/>
    <m/>
    <m/>
    <m/>
    <m/>
    <m/>
    <m/>
    <m/>
    <m/>
    <m/>
    <m/>
    <m/>
    <m/>
  </r>
  <r>
    <s v="ABC"/>
    <s v="2019-L0139704-PBL"/>
    <x v="0"/>
    <x v="103"/>
    <d v="2020-06-22T00:00:00"/>
    <x v="4"/>
    <n v="3"/>
    <s v="Animesh Rawat"/>
    <x v="0"/>
    <s v="Global Client Network (GNB Inward)"/>
    <s v="Renewal"/>
    <n v="495"/>
    <d v="2019-06-23T00:00:00"/>
    <s v="Brokerage"/>
    <x v="1"/>
    <s v="OTHR - Other"/>
    <d v="2020-01-22T00:00:00"/>
    <s v="Other"/>
    <m/>
    <m/>
    <m/>
    <m/>
    <m/>
    <m/>
    <m/>
    <m/>
    <m/>
    <m/>
    <m/>
    <m/>
    <m/>
    <m/>
    <m/>
    <m/>
    <m/>
    <m/>
    <m/>
    <m/>
  </r>
  <r>
    <s v="ABC"/>
    <n v="505613"/>
    <x v="0"/>
    <x v="92"/>
    <d v="2020-04-24T00:00:00"/>
    <x v="3"/>
    <n v="10"/>
    <s v="Mark"/>
    <x v="0"/>
    <s v="Employee Benefits (EB)"/>
    <s v="Renewal"/>
    <n v="9294.35"/>
    <d v="2019-04-25T00:00:00"/>
    <s v="Brokerage"/>
    <x v="0"/>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ABC"/>
    <n v="505613"/>
    <x v="0"/>
    <x v="92"/>
    <d v="2020-04-24T00:00:00"/>
    <x v="3"/>
    <n v="10"/>
    <s v="Mark"/>
    <x v="0"/>
    <s v="Employee Benefits (EB)"/>
    <s v="Renewal"/>
    <n v="9294.35"/>
    <d v="2019-04-25T00:00:00"/>
    <s v="Brokerage"/>
    <x v="0"/>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ABC"/>
    <n v="505613"/>
    <x v="0"/>
    <x v="92"/>
    <d v="2020-04-24T00:00:00"/>
    <x v="3"/>
    <n v="10"/>
    <s v="Mark"/>
    <x v="0"/>
    <s v="Employee Benefits (EB)"/>
    <s v="Renewal"/>
    <n v="9294.35"/>
    <d v="2019-04-25T00:00:00"/>
    <s v="Brokerage"/>
    <x v="0"/>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ABC"/>
    <n v="505613"/>
    <x v="0"/>
    <x v="92"/>
    <d v="2020-04-24T00:00:00"/>
    <x v="3"/>
    <n v="10"/>
    <s v="Mark"/>
    <x v="0"/>
    <s v="Employee Benefits (EB)"/>
    <s v="Renewal"/>
    <n v="9294.35"/>
    <d v="2019-04-25T00:00:00"/>
    <s v="Brokerage"/>
    <x v="0"/>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ABC"/>
    <n v="505613"/>
    <x v="0"/>
    <x v="92"/>
    <d v="2020-04-24T00:00:00"/>
    <x v="3"/>
    <n v="10"/>
    <s v="Mark"/>
    <x v="0"/>
    <s v="Employee Benefits (EB)"/>
    <s v="Renewal"/>
    <n v="9294.35"/>
    <d v="2019-04-25T00:00:00"/>
    <s v="Brokerage"/>
    <x v="0"/>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ABC"/>
    <n v="505613"/>
    <x v="0"/>
    <x v="92"/>
    <d v="2020-04-24T00:00:00"/>
    <x v="3"/>
    <n v="10"/>
    <s v="Mark"/>
    <x v="0"/>
    <s v="Employee Benefits (EB)"/>
    <s v="Renewal"/>
    <n v="9294.35"/>
    <d v="2019-04-25T00:00:00"/>
    <s v="Brokerage"/>
    <x v="0"/>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ABC"/>
    <n v="505613"/>
    <x v="0"/>
    <x v="92"/>
    <d v="2020-04-24T00:00:00"/>
    <x v="3"/>
    <n v="10"/>
    <s v="Mark"/>
    <x v="0"/>
    <s v="Employee Benefits (EB)"/>
    <s v="Renewal"/>
    <n v="9294.35"/>
    <d v="2019-04-25T00:00:00"/>
    <s v="Brokerage"/>
    <x v="0"/>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ABC"/>
    <n v="505613"/>
    <x v="0"/>
    <x v="92"/>
    <d v="2020-04-24T00:00:00"/>
    <x v="3"/>
    <n v="10"/>
    <s v="Mark"/>
    <x v="0"/>
    <s v="Employee Benefits (EB)"/>
    <s v="Renewal"/>
    <n v="9294.35"/>
    <d v="2019-04-25T00:00:00"/>
    <s v="Brokerage"/>
    <x v="0"/>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ABC"/>
    <n v="505613"/>
    <x v="0"/>
    <x v="92"/>
    <d v="2020-04-24T00:00:00"/>
    <x v="3"/>
    <n v="10"/>
    <s v="Mark"/>
    <x v="0"/>
    <s v="Employee Benefits (EB)"/>
    <s v="Renewal"/>
    <n v="9294.35"/>
    <d v="2019-04-25T00:00:00"/>
    <s v="Brokerage"/>
    <x v="0"/>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ABC"/>
    <n v="505613"/>
    <x v="0"/>
    <x v="92"/>
    <d v="2020-04-24T00:00:00"/>
    <x v="3"/>
    <n v="10"/>
    <s v="Mark"/>
    <x v="0"/>
    <s v="Employee Benefits (EB)"/>
    <s v="Renewal"/>
    <n v="9294.35"/>
    <d v="2019-04-25T00:00:00"/>
    <s v="Brokerage"/>
    <x v="0"/>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ABC"/>
    <s v="FGP-24-18-7001720-01-000"/>
    <x v="1"/>
    <x v="102"/>
    <d v="2019-06-22T00:00:00"/>
    <x v="3"/>
    <n v="12"/>
    <s v="Shivani Sharma"/>
    <x v="0"/>
    <s v="Global Client Network (GNB Inward)"/>
    <s v="Renewal"/>
    <n v="2440.25"/>
    <d v="2018-06-23T00:00:00"/>
    <s v="Brokerage"/>
    <x v="0"/>
    <s v="OTHR - Other"/>
    <d v="2020-01-22T00:00:00"/>
    <s v="Other"/>
    <s v="II -  GMC"/>
    <s v="OPP1900001057"/>
    <s v="Shivani Sharma"/>
    <n v="0"/>
    <n v="75000"/>
    <d v="2020-03-31T00:00:00"/>
    <s v="Qualify Opportunity"/>
    <s v="Ahmedabad"/>
    <s v="Employee Benefits (EB)"/>
    <s v="Mediclaim"/>
    <s v="Group Medical"/>
    <m/>
    <m/>
    <s v="Madison Robinson"/>
    <d v="2020-01-21T00:00:00"/>
    <m/>
    <m/>
    <m/>
    <m/>
    <m/>
  </r>
  <r>
    <s v="ABC"/>
    <s v="FGP-24-18-7001720-01-000"/>
    <x v="1"/>
    <x v="102"/>
    <d v="2019-06-22T00:00:00"/>
    <x v="3"/>
    <n v="12"/>
    <s v="Shivani Sharma"/>
    <x v="0"/>
    <s v="Global Client Network (GNB Inward)"/>
    <s v="Renewal"/>
    <n v="2440.25"/>
    <d v="2018-06-23T00:00:00"/>
    <s v="Brokerage"/>
    <x v="0"/>
    <s v="OTHR - Other"/>
    <d v="2020-01-22T00:00:00"/>
    <s v="Other"/>
    <s v="II -  GMC"/>
    <s v="OPP1900001057"/>
    <s v="Shivani Sharma"/>
    <n v="0"/>
    <n v="75000"/>
    <d v="2020-03-31T00:00:00"/>
    <s v="Qualify Opportunity"/>
    <s v="Ahmedabad"/>
    <s v="Employee Benefits (EB)"/>
    <s v="Mediclaim"/>
    <s v="Group Medical"/>
    <m/>
    <m/>
    <s v="David Hall"/>
    <d v="2020-01-21T00:00:00"/>
    <m/>
    <m/>
    <m/>
    <m/>
    <m/>
  </r>
  <r>
    <s v="ABC"/>
    <s v="FGP-24-18-7001720-01-000"/>
    <x v="1"/>
    <x v="102"/>
    <d v="2019-06-22T00:00:00"/>
    <x v="3"/>
    <n v="12"/>
    <s v="Shivani Sharma"/>
    <x v="0"/>
    <s v="Global Client Network (GNB Inward)"/>
    <s v="Renewal"/>
    <n v="2440.25"/>
    <d v="2018-06-23T00:00:00"/>
    <s v="Brokerage"/>
    <x v="0"/>
    <s v="OTHR - Other"/>
    <d v="2020-01-22T00:00:00"/>
    <s v="Other"/>
    <s v="II -  GMC"/>
    <s v="OPP1900001057"/>
    <s v="Shivani Sharma"/>
    <n v="0"/>
    <n v="75000"/>
    <d v="2020-03-31T00:00:00"/>
    <s v="Qualify Opportunity"/>
    <s v="Ahmedabad"/>
    <s v="Employee Benefits (EB)"/>
    <s v="Mediclaim"/>
    <s v="Group Medical"/>
    <m/>
    <m/>
    <s v="Lily Young"/>
    <d v="2020-01-21T00:00:00"/>
    <m/>
    <m/>
    <m/>
    <m/>
    <m/>
  </r>
  <r>
    <s v="ABC"/>
    <s v="FGP-24-18-7001720-01-000"/>
    <x v="1"/>
    <x v="102"/>
    <d v="2019-06-22T00:00:00"/>
    <x v="3"/>
    <n v="12"/>
    <s v="Shivani Sharma"/>
    <x v="0"/>
    <s v="Global Client Network (GNB Inward)"/>
    <s v="Renewal"/>
    <n v="2440.25"/>
    <d v="2018-06-23T00:00:00"/>
    <s v="Brokerage"/>
    <x v="0"/>
    <s v="OTHR - Other"/>
    <d v="2020-01-22T00:00:00"/>
    <s v="Other"/>
    <s v="II -  GMC"/>
    <s v="OPP1900001057"/>
    <s v="Shivani Sharma"/>
    <n v="0"/>
    <n v="75000"/>
    <d v="2020-03-31T00:00:00"/>
    <s v="Qualify Opportunity"/>
    <s v="Ahmedabad"/>
    <s v="Employee Benefits (EB)"/>
    <s v="Mediclaim"/>
    <s v="Group Medical"/>
    <m/>
    <m/>
    <s v="Samuel Allen"/>
    <d v="2020-01-22T00:00:00"/>
    <m/>
    <m/>
    <m/>
    <m/>
    <m/>
  </r>
  <r>
    <s v="ABC"/>
    <s v="FGP-24-18-7001720-01-000"/>
    <x v="1"/>
    <x v="102"/>
    <d v="2019-06-22T00:00:00"/>
    <x v="3"/>
    <n v="12"/>
    <s v="Shivani Sharma"/>
    <x v="0"/>
    <s v="Global Client Network (GNB Inward)"/>
    <s v="Renewal"/>
    <n v="2440.25"/>
    <d v="2018-06-23T00:00:00"/>
    <s v="Brokerage"/>
    <x v="0"/>
    <s v="OTHR - Other"/>
    <d v="2020-01-22T00:00:00"/>
    <s v="Other"/>
    <s v="II - GPA"/>
    <s v="OPP1900001058"/>
    <s v="Shivani Sharma"/>
    <n v="0"/>
    <n v="25000"/>
    <d v="2020-03-31T00:00:00"/>
    <s v="Qualify Opportunity"/>
    <s v="Ahmedabad"/>
    <s v="Employee Benefits (EB)"/>
    <s v="Mediclaim"/>
    <s v="Group Personal Accident"/>
    <m/>
    <m/>
    <s v="Madison Robinson"/>
    <d v="2020-01-21T00:00:00"/>
    <m/>
    <m/>
    <m/>
    <m/>
    <m/>
  </r>
  <r>
    <s v="ABC"/>
    <s v="FGP-24-18-7001720-01-000"/>
    <x v="1"/>
    <x v="102"/>
    <d v="2019-06-22T00:00:00"/>
    <x v="3"/>
    <n v="12"/>
    <s v="Shivani Sharma"/>
    <x v="0"/>
    <s v="Global Client Network (GNB Inward)"/>
    <s v="Renewal"/>
    <n v="2440.25"/>
    <d v="2018-06-23T00:00:00"/>
    <s v="Brokerage"/>
    <x v="0"/>
    <s v="OTHR - Other"/>
    <d v="2020-01-22T00:00:00"/>
    <s v="Other"/>
    <s v="II - GPA"/>
    <s v="OPP1900001058"/>
    <s v="Shivani Sharma"/>
    <n v="0"/>
    <n v="25000"/>
    <d v="2020-03-31T00:00:00"/>
    <s v="Qualify Opportunity"/>
    <s v="Ahmedabad"/>
    <s v="Employee Benefits (EB)"/>
    <s v="Mediclaim"/>
    <s v="Group Personal Accident"/>
    <m/>
    <m/>
    <s v="David Hall"/>
    <d v="2020-01-21T00:00:00"/>
    <m/>
    <m/>
    <m/>
    <m/>
    <m/>
  </r>
  <r>
    <s v="ABC"/>
    <s v="FGP-24-18-7001720-01-000"/>
    <x v="1"/>
    <x v="102"/>
    <d v="2019-06-22T00:00:00"/>
    <x v="3"/>
    <n v="12"/>
    <s v="Shivani Sharma"/>
    <x v="0"/>
    <s v="Global Client Network (GNB Inward)"/>
    <s v="Renewal"/>
    <n v="2440.25"/>
    <d v="2018-06-23T00:00:00"/>
    <s v="Brokerage"/>
    <x v="0"/>
    <s v="OTHR - Other"/>
    <d v="2020-01-22T00:00:00"/>
    <s v="Other"/>
    <s v="II - GPA"/>
    <s v="OPP1900001058"/>
    <s v="Shivani Sharma"/>
    <n v="0"/>
    <n v="25000"/>
    <d v="2020-03-31T00:00:00"/>
    <s v="Qualify Opportunity"/>
    <s v="Ahmedabad"/>
    <s v="Employee Benefits (EB)"/>
    <s v="Mediclaim"/>
    <s v="Group Personal Accident"/>
    <m/>
    <m/>
    <s v="Lily Young"/>
    <d v="2020-01-21T00:00:00"/>
    <m/>
    <m/>
    <m/>
    <m/>
    <m/>
  </r>
  <r>
    <s v="ABC"/>
    <s v="FGP-24-18-7001720-01-000"/>
    <x v="1"/>
    <x v="102"/>
    <d v="2019-06-22T00:00:00"/>
    <x v="3"/>
    <n v="12"/>
    <s v="Shivani Sharma"/>
    <x v="0"/>
    <s v="Global Client Network (GNB Inward)"/>
    <s v="Renewal"/>
    <n v="2440.25"/>
    <d v="2018-06-23T00:00:00"/>
    <s v="Brokerage"/>
    <x v="0"/>
    <s v="OTHR - Other"/>
    <d v="2020-01-22T00:00:00"/>
    <s v="Other"/>
    <s v="II - GPA"/>
    <s v="OPP1900001058"/>
    <s v="Shivani Sharma"/>
    <n v="0"/>
    <n v="25000"/>
    <d v="2020-03-31T00:00:00"/>
    <s v="Qualify Opportunity"/>
    <s v="Ahmedabad"/>
    <s v="Employee Benefits (EB)"/>
    <s v="Mediclaim"/>
    <s v="Group Personal Accident"/>
    <m/>
    <m/>
    <s v="Samuel Allen"/>
    <d v="2020-01-22T00:00:00"/>
    <m/>
    <m/>
    <m/>
    <m/>
    <m/>
  </r>
  <r>
    <s v="ABC"/>
    <s v="FGP-24-18-7001720-01-000"/>
    <x v="1"/>
    <x v="102"/>
    <d v="2019-06-22T00:00:00"/>
    <x v="3"/>
    <n v="12"/>
    <s v="Shivani Sharma"/>
    <x v="0"/>
    <s v="Global Client Network (GNB Inward)"/>
    <s v="Renewal"/>
    <n v="2440.25"/>
    <d v="2018-06-23T00:00:00"/>
    <s v="Brokerage"/>
    <x v="0"/>
    <s v="OTHR - Other"/>
    <d v="2020-01-22T00:00:00"/>
    <s v="Other"/>
    <s v="G R -GMC"/>
    <s v="OPP1900001072"/>
    <s v="Shivani Sharma"/>
    <n v="2000000"/>
    <n v="150000"/>
    <d v="2020-05-31T00:00:00"/>
    <s v="Qualify Opportunity"/>
    <s v="Ahmedabad"/>
    <s v="Employee Benefits (EB)"/>
    <s v="Mediclaim"/>
    <s v="Group Medical"/>
    <m/>
    <m/>
    <s v="Madison Robinson"/>
    <d v="2020-01-21T00:00:00"/>
    <m/>
    <m/>
    <m/>
    <m/>
    <m/>
  </r>
  <r>
    <s v="ABC"/>
    <s v="FGP-24-18-7001720-01-000"/>
    <x v="1"/>
    <x v="102"/>
    <d v="2019-06-22T00:00:00"/>
    <x v="3"/>
    <n v="12"/>
    <s v="Shivani Sharma"/>
    <x v="0"/>
    <s v="Global Client Network (GNB Inward)"/>
    <s v="Renewal"/>
    <n v="2440.25"/>
    <d v="2018-06-23T00:00:00"/>
    <s v="Brokerage"/>
    <x v="0"/>
    <s v="OTHR - Other"/>
    <d v="2020-01-22T00:00:00"/>
    <s v="Other"/>
    <s v="G R -GMC"/>
    <s v="OPP1900001072"/>
    <s v="Shivani Sharma"/>
    <n v="2000000"/>
    <n v="150000"/>
    <d v="2020-05-31T00:00:00"/>
    <s v="Qualify Opportunity"/>
    <s v="Ahmedabad"/>
    <s v="Employee Benefits (EB)"/>
    <s v="Mediclaim"/>
    <s v="Group Medical"/>
    <m/>
    <m/>
    <s v="David Hall"/>
    <d v="2020-01-21T00:00:00"/>
    <m/>
    <m/>
    <m/>
    <m/>
    <m/>
  </r>
  <r>
    <s v="ABC"/>
    <s v="FGP-24-18-7001720-01-000"/>
    <x v="1"/>
    <x v="102"/>
    <d v="2019-06-22T00:00:00"/>
    <x v="3"/>
    <n v="12"/>
    <s v="Shivani Sharma"/>
    <x v="0"/>
    <s v="Global Client Network (GNB Inward)"/>
    <s v="Renewal"/>
    <n v="2440.25"/>
    <d v="2018-06-23T00:00:00"/>
    <s v="Brokerage"/>
    <x v="0"/>
    <s v="OTHR - Other"/>
    <d v="2020-01-22T00:00:00"/>
    <s v="Other"/>
    <s v="G R -GMC"/>
    <s v="OPP1900001072"/>
    <s v="Shivani Sharma"/>
    <n v="2000000"/>
    <n v="150000"/>
    <d v="2020-05-31T00:00:00"/>
    <s v="Qualify Opportunity"/>
    <s v="Ahmedabad"/>
    <s v="Employee Benefits (EB)"/>
    <s v="Mediclaim"/>
    <s v="Group Medical"/>
    <m/>
    <m/>
    <s v="Lily Young"/>
    <d v="2020-01-21T00:00:00"/>
    <m/>
    <m/>
    <m/>
    <m/>
    <m/>
  </r>
  <r>
    <s v="ABC"/>
    <s v="FGP-24-18-7001720-01-000"/>
    <x v="1"/>
    <x v="102"/>
    <d v="2019-06-22T00:00:00"/>
    <x v="3"/>
    <n v="12"/>
    <s v="Shivani Sharma"/>
    <x v="0"/>
    <s v="Global Client Network (GNB Inward)"/>
    <s v="Renewal"/>
    <n v="2440.25"/>
    <d v="2018-06-23T00:00:00"/>
    <s v="Brokerage"/>
    <x v="0"/>
    <s v="OTHR - Other"/>
    <d v="2020-01-22T00:00:00"/>
    <s v="Other"/>
    <s v="G R -GMC"/>
    <s v="OPP1900001072"/>
    <s v="Shivani Sharma"/>
    <n v="2000000"/>
    <n v="150000"/>
    <d v="2020-05-31T00:00:00"/>
    <s v="Qualify Opportunity"/>
    <s v="Ahmedabad"/>
    <s v="Employee Benefits (EB)"/>
    <s v="Mediclaim"/>
    <s v="Group Medical"/>
    <m/>
    <m/>
    <s v="Samuel Allen"/>
    <d v="2020-01-22T00:00:00"/>
    <m/>
    <m/>
    <m/>
    <m/>
    <m/>
  </r>
  <r>
    <s v="ABC"/>
    <s v="FGP-24-19-7003140-02-000"/>
    <x v="0"/>
    <x v="103"/>
    <d v="2020-06-22T00:00:00"/>
    <x v="3"/>
    <n v="3"/>
    <s v="Animesh Rawat"/>
    <x v="0"/>
    <s v="Global Client Network (GNB Inward)"/>
    <s v="Renewal"/>
    <n v="1412.55"/>
    <d v="2019-06-23T00:00:00"/>
    <s v="Brokerage"/>
    <x v="1"/>
    <s v="OTHR - Other"/>
    <d v="2020-01-22T00:00:00"/>
    <s v="Other"/>
    <s v="EL-Group Mediclaim"/>
    <s v="OPP1900001042"/>
    <s v="Animesh Rawat"/>
    <n v="8000000"/>
    <n v="400000"/>
    <d v="2019-11-13T00:00:00"/>
    <s v="Qualify Opportunity"/>
    <s v="Ahmedabad"/>
    <s v="Employee Benefits (EB)"/>
    <s v="Mediclaim"/>
    <s v="Group Medical"/>
    <m/>
    <m/>
    <s v="Lucas Hernandez"/>
    <d v="2020-01-13T00:00:00"/>
    <s v="Animesh Rawat"/>
    <s v="Servicer"/>
    <n v="1278023"/>
    <n v="12365300"/>
    <n v="12900"/>
  </r>
  <r>
    <s v="ABC"/>
    <s v="FGP-24-19-7003140-02-000"/>
    <x v="0"/>
    <x v="103"/>
    <d v="2020-06-22T00:00:00"/>
    <x v="3"/>
    <n v="3"/>
    <s v="Animesh Rawat"/>
    <x v="0"/>
    <s v="Global Client Network (GNB Inward)"/>
    <s v="Renewal"/>
    <n v="1412.55"/>
    <d v="2019-06-23T00:00:00"/>
    <s v="Brokerage"/>
    <x v="1"/>
    <s v="OTHR - Other"/>
    <d v="2020-01-22T00:00:00"/>
    <s v="Other"/>
    <s v="EL-Group Mediclaim"/>
    <s v="OPP1900001042"/>
    <s v="Animesh Rawat"/>
    <n v="8000000"/>
    <n v="400000"/>
    <d v="2019-11-13T00:00:00"/>
    <s v="Qualify Opportunity"/>
    <s v="Ahmedabad"/>
    <s v="Employee Benefits (EB)"/>
    <s v="Mediclaim"/>
    <s v="Group Medical"/>
    <m/>
    <m/>
    <s v="Amelia Moore"/>
    <d v="2020-01-13T00:00:00"/>
    <s v="Animesh Rawat"/>
    <s v="Servicer"/>
    <n v="1278023"/>
    <n v="12365300"/>
    <n v="12900"/>
  </r>
  <r>
    <s v="ABC"/>
    <s v="FGP-24-19-7003140-02-000"/>
    <x v="0"/>
    <x v="103"/>
    <d v="2020-06-22T00:00:00"/>
    <x v="3"/>
    <n v="3"/>
    <s v="Animesh Rawat"/>
    <x v="0"/>
    <s v="Global Client Network (GNB Inward)"/>
    <s v="Renewal"/>
    <n v="1412.55"/>
    <d v="2019-06-23T00:00:00"/>
    <s v="Brokerage"/>
    <x v="1"/>
    <s v="OTHR - Other"/>
    <d v="2020-01-22T00:00:00"/>
    <s v="Other"/>
    <s v="EL-Group Mediclaim"/>
    <s v="OPP1900001042"/>
    <s v="Animesh Rawat"/>
    <n v="8000000"/>
    <n v="400000"/>
    <d v="2019-11-13T00:00:00"/>
    <s v="Qualify Opportunity"/>
    <s v="Ahmedabad"/>
    <s v="Employee Benefits (EB)"/>
    <s v="Mediclaim"/>
    <s v="Group Medical"/>
    <m/>
    <m/>
    <s v="Henry Thomas"/>
    <d v="2020-01-09T00:00:00"/>
    <s v="Animesh Rawat"/>
    <s v="Servicer"/>
    <n v="1278023"/>
    <n v="12365300"/>
    <n v="12900"/>
  </r>
  <r>
    <s v="ABC"/>
    <s v="FGP-24-19-7003140-02-000"/>
    <x v="0"/>
    <x v="103"/>
    <d v="2020-06-22T00:00:00"/>
    <x v="3"/>
    <n v="3"/>
    <s v="Animesh Rawat"/>
    <x v="0"/>
    <s v="Global Client Network (GNB Inward)"/>
    <s v="Renewal"/>
    <n v="1412.55"/>
    <d v="2019-06-23T00:00:00"/>
    <s v="Brokerage"/>
    <x v="1"/>
    <s v="OTHR - Other"/>
    <d v="2020-01-22T00:00:00"/>
    <s v="Other"/>
    <s v="EL-Group Mediclaim"/>
    <s v="OPP1900001042"/>
    <s v="Animesh Rawat"/>
    <n v="8000000"/>
    <n v="400000"/>
    <d v="2019-11-13T00:00:00"/>
    <s v="Qualify Opportunity"/>
    <s v="Ahmedabad"/>
    <s v="Employee Benefits (EB)"/>
    <s v="Mediclaim"/>
    <s v="Group Medical"/>
    <m/>
    <m/>
    <s v="Harper Martin"/>
    <d v="2020-01-10T00:00:00"/>
    <s v="Animesh Rawat"/>
    <s v="Servicer"/>
    <n v="1278023"/>
    <n v="12365300"/>
    <n v="12900"/>
  </r>
  <r>
    <s v="ABC"/>
    <s v="FGP-24-19-7003140-02-000"/>
    <x v="0"/>
    <x v="103"/>
    <d v="2020-06-22T00:00:00"/>
    <x v="3"/>
    <n v="3"/>
    <s v="Animesh Rawat"/>
    <x v="0"/>
    <s v="Global Client Network (GNB Inward)"/>
    <s v="Renewal"/>
    <n v="1412.55"/>
    <d v="2019-06-23T00:00:00"/>
    <s v="Brokerage"/>
    <x v="1"/>
    <s v="OTHR - Other"/>
    <d v="2020-01-22T00:00:00"/>
    <s v="Other"/>
    <s v="KB GMC"/>
    <s v="OPP1900001222"/>
    <s v="Animesh Rawat"/>
    <n v="2500000"/>
    <n v="125000"/>
    <d v="2019-12-01T00:00:00"/>
    <s v="Qualify Opportunity"/>
    <s v="Ahmedabad"/>
    <s v="Employee Benefits (EB)"/>
    <s v="Mediclaim"/>
    <s v="Group Medical"/>
    <m/>
    <m/>
    <s v="Lucas Hernandez"/>
    <d v="2020-01-13T00:00:00"/>
    <s v="Animesh Rawat"/>
    <s v="Servicer"/>
    <n v="1278023"/>
    <n v="12365300"/>
    <n v="12900"/>
  </r>
  <r>
    <s v="ABC"/>
    <s v="FGP-24-19-7003140-02-000"/>
    <x v="0"/>
    <x v="103"/>
    <d v="2020-06-22T00:00:00"/>
    <x v="3"/>
    <n v="3"/>
    <s v="Animesh Rawat"/>
    <x v="0"/>
    <s v="Global Client Network (GNB Inward)"/>
    <s v="Renewal"/>
    <n v="1412.55"/>
    <d v="2019-06-23T00:00:00"/>
    <s v="Brokerage"/>
    <x v="1"/>
    <s v="OTHR - Other"/>
    <d v="2020-01-22T00:00:00"/>
    <s v="Other"/>
    <s v="KB GMC"/>
    <s v="OPP1900001222"/>
    <s v="Animesh Rawat"/>
    <n v="2500000"/>
    <n v="125000"/>
    <d v="2019-12-01T00:00:00"/>
    <s v="Qualify Opportunity"/>
    <s v="Ahmedabad"/>
    <s v="Employee Benefits (EB)"/>
    <s v="Mediclaim"/>
    <s v="Group Medical"/>
    <m/>
    <m/>
    <s v="Amelia Moore"/>
    <d v="2020-01-13T00:00:00"/>
    <s v="Animesh Rawat"/>
    <s v="Servicer"/>
    <n v="1278023"/>
    <n v="12365300"/>
    <n v="12900"/>
  </r>
  <r>
    <s v="ABC"/>
    <s v="FGP-24-19-7003140-02-000"/>
    <x v="0"/>
    <x v="103"/>
    <d v="2020-06-22T00:00:00"/>
    <x v="3"/>
    <n v="3"/>
    <s v="Animesh Rawat"/>
    <x v="0"/>
    <s v="Global Client Network (GNB Inward)"/>
    <s v="Renewal"/>
    <n v="1412.55"/>
    <d v="2019-06-23T00:00:00"/>
    <s v="Brokerage"/>
    <x v="1"/>
    <s v="OTHR - Other"/>
    <d v="2020-01-22T00:00:00"/>
    <s v="Other"/>
    <s v="KB GMC"/>
    <s v="OPP1900001222"/>
    <s v="Animesh Rawat"/>
    <n v="2500000"/>
    <n v="125000"/>
    <d v="2019-12-01T00:00:00"/>
    <s v="Qualify Opportunity"/>
    <s v="Ahmedabad"/>
    <s v="Employee Benefits (EB)"/>
    <s v="Mediclaim"/>
    <s v="Group Medical"/>
    <m/>
    <m/>
    <s v="Henry Thomas"/>
    <d v="2020-01-09T00:00:00"/>
    <s v="Animesh Rawat"/>
    <s v="Servicer"/>
    <n v="1278023"/>
    <n v="12365300"/>
    <n v="12900"/>
  </r>
  <r>
    <s v="ABC"/>
    <s v="FGP-24-19-7003140-02-000"/>
    <x v="0"/>
    <x v="103"/>
    <d v="2020-06-22T00:00:00"/>
    <x v="3"/>
    <n v="3"/>
    <s v="Animesh Rawat"/>
    <x v="0"/>
    <s v="Global Client Network (GNB Inward)"/>
    <s v="Renewal"/>
    <n v="1412.55"/>
    <d v="2019-06-23T00:00:00"/>
    <s v="Brokerage"/>
    <x v="1"/>
    <s v="OTHR - Other"/>
    <d v="2020-01-22T00:00:00"/>
    <s v="Other"/>
    <s v="KB GMC"/>
    <s v="OPP1900001222"/>
    <s v="Animesh Rawat"/>
    <n v="2500000"/>
    <n v="125000"/>
    <d v="2019-12-01T00:00:00"/>
    <s v="Qualify Opportunity"/>
    <s v="Ahmedabad"/>
    <s v="Employee Benefits (EB)"/>
    <s v="Mediclaim"/>
    <s v="Group Medical"/>
    <m/>
    <m/>
    <s v="Harper Martin"/>
    <d v="2020-01-10T00:00:00"/>
    <s v="Animesh Rawat"/>
    <s v="Servicer"/>
    <n v="1278023"/>
    <n v="12365300"/>
    <n v="12900"/>
  </r>
  <r>
    <s v="ABC"/>
    <s v="FGP-24-19-7003140-02-000"/>
    <x v="0"/>
    <x v="103"/>
    <d v="2020-06-22T00:00:00"/>
    <x v="3"/>
    <n v="3"/>
    <s v="Animesh Rawat"/>
    <x v="0"/>
    <s v="Global Client Network (GNB Inward)"/>
    <s v="Renewal"/>
    <n v="1412.55"/>
    <d v="2019-06-23T00:00:00"/>
    <s v="Brokerage"/>
    <x v="1"/>
    <s v="OTHR - Other"/>
    <d v="2020-01-22T00:00:00"/>
    <s v="Other"/>
    <s v="Sin GMC"/>
    <s v="OPP1900001366"/>
    <s v="Animesh Rawat"/>
    <n v="9500000"/>
    <n v="200000"/>
    <d v="2019-09-30T00:00:00"/>
    <s v="Negotiate"/>
    <s v="Ahmedabad"/>
    <s v="Employee Benefits (EB)"/>
    <s v="Mediclaim"/>
    <s v="Group Medical"/>
    <m/>
    <m/>
    <s v="Lucas Hernandez"/>
    <d v="2020-01-13T00:00:00"/>
    <s v="Animesh Rawat"/>
    <s v="Servicer"/>
    <n v="1278023"/>
    <n v="12365300"/>
    <n v="12900"/>
  </r>
  <r>
    <s v="ABC"/>
    <s v="FGP-24-19-7003140-02-000"/>
    <x v="0"/>
    <x v="103"/>
    <d v="2020-06-22T00:00:00"/>
    <x v="3"/>
    <n v="3"/>
    <s v="Animesh Rawat"/>
    <x v="0"/>
    <s v="Global Client Network (GNB Inward)"/>
    <s v="Renewal"/>
    <n v="1412.55"/>
    <d v="2019-06-23T00:00:00"/>
    <s v="Brokerage"/>
    <x v="1"/>
    <s v="OTHR - Other"/>
    <d v="2020-01-22T00:00:00"/>
    <s v="Other"/>
    <s v="Sin GMC"/>
    <s v="OPP1900001366"/>
    <s v="Animesh Rawat"/>
    <n v="9500000"/>
    <n v="200000"/>
    <d v="2019-09-30T00:00:00"/>
    <s v="Negotiate"/>
    <s v="Ahmedabad"/>
    <s v="Employee Benefits (EB)"/>
    <s v="Mediclaim"/>
    <s v="Group Medical"/>
    <m/>
    <m/>
    <s v="Amelia Moore"/>
    <d v="2020-01-13T00:00:00"/>
    <s v="Animesh Rawat"/>
    <s v="Servicer"/>
    <n v="1278023"/>
    <n v="12365300"/>
    <n v="12900"/>
  </r>
  <r>
    <s v="ABC"/>
    <s v="FGP-24-19-7003140-02-000"/>
    <x v="0"/>
    <x v="103"/>
    <d v="2020-06-22T00:00:00"/>
    <x v="3"/>
    <n v="3"/>
    <s v="Animesh Rawat"/>
    <x v="0"/>
    <s v="Global Client Network (GNB Inward)"/>
    <s v="Renewal"/>
    <n v="1412.55"/>
    <d v="2019-06-23T00:00:00"/>
    <s v="Brokerage"/>
    <x v="1"/>
    <s v="OTHR - Other"/>
    <d v="2020-01-22T00:00:00"/>
    <s v="Other"/>
    <s v="Sin GMC"/>
    <s v="OPP1900001366"/>
    <s v="Animesh Rawat"/>
    <n v="9500000"/>
    <n v="200000"/>
    <d v="2019-09-30T00:00:00"/>
    <s v="Negotiate"/>
    <s v="Ahmedabad"/>
    <s v="Employee Benefits (EB)"/>
    <s v="Mediclaim"/>
    <s v="Group Medical"/>
    <m/>
    <m/>
    <s v="Henry Thomas"/>
    <d v="2020-01-09T00:00:00"/>
    <s v="Animesh Rawat"/>
    <s v="Servicer"/>
    <n v="1278023"/>
    <n v="12365300"/>
    <n v="12900"/>
  </r>
  <r>
    <s v="ABC"/>
    <s v="FGP-24-19-7003140-02-000"/>
    <x v="0"/>
    <x v="103"/>
    <d v="2020-06-22T00:00:00"/>
    <x v="3"/>
    <n v="3"/>
    <s v="Animesh Rawat"/>
    <x v="0"/>
    <s v="Global Client Network (GNB Inward)"/>
    <s v="Renewal"/>
    <n v="1412.55"/>
    <d v="2019-06-23T00:00:00"/>
    <s v="Brokerage"/>
    <x v="1"/>
    <s v="OTHR - Other"/>
    <d v="2020-01-22T00:00:00"/>
    <s v="Other"/>
    <s v="Sin GMC"/>
    <s v="OPP1900001366"/>
    <s v="Animesh Rawat"/>
    <n v="9500000"/>
    <n v="200000"/>
    <d v="2019-09-30T00:00:00"/>
    <s v="Negotiate"/>
    <s v="Ahmedabad"/>
    <s v="Employee Benefits (EB)"/>
    <s v="Mediclaim"/>
    <s v="Group Medical"/>
    <m/>
    <m/>
    <s v="Harper Martin"/>
    <d v="2020-01-10T00:00:00"/>
    <s v="Animesh Rawat"/>
    <s v="Servicer"/>
    <n v="1278023"/>
    <n v="12365300"/>
    <n v="12900"/>
  </r>
  <r>
    <s v="ABC"/>
    <s v="FGP-24-19-7003140-02-000"/>
    <x v="0"/>
    <x v="103"/>
    <d v="2020-06-22T00:00:00"/>
    <x v="3"/>
    <n v="3"/>
    <s v="Animesh Rawat"/>
    <x v="0"/>
    <s v="Global Client Network (GNB Inward)"/>
    <s v="Renewal"/>
    <n v="1412.55"/>
    <d v="2019-06-23T00:00:00"/>
    <s v="Brokerage"/>
    <x v="1"/>
    <s v="OTHR - Other"/>
    <d v="2020-01-22T00:00:00"/>
    <s v="Other"/>
    <s v="Stem GMC"/>
    <s v="OPP1900001391"/>
    <s v="Animesh Rawat"/>
    <n v="0"/>
    <n v="100000"/>
    <d v="2019-11-15T00:00:00"/>
    <s v="Qualify Opportunity"/>
    <s v="Ahmedabad"/>
    <s v="Employee Benefits (EB)"/>
    <s v="Mediclaim"/>
    <s v="Group Medical"/>
    <m/>
    <m/>
    <s v="Lucas Hernandez"/>
    <d v="2020-01-13T00:00:00"/>
    <s v="Animesh Rawat"/>
    <s v="Servicer"/>
    <n v="1278023"/>
    <n v="12365300"/>
    <n v="12900"/>
  </r>
  <r>
    <s v="ABC"/>
    <s v="FGP-24-19-7003140-02-000"/>
    <x v="0"/>
    <x v="103"/>
    <d v="2020-06-22T00:00:00"/>
    <x v="3"/>
    <n v="3"/>
    <s v="Animesh Rawat"/>
    <x v="0"/>
    <s v="Global Client Network (GNB Inward)"/>
    <s v="Renewal"/>
    <n v="1412.55"/>
    <d v="2019-06-23T00:00:00"/>
    <s v="Brokerage"/>
    <x v="1"/>
    <s v="OTHR - Other"/>
    <d v="2020-01-22T00:00:00"/>
    <s v="Other"/>
    <s v="Stem GMC"/>
    <s v="OPP1900001391"/>
    <s v="Animesh Rawat"/>
    <n v="0"/>
    <n v="100000"/>
    <d v="2019-11-15T00:00:00"/>
    <s v="Qualify Opportunity"/>
    <s v="Ahmedabad"/>
    <s v="Employee Benefits (EB)"/>
    <s v="Mediclaim"/>
    <s v="Group Medical"/>
    <m/>
    <m/>
    <s v="Amelia Moore"/>
    <d v="2020-01-13T00:00:00"/>
    <s v="Animesh Rawat"/>
    <s v="Servicer"/>
    <n v="1278023"/>
    <n v="12365300"/>
    <n v="12900"/>
  </r>
  <r>
    <s v="ABC"/>
    <s v="FGP-24-19-7003140-02-000"/>
    <x v="0"/>
    <x v="103"/>
    <d v="2020-06-22T00:00:00"/>
    <x v="3"/>
    <n v="3"/>
    <s v="Animesh Rawat"/>
    <x v="0"/>
    <s v="Global Client Network (GNB Inward)"/>
    <s v="Renewal"/>
    <n v="1412.55"/>
    <d v="2019-06-23T00:00:00"/>
    <s v="Brokerage"/>
    <x v="1"/>
    <s v="OTHR - Other"/>
    <d v="2020-01-22T00:00:00"/>
    <s v="Other"/>
    <s v="Stem GMC"/>
    <s v="OPP1900001391"/>
    <s v="Animesh Rawat"/>
    <n v="0"/>
    <n v="100000"/>
    <d v="2019-11-15T00:00:00"/>
    <s v="Qualify Opportunity"/>
    <s v="Ahmedabad"/>
    <s v="Employee Benefits (EB)"/>
    <s v="Mediclaim"/>
    <s v="Group Medical"/>
    <m/>
    <m/>
    <s v="Henry Thomas"/>
    <d v="2020-01-09T00:00:00"/>
    <s v="Animesh Rawat"/>
    <s v="Servicer"/>
    <n v="1278023"/>
    <n v="12365300"/>
    <n v="12900"/>
  </r>
  <r>
    <s v="ABC"/>
    <s v="FGP-24-19-7003140-02-000"/>
    <x v="0"/>
    <x v="103"/>
    <d v="2020-06-22T00:00:00"/>
    <x v="3"/>
    <n v="3"/>
    <s v="Animesh Rawat"/>
    <x v="0"/>
    <s v="Global Client Network (GNB Inward)"/>
    <s v="Renewal"/>
    <n v="1412.55"/>
    <d v="2019-06-23T00:00:00"/>
    <s v="Brokerage"/>
    <x v="1"/>
    <s v="OTHR - Other"/>
    <d v="2020-01-22T00:00:00"/>
    <s v="Other"/>
    <s v="Stem GMC"/>
    <s v="OPP1900001391"/>
    <s v="Animesh Rawat"/>
    <n v="0"/>
    <n v="100000"/>
    <d v="2019-11-15T00:00:00"/>
    <s v="Qualify Opportunity"/>
    <s v="Ahmedabad"/>
    <s v="Employee Benefits (EB)"/>
    <s v="Mediclaim"/>
    <s v="Group Medical"/>
    <m/>
    <m/>
    <s v="Harper Martin"/>
    <d v="2020-01-10T00:00:00"/>
    <s v="Animesh Rawat"/>
    <s v="Servicer"/>
    <n v="1278023"/>
    <n v="12365300"/>
    <n v="12900"/>
  </r>
  <r>
    <s v="ABC"/>
    <s v="FGP-24-19-7003140-02-000"/>
    <x v="0"/>
    <x v="103"/>
    <d v="2020-06-22T00:00:00"/>
    <x v="3"/>
    <n v="3"/>
    <s v="Animesh Rawat"/>
    <x v="0"/>
    <s v="Global Client Network (GNB Inward)"/>
    <s v="Renewal"/>
    <n v="1412.55"/>
    <d v="2019-06-23T00:00:00"/>
    <s v="Brokerage"/>
    <x v="1"/>
    <s v="OTHR - Other"/>
    <d v="2020-01-22T00:00:00"/>
    <s v="Other"/>
    <s v="DS- Employees GMC"/>
    <s v="OPP1900001392"/>
    <s v="Animesh Rawat"/>
    <n v="6000000"/>
    <n v="300000"/>
    <d v="2019-12-01T00:00:00"/>
    <s v="Qualify Opportunity"/>
    <s v="Ahmedabad"/>
    <s v="Employee Benefits (EB)"/>
    <s v="Mediclaim"/>
    <s v="Group Medical"/>
    <m/>
    <m/>
    <s v="Lucas Hernandez"/>
    <d v="2020-01-13T00:00:00"/>
    <s v="Animesh Rawat"/>
    <s v="Servicer"/>
    <n v="1278023"/>
    <n v="12365300"/>
    <n v="12900"/>
  </r>
  <r>
    <s v="ABC"/>
    <s v="FGP-24-19-7003140-02-000"/>
    <x v="0"/>
    <x v="103"/>
    <d v="2020-06-22T00:00:00"/>
    <x v="3"/>
    <n v="3"/>
    <s v="Animesh Rawat"/>
    <x v="0"/>
    <s v="Global Client Network (GNB Inward)"/>
    <s v="Renewal"/>
    <n v="1412.55"/>
    <d v="2019-06-23T00:00:00"/>
    <s v="Brokerage"/>
    <x v="1"/>
    <s v="OTHR - Other"/>
    <d v="2020-01-22T00:00:00"/>
    <s v="Other"/>
    <s v="DS- Employees GMC"/>
    <s v="OPP1900001392"/>
    <s v="Animesh Rawat"/>
    <n v="6000000"/>
    <n v="300000"/>
    <d v="2019-12-01T00:00:00"/>
    <s v="Qualify Opportunity"/>
    <s v="Ahmedabad"/>
    <s v="Employee Benefits (EB)"/>
    <s v="Mediclaim"/>
    <s v="Group Medical"/>
    <m/>
    <m/>
    <s v="Amelia Moore"/>
    <d v="2020-01-13T00:00:00"/>
    <s v="Animesh Rawat"/>
    <s v="Servicer"/>
    <n v="1278023"/>
    <n v="12365300"/>
    <n v="12900"/>
  </r>
  <r>
    <s v="ABC"/>
    <s v="FGP-24-19-7003140-02-000"/>
    <x v="0"/>
    <x v="103"/>
    <d v="2020-06-22T00:00:00"/>
    <x v="3"/>
    <n v="3"/>
    <s v="Animesh Rawat"/>
    <x v="0"/>
    <s v="Global Client Network (GNB Inward)"/>
    <s v="Renewal"/>
    <n v="1412.55"/>
    <d v="2019-06-23T00:00:00"/>
    <s v="Brokerage"/>
    <x v="1"/>
    <s v="OTHR - Other"/>
    <d v="2020-01-22T00:00:00"/>
    <s v="Other"/>
    <s v="DS- Employees GMC"/>
    <s v="OPP1900001392"/>
    <s v="Animesh Rawat"/>
    <n v="6000000"/>
    <n v="300000"/>
    <d v="2019-12-01T00:00:00"/>
    <s v="Qualify Opportunity"/>
    <s v="Ahmedabad"/>
    <s v="Employee Benefits (EB)"/>
    <s v="Mediclaim"/>
    <s v="Group Medical"/>
    <m/>
    <m/>
    <s v="Henry Thomas"/>
    <d v="2020-01-09T00:00:00"/>
    <s v="Animesh Rawat"/>
    <s v="Servicer"/>
    <n v="1278023"/>
    <n v="12365300"/>
    <n v="12900"/>
  </r>
  <r>
    <s v="ABC"/>
    <s v="FGP-24-19-7003140-02-000"/>
    <x v="0"/>
    <x v="103"/>
    <d v="2020-06-22T00:00:00"/>
    <x v="3"/>
    <n v="3"/>
    <s v="Animesh Rawat"/>
    <x v="0"/>
    <s v="Global Client Network (GNB Inward)"/>
    <s v="Renewal"/>
    <n v="1412.55"/>
    <d v="2019-06-23T00:00:00"/>
    <s v="Brokerage"/>
    <x v="1"/>
    <s v="OTHR - Other"/>
    <d v="2020-01-22T00:00:00"/>
    <s v="Other"/>
    <s v="DS- Employees GMC"/>
    <s v="OPP1900001392"/>
    <s v="Animesh Rawat"/>
    <n v="6000000"/>
    <n v="300000"/>
    <d v="2019-12-01T00:00:00"/>
    <s v="Qualify Opportunity"/>
    <s v="Ahmedabad"/>
    <s v="Employee Benefits (EB)"/>
    <s v="Mediclaim"/>
    <s v="Group Medical"/>
    <m/>
    <m/>
    <s v="Harper Martin"/>
    <d v="2020-01-10T00:00:00"/>
    <s v="Animesh Rawat"/>
    <s v="Servicer"/>
    <n v="1278023"/>
    <n v="12365300"/>
    <n v="12900"/>
  </r>
  <r>
    <s v="ABC"/>
    <s v="H0088766"/>
    <x v="0"/>
    <x v="104"/>
    <d v="2020-04-23T00:00:00"/>
    <x v="3"/>
    <n v="10"/>
    <s v="Mark"/>
    <x v="0"/>
    <s v="Employee Benefits (EB)"/>
    <s v="Renewal"/>
    <n v="63750"/>
    <d v="2019-04-24T00:00:00"/>
    <s v="Brokerage"/>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ABC"/>
    <s v="H0088766"/>
    <x v="0"/>
    <x v="104"/>
    <d v="2020-04-23T00:00:00"/>
    <x v="3"/>
    <n v="10"/>
    <s v="Mark"/>
    <x v="0"/>
    <s v="Employee Benefits (EB)"/>
    <s v="Renewal"/>
    <n v="63750"/>
    <d v="2019-04-24T00:00:00"/>
    <s v="Brokerage"/>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ABC"/>
    <s v="H0088766"/>
    <x v="0"/>
    <x v="104"/>
    <d v="2020-04-23T00:00:00"/>
    <x v="3"/>
    <n v="10"/>
    <s v="Mark"/>
    <x v="0"/>
    <s v="Employee Benefits (EB)"/>
    <s v="Renewal"/>
    <n v="63750"/>
    <d v="2019-04-24T00:00:00"/>
    <s v="Brokerage"/>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ABC"/>
    <s v="H0088766"/>
    <x v="0"/>
    <x v="104"/>
    <d v="2020-04-23T00:00:00"/>
    <x v="3"/>
    <n v="10"/>
    <s v="Mark"/>
    <x v="0"/>
    <s v="Employee Benefits (EB)"/>
    <s v="Renewal"/>
    <n v="63750"/>
    <d v="2019-04-24T00:00:00"/>
    <s v="Brokerage"/>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ABC"/>
    <s v="H0088766"/>
    <x v="0"/>
    <x v="104"/>
    <d v="2020-04-23T00:00:00"/>
    <x v="3"/>
    <n v="10"/>
    <s v="Mark"/>
    <x v="0"/>
    <s v="Employee Benefits (EB)"/>
    <s v="Renewal"/>
    <n v="63750"/>
    <d v="2019-04-24T00:00:00"/>
    <s v="Brokerage"/>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ABC"/>
    <s v="H0088766"/>
    <x v="0"/>
    <x v="104"/>
    <d v="2020-04-23T00:00:00"/>
    <x v="3"/>
    <n v="10"/>
    <s v="Mark"/>
    <x v="0"/>
    <s v="Employee Benefits (EB)"/>
    <s v="Renewal"/>
    <n v="63750"/>
    <d v="2019-04-24T00:00:00"/>
    <s v="Brokerage"/>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ABC"/>
    <s v="H0088766"/>
    <x v="0"/>
    <x v="104"/>
    <d v="2020-04-23T00:00:00"/>
    <x v="3"/>
    <n v="10"/>
    <s v="Mark"/>
    <x v="0"/>
    <s v="Employee Benefits (EB)"/>
    <s v="Renewal"/>
    <n v="63750"/>
    <d v="2019-04-24T00:00:00"/>
    <s v="Brokerage"/>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ABC"/>
    <s v="H0088766"/>
    <x v="0"/>
    <x v="104"/>
    <d v="2020-04-23T00:00:00"/>
    <x v="3"/>
    <n v="10"/>
    <s v="Mark"/>
    <x v="0"/>
    <s v="Employee Benefits (EB)"/>
    <s v="Renewal"/>
    <n v="63750"/>
    <d v="2019-04-24T00:00:00"/>
    <s v="Brokerage"/>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ABC"/>
    <s v="H0088766"/>
    <x v="0"/>
    <x v="104"/>
    <d v="2020-04-23T00:00:00"/>
    <x v="3"/>
    <n v="10"/>
    <s v="Mark"/>
    <x v="0"/>
    <s v="Employee Benefits (EB)"/>
    <s v="Renewal"/>
    <n v="63750"/>
    <d v="2019-04-24T00:00:00"/>
    <s v="Brokerage"/>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ABC"/>
    <s v="H0088766"/>
    <x v="0"/>
    <x v="104"/>
    <d v="2020-04-23T00:00:00"/>
    <x v="3"/>
    <n v="10"/>
    <s v="Mark"/>
    <x v="0"/>
    <s v="Employee Benefits (EB)"/>
    <s v="Renewal"/>
    <n v="63750"/>
    <d v="2019-04-24T00:00:00"/>
    <s v="Brokerage"/>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ABC"/>
    <s v="H0088766"/>
    <x v="0"/>
    <x v="104"/>
    <d v="2020-04-23T00:00:00"/>
    <x v="3"/>
    <n v="10"/>
    <s v="Mark"/>
    <x v="0"/>
    <s v="Employee Benefits (EB)"/>
    <s v="Renewal"/>
    <n v="3098.63"/>
    <d v="2019-07-13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ABC"/>
    <s v="H0088766"/>
    <x v="0"/>
    <x v="104"/>
    <d v="2020-04-23T00:00:00"/>
    <x v="3"/>
    <n v="10"/>
    <s v="Mark"/>
    <x v="0"/>
    <s v="Employee Benefits (EB)"/>
    <s v="Renewal"/>
    <n v="3098.63"/>
    <d v="2019-07-13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ABC"/>
    <s v="H0088766"/>
    <x v="0"/>
    <x v="104"/>
    <d v="2020-04-23T00:00:00"/>
    <x v="3"/>
    <n v="10"/>
    <s v="Mark"/>
    <x v="0"/>
    <s v="Employee Benefits (EB)"/>
    <s v="Renewal"/>
    <n v="3098.63"/>
    <d v="2019-07-13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ABC"/>
    <s v="H0088766"/>
    <x v="0"/>
    <x v="104"/>
    <d v="2020-04-23T00:00:00"/>
    <x v="3"/>
    <n v="10"/>
    <s v="Mark"/>
    <x v="0"/>
    <s v="Employee Benefits (EB)"/>
    <s v="Renewal"/>
    <n v="3098.63"/>
    <d v="2019-07-13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ABC"/>
    <s v="H0088766"/>
    <x v="0"/>
    <x v="104"/>
    <d v="2020-04-23T00:00:00"/>
    <x v="3"/>
    <n v="10"/>
    <s v="Mark"/>
    <x v="0"/>
    <s v="Employee Benefits (EB)"/>
    <s v="Renewal"/>
    <n v="3098.63"/>
    <d v="2019-07-13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ABC"/>
    <s v="H0088766"/>
    <x v="0"/>
    <x v="104"/>
    <d v="2020-04-23T00:00:00"/>
    <x v="3"/>
    <n v="10"/>
    <s v="Mark"/>
    <x v="0"/>
    <s v="Employee Benefits (EB)"/>
    <s v="Renewal"/>
    <n v="3098.63"/>
    <d v="2019-07-13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ABC"/>
    <s v="H0088766"/>
    <x v="0"/>
    <x v="104"/>
    <d v="2020-04-23T00:00:00"/>
    <x v="3"/>
    <n v="10"/>
    <s v="Mark"/>
    <x v="0"/>
    <s v="Employee Benefits (EB)"/>
    <s v="Renewal"/>
    <n v="3098.63"/>
    <d v="2019-07-13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ABC"/>
    <s v="H0088766"/>
    <x v="0"/>
    <x v="104"/>
    <d v="2020-04-23T00:00:00"/>
    <x v="3"/>
    <n v="10"/>
    <s v="Mark"/>
    <x v="0"/>
    <s v="Employee Benefits (EB)"/>
    <s v="Renewal"/>
    <n v="3098.63"/>
    <d v="2019-07-13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ABC"/>
    <s v="H0088766"/>
    <x v="0"/>
    <x v="104"/>
    <d v="2020-04-23T00:00:00"/>
    <x v="3"/>
    <n v="10"/>
    <s v="Mark"/>
    <x v="0"/>
    <s v="Employee Benefits (EB)"/>
    <s v="Renewal"/>
    <n v="3098.63"/>
    <d v="2019-07-13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ABC"/>
    <s v="H0088766"/>
    <x v="0"/>
    <x v="104"/>
    <d v="2020-04-23T00:00:00"/>
    <x v="3"/>
    <n v="10"/>
    <s v="Mark"/>
    <x v="0"/>
    <s v="Employee Benefits (EB)"/>
    <s v="Renewal"/>
    <n v="3098.63"/>
    <d v="2019-07-13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ABC"/>
    <s v="H0088766"/>
    <x v="0"/>
    <x v="104"/>
    <d v="2020-04-23T00:00:00"/>
    <x v="3"/>
    <n v="10"/>
    <s v="Mark"/>
    <x v="0"/>
    <s v="Employee Benefits (EB)"/>
    <s v="Renewal"/>
    <n v="1747.2"/>
    <d v="2019-07-17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ABC"/>
    <s v="H0088766"/>
    <x v="0"/>
    <x v="104"/>
    <d v="2020-04-23T00:00:00"/>
    <x v="3"/>
    <n v="10"/>
    <s v="Mark"/>
    <x v="0"/>
    <s v="Employee Benefits (EB)"/>
    <s v="Renewal"/>
    <n v="1747.2"/>
    <d v="2019-07-17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ABC"/>
    <s v="H0088766"/>
    <x v="0"/>
    <x v="104"/>
    <d v="2020-04-23T00:00:00"/>
    <x v="3"/>
    <n v="10"/>
    <s v="Mark"/>
    <x v="0"/>
    <s v="Employee Benefits (EB)"/>
    <s v="Renewal"/>
    <n v="1747.2"/>
    <d v="2019-07-17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ABC"/>
    <s v="H0088766"/>
    <x v="0"/>
    <x v="104"/>
    <d v="2020-04-23T00:00:00"/>
    <x v="3"/>
    <n v="10"/>
    <s v="Mark"/>
    <x v="0"/>
    <s v="Employee Benefits (EB)"/>
    <s v="Renewal"/>
    <n v="1747.2"/>
    <d v="2019-07-17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ABC"/>
    <s v="H0088766"/>
    <x v="0"/>
    <x v="104"/>
    <d v="2020-04-23T00:00:00"/>
    <x v="3"/>
    <n v="10"/>
    <s v="Mark"/>
    <x v="0"/>
    <s v="Employee Benefits (EB)"/>
    <s v="Renewal"/>
    <n v="1747.2"/>
    <d v="2019-07-17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ABC"/>
    <s v="H0088766"/>
    <x v="0"/>
    <x v="104"/>
    <d v="2020-04-23T00:00:00"/>
    <x v="3"/>
    <n v="10"/>
    <s v="Mark"/>
    <x v="0"/>
    <s v="Employee Benefits (EB)"/>
    <s v="Renewal"/>
    <n v="1747.2"/>
    <d v="2019-07-17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ABC"/>
    <s v="H0088766"/>
    <x v="0"/>
    <x v="104"/>
    <d v="2020-04-23T00:00:00"/>
    <x v="3"/>
    <n v="10"/>
    <s v="Mark"/>
    <x v="0"/>
    <s v="Employee Benefits (EB)"/>
    <s v="Renewal"/>
    <n v="1747.2"/>
    <d v="2019-07-17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ABC"/>
    <s v="H0088766"/>
    <x v="0"/>
    <x v="104"/>
    <d v="2020-04-23T00:00:00"/>
    <x v="3"/>
    <n v="10"/>
    <s v="Mark"/>
    <x v="0"/>
    <s v="Employee Benefits (EB)"/>
    <s v="Renewal"/>
    <n v="1747.2"/>
    <d v="2019-07-17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ABC"/>
    <s v="H0088766"/>
    <x v="0"/>
    <x v="104"/>
    <d v="2020-04-23T00:00:00"/>
    <x v="3"/>
    <n v="10"/>
    <s v="Mark"/>
    <x v="0"/>
    <s v="Employee Benefits (EB)"/>
    <s v="Renewal"/>
    <n v="1747.2"/>
    <d v="2019-07-17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ABC"/>
    <s v="H0088766"/>
    <x v="0"/>
    <x v="104"/>
    <d v="2020-04-23T00:00:00"/>
    <x v="3"/>
    <n v="10"/>
    <s v="Mark"/>
    <x v="0"/>
    <s v="Employee Benefits (EB)"/>
    <s v="Renewal"/>
    <n v="1747.2"/>
    <d v="2019-07-17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ABC"/>
    <s v="H0088766"/>
    <x v="0"/>
    <x v="104"/>
    <d v="2020-04-23T00:00:00"/>
    <x v="3"/>
    <n v="10"/>
    <s v="Mark"/>
    <x v="0"/>
    <s v="Employee Benefits (EB)"/>
    <s v="Renewal"/>
    <n v="2458.58"/>
    <d v="2019-05-14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ABC"/>
    <s v="H0088766"/>
    <x v="0"/>
    <x v="104"/>
    <d v="2020-04-23T00:00:00"/>
    <x v="3"/>
    <n v="10"/>
    <s v="Mark"/>
    <x v="0"/>
    <s v="Employee Benefits (EB)"/>
    <s v="Renewal"/>
    <n v="2458.58"/>
    <d v="2019-05-14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ABC"/>
    <s v="H0088766"/>
    <x v="0"/>
    <x v="104"/>
    <d v="2020-04-23T00:00:00"/>
    <x v="3"/>
    <n v="10"/>
    <s v="Mark"/>
    <x v="0"/>
    <s v="Employee Benefits (EB)"/>
    <s v="Renewal"/>
    <n v="2458.58"/>
    <d v="2019-05-14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ABC"/>
    <s v="H0088766"/>
    <x v="0"/>
    <x v="104"/>
    <d v="2020-04-23T00:00:00"/>
    <x v="3"/>
    <n v="10"/>
    <s v="Mark"/>
    <x v="0"/>
    <s v="Employee Benefits (EB)"/>
    <s v="Renewal"/>
    <n v="2458.58"/>
    <d v="2019-05-14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ABC"/>
    <s v="H0088766"/>
    <x v="0"/>
    <x v="104"/>
    <d v="2020-04-23T00:00:00"/>
    <x v="3"/>
    <n v="10"/>
    <s v="Mark"/>
    <x v="0"/>
    <s v="Employee Benefits (EB)"/>
    <s v="Renewal"/>
    <n v="2458.58"/>
    <d v="2019-05-14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ABC"/>
    <s v="H0088766"/>
    <x v="0"/>
    <x v="104"/>
    <d v="2020-04-23T00:00:00"/>
    <x v="3"/>
    <n v="10"/>
    <s v="Mark"/>
    <x v="0"/>
    <s v="Employee Benefits (EB)"/>
    <s v="Renewal"/>
    <n v="2458.58"/>
    <d v="2019-05-14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ABC"/>
    <s v="H0088766"/>
    <x v="0"/>
    <x v="104"/>
    <d v="2020-04-23T00:00:00"/>
    <x v="3"/>
    <n v="10"/>
    <s v="Mark"/>
    <x v="0"/>
    <s v="Employee Benefits (EB)"/>
    <s v="Renewal"/>
    <n v="2458.58"/>
    <d v="2019-05-14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ABC"/>
    <s v="H0088766"/>
    <x v="0"/>
    <x v="104"/>
    <d v="2020-04-23T00:00:00"/>
    <x v="3"/>
    <n v="10"/>
    <s v="Mark"/>
    <x v="0"/>
    <s v="Employee Benefits (EB)"/>
    <s v="Renewal"/>
    <n v="2458.58"/>
    <d v="2019-05-14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ABC"/>
    <s v="H0088766"/>
    <x v="0"/>
    <x v="104"/>
    <d v="2020-04-23T00:00:00"/>
    <x v="3"/>
    <n v="10"/>
    <s v="Mark"/>
    <x v="0"/>
    <s v="Employee Benefits (EB)"/>
    <s v="Renewal"/>
    <n v="2458.58"/>
    <d v="2019-05-14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ABC"/>
    <s v="H0088766"/>
    <x v="0"/>
    <x v="104"/>
    <d v="2020-04-23T00:00:00"/>
    <x v="3"/>
    <n v="10"/>
    <s v="Mark"/>
    <x v="0"/>
    <s v="Employee Benefits (EB)"/>
    <s v="Renewal"/>
    <n v="2458.58"/>
    <d v="2019-05-14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ABC"/>
    <s v="141100/48/2019/48"/>
    <x v="1"/>
    <x v="14"/>
    <d v="2019-03-31T00:00:00"/>
    <x v="3"/>
    <n v="10"/>
    <s v="Mark"/>
    <x v="0"/>
    <s v="Employee Benefits (EB)"/>
    <s v="Renewal"/>
    <n v="11249.93"/>
    <d v="2018-04-01T00:00:00"/>
    <s v="Brokerage"/>
    <x v="3"/>
    <s v="GMAN - Global Mandate"/>
    <d v="2020-01-22T00:00:00"/>
    <s v="GMAN - Global Mandate"/>
    <s v="EI- GMC"/>
    <s v="OPP1900001364"/>
    <s v="Mark"/>
    <n v="1400000"/>
    <n v="100000"/>
    <d v="2019-12-09T00:00:00"/>
    <s v="Qualify Opportunity"/>
    <s v="Ahmedabad"/>
    <s v="Employee Benefits (EB)"/>
    <s v="Mediclaim"/>
    <s v="Group Medical"/>
    <m/>
    <m/>
    <s v="Christopher Campbell"/>
    <d v="2020-01-22T00:00:00"/>
    <s v="Mark"/>
    <s v="Servicer"/>
    <n v="19888"/>
    <n v="128777"/>
    <n v="198882"/>
  </r>
  <r>
    <s v="ABC"/>
    <s v="141100/48/2019/48"/>
    <x v="1"/>
    <x v="14"/>
    <d v="2019-03-31T00:00:00"/>
    <x v="3"/>
    <n v="10"/>
    <s v="Mark"/>
    <x v="0"/>
    <s v="Employee Benefits (EB)"/>
    <s v="Renewal"/>
    <n v="11249.93"/>
    <d v="2018-04-01T00:00:00"/>
    <s v="Brokerage"/>
    <x v="3"/>
    <s v="GMAN - Global Mandate"/>
    <d v="2020-01-22T00:00:00"/>
    <s v="GMAN - Global Mandate"/>
    <s v="EI- GMC"/>
    <s v="OPP1900001364"/>
    <s v="Mark"/>
    <n v="1400000"/>
    <n v="100000"/>
    <d v="2019-12-09T00:00:00"/>
    <s v="Qualify Opportunity"/>
    <s v="Ahmedabad"/>
    <s v="Employee Benefits (EB)"/>
    <s v="Mediclaim"/>
    <s v="Group Medical"/>
    <m/>
    <m/>
    <s v="Zoe Rivera"/>
    <d v="2020-01-13T00:00:00"/>
    <s v="Mark"/>
    <s v="Servicer"/>
    <n v="19888"/>
    <n v="128777"/>
    <n v="198882"/>
  </r>
  <r>
    <s v="ABC"/>
    <s v="141100/48/2019/48"/>
    <x v="1"/>
    <x v="14"/>
    <d v="2019-03-31T00:00:00"/>
    <x v="3"/>
    <n v="10"/>
    <s v="Mark"/>
    <x v="0"/>
    <s v="Employee Benefits (EB)"/>
    <s v="Renewal"/>
    <n v="11249.93"/>
    <d v="2018-04-01T00:00:00"/>
    <s v="Brokerage"/>
    <x v="3"/>
    <s v="GMAN - Global Mandate"/>
    <d v="2020-01-22T00:00:00"/>
    <s v="GMAN - Global Mandate"/>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ABC"/>
    <s v="141100/48/2019/48"/>
    <x v="1"/>
    <x v="14"/>
    <d v="2019-03-31T00:00:00"/>
    <x v="3"/>
    <n v="10"/>
    <s v="Mark"/>
    <x v="0"/>
    <s v="Employee Benefits (EB)"/>
    <s v="Renewal"/>
    <n v="11249.93"/>
    <d v="2018-04-01T00:00:00"/>
    <s v="Brokerage"/>
    <x v="3"/>
    <s v="GMAN - Global Mandate"/>
    <d v="2020-01-22T00:00:00"/>
    <s v="GMAN - Global Mandate"/>
    <s v="FM-Group Mediclaim"/>
    <s v="OPP1900001390"/>
    <s v="Mark"/>
    <n v="4500000"/>
    <n v="300000"/>
    <d v="2019-10-29T00:00:00"/>
    <s v="Qualify Opportunity"/>
    <s v="Ahmedabad"/>
    <s v="Employee Benefits (EB)"/>
    <s v="Mediclaim"/>
    <s v="Group Medical"/>
    <m/>
    <m/>
    <s v="Zoe Rivera"/>
    <d v="2020-01-13T00:00:00"/>
    <s v="Mark"/>
    <s v="Servicer"/>
    <n v="19888"/>
    <n v="128777"/>
    <n v="198882"/>
  </r>
  <r>
    <s v="ABC"/>
    <s v="141100/48/2019/48"/>
    <x v="1"/>
    <x v="14"/>
    <d v="2019-03-31T00:00:00"/>
    <x v="3"/>
    <n v="10"/>
    <s v="Mark"/>
    <x v="0"/>
    <s v="Employee Benefits (EB)"/>
    <s v="Renewal"/>
    <n v="11249.93"/>
    <d v="2018-04-01T00:00:00"/>
    <s v="Brokerage"/>
    <x v="3"/>
    <s v="GMAN - Global Mandate"/>
    <d v="2020-01-22T00:00:00"/>
    <s v="GMAN - Global Mandate"/>
    <s v="BVGMC"/>
    <s v="OPP1900001393"/>
    <s v="Mark"/>
    <n v="600000"/>
    <n v="100000"/>
    <d v="2019-11-30T00:00:00"/>
    <s v="Qualify Opportunity"/>
    <s v="Ahmedabad"/>
    <s v="Emerging Corporates Group (ECG)"/>
    <s v="Mediclaim"/>
    <s v="Group Medical"/>
    <m/>
    <m/>
    <s v="Christopher Campbell"/>
    <d v="2020-01-22T00:00:00"/>
    <s v="Mark"/>
    <s v="Servicer"/>
    <n v="19888"/>
    <n v="128777"/>
    <n v="198882"/>
  </r>
  <r>
    <s v="ABC"/>
    <s v="141100/48/2019/48"/>
    <x v="1"/>
    <x v="14"/>
    <d v="2019-03-31T00:00:00"/>
    <x v="3"/>
    <n v="10"/>
    <s v="Mark"/>
    <x v="0"/>
    <s v="Employee Benefits (EB)"/>
    <s v="Renewal"/>
    <n v="11249.93"/>
    <d v="2018-04-01T00:00:00"/>
    <s v="Brokerage"/>
    <x v="3"/>
    <s v="GMAN - Global Mandate"/>
    <d v="2020-01-22T00:00:00"/>
    <s v="GMAN - Global Mandate"/>
    <s v="BVGMC"/>
    <s v="OPP1900001393"/>
    <s v="Mark"/>
    <n v="600000"/>
    <n v="100000"/>
    <d v="2019-11-30T00:00:00"/>
    <s v="Qualify Opportunity"/>
    <s v="Ahmedabad"/>
    <s v="Emerging Corporates Group (ECG)"/>
    <s v="Mediclaim"/>
    <s v="Group Medical"/>
    <m/>
    <m/>
    <s v="Zoe Rivera"/>
    <d v="2020-01-13T00:00:00"/>
    <s v="Mark"/>
    <s v="Servicer"/>
    <n v="19888"/>
    <n v="128777"/>
    <n v="198882"/>
  </r>
  <r>
    <s v="ABC"/>
    <s v="141100/48/2019/48"/>
    <x v="1"/>
    <x v="14"/>
    <d v="2019-03-31T00:00:00"/>
    <x v="3"/>
    <n v="10"/>
    <s v="Mark"/>
    <x v="0"/>
    <s v="Employee Benefits (EB)"/>
    <s v="Renewal"/>
    <n v="11249.93"/>
    <d v="2018-04-01T00:00:00"/>
    <s v="Brokerage"/>
    <x v="3"/>
    <s v="GMAN - Global Mandate"/>
    <d v="2020-01-22T00:00:00"/>
    <s v="GMAN - Global Mandate"/>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ABC"/>
    <s v="141100/48/2019/48"/>
    <x v="1"/>
    <x v="14"/>
    <d v="2019-03-31T00:00:00"/>
    <x v="3"/>
    <n v="10"/>
    <s v="Mark"/>
    <x v="0"/>
    <s v="Employee Benefits (EB)"/>
    <s v="Renewal"/>
    <n v="11249.93"/>
    <d v="2018-04-01T00:00:00"/>
    <s v="Brokerage"/>
    <x v="3"/>
    <s v="GMAN - Global Mandate"/>
    <d v="2020-01-22T00:00:00"/>
    <s v="GMAN - Global Mandate"/>
    <s v="BV GPA"/>
    <s v="OPP1900001394"/>
    <s v="Mark"/>
    <n v="210000"/>
    <n v="35000"/>
    <d v="2019-11-30T00:00:00"/>
    <s v="Qualify Opportunity"/>
    <s v="Ahmedabad"/>
    <s v="Emerging Corporates Group (ECG)"/>
    <s v="Mediclaim"/>
    <s v="Group Personal Accident"/>
    <m/>
    <m/>
    <s v="Zoe Rivera"/>
    <d v="2020-01-13T00:00:00"/>
    <s v="Mark"/>
    <s v="Servicer"/>
    <n v="19888"/>
    <n v="128777"/>
    <n v="198882"/>
  </r>
  <r>
    <s v="ABC"/>
    <s v="141100/48/2019/48"/>
    <x v="1"/>
    <x v="14"/>
    <d v="2019-03-31T00:00:00"/>
    <x v="3"/>
    <n v="10"/>
    <s v="Mark"/>
    <x v="0"/>
    <s v="Employee Benefits (EB)"/>
    <s v="Renewal"/>
    <n v="11249.93"/>
    <d v="2018-04-01T00:00:00"/>
    <s v="Brokerage"/>
    <x v="3"/>
    <s v="GMAN - Global Mandate"/>
    <d v="2020-01-22T00:00:00"/>
    <s v="GMAN - Global Mandate"/>
    <s v="OP-GMC"/>
    <s v="OPP1900001803"/>
    <s v="Mark"/>
    <n v="5000000"/>
    <n v="250000"/>
    <d v="2019-11-30T00:00:00"/>
    <s v="Qualify Opportunity"/>
    <s v="Ahmedabad"/>
    <s v="Employee Benefits (EB)"/>
    <s v="Mediclaim"/>
    <s v="Group Medical"/>
    <m/>
    <m/>
    <s v="Christopher Campbell"/>
    <d v="2020-01-22T00:00:00"/>
    <s v="Mark"/>
    <s v="Servicer"/>
    <n v="19888"/>
    <n v="128777"/>
    <n v="198882"/>
  </r>
  <r>
    <s v="ABC"/>
    <s v="141100/48/2019/48"/>
    <x v="1"/>
    <x v="14"/>
    <d v="2019-03-31T00:00:00"/>
    <x v="3"/>
    <n v="10"/>
    <s v="Mark"/>
    <x v="0"/>
    <s v="Employee Benefits (EB)"/>
    <s v="Renewal"/>
    <n v="11249.93"/>
    <d v="2018-04-01T00:00:00"/>
    <s v="Brokerage"/>
    <x v="3"/>
    <s v="GMAN - Global Mandate"/>
    <d v="2020-01-22T00:00:00"/>
    <s v="GMAN - Global Mandate"/>
    <s v="OP-GMC"/>
    <s v="OPP1900001803"/>
    <s v="Mark"/>
    <n v="5000000"/>
    <n v="250000"/>
    <d v="2019-11-30T00:00:00"/>
    <s v="Qualify Opportunity"/>
    <s v="Ahmedabad"/>
    <s v="Employee Benefits (EB)"/>
    <s v="Mediclaim"/>
    <s v="Group Medical"/>
    <m/>
    <m/>
    <s v="Zoe Rivera"/>
    <d v="2020-01-13T00:00:00"/>
    <s v="Mark"/>
    <s v="Servicer"/>
    <n v="19888"/>
    <n v="128777"/>
    <n v="198882"/>
  </r>
  <r>
    <s v="ABC"/>
    <s v="GTL 3193894"/>
    <x v="1"/>
    <x v="14"/>
    <d v="2019-03-31T00:00:00"/>
    <x v="3"/>
    <n v="10"/>
    <s v="Mark"/>
    <x v="0"/>
    <s v="Employee Benefits (EB)"/>
    <s v="Renewal"/>
    <n v="14603.3"/>
    <d v="2018-04-01T00:00:00"/>
    <s v="Brokerage"/>
    <x v="3"/>
    <s v="GMAN - Global Mandate"/>
    <d v="2020-01-22T00:00:00"/>
    <s v="GMAN - Global Mandate"/>
    <s v="EI- GMC"/>
    <s v="OPP1900001364"/>
    <s v="Mark"/>
    <n v="1400000"/>
    <n v="100000"/>
    <d v="2019-12-09T00:00:00"/>
    <s v="Qualify Opportunity"/>
    <s v="Ahmedabad"/>
    <s v="Employee Benefits (EB)"/>
    <s v="Mediclaim"/>
    <s v="Group Medical"/>
    <m/>
    <m/>
    <s v="Christopher Campbell"/>
    <d v="2020-01-22T00:00:00"/>
    <s v="Mark"/>
    <s v="Servicer"/>
    <n v="19888"/>
    <n v="128777"/>
    <n v="198882"/>
  </r>
  <r>
    <s v="ABC"/>
    <s v="GTL 3193894"/>
    <x v="1"/>
    <x v="14"/>
    <d v="2019-03-31T00:00:00"/>
    <x v="3"/>
    <n v="10"/>
    <s v="Mark"/>
    <x v="0"/>
    <s v="Employee Benefits (EB)"/>
    <s v="Renewal"/>
    <n v="14603.3"/>
    <d v="2018-04-01T00:00:00"/>
    <s v="Brokerage"/>
    <x v="3"/>
    <s v="GMAN - Global Mandate"/>
    <d v="2020-01-22T00:00:00"/>
    <s v="GMAN - Global Mandate"/>
    <s v="EI- GMC"/>
    <s v="OPP1900001364"/>
    <s v="Mark"/>
    <n v="1400000"/>
    <n v="100000"/>
    <d v="2019-12-09T00:00:00"/>
    <s v="Qualify Opportunity"/>
    <s v="Ahmedabad"/>
    <s v="Employee Benefits (EB)"/>
    <s v="Mediclaim"/>
    <s v="Group Medical"/>
    <m/>
    <m/>
    <s v="Zoe Rivera"/>
    <d v="2020-01-13T00:00:00"/>
    <s v="Mark"/>
    <s v="Servicer"/>
    <n v="19888"/>
    <n v="128777"/>
    <n v="198882"/>
  </r>
  <r>
    <s v="ABC"/>
    <s v="GTL 3193894"/>
    <x v="1"/>
    <x v="14"/>
    <d v="2019-03-31T00:00:00"/>
    <x v="3"/>
    <n v="10"/>
    <s v="Mark"/>
    <x v="0"/>
    <s v="Employee Benefits (EB)"/>
    <s v="Renewal"/>
    <n v="14603.3"/>
    <d v="2018-04-01T00:00:00"/>
    <s v="Brokerage"/>
    <x v="3"/>
    <s v="GMAN - Global Mandate"/>
    <d v="2020-01-22T00:00:00"/>
    <s v="GMAN - Global Mandate"/>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ABC"/>
    <s v="GTL 3193894"/>
    <x v="1"/>
    <x v="14"/>
    <d v="2019-03-31T00:00:00"/>
    <x v="3"/>
    <n v="10"/>
    <s v="Mark"/>
    <x v="0"/>
    <s v="Employee Benefits (EB)"/>
    <s v="Renewal"/>
    <n v="14603.3"/>
    <d v="2018-04-01T00:00:00"/>
    <s v="Brokerage"/>
    <x v="3"/>
    <s v="GMAN - Global Mandate"/>
    <d v="2020-01-22T00:00:00"/>
    <s v="GMAN - Global Mandate"/>
    <s v="FM-Group Mediclaim"/>
    <s v="OPP1900001390"/>
    <s v="Mark"/>
    <n v="4500000"/>
    <n v="300000"/>
    <d v="2019-10-29T00:00:00"/>
    <s v="Qualify Opportunity"/>
    <s v="Ahmedabad"/>
    <s v="Employee Benefits (EB)"/>
    <s v="Mediclaim"/>
    <s v="Group Medical"/>
    <m/>
    <m/>
    <s v="Zoe Rivera"/>
    <d v="2020-01-13T00:00:00"/>
    <s v="Mark"/>
    <s v="Servicer"/>
    <n v="19888"/>
    <n v="128777"/>
    <n v="198882"/>
  </r>
  <r>
    <s v="ABC"/>
    <s v="GTL 3193894"/>
    <x v="1"/>
    <x v="14"/>
    <d v="2019-03-31T00:00:00"/>
    <x v="3"/>
    <n v="10"/>
    <s v="Mark"/>
    <x v="0"/>
    <s v="Employee Benefits (EB)"/>
    <s v="Renewal"/>
    <n v="14603.3"/>
    <d v="2018-04-01T00:00:00"/>
    <s v="Brokerage"/>
    <x v="3"/>
    <s v="GMAN - Global Mandate"/>
    <d v="2020-01-22T00:00:00"/>
    <s v="GMAN - Global Mandate"/>
    <s v="BVGMC"/>
    <s v="OPP1900001393"/>
    <s v="Mark"/>
    <n v="600000"/>
    <n v="100000"/>
    <d v="2019-11-30T00:00:00"/>
    <s v="Qualify Opportunity"/>
    <s v="Ahmedabad"/>
    <s v="Emerging Corporates Group (ECG)"/>
    <s v="Mediclaim"/>
    <s v="Group Medical"/>
    <m/>
    <m/>
    <s v="Christopher Campbell"/>
    <d v="2020-01-22T00:00:00"/>
    <s v="Mark"/>
    <s v="Servicer"/>
    <n v="19888"/>
    <n v="128777"/>
    <n v="198882"/>
  </r>
  <r>
    <s v="ABC"/>
    <s v="GTL 3193894"/>
    <x v="1"/>
    <x v="14"/>
    <d v="2019-03-31T00:00:00"/>
    <x v="3"/>
    <n v="10"/>
    <s v="Mark"/>
    <x v="0"/>
    <s v="Employee Benefits (EB)"/>
    <s v="Renewal"/>
    <n v="14603.3"/>
    <d v="2018-04-01T00:00:00"/>
    <s v="Brokerage"/>
    <x v="3"/>
    <s v="GMAN - Global Mandate"/>
    <d v="2020-01-22T00:00:00"/>
    <s v="GMAN - Global Mandate"/>
    <s v="BVGMC"/>
    <s v="OPP1900001393"/>
    <s v="Mark"/>
    <n v="600000"/>
    <n v="100000"/>
    <d v="2019-11-30T00:00:00"/>
    <s v="Qualify Opportunity"/>
    <s v="Ahmedabad"/>
    <s v="Emerging Corporates Group (ECG)"/>
    <s v="Mediclaim"/>
    <s v="Group Medical"/>
    <m/>
    <m/>
    <s v="Zoe Rivera"/>
    <d v="2020-01-13T00:00:00"/>
    <s v="Mark"/>
    <s v="Servicer"/>
    <n v="19888"/>
    <n v="128777"/>
    <n v="198882"/>
  </r>
  <r>
    <s v="ABC"/>
    <s v="GTL 3193894"/>
    <x v="1"/>
    <x v="14"/>
    <d v="2019-03-31T00:00:00"/>
    <x v="3"/>
    <n v="10"/>
    <s v="Mark"/>
    <x v="0"/>
    <s v="Employee Benefits (EB)"/>
    <s v="Renewal"/>
    <n v="14603.3"/>
    <d v="2018-04-01T00:00:00"/>
    <s v="Brokerage"/>
    <x v="3"/>
    <s v="GMAN - Global Mandate"/>
    <d v="2020-01-22T00:00:00"/>
    <s v="GMAN - Global Mandate"/>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ABC"/>
    <s v="GTL 3193894"/>
    <x v="1"/>
    <x v="14"/>
    <d v="2019-03-31T00:00:00"/>
    <x v="3"/>
    <n v="10"/>
    <s v="Mark"/>
    <x v="0"/>
    <s v="Employee Benefits (EB)"/>
    <s v="Renewal"/>
    <n v="14603.3"/>
    <d v="2018-04-01T00:00:00"/>
    <s v="Brokerage"/>
    <x v="3"/>
    <s v="GMAN - Global Mandate"/>
    <d v="2020-01-22T00:00:00"/>
    <s v="GMAN - Global Mandate"/>
    <s v="BV GPA"/>
    <s v="OPP1900001394"/>
    <s v="Mark"/>
    <n v="210000"/>
    <n v="35000"/>
    <d v="2019-11-30T00:00:00"/>
    <s v="Qualify Opportunity"/>
    <s v="Ahmedabad"/>
    <s v="Emerging Corporates Group (ECG)"/>
    <s v="Mediclaim"/>
    <s v="Group Personal Accident"/>
    <m/>
    <m/>
    <s v="Zoe Rivera"/>
    <d v="2020-01-13T00:00:00"/>
    <s v="Mark"/>
    <s v="Servicer"/>
    <n v="19888"/>
    <n v="128777"/>
    <n v="198882"/>
  </r>
  <r>
    <s v="ABC"/>
    <s v="GTL 3193894"/>
    <x v="1"/>
    <x v="14"/>
    <d v="2019-03-31T00:00:00"/>
    <x v="3"/>
    <n v="10"/>
    <s v="Mark"/>
    <x v="0"/>
    <s v="Employee Benefits (EB)"/>
    <s v="Renewal"/>
    <n v="14603.3"/>
    <d v="2018-04-01T00:00:00"/>
    <s v="Brokerage"/>
    <x v="3"/>
    <s v="GMAN - Global Mandate"/>
    <d v="2020-01-22T00:00:00"/>
    <s v="GMAN - Global Mandate"/>
    <s v="OP-GMC"/>
    <s v="OPP1900001803"/>
    <s v="Mark"/>
    <n v="5000000"/>
    <n v="250000"/>
    <d v="2019-11-30T00:00:00"/>
    <s v="Qualify Opportunity"/>
    <s v="Ahmedabad"/>
    <s v="Employee Benefits (EB)"/>
    <s v="Mediclaim"/>
    <s v="Group Medical"/>
    <m/>
    <m/>
    <s v="Christopher Campbell"/>
    <d v="2020-01-22T00:00:00"/>
    <s v="Mark"/>
    <s v="Servicer"/>
    <n v="19888"/>
    <n v="128777"/>
    <n v="198882"/>
  </r>
  <r>
    <s v="ABC"/>
    <s v="GTL 3193894"/>
    <x v="1"/>
    <x v="14"/>
    <d v="2019-03-31T00:00:00"/>
    <x v="3"/>
    <n v="10"/>
    <s v="Mark"/>
    <x v="0"/>
    <s v="Employee Benefits (EB)"/>
    <s v="Renewal"/>
    <n v="14603.3"/>
    <d v="2018-04-01T00:00:00"/>
    <s v="Brokerage"/>
    <x v="3"/>
    <s v="GMAN - Global Mandate"/>
    <d v="2020-01-22T00:00:00"/>
    <s v="GMAN - Global Mandate"/>
    <s v="OP-GMC"/>
    <s v="OPP1900001803"/>
    <s v="Mark"/>
    <n v="5000000"/>
    <n v="250000"/>
    <d v="2019-11-30T00:00:00"/>
    <s v="Qualify Opportunity"/>
    <s v="Ahmedabad"/>
    <s v="Employee Benefits (EB)"/>
    <s v="Mediclaim"/>
    <s v="Group Medical"/>
    <m/>
    <m/>
    <s v="Zoe Rivera"/>
    <d v="2020-01-13T00:00:00"/>
    <s v="Mark"/>
    <s v="Servicer"/>
    <n v="19888"/>
    <n v="128777"/>
    <n v="198882"/>
  </r>
  <r>
    <s v="ABC"/>
    <s v="GTL3304779"/>
    <x v="1"/>
    <x v="105"/>
    <d v="2019-06-12T00:00:00"/>
    <x v="3"/>
    <n v="10"/>
    <s v="Mark"/>
    <x v="0"/>
    <s v="Employee Benefits (EB)"/>
    <s v="Renewal"/>
    <n v="28940.65"/>
    <d v="2018-06-13T00:00:00"/>
    <s v="Brokerage"/>
    <x v="3"/>
    <s v="GMAN - Global Mandate"/>
    <d v="2020-01-22T00:00:00"/>
    <s v="GMAN - Global Mandate"/>
    <s v="EI- GMC"/>
    <s v="OPP1900001364"/>
    <s v="Mark"/>
    <n v="1400000"/>
    <n v="100000"/>
    <d v="2019-12-09T00:00:00"/>
    <s v="Qualify Opportunity"/>
    <s v="Ahmedabad"/>
    <s v="Employee Benefits (EB)"/>
    <s v="Mediclaim"/>
    <s v="Group Medical"/>
    <m/>
    <m/>
    <s v="Christopher Campbell"/>
    <d v="2020-01-22T00:00:00"/>
    <s v="Mark"/>
    <s v="Servicer"/>
    <n v="19888"/>
    <n v="128777"/>
    <n v="198882"/>
  </r>
  <r>
    <s v="ABC"/>
    <s v="GTL3304779"/>
    <x v="1"/>
    <x v="105"/>
    <d v="2019-06-12T00:00:00"/>
    <x v="3"/>
    <n v="10"/>
    <s v="Mark"/>
    <x v="0"/>
    <s v="Employee Benefits (EB)"/>
    <s v="Renewal"/>
    <n v="28940.65"/>
    <d v="2018-06-13T00:00:00"/>
    <s v="Brokerage"/>
    <x v="3"/>
    <s v="GMAN - Global Mandate"/>
    <d v="2020-01-22T00:00:00"/>
    <s v="GMAN - Global Mandate"/>
    <s v="EI- GMC"/>
    <s v="OPP1900001364"/>
    <s v="Mark"/>
    <n v="1400000"/>
    <n v="100000"/>
    <d v="2019-12-09T00:00:00"/>
    <s v="Qualify Opportunity"/>
    <s v="Ahmedabad"/>
    <s v="Employee Benefits (EB)"/>
    <s v="Mediclaim"/>
    <s v="Group Medical"/>
    <m/>
    <m/>
    <s v="Zoe Rivera"/>
    <d v="2020-01-13T00:00:00"/>
    <s v="Mark"/>
    <s v="Servicer"/>
    <n v="19888"/>
    <n v="128777"/>
    <n v="198882"/>
  </r>
  <r>
    <s v="ABC"/>
    <s v="GTL3304779"/>
    <x v="1"/>
    <x v="105"/>
    <d v="2019-06-12T00:00:00"/>
    <x v="3"/>
    <n v="10"/>
    <s v="Mark"/>
    <x v="0"/>
    <s v="Employee Benefits (EB)"/>
    <s v="Renewal"/>
    <n v="28940.65"/>
    <d v="2018-06-13T00:00:00"/>
    <s v="Brokerage"/>
    <x v="3"/>
    <s v="GMAN - Global Mandate"/>
    <d v="2020-01-22T00:00:00"/>
    <s v="GMAN - Global Mandate"/>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ABC"/>
    <s v="GTL3304779"/>
    <x v="1"/>
    <x v="105"/>
    <d v="2019-06-12T00:00:00"/>
    <x v="3"/>
    <n v="10"/>
    <s v="Mark"/>
    <x v="0"/>
    <s v="Employee Benefits (EB)"/>
    <s v="Renewal"/>
    <n v="28940.65"/>
    <d v="2018-06-13T00:00:00"/>
    <s v="Brokerage"/>
    <x v="3"/>
    <s v="GMAN - Global Mandate"/>
    <d v="2020-01-22T00:00:00"/>
    <s v="GMAN - Global Mandate"/>
    <s v="FM-Group Mediclaim"/>
    <s v="OPP1900001390"/>
    <s v="Mark"/>
    <n v="4500000"/>
    <n v="300000"/>
    <d v="2019-10-29T00:00:00"/>
    <s v="Qualify Opportunity"/>
    <s v="Ahmedabad"/>
    <s v="Employee Benefits (EB)"/>
    <s v="Mediclaim"/>
    <s v="Group Medical"/>
    <m/>
    <m/>
    <s v="Zoe Rivera"/>
    <d v="2020-01-13T00:00:00"/>
    <s v="Mark"/>
    <s v="Servicer"/>
    <n v="19888"/>
    <n v="128777"/>
    <n v="198882"/>
  </r>
  <r>
    <s v="ABC"/>
    <s v="GTL3304779"/>
    <x v="1"/>
    <x v="105"/>
    <d v="2019-06-12T00:00:00"/>
    <x v="3"/>
    <n v="10"/>
    <s v="Mark"/>
    <x v="0"/>
    <s v="Employee Benefits (EB)"/>
    <s v="Renewal"/>
    <n v="28940.65"/>
    <d v="2018-06-13T00:00:00"/>
    <s v="Brokerage"/>
    <x v="3"/>
    <s v="GMAN - Global Mandate"/>
    <d v="2020-01-22T00:00:00"/>
    <s v="GMAN - Global Mandate"/>
    <s v="BVGMC"/>
    <s v="OPP1900001393"/>
    <s v="Mark"/>
    <n v="600000"/>
    <n v="100000"/>
    <d v="2019-11-30T00:00:00"/>
    <s v="Qualify Opportunity"/>
    <s v="Ahmedabad"/>
    <s v="Emerging Corporates Group (ECG)"/>
    <s v="Mediclaim"/>
    <s v="Group Medical"/>
    <m/>
    <m/>
    <s v="Christopher Campbell"/>
    <d v="2020-01-22T00:00:00"/>
    <s v="Mark"/>
    <s v="Servicer"/>
    <n v="19888"/>
    <n v="128777"/>
    <n v="198882"/>
  </r>
  <r>
    <s v="ABC"/>
    <s v="GTL3304779"/>
    <x v="1"/>
    <x v="105"/>
    <d v="2019-06-12T00:00:00"/>
    <x v="3"/>
    <n v="10"/>
    <s v="Mark"/>
    <x v="0"/>
    <s v="Employee Benefits (EB)"/>
    <s v="Renewal"/>
    <n v="28940.65"/>
    <d v="2018-06-13T00:00:00"/>
    <s v="Brokerage"/>
    <x v="3"/>
    <s v="GMAN - Global Mandate"/>
    <d v="2020-01-22T00:00:00"/>
    <s v="GMAN - Global Mandate"/>
    <s v="BVGMC"/>
    <s v="OPP1900001393"/>
    <s v="Mark"/>
    <n v="600000"/>
    <n v="100000"/>
    <d v="2019-11-30T00:00:00"/>
    <s v="Qualify Opportunity"/>
    <s v="Ahmedabad"/>
    <s v="Emerging Corporates Group (ECG)"/>
    <s v="Mediclaim"/>
    <s v="Group Medical"/>
    <m/>
    <m/>
    <s v="Zoe Rivera"/>
    <d v="2020-01-13T00:00:00"/>
    <s v="Mark"/>
    <s v="Servicer"/>
    <n v="19888"/>
    <n v="128777"/>
    <n v="198882"/>
  </r>
  <r>
    <s v="ABC"/>
    <s v="GTL3304779"/>
    <x v="1"/>
    <x v="105"/>
    <d v="2019-06-12T00:00:00"/>
    <x v="3"/>
    <n v="10"/>
    <s v="Mark"/>
    <x v="0"/>
    <s v="Employee Benefits (EB)"/>
    <s v="Renewal"/>
    <n v="28940.65"/>
    <d v="2018-06-13T00:00:00"/>
    <s v="Brokerage"/>
    <x v="3"/>
    <s v="GMAN - Global Mandate"/>
    <d v="2020-01-22T00:00:00"/>
    <s v="GMAN - Global Mandate"/>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ABC"/>
    <s v="GTL3304779"/>
    <x v="1"/>
    <x v="105"/>
    <d v="2019-06-12T00:00:00"/>
    <x v="3"/>
    <n v="10"/>
    <s v="Mark"/>
    <x v="0"/>
    <s v="Employee Benefits (EB)"/>
    <s v="Renewal"/>
    <n v="28940.65"/>
    <d v="2018-06-13T00:00:00"/>
    <s v="Brokerage"/>
    <x v="3"/>
    <s v="GMAN - Global Mandate"/>
    <d v="2020-01-22T00:00:00"/>
    <s v="GMAN - Global Mandate"/>
    <s v="BV GPA"/>
    <s v="OPP1900001394"/>
    <s v="Mark"/>
    <n v="210000"/>
    <n v="35000"/>
    <d v="2019-11-30T00:00:00"/>
    <s v="Qualify Opportunity"/>
    <s v="Ahmedabad"/>
    <s v="Emerging Corporates Group (ECG)"/>
    <s v="Mediclaim"/>
    <s v="Group Personal Accident"/>
    <m/>
    <m/>
    <s v="Zoe Rivera"/>
    <d v="2020-01-13T00:00:00"/>
    <s v="Mark"/>
    <s v="Servicer"/>
    <n v="19888"/>
    <n v="128777"/>
    <n v="198882"/>
  </r>
  <r>
    <s v="ABC"/>
    <s v="GTL3304779"/>
    <x v="1"/>
    <x v="105"/>
    <d v="2019-06-12T00:00:00"/>
    <x v="3"/>
    <n v="10"/>
    <s v="Mark"/>
    <x v="0"/>
    <s v="Employee Benefits (EB)"/>
    <s v="Renewal"/>
    <n v="28940.65"/>
    <d v="2018-06-13T00:00:00"/>
    <s v="Brokerage"/>
    <x v="3"/>
    <s v="GMAN - Global Mandate"/>
    <d v="2020-01-22T00:00:00"/>
    <s v="GMAN - Global Mandate"/>
    <s v="OP-GMC"/>
    <s v="OPP1900001803"/>
    <s v="Mark"/>
    <n v="5000000"/>
    <n v="250000"/>
    <d v="2019-11-30T00:00:00"/>
    <s v="Qualify Opportunity"/>
    <s v="Ahmedabad"/>
    <s v="Employee Benefits (EB)"/>
    <s v="Mediclaim"/>
    <s v="Group Medical"/>
    <m/>
    <m/>
    <s v="Christopher Campbell"/>
    <d v="2020-01-22T00:00:00"/>
    <s v="Mark"/>
    <s v="Servicer"/>
    <n v="19888"/>
    <n v="128777"/>
    <n v="198882"/>
  </r>
  <r>
    <s v="ABC"/>
    <s v="GTL3304779"/>
    <x v="1"/>
    <x v="105"/>
    <d v="2019-06-12T00:00:00"/>
    <x v="3"/>
    <n v="10"/>
    <s v="Mark"/>
    <x v="0"/>
    <s v="Employee Benefits (EB)"/>
    <s v="Renewal"/>
    <n v="28940.65"/>
    <d v="2018-06-13T00:00:00"/>
    <s v="Brokerage"/>
    <x v="3"/>
    <s v="GMAN - Global Mandate"/>
    <d v="2020-01-22T00:00:00"/>
    <s v="GMAN - Global Mandate"/>
    <s v="OP-GMC"/>
    <s v="OPP1900001803"/>
    <s v="Mark"/>
    <n v="5000000"/>
    <n v="250000"/>
    <d v="2019-11-30T00:00:00"/>
    <s v="Qualify Opportunity"/>
    <s v="Ahmedabad"/>
    <s v="Employee Benefits (EB)"/>
    <s v="Mediclaim"/>
    <s v="Group Medical"/>
    <m/>
    <m/>
    <s v="Zoe Rivera"/>
    <d v="2020-01-13T00:00:00"/>
    <s v="Mark"/>
    <s v="Servicer"/>
    <n v="19888"/>
    <n v="128777"/>
    <n v="198882"/>
  </r>
  <r>
    <s v="ABC"/>
    <s v="0260009050 00"/>
    <x v="1"/>
    <x v="14"/>
    <d v="2019-03-31T00:00:00"/>
    <x v="3"/>
    <n v="10"/>
    <s v="Mark"/>
    <x v="0"/>
    <s v="Employee Benefits (EB)"/>
    <s v="Renewal"/>
    <n v="146052.65"/>
    <d v="2018-04-01T00:00:00"/>
    <s v="Brokerage"/>
    <x v="3"/>
    <s v="GMAN - Global Mandate"/>
    <d v="2020-01-22T00:00:00"/>
    <s v="GMAN - Global Mandate"/>
    <s v="EI- GMC"/>
    <s v="OPP1900001364"/>
    <s v="Mark"/>
    <n v="1400000"/>
    <n v="100000"/>
    <d v="2019-12-09T00:00:00"/>
    <s v="Qualify Opportunity"/>
    <s v="Ahmedabad"/>
    <s v="Employee Benefits (EB)"/>
    <s v="Mediclaim"/>
    <s v="Group Medical"/>
    <m/>
    <m/>
    <s v="Christopher Campbell"/>
    <d v="2020-01-22T00:00:00"/>
    <s v="Mark"/>
    <s v="Servicer"/>
    <n v="19888"/>
    <n v="128777"/>
    <n v="198882"/>
  </r>
  <r>
    <s v="ABC"/>
    <s v="0260009050 00"/>
    <x v="1"/>
    <x v="14"/>
    <d v="2019-03-31T00:00:00"/>
    <x v="3"/>
    <n v="10"/>
    <s v="Mark"/>
    <x v="0"/>
    <s v="Employee Benefits (EB)"/>
    <s v="Renewal"/>
    <n v="146052.65"/>
    <d v="2018-04-01T00:00:00"/>
    <s v="Brokerage"/>
    <x v="3"/>
    <s v="GMAN - Global Mandate"/>
    <d v="2020-01-22T00:00:00"/>
    <s v="GMAN - Global Mandate"/>
    <s v="EI- GMC"/>
    <s v="OPP1900001364"/>
    <s v="Mark"/>
    <n v="1400000"/>
    <n v="100000"/>
    <d v="2019-12-09T00:00:00"/>
    <s v="Qualify Opportunity"/>
    <s v="Ahmedabad"/>
    <s v="Employee Benefits (EB)"/>
    <s v="Mediclaim"/>
    <s v="Group Medical"/>
    <m/>
    <m/>
    <s v="Zoe Rivera"/>
    <d v="2020-01-13T00:00:00"/>
    <s v="Mark"/>
    <s v="Servicer"/>
    <n v="19888"/>
    <n v="128777"/>
    <n v="198882"/>
  </r>
  <r>
    <s v="ABC"/>
    <s v="0260009050 00"/>
    <x v="1"/>
    <x v="14"/>
    <d v="2019-03-31T00:00:00"/>
    <x v="3"/>
    <n v="10"/>
    <s v="Mark"/>
    <x v="0"/>
    <s v="Employee Benefits (EB)"/>
    <s v="Renewal"/>
    <n v="146052.65"/>
    <d v="2018-04-01T00:00:00"/>
    <s v="Brokerage"/>
    <x v="3"/>
    <s v="GMAN - Global Mandate"/>
    <d v="2020-01-22T00:00:00"/>
    <s v="GMAN - Global Mandate"/>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ABC"/>
    <s v="0260009050 00"/>
    <x v="1"/>
    <x v="14"/>
    <d v="2019-03-31T00:00:00"/>
    <x v="3"/>
    <n v="10"/>
    <s v="Mark"/>
    <x v="0"/>
    <s v="Employee Benefits (EB)"/>
    <s v="Renewal"/>
    <n v="146052.65"/>
    <d v="2018-04-01T00:00:00"/>
    <s v="Brokerage"/>
    <x v="3"/>
    <s v="GMAN - Global Mandate"/>
    <d v="2020-01-22T00:00:00"/>
    <s v="GMAN - Global Mandate"/>
    <s v="FM-Group Mediclaim"/>
    <s v="OPP1900001390"/>
    <s v="Mark"/>
    <n v="4500000"/>
    <n v="300000"/>
    <d v="2019-10-29T00:00:00"/>
    <s v="Qualify Opportunity"/>
    <s v="Ahmedabad"/>
    <s v="Employee Benefits (EB)"/>
    <s v="Mediclaim"/>
    <s v="Group Medical"/>
    <m/>
    <m/>
    <s v="Zoe Rivera"/>
    <d v="2020-01-13T00:00:00"/>
    <s v="Mark"/>
    <s v="Servicer"/>
    <n v="19888"/>
    <n v="128777"/>
    <n v="198882"/>
  </r>
  <r>
    <s v="ABC"/>
    <s v="0260009050 00"/>
    <x v="1"/>
    <x v="14"/>
    <d v="2019-03-31T00:00:00"/>
    <x v="3"/>
    <n v="10"/>
    <s v="Mark"/>
    <x v="0"/>
    <s v="Employee Benefits (EB)"/>
    <s v="Renewal"/>
    <n v="146052.65"/>
    <d v="2018-04-01T00:00:00"/>
    <s v="Brokerage"/>
    <x v="3"/>
    <s v="GMAN - Global Mandate"/>
    <d v="2020-01-22T00:00:00"/>
    <s v="GMAN - Global Mandate"/>
    <s v="BVGMC"/>
    <s v="OPP1900001393"/>
    <s v="Mark"/>
    <n v="600000"/>
    <n v="100000"/>
    <d v="2019-11-30T00:00:00"/>
    <s v="Qualify Opportunity"/>
    <s v="Ahmedabad"/>
    <s v="Emerging Corporates Group (ECG)"/>
    <s v="Mediclaim"/>
    <s v="Group Medical"/>
    <m/>
    <m/>
    <s v="Christopher Campbell"/>
    <d v="2020-01-22T00:00:00"/>
    <s v="Mark"/>
    <s v="Servicer"/>
    <n v="19888"/>
    <n v="128777"/>
    <n v="198882"/>
  </r>
  <r>
    <s v="ABC"/>
    <s v="0260009050 00"/>
    <x v="1"/>
    <x v="14"/>
    <d v="2019-03-31T00:00:00"/>
    <x v="3"/>
    <n v="10"/>
    <s v="Mark"/>
    <x v="0"/>
    <s v="Employee Benefits (EB)"/>
    <s v="Renewal"/>
    <n v="146052.65"/>
    <d v="2018-04-01T00:00:00"/>
    <s v="Brokerage"/>
    <x v="3"/>
    <s v="GMAN - Global Mandate"/>
    <d v="2020-01-22T00:00:00"/>
    <s v="GMAN - Global Mandate"/>
    <s v="BVGMC"/>
    <s v="OPP1900001393"/>
    <s v="Mark"/>
    <n v="600000"/>
    <n v="100000"/>
    <d v="2019-11-30T00:00:00"/>
    <s v="Qualify Opportunity"/>
    <s v="Ahmedabad"/>
    <s v="Emerging Corporates Group (ECG)"/>
    <s v="Mediclaim"/>
    <s v="Group Medical"/>
    <m/>
    <m/>
    <s v="Zoe Rivera"/>
    <d v="2020-01-13T00:00:00"/>
    <s v="Mark"/>
    <s v="Servicer"/>
    <n v="19888"/>
    <n v="128777"/>
    <n v="198882"/>
  </r>
  <r>
    <s v="ABC"/>
    <s v="0260009050 00"/>
    <x v="1"/>
    <x v="14"/>
    <d v="2019-03-31T00:00:00"/>
    <x v="3"/>
    <n v="10"/>
    <s v="Mark"/>
    <x v="0"/>
    <s v="Employee Benefits (EB)"/>
    <s v="Renewal"/>
    <n v="146052.65"/>
    <d v="2018-04-01T00:00:00"/>
    <s v="Brokerage"/>
    <x v="3"/>
    <s v="GMAN - Global Mandate"/>
    <d v="2020-01-22T00:00:00"/>
    <s v="GMAN - Global Mandate"/>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ABC"/>
    <s v="0260009050 00"/>
    <x v="1"/>
    <x v="14"/>
    <d v="2019-03-31T00:00:00"/>
    <x v="3"/>
    <n v="10"/>
    <s v="Mark"/>
    <x v="0"/>
    <s v="Employee Benefits (EB)"/>
    <s v="Renewal"/>
    <n v="146052.65"/>
    <d v="2018-04-01T00:00:00"/>
    <s v="Brokerage"/>
    <x v="3"/>
    <s v="GMAN - Global Mandate"/>
    <d v="2020-01-22T00:00:00"/>
    <s v="GMAN - Global Mandate"/>
    <s v="BV GPA"/>
    <s v="OPP1900001394"/>
    <s v="Mark"/>
    <n v="210000"/>
    <n v="35000"/>
    <d v="2019-11-30T00:00:00"/>
    <s v="Qualify Opportunity"/>
    <s v="Ahmedabad"/>
    <s v="Emerging Corporates Group (ECG)"/>
    <s v="Mediclaim"/>
    <s v="Group Personal Accident"/>
    <m/>
    <m/>
    <s v="Zoe Rivera"/>
    <d v="2020-01-13T00:00:00"/>
    <s v="Mark"/>
    <s v="Servicer"/>
    <n v="19888"/>
    <n v="128777"/>
    <n v="198882"/>
  </r>
  <r>
    <s v="ABC"/>
    <s v="0260009050 00"/>
    <x v="1"/>
    <x v="14"/>
    <d v="2019-03-31T00:00:00"/>
    <x v="3"/>
    <n v="10"/>
    <s v="Mark"/>
    <x v="0"/>
    <s v="Employee Benefits (EB)"/>
    <s v="Renewal"/>
    <n v="146052.65"/>
    <d v="2018-04-01T00:00:00"/>
    <s v="Brokerage"/>
    <x v="3"/>
    <s v="GMAN - Global Mandate"/>
    <d v="2020-01-22T00:00:00"/>
    <s v="GMAN - Global Mandate"/>
    <s v="OP-GMC"/>
    <s v="OPP1900001803"/>
    <s v="Mark"/>
    <n v="5000000"/>
    <n v="250000"/>
    <d v="2019-11-30T00:00:00"/>
    <s v="Qualify Opportunity"/>
    <s v="Ahmedabad"/>
    <s v="Employee Benefits (EB)"/>
    <s v="Mediclaim"/>
    <s v="Group Medical"/>
    <m/>
    <m/>
    <s v="Christopher Campbell"/>
    <d v="2020-01-22T00:00:00"/>
    <s v="Mark"/>
    <s v="Servicer"/>
    <n v="19888"/>
    <n v="128777"/>
    <n v="198882"/>
  </r>
  <r>
    <s v="ABC"/>
    <s v="0260009050 00"/>
    <x v="1"/>
    <x v="14"/>
    <d v="2019-03-31T00:00:00"/>
    <x v="3"/>
    <n v="10"/>
    <s v="Mark"/>
    <x v="0"/>
    <s v="Employee Benefits (EB)"/>
    <s v="Renewal"/>
    <n v="146052.65"/>
    <d v="2018-04-01T00:00:00"/>
    <s v="Brokerage"/>
    <x v="3"/>
    <s v="GMAN - Global Mandate"/>
    <d v="2020-01-22T00:00:00"/>
    <s v="GMAN - Global Mandate"/>
    <s v="OP-GMC"/>
    <s v="OPP1900001803"/>
    <s v="Mark"/>
    <n v="5000000"/>
    <n v="250000"/>
    <d v="2019-11-30T00:00:00"/>
    <s v="Qualify Opportunity"/>
    <s v="Ahmedabad"/>
    <s v="Employee Benefits (EB)"/>
    <s v="Mediclaim"/>
    <s v="Group Medical"/>
    <m/>
    <m/>
    <s v="Zoe Rivera"/>
    <d v="2020-01-13T00:00:00"/>
    <s v="Mark"/>
    <s v="Servicer"/>
    <n v="19888"/>
    <n v="128777"/>
    <n v="198882"/>
  </r>
  <r>
    <s v="ABC"/>
    <n v="2309002897"/>
    <x v="0"/>
    <x v="106"/>
    <d v="2020-05-01T00:00:00"/>
    <x v="4"/>
    <n v="1"/>
    <s v="Vinay"/>
    <x v="0"/>
    <s v="Liability"/>
    <s v="Renewal"/>
    <n v="25000"/>
    <d v="2019-05-02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ABC"/>
    <n v="2309002897"/>
    <x v="0"/>
    <x v="106"/>
    <d v="2020-05-01T00:00:00"/>
    <x v="4"/>
    <n v="1"/>
    <s v="Vinay"/>
    <x v="0"/>
    <s v="Liability"/>
    <s v="Renewal"/>
    <n v="25000"/>
    <d v="2019-05-02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ABC"/>
    <n v="2309002897"/>
    <x v="0"/>
    <x v="106"/>
    <d v="2020-05-01T00:00:00"/>
    <x v="4"/>
    <n v="1"/>
    <s v="Vinay"/>
    <x v="0"/>
    <s v="Liability"/>
    <s v="Renewal"/>
    <n v="25000"/>
    <d v="2019-05-02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ABC"/>
    <n v="2309002897"/>
    <x v="0"/>
    <x v="106"/>
    <d v="2020-05-01T00:00:00"/>
    <x v="4"/>
    <n v="1"/>
    <s v="Vinay"/>
    <x v="0"/>
    <s v="Liability"/>
    <s v="Renewal"/>
    <n v="25000"/>
    <d v="2019-05-02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ABC"/>
    <n v="2309002897"/>
    <x v="0"/>
    <x v="106"/>
    <d v="2020-05-01T00:00:00"/>
    <x v="4"/>
    <n v="1"/>
    <s v="Vinay"/>
    <x v="0"/>
    <s v="Liability"/>
    <s v="Renewal"/>
    <n v="25000"/>
    <d v="2019-05-02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Sanjay Trivedi"/>
    <n v="206312000000"/>
    <x v="0"/>
    <x v="107"/>
    <d v="2020-02-15T00:00:00"/>
    <x v="3"/>
    <n v="13"/>
    <s v="Vididt Saha"/>
    <x v="0"/>
    <s v="Employee Benefits (EB)"/>
    <s v="New"/>
    <n v="1148.93"/>
    <d v="2019-02-16T00:00:00"/>
    <s v="Brokerage"/>
    <x v="0"/>
    <s v="OTHR - Other"/>
    <d v="2020-01-22T00:00:00"/>
    <s v="Other"/>
    <m/>
    <m/>
    <m/>
    <m/>
    <m/>
    <m/>
    <m/>
    <m/>
    <m/>
    <m/>
    <m/>
    <m/>
    <m/>
    <m/>
    <m/>
    <m/>
    <m/>
    <m/>
    <m/>
    <m/>
  </r>
  <r>
    <s v="Anita Sethi"/>
    <n v="206314000000"/>
    <x v="0"/>
    <x v="107"/>
    <d v="2020-02-15T00:00:00"/>
    <x v="3"/>
    <n v="13"/>
    <s v="Vididt Saha"/>
    <x v="0"/>
    <s v="Employee Benefits (EB)"/>
    <s v="New"/>
    <n v="58300"/>
    <d v="2019-02-16T00:00:00"/>
    <s v="Brokerage"/>
    <x v="0"/>
    <s v="OTHR - Other"/>
    <d v="2020-01-22T00:00:00"/>
    <s v="Other"/>
    <m/>
    <m/>
    <m/>
    <m/>
    <m/>
    <m/>
    <m/>
    <m/>
    <m/>
    <m/>
    <m/>
    <m/>
    <m/>
    <m/>
    <m/>
    <m/>
    <m/>
    <m/>
    <m/>
    <m/>
  </r>
  <r>
    <s v="Ashok Chatterjee"/>
    <n v="8907502"/>
    <x v="1"/>
    <x v="108"/>
    <d v="2019-02-23T00:00:00"/>
    <x v="4"/>
    <n v="12"/>
    <s v="Shivani Sharma"/>
    <x v="0"/>
    <s v="Global Client Network (GNB Inward)"/>
    <s v="Renewal"/>
    <n v="6250"/>
    <d v="2018-02-24T00:00:00"/>
    <s v="Brokerage"/>
    <x v="0"/>
    <s v="OTHR - Other"/>
    <d v="2020-01-22T00:00:00"/>
    <s v="Other"/>
    <s v="DB- Cyber Liability"/>
    <s v="OPP1900001138"/>
    <s v="Shivani Sharma"/>
    <n v="500000"/>
    <n v="75000"/>
    <d v="2020-05-31T00:00:00"/>
    <s v="Qualify Opportunity"/>
    <s v="Ahmedabad"/>
    <s v="Liability"/>
    <s v="Financial Lines"/>
    <s v="Cyber Liability Insurance"/>
    <m/>
    <m/>
    <s v="Madison Robinson"/>
    <d v="2020-01-21T00:00:00"/>
    <m/>
    <m/>
    <m/>
    <m/>
    <m/>
  </r>
  <r>
    <s v="Ashok Chatterjee"/>
    <n v="8907502"/>
    <x v="1"/>
    <x v="108"/>
    <d v="2019-02-23T00:00:00"/>
    <x v="4"/>
    <n v="12"/>
    <s v="Shivani Sharma"/>
    <x v="0"/>
    <s v="Global Client Network (GNB Inward)"/>
    <s v="Renewal"/>
    <n v="6250"/>
    <d v="2018-02-24T00:00:00"/>
    <s v="Brokerage"/>
    <x v="0"/>
    <s v="OTHR - Other"/>
    <d v="2020-01-22T00:00:00"/>
    <s v="Other"/>
    <s v="DB- Cyber Liability"/>
    <s v="OPP1900001138"/>
    <s v="Shivani Sharma"/>
    <n v="500000"/>
    <n v="75000"/>
    <d v="2020-05-31T00:00:00"/>
    <s v="Qualify Opportunity"/>
    <s v="Ahmedabad"/>
    <s v="Liability"/>
    <s v="Financial Lines"/>
    <s v="Cyber Liability Insurance"/>
    <m/>
    <m/>
    <s v="David Hall"/>
    <d v="2020-01-21T00:00:00"/>
    <m/>
    <m/>
    <m/>
    <m/>
    <m/>
  </r>
  <r>
    <s v="Ashok Chatterjee"/>
    <n v="8907502"/>
    <x v="1"/>
    <x v="108"/>
    <d v="2019-02-23T00:00:00"/>
    <x v="4"/>
    <n v="12"/>
    <s v="Shivani Sharma"/>
    <x v="0"/>
    <s v="Global Client Network (GNB Inward)"/>
    <s v="Renewal"/>
    <n v="6250"/>
    <d v="2018-02-24T00:00:00"/>
    <s v="Brokerage"/>
    <x v="0"/>
    <s v="OTHR - Other"/>
    <d v="2020-01-22T00:00:00"/>
    <s v="Other"/>
    <s v="DB- Cyber Liability"/>
    <s v="OPP1900001138"/>
    <s v="Shivani Sharma"/>
    <n v="500000"/>
    <n v="75000"/>
    <d v="2020-05-31T00:00:00"/>
    <s v="Qualify Opportunity"/>
    <s v="Ahmedabad"/>
    <s v="Liability"/>
    <s v="Financial Lines"/>
    <s v="Cyber Liability Insurance"/>
    <m/>
    <m/>
    <s v="Lily Young"/>
    <d v="2020-01-21T00:00:00"/>
    <m/>
    <m/>
    <m/>
    <m/>
    <m/>
  </r>
  <r>
    <s v="Ashok Chatterjee"/>
    <n v="8907502"/>
    <x v="1"/>
    <x v="108"/>
    <d v="2019-02-23T00:00:00"/>
    <x v="4"/>
    <n v="12"/>
    <s v="Shivani Sharma"/>
    <x v="0"/>
    <s v="Global Client Network (GNB Inward)"/>
    <s v="Renewal"/>
    <n v="6250"/>
    <d v="2018-02-24T00:00:00"/>
    <s v="Brokerage"/>
    <x v="0"/>
    <s v="OTHR - Other"/>
    <d v="2020-01-22T00:00:00"/>
    <s v="Other"/>
    <s v="DB- Cyber Liability"/>
    <s v="OPP1900001138"/>
    <s v="Shivani Sharma"/>
    <n v="500000"/>
    <n v="75000"/>
    <d v="2020-05-31T00:00:00"/>
    <s v="Qualify Opportunity"/>
    <s v="Ahmedabad"/>
    <s v="Liability"/>
    <s v="Financial Lines"/>
    <s v="Cyber Liability Insurance"/>
    <m/>
    <m/>
    <s v="Samuel Allen"/>
    <d v="2020-01-22T00:00:00"/>
    <m/>
    <m/>
    <m/>
    <m/>
    <m/>
  </r>
  <r>
    <s v="Ashok Chatterjee"/>
    <n v="8907502"/>
    <x v="1"/>
    <x v="108"/>
    <d v="2019-02-23T00:00:00"/>
    <x v="4"/>
    <n v="12"/>
    <s v="Shivani Sharma"/>
    <x v="0"/>
    <s v="Global Client Network (GNB Inward)"/>
    <s v="Renewal"/>
    <n v="6250"/>
    <d v="2018-02-24T00:00:00"/>
    <s v="Brokerage"/>
    <x v="0"/>
    <s v="OTHR - Other"/>
    <d v="2020-01-22T00:00:00"/>
    <s v="Other"/>
    <s v="VS.-D &amp; O"/>
    <s v="OPP1900002104"/>
    <s v="Shivani Sharma"/>
    <n v="0"/>
    <n v="50000"/>
    <d v="2020-03-31T00:00:00"/>
    <s v="Qualify Opportunity"/>
    <s v="Ahmedabad"/>
    <s v="Liability"/>
    <s v="Financial Lines"/>
    <s v="Director &amp;amp; Officers / Management  Liability"/>
    <m/>
    <m/>
    <s v="Madison Robinson"/>
    <d v="2020-01-21T00:00:00"/>
    <m/>
    <m/>
    <m/>
    <m/>
    <m/>
  </r>
  <r>
    <s v="Ashok Chatterjee"/>
    <n v="8907502"/>
    <x v="1"/>
    <x v="108"/>
    <d v="2019-02-23T00:00:00"/>
    <x v="4"/>
    <n v="12"/>
    <s v="Shivani Sharma"/>
    <x v="0"/>
    <s v="Global Client Network (GNB Inward)"/>
    <s v="Renewal"/>
    <n v="6250"/>
    <d v="2018-02-24T00:00:00"/>
    <s v="Brokerage"/>
    <x v="0"/>
    <s v="OTHR - Other"/>
    <d v="2020-01-22T00:00:00"/>
    <s v="Other"/>
    <s v="VS.-D &amp; O"/>
    <s v="OPP1900002104"/>
    <s v="Shivani Sharma"/>
    <n v="0"/>
    <n v="50000"/>
    <d v="2020-03-31T00:00:00"/>
    <s v="Qualify Opportunity"/>
    <s v="Ahmedabad"/>
    <s v="Liability"/>
    <s v="Financial Lines"/>
    <s v="Director &amp;amp; Officers / Management  Liability"/>
    <m/>
    <m/>
    <s v="David Hall"/>
    <d v="2020-01-21T00:00:00"/>
    <m/>
    <m/>
    <m/>
    <m/>
    <m/>
  </r>
  <r>
    <s v="Ashok Chatterjee"/>
    <n v="8907502"/>
    <x v="1"/>
    <x v="108"/>
    <d v="2019-02-23T00:00:00"/>
    <x v="4"/>
    <n v="12"/>
    <s v="Shivani Sharma"/>
    <x v="0"/>
    <s v="Global Client Network (GNB Inward)"/>
    <s v="Renewal"/>
    <n v="6250"/>
    <d v="2018-02-24T00:00:00"/>
    <s v="Brokerage"/>
    <x v="0"/>
    <s v="OTHR - Other"/>
    <d v="2020-01-22T00:00:00"/>
    <s v="Other"/>
    <s v="VS.-D &amp; O"/>
    <s v="OPP1900002104"/>
    <s v="Shivani Sharma"/>
    <n v="0"/>
    <n v="50000"/>
    <d v="2020-03-31T00:00:00"/>
    <s v="Qualify Opportunity"/>
    <s v="Ahmedabad"/>
    <s v="Liability"/>
    <s v="Financial Lines"/>
    <s v="Director &amp;amp; Officers / Management  Liability"/>
    <m/>
    <m/>
    <s v="Lily Young"/>
    <d v="2020-01-21T00:00:00"/>
    <m/>
    <m/>
    <m/>
    <m/>
    <m/>
  </r>
  <r>
    <s v="Ashok Chatterjee"/>
    <n v="8907502"/>
    <x v="1"/>
    <x v="108"/>
    <d v="2019-02-23T00:00:00"/>
    <x v="4"/>
    <n v="12"/>
    <s v="Shivani Sharma"/>
    <x v="0"/>
    <s v="Global Client Network (GNB Inward)"/>
    <s v="Renewal"/>
    <n v="6250"/>
    <d v="2018-02-24T00:00:00"/>
    <s v="Brokerage"/>
    <x v="0"/>
    <s v="OTHR - Other"/>
    <d v="2020-01-22T00:00:00"/>
    <s v="Other"/>
    <s v="VS.-D &amp; O"/>
    <s v="OPP1900002104"/>
    <s v="Shivani Sharma"/>
    <n v="0"/>
    <n v="50000"/>
    <d v="2020-03-31T00:00:00"/>
    <s v="Qualify Opportunity"/>
    <s v="Ahmedabad"/>
    <s v="Liability"/>
    <s v="Financial Lines"/>
    <s v="Director &amp;amp; Officers / Management  Liability"/>
    <m/>
    <m/>
    <s v="Samuel Allen"/>
    <d v="2020-01-22T00:00:00"/>
    <m/>
    <m/>
    <m/>
    <m/>
    <m/>
  </r>
  <r>
    <s v="Rani Agarwal"/>
    <s v="0000000008907502-01"/>
    <x v="0"/>
    <x v="109"/>
    <d v="2020-02-23T00:00:00"/>
    <x v="4"/>
    <n v="3"/>
    <s v="Animesh Rawat"/>
    <x v="0"/>
    <s v="Global Client Network (GNB Inward)"/>
    <s v="Renewal"/>
    <n v="6250"/>
    <d v="2019-02-24T00:00:00"/>
    <s v="Brokerage"/>
    <x v="1"/>
    <s v="OTHR - Other"/>
    <d v="2020-01-22T00:00:00"/>
    <s v="Other"/>
    <m/>
    <m/>
    <m/>
    <m/>
    <m/>
    <m/>
    <m/>
    <m/>
    <m/>
    <m/>
    <m/>
    <m/>
    <m/>
    <m/>
    <m/>
    <m/>
    <m/>
    <m/>
    <m/>
    <m/>
  </r>
  <r>
    <s v="Arjun Rao"/>
    <s v="020P000098802000"/>
    <x v="1"/>
    <x v="110"/>
    <d v="2019-02-25T00:00:00"/>
    <x v="4"/>
    <n v="12"/>
    <s v="Shivani Sharma"/>
    <x v="0"/>
    <s v="Global Client Network (GNB Inward)"/>
    <s v="Renewal"/>
    <n v="12500"/>
    <d v="2018-02-26T00:00:00"/>
    <s v="Brokerage"/>
    <x v="0"/>
    <s v="OTHR - Other"/>
    <d v="2020-01-22T00:00:00"/>
    <s v="Other"/>
    <s v="DB- Cyber Liability"/>
    <s v="OPP1900001138"/>
    <s v="Shivani Sharma"/>
    <n v="500000"/>
    <n v="75000"/>
    <d v="2020-05-31T00:00:00"/>
    <s v="Qualify Opportunity"/>
    <s v="Ahmedabad"/>
    <s v="Liability"/>
    <s v="Financial Lines"/>
    <s v="Cyber Liability Insurance"/>
    <m/>
    <m/>
    <s v="Madison Robinson"/>
    <d v="2020-01-21T00:00:00"/>
    <m/>
    <m/>
    <m/>
    <m/>
    <m/>
  </r>
  <r>
    <s v="Arjun Rao"/>
    <s v="020P000098802000"/>
    <x v="1"/>
    <x v="110"/>
    <d v="2019-02-25T00:00:00"/>
    <x v="4"/>
    <n v="12"/>
    <s v="Shivani Sharma"/>
    <x v="0"/>
    <s v="Global Client Network (GNB Inward)"/>
    <s v="Renewal"/>
    <n v="12500"/>
    <d v="2018-02-26T00:00:00"/>
    <s v="Brokerage"/>
    <x v="0"/>
    <s v="OTHR - Other"/>
    <d v="2020-01-22T00:00:00"/>
    <s v="Other"/>
    <s v="DB- Cyber Liability"/>
    <s v="OPP1900001138"/>
    <s v="Shivani Sharma"/>
    <n v="500000"/>
    <n v="75000"/>
    <d v="2020-05-31T00:00:00"/>
    <s v="Qualify Opportunity"/>
    <s v="Ahmedabad"/>
    <s v="Liability"/>
    <s v="Financial Lines"/>
    <s v="Cyber Liability Insurance"/>
    <m/>
    <m/>
    <s v="David Hall"/>
    <d v="2020-01-21T00:00:00"/>
    <m/>
    <m/>
    <m/>
    <m/>
    <m/>
  </r>
  <r>
    <s v="Arjun Rao"/>
    <s v="020P000098802000"/>
    <x v="1"/>
    <x v="110"/>
    <d v="2019-02-25T00:00:00"/>
    <x v="4"/>
    <n v="12"/>
    <s v="Shivani Sharma"/>
    <x v="0"/>
    <s v="Global Client Network (GNB Inward)"/>
    <s v="Renewal"/>
    <n v="12500"/>
    <d v="2018-02-26T00:00:00"/>
    <s v="Brokerage"/>
    <x v="0"/>
    <s v="OTHR - Other"/>
    <d v="2020-01-22T00:00:00"/>
    <s v="Other"/>
    <s v="DB- Cyber Liability"/>
    <s v="OPP1900001138"/>
    <s v="Shivani Sharma"/>
    <n v="500000"/>
    <n v="75000"/>
    <d v="2020-05-31T00:00:00"/>
    <s v="Qualify Opportunity"/>
    <s v="Ahmedabad"/>
    <s v="Liability"/>
    <s v="Financial Lines"/>
    <s v="Cyber Liability Insurance"/>
    <m/>
    <m/>
    <s v="Lily Young"/>
    <d v="2020-01-21T00:00:00"/>
    <m/>
    <m/>
    <m/>
    <m/>
    <m/>
  </r>
  <r>
    <s v="Arjun Rao"/>
    <s v="020P000098802000"/>
    <x v="1"/>
    <x v="110"/>
    <d v="2019-02-25T00:00:00"/>
    <x v="4"/>
    <n v="12"/>
    <s v="Shivani Sharma"/>
    <x v="0"/>
    <s v="Global Client Network (GNB Inward)"/>
    <s v="Renewal"/>
    <n v="12500"/>
    <d v="2018-02-26T00:00:00"/>
    <s v="Brokerage"/>
    <x v="0"/>
    <s v="OTHR - Other"/>
    <d v="2020-01-22T00:00:00"/>
    <s v="Other"/>
    <s v="DB- Cyber Liability"/>
    <s v="OPP1900001138"/>
    <s v="Shivani Sharma"/>
    <n v="500000"/>
    <n v="75000"/>
    <d v="2020-05-31T00:00:00"/>
    <s v="Qualify Opportunity"/>
    <s v="Ahmedabad"/>
    <s v="Liability"/>
    <s v="Financial Lines"/>
    <s v="Cyber Liability Insurance"/>
    <m/>
    <m/>
    <s v="Samuel Allen"/>
    <d v="2020-01-22T00:00:00"/>
    <m/>
    <m/>
    <m/>
    <m/>
    <m/>
  </r>
  <r>
    <s v="Arjun Rao"/>
    <s v="020P000098802000"/>
    <x v="1"/>
    <x v="110"/>
    <d v="2019-02-25T00:00:00"/>
    <x v="4"/>
    <n v="12"/>
    <s v="Shivani Sharma"/>
    <x v="0"/>
    <s v="Global Client Network (GNB Inward)"/>
    <s v="Renewal"/>
    <n v="12500"/>
    <d v="2018-02-26T00:00:00"/>
    <s v="Brokerage"/>
    <x v="0"/>
    <s v="OTHR - Other"/>
    <d v="2020-01-22T00:00:00"/>
    <s v="Other"/>
    <s v="VS.-D &amp; O"/>
    <s v="OPP1900002104"/>
    <s v="Shivani Sharma"/>
    <n v="0"/>
    <n v="50000"/>
    <d v="2020-03-31T00:00:00"/>
    <s v="Qualify Opportunity"/>
    <s v="Ahmedabad"/>
    <s v="Liability"/>
    <s v="Financial Lines"/>
    <s v="Director &amp;amp; Officers / Management  Liability"/>
    <m/>
    <m/>
    <s v="Madison Robinson"/>
    <d v="2020-01-21T00:00:00"/>
    <m/>
    <m/>
    <m/>
    <m/>
    <m/>
  </r>
  <r>
    <s v="Arjun Rao"/>
    <s v="020P000098802000"/>
    <x v="1"/>
    <x v="110"/>
    <d v="2019-02-25T00:00:00"/>
    <x v="4"/>
    <n v="12"/>
    <s v="Shivani Sharma"/>
    <x v="0"/>
    <s v="Global Client Network (GNB Inward)"/>
    <s v="Renewal"/>
    <n v="12500"/>
    <d v="2018-02-26T00:00:00"/>
    <s v="Brokerage"/>
    <x v="0"/>
    <s v="OTHR - Other"/>
    <d v="2020-01-22T00:00:00"/>
    <s v="Other"/>
    <s v="VS.-D &amp; O"/>
    <s v="OPP1900002104"/>
    <s v="Shivani Sharma"/>
    <n v="0"/>
    <n v="50000"/>
    <d v="2020-03-31T00:00:00"/>
    <s v="Qualify Opportunity"/>
    <s v="Ahmedabad"/>
    <s v="Liability"/>
    <s v="Financial Lines"/>
    <s v="Director &amp;amp; Officers / Management  Liability"/>
    <m/>
    <m/>
    <s v="David Hall"/>
    <d v="2020-01-21T00:00:00"/>
    <m/>
    <m/>
    <m/>
    <m/>
    <m/>
  </r>
  <r>
    <s v="Arjun Rao"/>
    <s v="020P000098802000"/>
    <x v="1"/>
    <x v="110"/>
    <d v="2019-02-25T00:00:00"/>
    <x v="4"/>
    <n v="12"/>
    <s v="Shivani Sharma"/>
    <x v="0"/>
    <s v="Global Client Network (GNB Inward)"/>
    <s v="Renewal"/>
    <n v="12500"/>
    <d v="2018-02-26T00:00:00"/>
    <s v="Brokerage"/>
    <x v="0"/>
    <s v="OTHR - Other"/>
    <d v="2020-01-22T00:00:00"/>
    <s v="Other"/>
    <s v="VS.-D &amp; O"/>
    <s v="OPP1900002104"/>
    <s v="Shivani Sharma"/>
    <n v="0"/>
    <n v="50000"/>
    <d v="2020-03-31T00:00:00"/>
    <s v="Qualify Opportunity"/>
    <s v="Ahmedabad"/>
    <s v="Liability"/>
    <s v="Financial Lines"/>
    <s v="Director &amp;amp; Officers / Management  Liability"/>
    <m/>
    <m/>
    <s v="Lily Young"/>
    <d v="2020-01-21T00:00:00"/>
    <m/>
    <m/>
    <m/>
    <m/>
    <m/>
  </r>
  <r>
    <s v="Arjun Rao"/>
    <s v="020P000098802000"/>
    <x v="1"/>
    <x v="110"/>
    <d v="2019-02-25T00:00:00"/>
    <x v="4"/>
    <n v="12"/>
    <s v="Shivani Sharma"/>
    <x v="0"/>
    <s v="Global Client Network (GNB Inward)"/>
    <s v="Renewal"/>
    <n v="12500"/>
    <d v="2018-02-26T00:00:00"/>
    <s v="Brokerage"/>
    <x v="0"/>
    <s v="OTHR - Other"/>
    <d v="2020-01-22T00:00:00"/>
    <s v="Other"/>
    <s v="VS.-D &amp; O"/>
    <s v="OPP1900002104"/>
    <s v="Shivani Sharma"/>
    <n v="0"/>
    <n v="50000"/>
    <d v="2020-03-31T00:00:00"/>
    <s v="Qualify Opportunity"/>
    <s v="Ahmedabad"/>
    <s v="Liability"/>
    <s v="Financial Lines"/>
    <s v="Director &amp;amp; Officers / Management  Liability"/>
    <m/>
    <m/>
    <s v="Samuel Allen"/>
    <d v="2020-01-22T00:00:00"/>
    <m/>
    <m/>
    <m/>
    <m/>
    <m/>
  </r>
  <r>
    <s v="Anil Naik"/>
    <s v="020P000098803000"/>
    <x v="0"/>
    <x v="111"/>
    <d v="2020-02-25T00:00:00"/>
    <x v="4"/>
    <n v="3"/>
    <s v="Animesh Rawat"/>
    <x v="0"/>
    <s v="Global Client Network (GNB Inward)"/>
    <s v="Renewal"/>
    <n v="12500"/>
    <d v="2019-02-26T00:00:00"/>
    <s v="Brokerage"/>
    <x v="1"/>
    <s v="OTHR - Other"/>
    <d v="2020-01-22T00:00:00"/>
    <s v="Other"/>
    <m/>
    <m/>
    <m/>
    <m/>
    <m/>
    <m/>
    <m/>
    <m/>
    <m/>
    <m/>
    <m/>
    <m/>
    <m/>
    <m/>
    <m/>
    <m/>
    <m/>
    <m/>
    <m/>
    <m/>
  </r>
  <r>
    <s v="Simran Trivedi"/>
    <n v="2280082714"/>
    <x v="0"/>
    <x v="112"/>
    <d v="2020-03-10T00:00:00"/>
    <x v="2"/>
    <n v="3"/>
    <s v="Animesh Rawat"/>
    <x v="0"/>
    <s v="Global Client Network (GNB Inward)"/>
    <s v="Cross Sell"/>
    <n v="2645.75"/>
    <d v="2019-03-11T00:00:00"/>
    <s v="Brokerage"/>
    <x v="0"/>
    <s v="OTHR - Other"/>
    <d v="2020-01-22T00:00:00"/>
    <s v="Other"/>
    <m/>
    <m/>
    <m/>
    <m/>
    <m/>
    <m/>
    <m/>
    <m/>
    <m/>
    <m/>
    <m/>
    <m/>
    <m/>
    <m/>
    <m/>
    <m/>
    <m/>
    <m/>
    <m/>
    <m/>
  </r>
  <r>
    <s v="Dhruv Chopra"/>
    <s v="000000000086/4398"/>
    <x v="1"/>
    <x v="56"/>
    <d v="2019-02-26T00:00:00"/>
    <x v="1"/>
    <n v="1"/>
    <s v="Vinay"/>
    <x v="0"/>
    <s v="Property / BI"/>
    <s v="New"/>
    <n v="2939.29"/>
    <d v="2018-02-27T00:00:00"/>
    <s v="Brokerage"/>
    <x v="0"/>
    <s v="OTHR - Other"/>
    <d v="2020-01-22T00:00:00"/>
    <s v="Other"/>
    <m/>
    <m/>
    <m/>
    <m/>
    <m/>
    <m/>
    <m/>
    <m/>
    <m/>
    <m/>
    <m/>
    <m/>
    <m/>
    <m/>
    <m/>
    <m/>
    <m/>
    <m/>
    <m/>
    <m/>
  </r>
  <r>
    <s v="Jaya Chopra"/>
    <n v="8539756"/>
    <x v="1"/>
    <x v="56"/>
    <d v="2019-02-26T00:00:00"/>
    <x v="1"/>
    <n v="1"/>
    <s v="Vinay"/>
    <x v="0"/>
    <s v="Property / BI"/>
    <s v="Renewal"/>
    <n v="5207.66"/>
    <d v="2018-02-27T00:00:00"/>
    <s v="Brokerage"/>
    <x v="0"/>
    <s v="OTHR - Other"/>
    <d v="2020-01-22T00:00:00"/>
    <s v="Other"/>
    <m/>
    <m/>
    <m/>
    <m/>
    <m/>
    <m/>
    <m/>
    <m/>
    <m/>
    <m/>
    <m/>
    <m/>
    <m/>
    <m/>
    <m/>
    <m/>
    <m/>
    <m/>
    <m/>
    <m/>
  </r>
  <r>
    <s v="Kiran Goyal"/>
    <s v="'0000000008539756-01"/>
    <x v="0"/>
    <x v="57"/>
    <d v="2020-02-26T00:00:00"/>
    <x v="1"/>
    <n v="1"/>
    <s v="Vinay"/>
    <x v="0"/>
    <s v="Property / BI"/>
    <s v="Renewal"/>
    <n v="5601.1"/>
    <d v="2019-02-27T00:00:00"/>
    <s v="Brokerage"/>
    <x v="1"/>
    <s v="OTHR - Other"/>
    <d v="2020-01-22T00:00:00"/>
    <s v="Other"/>
    <m/>
    <m/>
    <m/>
    <m/>
    <m/>
    <m/>
    <m/>
    <m/>
    <m/>
    <m/>
    <m/>
    <m/>
    <m/>
    <m/>
    <m/>
    <m/>
    <m/>
    <m/>
    <m/>
    <m/>
  </r>
  <r>
    <s v="Pravin Sengupta"/>
    <s v="'0000000008539844"/>
    <x v="1"/>
    <x v="56"/>
    <d v="2019-02-26T00:00:00"/>
    <x v="1"/>
    <n v="1"/>
    <s v="Vinay"/>
    <x v="0"/>
    <s v="Property / BI"/>
    <s v="Cross Sell"/>
    <n v="1972.37"/>
    <d v="2018-02-27T00:00:00"/>
    <s v="Brokerage"/>
    <x v="0"/>
    <s v="OTHR - Other"/>
    <d v="2020-01-22T00:00:00"/>
    <s v="Other"/>
    <m/>
    <m/>
    <m/>
    <m/>
    <m/>
    <m/>
    <m/>
    <m/>
    <m/>
    <m/>
    <m/>
    <m/>
    <m/>
    <m/>
    <m/>
    <m/>
    <m/>
    <m/>
    <m/>
    <m/>
  </r>
  <r>
    <s v="Snehal Das"/>
    <s v="'0000000008539844-01"/>
    <x v="0"/>
    <x v="57"/>
    <d v="2020-02-26T00:00:00"/>
    <x v="1"/>
    <n v="1"/>
    <s v="Vinay"/>
    <x v="0"/>
    <s v="Property / BI"/>
    <s v="Cross Sell"/>
    <n v="2141.5500000000002"/>
    <d v="2019-02-27T00:00:00"/>
    <s v="Brokerage"/>
    <x v="1"/>
    <s v="OTHR - Other"/>
    <d v="2020-01-22T00:00:00"/>
    <s v="Other"/>
    <m/>
    <m/>
    <m/>
    <m/>
    <m/>
    <m/>
    <m/>
    <m/>
    <m/>
    <m/>
    <m/>
    <m/>
    <m/>
    <m/>
    <m/>
    <m/>
    <m/>
    <m/>
    <m/>
    <m/>
  </r>
  <r>
    <s v="Rajesh Malhotra"/>
    <s v="'0000000008643898-01"/>
    <x v="0"/>
    <x v="57"/>
    <d v="2020-02-26T00:00:00"/>
    <x v="1"/>
    <n v="1"/>
    <s v="Vinay"/>
    <x v="0"/>
    <s v="Property / BI"/>
    <s v="Renewal"/>
    <n v="3136.39"/>
    <d v="2019-03-02T00:00:00"/>
    <s v="Brokerage"/>
    <x v="1"/>
    <s v="OTHR - Other"/>
    <d v="2020-01-22T00:00:00"/>
    <s v="Other"/>
    <m/>
    <m/>
    <m/>
    <m/>
    <m/>
    <m/>
    <m/>
    <m/>
    <m/>
    <m/>
    <m/>
    <m/>
    <m/>
    <m/>
    <m/>
    <m/>
    <m/>
    <m/>
    <m/>
    <m/>
  </r>
  <r>
    <s v="Archana Bhatia"/>
    <n v="1.60262E+17"/>
    <x v="0"/>
    <x v="113"/>
    <d v="2020-11-14T00:00:00"/>
    <x v="1"/>
    <n v="1"/>
    <s v="Vinay"/>
    <x v="0"/>
    <s v="Small Medium Enterpries (SME)"/>
    <s v="Renewal"/>
    <n v="35127.9"/>
    <d v="2019-11-15T00:00:00"/>
    <s v="Brokerage"/>
    <x v="0"/>
    <s v="OTHR - Other"/>
    <d v="2020-01-22T00:00:00"/>
    <s v="Other"/>
    <m/>
    <m/>
    <m/>
    <m/>
    <m/>
    <m/>
    <m/>
    <m/>
    <m/>
    <m/>
    <m/>
    <m/>
    <m/>
    <m/>
    <m/>
    <m/>
    <m/>
    <m/>
    <m/>
    <m/>
  </r>
  <r>
    <s v="Ashok Reddy"/>
    <s v="'99000044180400000024"/>
    <x v="0"/>
    <x v="114"/>
    <d v="2020-03-11T00:00:00"/>
    <x v="5"/>
    <n v="11"/>
    <s v="Raju Kumar"/>
    <x v="0"/>
    <s v="Construction, Power &amp; Infrastructure"/>
    <s v="Cross Sell"/>
    <n v="18229.13"/>
    <d v="2019-03-12T00:00:00"/>
    <s v="Brokerage"/>
    <x v="0"/>
    <s v="OTHR - Other"/>
    <d v="2020-01-22T00:00:00"/>
    <s v="Other"/>
    <m/>
    <m/>
    <m/>
    <m/>
    <m/>
    <m/>
    <m/>
    <m/>
    <m/>
    <m/>
    <m/>
    <m/>
    <m/>
    <m/>
    <m/>
    <m/>
    <m/>
    <m/>
    <m/>
    <m/>
  </r>
  <r>
    <s v="Madhuri Bhatia"/>
    <s v="LW/00009151000100"/>
    <x v="0"/>
    <x v="69"/>
    <d v="2019-03-15T00:00:00"/>
    <x v="2"/>
    <n v="11"/>
    <s v="Raju Kumar"/>
    <x v="0"/>
    <s v="Liability"/>
    <s v="Cross Sell"/>
    <n v="6158.75"/>
    <d v="2018-03-16T00:00:00"/>
    <s v="Brokerage"/>
    <x v="0"/>
    <s v="OTHR - Other"/>
    <d v="2020-01-22T00:00:00"/>
    <s v="Other"/>
    <m/>
    <m/>
    <m/>
    <m/>
    <m/>
    <m/>
    <m/>
    <m/>
    <m/>
    <m/>
    <m/>
    <m/>
    <m/>
    <m/>
    <m/>
    <m/>
    <m/>
    <m/>
    <m/>
    <m/>
  </r>
  <r>
    <s v="Pranav Mishra"/>
    <s v="2412/202312723700000"/>
    <x v="0"/>
    <x v="115"/>
    <d v="2019-01-21T00:00:00"/>
    <x v="0"/>
    <n v="1"/>
    <s v="Vinay"/>
    <x v="0"/>
    <s v="Marine"/>
    <s v="Cross Sell"/>
    <n v="825"/>
    <d v="2018-01-22T00:00:00"/>
    <s v="Brokerage"/>
    <x v="0"/>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Pranav Mishra"/>
    <s v="2412/202312723700000"/>
    <x v="0"/>
    <x v="115"/>
    <d v="2019-01-21T00:00:00"/>
    <x v="0"/>
    <n v="1"/>
    <s v="Vinay"/>
    <x v="0"/>
    <s v="Marine"/>
    <s v="Cross Sell"/>
    <n v="825"/>
    <d v="2018-01-22T00:00:00"/>
    <s v="Brokerage"/>
    <x v="0"/>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Pranav Mishra"/>
    <s v="2412/202312723700000"/>
    <x v="0"/>
    <x v="115"/>
    <d v="2019-01-21T00:00:00"/>
    <x v="0"/>
    <n v="1"/>
    <s v="Vinay"/>
    <x v="0"/>
    <s v="Marine"/>
    <s v="Cross Sell"/>
    <n v="825"/>
    <d v="2018-01-22T00:00:00"/>
    <s v="Brokerage"/>
    <x v="0"/>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Pranav Mishra"/>
    <s v="2412/202312723700000"/>
    <x v="0"/>
    <x v="115"/>
    <d v="2019-01-21T00:00:00"/>
    <x v="0"/>
    <n v="1"/>
    <s v="Vinay"/>
    <x v="0"/>
    <s v="Marine"/>
    <s v="Cross Sell"/>
    <n v="825"/>
    <d v="2018-01-22T00:00:00"/>
    <s v="Brokerage"/>
    <x v="0"/>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Pranav Mishra"/>
    <s v="2412/202312723700000"/>
    <x v="0"/>
    <x v="115"/>
    <d v="2019-01-21T00:00:00"/>
    <x v="0"/>
    <n v="1"/>
    <s v="Vinay"/>
    <x v="0"/>
    <s v="Marine"/>
    <s v="Cross Sell"/>
    <n v="825"/>
    <d v="2018-01-22T00:00:00"/>
    <s v="Brokerage"/>
    <x v="0"/>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Pranav Mishra"/>
    <s v="2412/202312723700000"/>
    <x v="0"/>
    <x v="115"/>
    <d v="2019-01-21T00:00:00"/>
    <x v="0"/>
    <n v="1"/>
    <s v="Vinay"/>
    <x v="0"/>
    <s v="Marine"/>
    <s v="Cross Sell"/>
    <n v="825"/>
    <d v="2018-01-22T00:00:00"/>
    <s v="Brokerage"/>
    <x v="0"/>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Pranav Mishra"/>
    <s v="2412/202312723700000"/>
    <x v="0"/>
    <x v="115"/>
    <d v="2019-01-21T00:00:00"/>
    <x v="0"/>
    <n v="1"/>
    <s v="Vinay"/>
    <x v="0"/>
    <s v="Marine"/>
    <s v="Cross Sell"/>
    <n v="825"/>
    <d v="2018-01-22T00:00:00"/>
    <s v="Brokerage"/>
    <x v="0"/>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Pranav Mishra"/>
    <s v="2412/202312723700000"/>
    <x v="0"/>
    <x v="115"/>
    <d v="2019-01-21T00:00:00"/>
    <x v="0"/>
    <n v="1"/>
    <s v="Vinay"/>
    <x v="0"/>
    <s v="Marine"/>
    <s v="Cross Sell"/>
    <n v="825"/>
    <d v="2018-01-22T00:00:00"/>
    <s v="Brokerage"/>
    <x v="0"/>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Pranav Mishra"/>
    <s v="2412/202312723700000"/>
    <x v="0"/>
    <x v="115"/>
    <d v="2019-01-21T00:00:00"/>
    <x v="0"/>
    <n v="1"/>
    <s v="Vinay"/>
    <x v="0"/>
    <s v="Marine"/>
    <s v="Cross Sell"/>
    <n v="825"/>
    <d v="2018-01-22T00:00:00"/>
    <s v="Brokerage"/>
    <x v="0"/>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Pranav Mishra"/>
    <s v="2412/202312723700000"/>
    <x v="0"/>
    <x v="115"/>
    <d v="2019-01-21T00:00:00"/>
    <x v="0"/>
    <n v="1"/>
    <s v="Vinay"/>
    <x v="0"/>
    <s v="Marine"/>
    <s v="Cross Sell"/>
    <n v="825"/>
    <d v="2018-01-22T00:00:00"/>
    <s v="Brokerage"/>
    <x v="0"/>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Pranav Mishra"/>
    <s v="2412/202312723700000"/>
    <x v="0"/>
    <x v="115"/>
    <d v="2019-01-21T00:00:00"/>
    <x v="0"/>
    <n v="1"/>
    <s v="Vinay"/>
    <x v="0"/>
    <s v="Marine"/>
    <s v="Cross Sell"/>
    <n v="825"/>
    <d v="2018-01-22T00:00:00"/>
    <s v="Brokerage"/>
    <x v="0"/>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Pranav Mishra"/>
    <s v="2412/202312723700000"/>
    <x v="0"/>
    <x v="115"/>
    <d v="2019-01-21T00:00:00"/>
    <x v="0"/>
    <n v="1"/>
    <s v="Vinay"/>
    <x v="0"/>
    <s v="Marine"/>
    <s v="Cross Sell"/>
    <n v="825"/>
    <d v="2018-01-22T00:00:00"/>
    <s v="Brokerage"/>
    <x v="0"/>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Pranav Mishra"/>
    <s v="2412/202312723700000"/>
    <x v="0"/>
    <x v="115"/>
    <d v="2019-01-21T00:00:00"/>
    <x v="0"/>
    <n v="1"/>
    <s v="Vinay"/>
    <x v="0"/>
    <s v="Marine"/>
    <s v="Cross Sell"/>
    <n v="825"/>
    <d v="2018-01-22T00:00:00"/>
    <s v="Brokerage"/>
    <x v="0"/>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Pranav Mishra"/>
    <s v="2412/202312723700000"/>
    <x v="0"/>
    <x v="115"/>
    <d v="2019-01-21T00:00:00"/>
    <x v="0"/>
    <n v="1"/>
    <s v="Vinay"/>
    <x v="0"/>
    <s v="Marine"/>
    <s v="Cross Sell"/>
    <n v="825"/>
    <d v="2018-01-22T00:00:00"/>
    <s v="Brokerage"/>
    <x v="0"/>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Pranav Mishra"/>
    <s v="2412/202312723700000"/>
    <x v="0"/>
    <x v="115"/>
    <d v="2019-01-21T00:00:00"/>
    <x v="0"/>
    <n v="1"/>
    <s v="Vinay"/>
    <x v="0"/>
    <s v="Marine"/>
    <s v="Cross Sell"/>
    <n v="825"/>
    <d v="2018-01-22T00:00:00"/>
    <s v="Brokerage"/>
    <x v="0"/>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Pranav Mishra"/>
    <s v="2412/202312723700000"/>
    <x v="0"/>
    <x v="115"/>
    <d v="2019-01-21T00:00:00"/>
    <x v="0"/>
    <n v="1"/>
    <s v="Vinay"/>
    <x v="0"/>
    <s v="Marine"/>
    <s v="Cross Sell"/>
    <n v="825"/>
    <d v="2018-01-22T00:00:00"/>
    <s v="Brokerage"/>
    <x v="0"/>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Pranav Mishra"/>
    <s v="2412/202312723700000"/>
    <x v="0"/>
    <x v="115"/>
    <d v="2019-01-21T00:00:00"/>
    <x v="0"/>
    <n v="1"/>
    <s v="Vinay"/>
    <x v="0"/>
    <s v="Marine"/>
    <s v="Cross Sell"/>
    <n v="825"/>
    <d v="2018-01-22T00:00:00"/>
    <s v="Brokerage"/>
    <x v="0"/>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Pranav Mishra"/>
    <s v="2412/202312723700000"/>
    <x v="0"/>
    <x v="115"/>
    <d v="2019-01-21T00:00:00"/>
    <x v="0"/>
    <n v="1"/>
    <s v="Vinay"/>
    <x v="0"/>
    <s v="Marine"/>
    <s v="Cross Sell"/>
    <n v="825"/>
    <d v="2018-01-22T00:00:00"/>
    <s v="Brokerage"/>
    <x v="0"/>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Pranav Mishra"/>
    <s v="2412/202312723700000"/>
    <x v="0"/>
    <x v="115"/>
    <d v="2019-01-21T00:00:00"/>
    <x v="0"/>
    <n v="1"/>
    <s v="Vinay"/>
    <x v="0"/>
    <s v="Marine"/>
    <s v="Cross Sell"/>
    <n v="825"/>
    <d v="2018-01-22T00:00:00"/>
    <s v="Brokerage"/>
    <x v="0"/>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Pranav Mishra"/>
    <s v="2412/202312723700000"/>
    <x v="0"/>
    <x v="115"/>
    <d v="2019-01-21T00:00:00"/>
    <x v="0"/>
    <n v="1"/>
    <s v="Vinay"/>
    <x v="0"/>
    <s v="Marine"/>
    <s v="Cross Sell"/>
    <n v="825"/>
    <d v="2018-01-22T00:00:00"/>
    <s v="Brokerage"/>
    <x v="0"/>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Rina Goyal"/>
    <s v="OG-18-2202-4091-00000964"/>
    <x v="1"/>
    <x v="116"/>
    <d v="2019-02-19T00:00:00"/>
    <x v="2"/>
    <n v="9"/>
    <s v="Manish Sharma"/>
    <x v="0"/>
    <s v="Property / BI"/>
    <s v="Renewal"/>
    <n v="8452.1299999999992"/>
    <d v="2018-02-20T00:00:00"/>
    <s v="Brokerage"/>
    <x v="0"/>
    <s v="OTHR - Other"/>
    <d v="2020-01-22T00:00:00"/>
    <s v="Other"/>
    <m/>
    <m/>
    <m/>
    <m/>
    <m/>
    <m/>
    <m/>
    <m/>
    <m/>
    <m/>
    <m/>
    <m/>
    <m/>
    <m/>
    <m/>
    <m/>
    <m/>
    <m/>
    <m/>
    <m/>
  </r>
  <r>
    <s v="Geeta Gupta"/>
    <s v="1213001118P112967501"/>
    <x v="0"/>
    <x v="13"/>
    <d v="2019-12-31T00:00:00"/>
    <x v="1"/>
    <n v="9"/>
    <s v="Manish Sharma"/>
    <x v="0"/>
    <s v="Property / BI"/>
    <s v="Cross Sell"/>
    <n v="7475"/>
    <d v="2019-01-01T00:00:00"/>
    <s v="Brokerage"/>
    <x v="0"/>
    <s v="OTHR - Other"/>
    <d v="2020-01-22T00:00:00"/>
    <s v="Other"/>
    <m/>
    <m/>
    <m/>
    <m/>
    <m/>
    <m/>
    <m/>
    <m/>
    <m/>
    <m/>
    <m/>
    <m/>
    <m/>
    <m/>
    <m/>
    <m/>
    <m/>
    <m/>
    <m/>
    <m/>
  </r>
  <r>
    <s v="Sudhir Roy"/>
    <s v="'310304111810000477"/>
    <x v="0"/>
    <x v="101"/>
    <d v="2020-02-10T00:00:00"/>
    <x v="2"/>
    <n v="9"/>
    <s v="Manish Sharma"/>
    <x v="0"/>
    <s v="Property / BI"/>
    <s v="Cross Sell"/>
    <n v="15563.87"/>
    <d v="2019-02-11T00:00:00"/>
    <s v="Brokerage"/>
    <x v="0"/>
    <s v="OTHR - Other"/>
    <d v="2020-01-22T00:00:00"/>
    <s v="Other"/>
    <m/>
    <m/>
    <m/>
    <m/>
    <m/>
    <m/>
    <m/>
    <m/>
    <m/>
    <m/>
    <m/>
    <m/>
    <m/>
    <m/>
    <m/>
    <m/>
    <m/>
    <m/>
    <m/>
    <m/>
  </r>
  <r>
    <s v="Rani Kaul"/>
    <n v="43177302"/>
    <x v="0"/>
    <x v="117"/>
    <d v="2019-05-27T00:00:00"/>
    <x v="2"/>
    <n v="9"/>
    <s v="Manish Sharma"/>
    <x v="0"/>
    <s v="Employee Benefits (EB)"/>
    <s v="Cross Sell"/>
    <n v="2739.83"/>
    <d v="2018-11-28T00:00:00"/>
    <s v="Brokerage"/>
    <x v="0"/>
    <s v="OTHR - Other"/>
    <d v="2020-01-22T00:00:00"/>
    <s v="Other"/>
    <m/>
    <m/>
    <m/>
    <m/>
    <m/>
    <m/>
    <m/>
    <m/>
    <m/>
    <m/>
    <m/>
    <m/>
    <m/>
    <m/>
    <m/>
    <m/>
    <m/>
    <m/>
    <m/>
    <m/>
  </r>
  <r>
    <s v="Kavita Sharma"/>
    <n v="43179225"/>
    <x v="0"/>
    <x v="118"/>
    <d v="2019-06-28T00:00:00"/>
    <x v="2"/>
    <n v="9"/>
    <s v="Manish Sharma"/>
    <x v="0"/>
    <s v="Employee Benefits (EB)"/>
    <s v="Renewal"/>
    <n v="2228.33"/>
    <d v="2018-12-29T00:00:00"/>
    <s v="Brokerage"/>
    <x v="0"/>
    <s v="OTHR - Other"/>
    <d v="2020-01-22T00:00:00"/>
    <s v="Other"/>
    <m/>
    <m/>
    <m/>
    <m/>
    <m/>
    <m/>
    <m/>
    <m/>
    <m/>
    <m/>
    <m/>
    <m/>
    <m/>
    <m/>
    <m/>
    <m/>
    <m/>
    <m/>
    <m/>
    <m/>
  </r>
  <r>
    <s v="Shikha Sethi"/>
    <s v="OG-19-2202-4091-00000967"/>
    <x v="0"/>
    <x v="119"/>
    <d v="2020-02-19T00:00:00"/>
    <x v="2"/>
    <n v="9"/>
    <s v="Manish Sharma"/>
    <x v="0"/>
    <s v="Property / BI"/>
    <s v="Renewal"/>
    <n v="7162.88"/>
    <d v="2019-02-20T00:00:00"/>
    <s v="Brokerage"/>
    <x v="1"/>
    <s v="OTHR - Other"/>
    <d v="2020-01-22T00:00:00"/>
    <s v="Other"/>
    <m/>
    <m/>
    <m/>
    <m/>
    <m/>
    <m/>
    <m/>
    <m/>
    <m/>
    <m/>
    <m/>
    <m/>
    <m/>
    <m/>
    <m/>
    <m/>
    <m/>
    <m/>
    <m/>
    <m/>
  </r>
  <r>
    <s v="Amit Bhargava"/>
    <s v="YB00020403000100"/>
    <x v="0"/>
    <x v="120"/>
    <d v="2020-02-07T00:00:00"/>
    <x v="1"/>
    <n v="13"/>
    <s v="Vididt Saha"/>
    <x v="0"/>
    <s v="Property / BI"/>
    <s v="New"/>
    <n v="1569.64"/>
    <d v="2019-02-08T00:00:00"/>
    <s v="Brokerage"/>
    <x v="0"/>
    <s v="OTHR - Other"/>
    <d v="2020-01-22T00:00:00"/>
    <s v="Other"/>
    <m/>
    <m/>
    <m/>
    <m/>
    <m/>
    <m/>
    <m/>
    <m/>
    <m/>
    <m/>
    <m/>
    <m/>
    <m/>
    <m/>
    <m/>
    <m/>
    <m/>
    <m/>
    <m/>
    <m/>
  </r>
  <r>
    <s v="Alka Goel"/>
    <s v="31030411/17/10000760"/>
    <x v="0"/>
    <x v="121"/>
    <d v="2019-03-09T00:00:00"/>
    <x v="1"/>
    <n v="1"/>
    <s v="Vinay"/>
    <x v="0"/>
    <s v="Property / BI"/>
    <s v="New"/>
    <n v="2340.25"/>
    <d v="2018-03-10T00:00:00"/>
    <s v="Brokerage"/>
    <x v="0"/>
    <s v="OTHR - Other"/>
    <d v="2020-01-22T00:00:00"/>
    <s v="Other"/>
    <m/>
    <m/>
    <m/>
    <m/>
    <m/>
    <m/>
    <m/>
    <m/>
    <m/>
    <m/>
    <m/>
    <m/>
    <m/>
    <m/>
    <m/>
    <m/>
    <m/>
    <m/>
    <m/>
    <m/>
  </r>
  <r>
    <s v="Harish Sharma"/>
    <s v="31030/459/1710000154"/>
    <x v="0"/>
    <x v="121"/>
    <d v="2019-03-09T00:00:00"/>
    <x v="2"/>
    <n v="1"/>
    <s v="Vinay"/>
    <x v="0"/>
    <s v="Property / BI"/>
    <s v="New"/>
    <n v="125"/>
    <d v="2018-03-10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Harish Sharma"/>
    <s v="31030/459/1710000154"/>
    <x v="0"/>
    <x v="121"/>
    <d v="2019-03-09T00:00:00"/>
    <x v="2"/>
    <n v="1"/>
    <s v="Vinay"/>
    <x v="0"/>
    <s v="Property / BI"/>
    <s v="New"/>
    <n v="125"/>
    <d v="2018-03-10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Harish Sharma"/>
    <s v="31030/459/1710000154"/>
    <x v="0"/>
    <x v="121"/>
    <d v="2019-03-09T00:00:00"/>
    <x v="2"/>
    <n v="1"/>
    <s v="Vinay"/>
    <x v="0"/>
    <s v="Property / BI"/>
    <s v="New"/>
    <n v="125"/>
    <d v="2018-03-10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Harish Sharma"/>
    <s v="31030/459/1710000154"/>
    <x v="0"/>
    <x v="121"/>
    <d v="2019-03-09T00:00:00"/>
    <x v="2"/>
    <n v="1"/>
    <s v="Vinay"/>
    <x v="0"/>
    <s v="Property / BI"/>
    <s v="New"/>
    <n v="125"/>
    <d v="2018-03-10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Harish Sharma"/>
    <s v="31030/459/1710000154"/>
    <x v="0"/>
    <x v="121"/>
    <d v="2019-03-09T00:00:00"/>
    <x v="2"/>
    <n v="1"/>
    <s v="Vinay"/>
    <x v="0"/>
    <s v="Property / BI"/>
    <s v="New"/>
    <n v="125"/>
    <d v="2018-03-10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Gaurav Goel"/>
    <s v="2999/202296981100000"/>
    <x v="0"/>
    <x v="122"/>
    <d v="2019-05-31T00:00:00"/>
    <x v="4"/>
    <n v="11"/>
    <s v="Raju Kumar"/>
    <x v="0"/>
    <s v="Liability"/>
    <s v="New"/>
    <n v="100000"/>
    <d v="2018-06-01T00:00:00"/>
    <s v="Brokerage"/>
    <x v="2"/>
    <s v="OTHR - Other"/>
    <d v="2020-01-22T00:00:00"/>
    <s v="Other"/>
    <m/>
    <m/>
    <m/>
    <m/>
    <m/>
    <m/>
    <m/>
    <m/>
    <m/>
    <m/>
    <m/>
    <m/>
    <m/>
    <m/>
    <m/>
    <m/>
    <m/>
    <m/>
    <m/>
    <m/>
  </r>
  <r>
    <s v="Ravi Naik"/>
    <s v="2999/202296981100000"/>
    <x v="0"/>
    <x v="122"/>
    <d v="2019-05-31T00:00:00"/>
    <x v="4"/>
    <n v="11"/>
    <s v="Raju Kumar"/>
    <x v="0"/>
    <s v="Liability"/>
    <s v="New"/>
    <n v="13134.29"/>
    <d v="2018-08-03T00:00:00"/>
    <s v="Brokerage "/>
    <x v="2"/>
    <s v="OTHR - Other"/>
    <d v="2020-01-22T00:00:00"/>
    <s v="Other"/>
    <m/>
    <m/>
    <m/>
    <m/>
    <m/>
    <m/>
    <m/>
    <m/>
    <m/>
    <m/>
    <m/>
    <m/>
    <m/>
    <m/>
    <m/>
    <m/>
    <m/>
    <m/>
    <m/>
    <m/>
  </r>
  <r>
    <s v="Kamlesh Prasad"/>
    <s v="2999202758217600000&quot;"/>
    <x v="0"/>
    <x v="123"/>
    <d v="2020-04-21T00:00:00"/>
    <x v="4"/>
    <n v="11"/>
    <s v="Raju Kumar"/>
    <x v="0"/>
    <s v="Liability"/>
    <s v="Cross Sell"/>
    <n v="60025"/>
    <d v="2019-04-22T00:00:00"/>
    <s v="Brokerage"/>
    <x v="0"/>
    <s v="OTHR - Other"/>
    <d v="2020-01-22T00:00:00"/>
    <s v="Other"/>
    <m/>
    <m/>
    <m/>
    <m/>
    <m/>
    <m/>
    <m/>
    <m/>
    <m/>
    <m/>
    <m/>
    <m/>
    <m/>
    <m/>
    <m/>
    <m/>
    <m/>
    <m/>
    <m/>
    <m/>
  </r>
  <r>
    <s v="Nikhil Verma"/>
    <n v="2.9992E+18"/>
    <x v="0"/>
    <x v="124"/>
    <d v="2020-07-07T00:00:00"/>
    <x v="4"/>
    <n v="11"/>
    <s v="Raju Kumar"/>
    <x v="0"/>
    <s v="Liability"/>
    <s v="Cross Sell"/>
    <n v="60025"/>
    <d v="2019-07-08T00:00:00"/>
    <s v="Brokerage"/>
    <x v="0"/>
    <s v="OTHR - Other"/>
    <d v="2020-01-22T00:00:00"/>
    <s v="Other"/>
    <m/>
    <m/>
    <m/>
    <m/>
    <m/>
    <m/>
    <m/>
    <m/>
    <m/>
    <m/>
    <m/>
    <m/>
    <m/>
    <m/>
    <m/>
    <m/>
    <m/>
    <m/>
    <m/>
    <m/>
  </r>
  <r>
    <s v="Vaishali Desai"/>
    <n v="2.9992E+18"/>
    <x v="0"/>
    <x v="124"/>
    <d v="2020-07-07T00:00:00"/>
    <x v="4"/>
    <n v="11"/>
    <s v="Raju Kumar"/>
    <x v="0"/>
    <s v="Liability"/>
    <s v="Cross Sell"/>
    <n v="60025"/>
    <d v="2019-07-08T00:00:00"/>
    <s v="Brokerage"/>
    <x v="0"/>
    <s v="OTHR - Other"/>
    <d v="2020-01-22T00:00:00"/>
    <s v="Other"/>
    <m/>
    <m/>
    <m/>
    <m/>
    <m/>
    <m/>
    <m/>
    <m/>
    <m/>
    <m/>
    <m/>
    <m/>
    <m/>
    <m/>
    <m/>
    <m/>
    <m/>
    <m/>
    <m/>
    <m/>
  </r>
  <r>
    <s v="Atul Naik"/>
    <s v="141100/48/2019/4225"/>
    <x v="1"/>
    <x v="30"/>
    <d v="2019-06-28T00:00:00"/>
    <x v="3"/>
    <n v="10"/>
    <s v="Mark"/>
    <x v="0"/>
    <s v="Employee Benefits (EB)"/>
    <s v="Renewal"/>
    <n v="5839.35"/>
    <d v="2018-06-29T00:00:00"/>
    <s v="Brokerage"/>
    <x v="3"/>
    <s v="GMAN - Global Mandate"/>
    <d v="2020-01-22T00:00:00"/>
    <s v="GMAN - Global Mandate"/>
    <s v="EI- GMC"/>
    <s v="OPP1900001364"/>
    <s v="Mark"/>
    <n v="1400000"/>
    <n v="100000"/>
    <d v="2019-12-09T00:00:00"/>
    <s v="Qualify Opportunity"/>
    <s v="Ahmedabad"/>
    <s v="Employee Benefits (EB)"/>
    <s v="Mediclaim"/>
    <s v="Group Medical"/>
    <m/>
    <m/>
    <s v="Christopher Campbell"/>
    <d v="2020-01-22T00:00:00"/>
    <s v="Mark"/>
    <s v="Servicer"/>
    <n v="19888"/>
    <n v="128777"/>
    <n v="198882"/>
  </r>
  <r>
    <s v="Atul Naik"/>
    <s v="141100/48/2019/4225"/>
    <x v="1"/>
    <x v="30"/>
    <d v="2019-06-28T00:00:00"/>
    <x v="3"/>
    <n v="10"/>
    <s v="Mark"/>
    <x v="0"/>
    <s v="Employee Benefits (EB)"/>
    <s v="Renewal"/>
    <n v="5839.35"/>
    <d v="2018-06-29T00:00:00"/>
    <s v="Brokerage"/>
    <x v="3"/>
    <s v="GMAN - Global Mandate"/>
    <d v="2020-01-22T00:00:00"/>
    <s v="GMAN - Global Mandate"/>
    <s v="EI- GMC"/>
    <s v="OPP1900001364"/>
    <s v="Mark"/>
    <n v="1400000"/>
    <n v="100000"/>
    <d v="2019-12-09T00:00:00"/>
    <s v="Qualify Opportunity"/>
    <s v="Ahmedabad"/>
    <s v="Employee Benefits (EB)"/>
    <s v="Mediclaim"/>
    <s v="Group Medical"/>
    <m/>
    <m/>
    <s v="Zoe Rivera"/>
    <d v="2020-01-13T00:00:00"/>
    <s v="Mark"/>
    <s v="Servicer"/>
    <n v="19888"/>
    <n v="128777"/>
    <n v="198882"/>
  </r>
  <r>
    <s v="Atul Naik"/>
    <s v="141100/48/2019/4225"/>
    <x v="1"/>
    <x v="30"/>
    <d v="2019-06-28T00:00:00"/>
    <x v="3"/>
    <n v="10"/>
    <s v="Mark"/>
    <x v="0"/>
    <s v="Employee Benefits (EB)"/>
    <s v="Renewal"/>
    <n v="5839.35"/>
    <d v="2018-06-29T00:00:00"/>
    <s v="Brokerage"/>
    <x v="3"/>
    <s v="GMAN - Global Mandate"/>
    <d v="2020-01-22T00:00:00"/>
    <s v="GMAN - Global Mandate"/>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Atul Naik"/>
    <s v="141100/48/2019/4225"/>
    <x v="1"/>
    <x v="30"/>
    <d v="2019-06-28T00:00:00"/>
    <x v="3"/>
    <n v="10"/>
    <s v="Mark"/>
    <x v="0"/>
    <s v="Employee Benefits (EB)"/>
    <s v="Renewal"/>
    <n v="5839.35"/>
    <d v="2018-06-29T00:00:00"/>
    <s v="Brokerage"/>
    <x v="3"/>
    <s v="GMAN - Global Mandate"/>
    <d v="2020-01-22T00:00:00"/>
    <s v="GMAN - Global Mandate"/>
    <s v="FM-Group Mediclaim"/>
    <s v="OPP1900001390"/>
    <s v="Mark"/>
    <n v="4500000"/>
    <n v="300000"/>
    <d v="2019-10-29T00:00:00"/>
    <s v="Qualify Opportunity"/>
    <s v="Ahmedabad"/>
    <s v="Employee Benefits (EB)"/>
    <s v="Mediclaim"/>
    <s v="Group Medical"/>
    <m/>
    <m/>
    <s v="Zoe Rivera"/>
    <d v="2020-01-13T00:00:00"/>
    <s v="Mark"/>
    <s v="Servicer"/>
    <n v="19888"/>
    <n v="128777"/>
    <n v="198882"/>
  </r>
  <r>
    <s v="Atul Naik"/>
    <s v="141100/48/2019/4225"/>
    <x v="1"/>
    <x v="30"/>
    <d v="2019-06-28T00:00:00"/>
    <x v="3"/>
    <n v="10"/>
    <s v="Mark"/>
    <x v="0"/>
    <s v="Employee Benefits (EB)"/>
    <s v="Renewal"/>
    <n v="5839.35"/>
    <d v="2018-06-29T00:00:00"/>
    <s v="Brokerage"/>
    <x v="3"/>
    <s v="GMAN - Global Mandate"/>
    <d v="2020-01-22T00:00:00"/>
    <s v="GMAN - Global Mandate"/>
    <s v="BVGMC"/>
    <s v="OPP1900001393"/>
    <s v="Mark"/>
    <n v="600000"/>
    <n v="100000"/>
    <d v="2019-11-30T00:00:00"/>
    <s v="Qualify Opportunity"/>
    <s v="Ahmedabad"/>
    <s v="Emerging Corporates Group (ECG)"/>
    <s v="Mediclaim"/>
    <s v="Group Medical"/>
    <m/>
    <m/>
    <s v="Christopher Campbell"/>
    <d v="2020-01-22T00:00:00"/>
    <s v="Mark"/>
    <s v="Servicer"/>
    <n v="19888"/>
    <n v="128777"/>
    <n v="198882"/>
  </r>
  <r>
    <s v="Atul Naik"/>
    <s v="141100/48/2019/4225"/>
    <x v="1"/>
    <x v="30"/>
    <d v="2019-06-28T00:00:00"/>
    <x v="3"/>
    <n v="10"/>
    <s v="Mark"/>
    <x v="0"/>
    <s v="Employee Benefits (EB)"/>
    <s v="Renewal"/>
    <n v="5839.35"/>
    <d v="2018-06-29T00:00:00"/>
    <s v="Brokerage"/>
    <x v="3"/>
    <s v="GMAN - Global Mandate"/>
    <d v="2020-01-22T00:00:00"/>
    <s v="GMAN - Global Mandate"/>
    <s v="BVGMC"/>
    <s v="OPP1900001393"/>
    <s v="Mark"/>
    <n v="600000"/>
    <n v="100000"/>
    <d v="2019-11-30T00:00:00"/>
    <s v="Qualify Opportunity"/>
    <s v="Ahmedabad"/>
    <s v="Emerging Corporates Group (ECG)"/>
    <s v="Mediclaim"/>
    <s v="Group Medical"/>
    <m/>
    <m/>
    <s v="Zoe Rivera"/>
    <d v="2020-01-13T00:00:00"/>
    <s v="Mark"/>
    <s v="Servicer"/>
    <n v="19888"/>
    <n v="128777"/>
    <n v="198882"/>
  </r>
  <r>
    <s v="Atul Naik"/>
    <s v="141100/48/2019/4225"/>
    <x v="1"/>
    <x v="30"/>
    <d v="2019-06-28T00:00:00"/>
    <x v="3"/>
    <n v="10"/>
    <s v="Mark"/>
    <x v="0"/>
    <s v="Employee Benefits (EB)"/>
    <s v="Renewal"/>
    <n v="5839.35"/>
    <d v="2018-06-29T00:00:00"/>
    <s v="Brokerage"/>
    <x v="3"/>
    <s v="GMAN - Global Mandate"/>
    <d v="2020-01-22T00:00:00"/>
    <s v="GMAN - Global Mandate"/>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Atul Naik"/>
    <s v="141100/48/2019/4225"/>
    <x v="1"/>
    <x v="30"/>
    <d v="2019-06-28T00:00:00"/>
    <x v="3"/>
    <n v="10"/>
    <s v="Mark"/>
    <x v="0"/>
    <s v="Employee Benefits (EB)"/>
    <s v="Renewal"/>
    <n v="5839.35"/>
    <d v="2018-06-29T00:00:00"/>
    <s v="Brokerage"/>
    <x v="3"/>
    <s v="GMAN - Global Mandate"/>
    <d v="2020-01-22T00:00:00"/>
    <s v="GMAN - Global Mandate"/>
    <s v="BV GPA"/>
    <s v="OPP1900001394"/>
    <s v="Mark"/>
    <n v="210000"/>
    <n v="35000"/>
    <d v="2019-11-30T00:00:00"/>
    <s v="Qualify Opportunity"/>
    <s v="Ahmedabad"/>
    <s v="Emerging Corporates Group (ECG)"/>
    <s v="Mediclaim"/>
    <s v="Group Personal Accident"/>
    <m/>
    <m/>
    <s v="Zoe Rivera"/>
    <d v="2020-01-13T00:00:00"/>
    <s v="Mark"/>
    <s v="Servicer"/>
    <n v="19888"/>
    <n v="128777"/>
    <n v="198882"/>
  </r>
  <r>
    <s v="Atul Naik"/>
    <s v="141100/48/2019/4225"/>
    <x v="1"/>
    <x v="30"/>
    <d v="2019-06-28T00:00:00"/>
    <x v="3"/>
    <n v="10"/>
    <s v="Mark"/>
    <x v="0"/>
    <s v="Employee Benefits (EB)"/>
    <s v="Renewal"/>
    <n v="5839.35"/>
    <d v="2018-06-29T00:00:00"/>
    <s v="Brokerage"/>
    <x v="3"/>
    <s v="GMAN - Global Mandate"/>
    <d v="2020-01-22T00:00:00"/>
    <s v="GMAN - Global Mandate"/>
    <s v="OP-GMC"/>
    <s v="OPP1900001803"/>
    <s v="Mark"/>
    <n v="5000000"/>
    <n v="250000"/>
    <d v="2019-11-30T00:00:00"/>
    <s v="Qualify Opportunity"/>
    <s v="Ahmedabad"/>
    <s v="Employee Benefits (EB)"/>
    <s v="Mediclaim"/>
    <s v="Group Medical"/>
    <m/>
    <m/>
    <s v="Christopher Campbell"/>
    <d v="2020-01-22T00:00:00"/>
    <s v="Mark"/>
    <s v="Servicer"/>
    <n v="19888"/>
    <n v="128777"/>
    <n v="198882"/>
  </r>
  <r>
    <s v="Atul Naik"/>
    <s v="141100/48/2019/4225"/>
    <x v="1"/>
    <x v="30"/>
    <d v="2019-06-28T00:00:00"/>
    <x v="3"/>
    <n v="10"/>
    <s v="Mark"/>
    <x v="0"/>
    <s v="Employee Benefits (EB)"/>
    <s v="Renewal"/>
    <n v="5839.35"/>
    <d v="2018-06-29T00:00:00"/>
    <s v="Brokerage"/>
    <x v="3"/>
    <s v="GMAN - Global Mandate"/>
    <d v="2020-01-22T00:00:00"/>
    <s v="GMAN - Global Mandate"/>
    <s v="OP-GMC"/>
    <s v="OPP1900001803"/>
    <s v="Mark"/>
    <n v="5000000"/>
    <n v="250000"/>
    <d v="2019-11-30T00:00:00"/>
    <s v="Qualify Opportunity"/>
    <s v="Ahmedabad"/>
    <s v="Employee Benefits (EB)"/>
    <s v="Mediclaim"/>
    <s v="Group Medical"/>
    <m/>
    <m/>
    <s v="Zoe Rivera"/>
    <d v="2020-01-13T00:00:00"/>
    <s v="Mark"/>
    <s v="Servicer"/>
    <n v="19888"/>
    <n v="128777"/>
    <n v="198882"/>
  </r>
  <r>
    <s v="Meena Bhargava"/>
    <s v="2002/132282540/02/000"/>
    <x v="0"/>
    <x v="13"/>
    <d v="2019-12-31T00:00:00"/>
    <x v="0"/>
    <n v="3"/>
    <s v="Animesh Rawat"/>
    <x v="0"/>
    <s v="Global Client Network (GNB Inward)"/>
    <s v="Renewal"/>
    <n v="36833.85"/>
    <d v="2019-01-01T00:00:00"/>
    <s v="Brokerage"/>
    <x v="1"/>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Meena Bhargava"/>
    <s v="2002/132282540/02/000"/>
    <x v="0"/>
    <x v="13"/>
    <d v="2019-12-31T00:00:00"/>
    <x v="0"/>
    <n v="3"/>
    <s v="Animesh Rawat"/>
    <x v="0"/>
    <s v="Global Client Network (GNB Inward)"/>
    <s v="Renewal"/>
    <n v="36833.85"/>
    <d v="2019-01-01T00:00:00"/>
    <s v="Brokerage"/>
    <x v="1"/>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Meena Bhargava"/>
    <s v="2002/132282540/02/000"/>
    <x v="0"/>
    <x v="13"/>
    <d v="2019-12-31T00:00:00"/>
    <x v="0"/>
    <n v="3"/>
    <s v="Animesh Rawat"/>
    <x v="0"/>
    <s v="Global Client Network (GNB Inward)"/>
    <s v="Renewal"/>
    <n v="36833.85"/>
    <d v="2019-01-01T00:00:00"/>
    <s v="Brokerage"/>
    <x v="1"/>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Meena Bhargava"/>
    <s v="2002/132282540/02/000"/>
    <x v="0"/>
    <x v="13"/>
    <d v="2019-12-31T00:00:00"/>
    <x v="0"/>
    <n v="3"/>
    <s v="Animesh Rawat"/>
    <x v="0"/>
    <s v="Global Client Network (GNB Inward)"/>
    <s v="Renewal"/>
    <n v="36833.85"/>
    <d v="2019-01-01T00:00:00"/>
    <s v="Brokerage"/>
    <x v="1"/>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Meena Bhargava"/>
    <s v="2002/132282540/02/000"/>
    <x v="0"/>
    <x v="13"/>
    <d v="2019-12-31T00:00:00"/>
    <x v="0"/>
    <n v="3"/>
    <s v="Animesh Rawat"/>
    <x v="0"/>
    <s v="Global Client Network (GNB Inward)"/>
    <s v="Renewal"/>
    <n v="36833.85"/>
    <d v="2019-01-01T00:00:00"/>
    <s v="Brokerage"/>
    <x v="1"/>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Meena Bhargava"/>
    <s v="2002/132282540/02/000"/>
    <x v="0"/>
    <x v="13"/>
    <d v="2019-12-31T00:00:00"/>
    <x v="0"/>
    <n v="3"/>
    <s v="Animesh Rawat"/>
    <x v="0"/>
    <s v="Global Client Network (GNB Inward)"/>
    <s v="Renewal"/>
    <n v="36833.85"/>
    <d v="2019-01-01T00:00:00"/>
    <s v="Brokerage"/>
    <x v="1"/>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Meena Bhargava"/>
    <s v="2002/132282540/02/000"/>
    <x v="0"/>
    <x v="13"/>
    <d v="2019-12-31T00:00:00"/>
    <x v="0"/>
    <n v="3"/>
    <s v="Animesh Rawat"/>
    <x v="0"/>
    <s v="Global Client Network (GNB Inward)"/>
    <s v="Renewal"/>
    <n v="36833.85"/>
    <d v="2019-01-01T00:00:00"/>
    <s v="Brokerage"/>
    <x v="1"/>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Meena Bhargava"/>
    <s v="2002/132282540/02/000"/>
    <x v="0"/>
    <x v="13"/>
    <d v="2019-12-31T00:00:00"/>
    <x v="0"/>
    <n v="3"/>
    <s v="Animesh Rawat"/>
    <x v="0"/>
    <s v="Global Client Network (GNB Inward)"/>
    <s v="Renewal"/>
    <n v="36833.85"/>
    <d v="2019-01-01T00:00:00"/>
    <s v="Brokerage"/>
    <x v="1"/>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Mona Chopra"/>
    <s v="2018-B0100354-FBG"/>
    <x v="0"/>
    <x v="53"/>
    <d v="2019-06-30T00:00:00"/>
    <x v="2"/>
    <n v="3"/>
    <s v="Animesh Rawat"/>
    <x v="0"/>
    <s v="Global Client Network (GNB Inward)"/>
    <s v="Renewal"/>
    <n v="6268.75"/>
    <d v="2019-06-30T00:00:00"/>
    <s v="Brokerage"/>
    <x v="0"/>
    <s v="OTHR - Other"/>
    <d v="2020-01-22T00:00:00"/>
    <s v="Other"/>
    <m/>
    <m/>
    <m/>
    <m/>
    <m/>
    <m/>
    <m/>
    <m/>
    <m/>
    <m/>
    <m/>
    <m/>
    <m/>
    <m/>
    <m/>
    <m/>
    <m/>
    <m/>
    <m/>
    <m/>
  </r>
  <r>
    <s v="Mohit Tiwari"/>
    <s v="2018-F0512344-FRE"/>
    <x v="0"/>
    <x v="53"/>
    <d v="2019-06-30T00:00:00"/>
    <x v="1"/>
    <n v="3"/>
    <s v="Animesh Rawat"/>
    <x v="0"/>
    <s v="Global Client Network (GNB Inward)"/>
    <s v="Renewal"/>
    <n v="45473.07"/>
    <d v="2019-06-30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Mohit Tiwari"/>
    <s v="2018-F0512344-FRE"/>
    <x v="0"/>
    <x v="53"/>
    <d v="2019-06-30T00:00:00"/>
    <x v="1"/>
    <n v="3"/>
    <s v="Animesh Rawat"/>
    <x v="0"/>
    <s v="Global Client Network (GNB Inward)"/>
    <s v="Renewal"/>
    <n v="45473.07"/>
    <d v="2019-06-30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Mohit Tiwari"/>
    <s v="2018-F0512344-FRE"/>
    <x v="0"/>
    <x v="53"/>
    <d v="2019-06-30T00:00:00"/>
    <x v="1"/>
    <n v="3"/>
    <s v="Animesh Rawat"/>
    <x v="0"/>
    <s v="Global Client Network (GNB Inward)"/>
    <s v="Renewal"/>
    <n v="45473.07"/>
    <d v="2019-06-30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Mohit Tiwari"/>
    <s v="2018-F0512344-FRE"/>
    <x v="0"/>
    <x v="53"/>
    <d v="2019-06-30T00:00:00"/>
    <x v="1"/>
    <n v="3"/>
    <s v="Animesh Rawat"/>
    <x v="0"/>
    <s v="Global Client Network (GNB Inward)"/>
    <s v="Renewal"/>
    <n v="45473.07"/>
    <d v="2019-06-30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Mohit Tiwari"/>
    <s v="2018-F0512344-FRE"/>
    <x v="0"/>
    <x v="53"/>
    <d v="2019-06-30T00:00:00"/>
    <x v="1"/>
    <n v="3"/>
    <s v="Animesh Rawat"/>
    <x v="0"/>
    <s v="Global Client Network (GNB Inward)"/>
    <s v="Renewal"/>
    <n v="45473.07"/>
    <d v="2019-06-30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Mohit Tiwari"/>
    <s v="2018-F0512344-FRE"/>
    <x v="0"/>
    <x v="53"/>
    <d v="2019-06-30T00:00:00"/>
    <x v="1"/>
    <n v="3"/>
    <s v="Animesh Rawat"/>
    <x v="0"/>
    <s v="Global Client Network (GNB Inward)"/>
    <s v="Renewal"/>
    <n v="45473.07"/>
    <d v="2019-06-30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Mohit Tiwari"/>
    <s v="2018-F0512344-FRE"/>
    <x v="0"/>
    <x v="53"/>
    <d v="2019-06-30T00:00:00"/>
    <x v="1"/>
    <n v="3"/>
    <s v="Animesh Rawat"/>
    <x v="0"/>
    <s v="Global Client Network (GNB Inward)"/>
    <s v="Renewal"/>
    <n v="45473.07"/>
    <d v="2019-06-30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Mohit Tiwari"/>
    <s v="2018-F0512344-FRE"/>
    <x v="0"/>
    <x v="53"/>
    <d v="2019-06-30T00:00:00"/>
    <x v="1"/>
    <n v="3"/>
    <s v="Animesh Rawat"/>
    <x v="0"/>
    <s v="Global Client Network (GNB Inward)"/>
    <s v="Renewal"/>
    <n v="45473.07"/>
    <d v="2019-06-30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Mohit Tiwari"/>
    <s v="2018-F0512344-FRE"/>
    <x v="0"/>
    <x v="53"/>
    <d v="2019-06-30T00:00:00"/>
    <x v="1"/>
    <n v="3"/>
    <s v="Animesh Rawat"/>
    <x v="0"/>
    <s v="Global Client Network (GNB Inward)"/>
    <s v="Renewal"/>
    <n v="45473.07"/>
    <d v="2019-06-30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Mohit Tiwari"/>
    <s v="2018-F0512344-FRE"/>
    <x v="0"/>
    <x v="53"/>
    <d v="2019-06-30T00:00:00"/>
    <x v="1"/>
    <n v="3"/>
    <s v="Animesh Rawat"/>
    <x v="0"/>
    <s v="Global Client Network (GNB Inward)"/>
    <s v="Renewal"/>
    <n v="45473.07"/>
    <d v="2019-06-30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Mohit Tiwari"/>
    <s v="2018-F0512344-FRE"/>
    <x v="0"/>
    <x v="53"/>
    <d v="2019-06-30T00:00:00"/>
    <x v="1"/>
    <n v="3"/>
    <s v="Animesh Rawat"/>
    <x v="0"/>
    <s v="Global Client Network (GNB Inward)"/>
    <s v="Renewal"/>
    <n v="45473.07"/>
    <d v="2019-06-30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Mohit Tiwari"/>
    <s v="2018-F0512344-FRE"/>
    <x v="0"/>
    <x v="53"/>
    <d v="2019-06-30T00:00:00"/>
    <x v="1"/>
    <n v="3"/>
    <s v="Animesh Rawat"/>
    <x v="0"/>
    <s v="Global Client Network (GNB Inward)"/>
    <s v="Renewal"/>
    <n v="45473.07"/>
    <d v="2019-06-30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Tina Dutta"/>
    <s v="2018-F0512462-FLO"/>
    <x v="0"/>
    <x v="53"/>
    <d v="2019-06-30T00:00:00"/>
    <x v="2"/>
    <n v="3"/>
    <s v="Animesh Rawat"/>
    <x v="0"/>
    <s v="Global Client Network (GNB Inward)"/>
    <s v="Renewal"/>
    <n v="9436.56"/>
    <d v="2019-06-30T00:00:00"/>
    <s v="Brokerage"/>
    <x v="0"/>
    <s v="OTHR - Other"/>
    <d v="2020-01-22T00:00:00"/>
    <s v="Other"/>
    <m/>
    <m/>
    <m/>
    <m/>
    <m/>
    <m/>
    <m/>
    <m/>
    <m/>
    <m/>
    <m/>
    <m/>
    <m/>
    <m/>
    <m/>
    <m/>
    <m/>
    <m/>
    <m/>
    <m/>
  </r>
  <r>
    <s v="Hemant Das"/>
    <s v="2018-L0116963-CGL"/>
    <x v="0"/>
    <x v="53"/>
    <d v="2019-06-30T00:00:00"/>
    <x v="4"/>
    <n v="3"/>
    <s v="Animesh Rawat"/>
    <x v="0"/>
    <s v="Global Client Network (GNB Inward)"/>
    <s v="Renewal"/>
    <n v="30030.63"/>
    <d v="2019-06-30T00:00:00"/>
    <s v="Brokerage"/>
    <x v="0"/>
    <s v="OTHR - Other"/>
    <d v="2020-01-22T00:00:00"/>
    <s v="Other"/>
    <m/>
    <m/>
    <m/>
    <m/>
    <m/>
    <m/>
    <m/>
    <m/>
    <m/>
    <m/>
    <m/>
    <m/>
    <m/>
    <m/>
    <m/>
    <m/>
    <m/>
    <m/>
    <m/>
    <m/>
  </r>
  <r>
    <s v="Sanjana Bhargava"/>
    <s v="2412/2024 4046 0100 000"/>
    <x v="0"/>
    <x v="125"/>
    <d v="2019-09-25T00:00:00"/>
    <x v="0"/>
    <n v="1"/>
    <s v="Vinay"/>
    <x v="0"/>
    <s v="Marine"/>
    <s v="Cross Sell"/>
    <n v="2722.5"/>
    <d v="2018-09-26T00:00:00"/>
    <s v="Brokerage"/>
    <x v="0"/>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Sanjana Bhargava"/>
    <s v="2412/2024 4046 0100 000"/>
    <x v="0"/>
    <x v="125"/>
    <d v="2019-09-25T00:00:00"/>
    <x v="0"/>
    <n v="1"/>
    <s v="Vinay"/>
    <x v="0"/>
    <s v="Marine"/>
    <s v="Cross Sell"/>
    <n v="2722.5"/>
    <d v="2018-09-26T00:00:00"/>
    <s v="Brokerage"/>
    <x v="0"/>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Sanjana Bhargava"/>
    <s v="2412/2024 4046 0100 000"/>
    <x v="0"/>
    <x v="125"/>
    <d v="2019-09-25T00:00:00"/>
    <x v="0"/>
    <n v="1"/>
    <s v="Vinay"/>
    <x v="0"/>
    <s v="Marine"/>
    <s v="Cross Sell"/>
    <n v="2722.5"/>
    <d v="2018-09-26T00:00:00"/>
    <s v="Brokerage"/>
    <x v="0"/>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Sanjana Bhargava"/>
    <s v="2412/2024 4046 0100 000"/>
    <x v="0"/>
    <x v="125"/>
    <d v="2019-09-25T00:00:00"/>
    <x v="0"/>
    <n v="1"/>
    <s v="Vinay"/>
    <x v="0"/>
    <s v="Marine"/>
    <s v="Cross Sell"/>
    <n v="2722.5"/>
    <d v="2018-09-26T00:00:00"/>
    <s v="Brokerage"/>
    <x v="0"/>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Sanjana Bhargava"/>
    <s v="2412/2024 4046 0100 000"/>
    <x v="0"/>
    <x v="125"/>
    <d v="2019-09-25T00:00:00"/>
    <x v="0"/>
    <n v="1"/>
    <s v="Vinay"/>
    <x v="0"/>
    <s v="Marine"/>
    <s v="Cross Sell"/>
    <n v="2722.5"/>
    <d v="2018-09-26T00:00:00"/>
    <s v="Brokerage"/>
    <x v="0"/>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Sanjana Bhargava"/>
    <s v="2412/2024 4046 0100 000"/>
    <x v="0"/>
    <x v="125"/>
    <d v="2019-09-25T00:00:00"/>
    <x v="0"/>
    <n v="1"/>
    <s v="Vinay"/>
    <x v="0"/>
    <s v="Marine"/>
    <s v="Cross Sell"/>
    <n v="2722.5"/>
    <d v="2018-09-26T00:00:00"/>
    <s v="Brokerage"/>
    <x v="0"/>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Sanjana Bhargava"/>
    <s v="2412/2024 4046 0100 000"/>
    <x v="0"/>
    <x v="125"/>
    <d v="2019-09-25T00:00:00"/>
    <x v="0"/>
    <n v="1"/>
    <s v="Vinay"/>
    <x v="0"/>
    <s v="Marine"/>
    <s v="Cross Sell"/>
    <n v="2722.5"/>
    <d v="2018-09-26T00:00:00"/>
    <s v="Brokerage"/>
    <x v="0"/>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Sanjana Bhargava"/>
    <s v="2412/2024 4046 0100 000"/>
    <x v="0"/>
    <x v="125"/>
    <d v="2019-09-25T00:00:00"/>
    <x v="0"/>
    <n v="1"/>
    <s v="Vinay"/>
    <x v="0"/>
    <s v="Marine"/>
    <s v="Cross Sell"/>
    <n v="2722.5"/>
    <d v="2018-09-26T00:00:00"/>
    <s v="Brokerage"/>
    <x v="0"/>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Sanjana Bhargava"/>
    <s v="2412/2024 4046 0100 000"/>
    <x v="0"/>
    <x v="125"/>
    <d v="2019-09-25T00:00:00"/>
    <x v="0"/>
    <n v="1"/>
    <s v="Vinay"/>
    <x v="0"/>
    <s v="Marine"/>
    <s v="Cross Sell"/>
    <n v="2722.5"/>
    <d v="2018-09-26T00:00:00"/>
    <s v="Brokerage"/>
    <x v="0"/>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Sanjana Bhargava"/>
    <s v="2412/2024 4046 0100 000"/>
    <x v="0"/>
    <x v="125"/>
    <d v="2019-09-25T00:00:00"/>
    <x v="0"/>
    <n v="1"/>
    <s v="Vinay"/>
    <x v="0"/>
    <s v="Marine"/>
    <s v="Cross Sell"/>
    <n v="2722.5"/>
    <d v="2018-09-26T00:00:00"/>
    <s v="Brokerage"/>
    <x v="0"/>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Sanjana Bhargava"/>
    <s v="2412/2024 4046 0100 000"/>
    <x v="0"/>
    <x v="125"/>
    <d v="2019-09-25T00:00:00"/>
    <x v="0"/>
    <n v="1"/>
    <s v="Vinay"/>
    <x v="0"/>
    <s v="Marine"/>
    <s v="Cross Sell"/>
    <n v="2722.5"/>
    <d v="2018-09-26T00:00:00"/>
    <s v="Brokerage"/>
    <x v="0"/>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Sanjana Bhargava"/>
    <s v="2412/2024 4046 0100 000"/>
    <x v="0"/>
    <x v="125"/>
    <d v="2019-09-25T00:00:00"/>
    <x v="0"/>
    <n v="1"/>
    <s v="Vinay"/>
    <x v="0"/>
    <s v="Marine"/>
    <s v="Cross Sell"/>
    <n v="2722.5"/>
    <d v="2018-09-26T00:00:00"/>
    <s v="Brokerage"/>
    <x v="0"/>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Sanjana Bhargava"/>
    <s v="2412/2024 4046 0100 000"/>
    <x v="0"/>
    <x v="125"/>
    <d v="2019-09-25T00:00:00"/>
    <x v="0"/>
    <n v="1"/>
    <s v="Vinay"/>
    <x v="0"/>
    <s v="Marine"/>
    <s v="Cross Sell"/>
    <n v="2722.5"/>
    <d v="2018-09-26T00:00:00"/>
    <s v="Brokerage"/>
    <x v="0"/>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Sanjana Bhargava"/>
    <s v="2412/2024 4046 0100 000"/>
    <x v="0"/>
    <x v="125"/>
    <d v="2019-09-25T00:00:00"/>
    <x v="0"/>
    <n v="1"/>
    <s v="Vinay"/>
    <x v="0"/>
    <s v="Marine"/>
    <s v="Cross Sell"/>
    <n v="2722.5"/>
    <d v="2018-09-26T00:00:00"/>
    <s v="Brokerage"/>
    <x v="0"/>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Sanjana Bhargava"/>
    <s v="2412/2024 4046 0100 000"/>
    <x v="0"/>
    <x v="125"/>
    <d v="2019-09-25T00:00:00"/>
    <x v="0"/>
    <n v="1"/>
    <s v="Vinay"/>
    <x v="0"/>
    <s v="Marine"/>
    <s v="Cross Sell"/>
    <n v="2722.5"/>
    <d v="2018-09-26T00:00:00"/>
    <s v="Brokerage"/>
    <x v="0"/>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Sanjana Bhargava"/>
    <s v="2412/2024 4046 0100 000"/>
    <x v="0"/>
    <x v="125"/>
    <d v="2019-09-25T00:00:00"/>
    <x v="0"/>
    <n v="1"/>
    <s v="Vinay"/>
    <x v="0"/>
    <s v="Marine"/>
    <s v="Cross Sell"/>
    <n v="2722.5"/>
    <d v="2018-09-26T00:00:00"/>
    <s v="Brokerage"/>
    <x v="0"/>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Sanjana Bhargava"/>
    <s v="2412/2024 4046 0100 000"/>
    <x v="0"/>
    <x v="125"/>
    <d v="2019-09-25T00:00:00"/>
    <x v="0"/>
    <n v="1"/>
    <s v="Vinay"/>
    <x v="0"/>
    <s v="Marine"/>
    <s v="Cross Sell"/>
    <n v="2722.5"/>
    <d v="2018-09-26T00:00:00"/>
    <s v="Brokerage"/>
    <x v="0"/>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Sanjana Bhargava"/>
    <s v="2412/2024 4046 0100 000"/>
    <x v="0"/>
    <x v="125"/>
    <d v="2019-09-25T00:00:00"/>
    <x v="0"/>
    <n v="1"/>
    <s v="Vinay"/>
    <x v="0"/>
    <s v="Marine"/>
    <s v="Cross Sell"/>
    <n v="2722.5"/>
    <d v="2018-09-26T00:00:00"/>
    <s v="Brokerage"/>
    <x v="0"/>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Sanjana Bhargava"/>
    <s v="2412/2024 4046 0100 000"/>
    <x v="0"/>
    <x v="125"/>
    <d v="2019-09-25T00:00:00"/>
    <x v="0"/>
    <n v="1"/>
    <s v="Vinay"/>
    <x v="0"/>
    <s v="Marine"/>
    <s v="Cross Sell"/>
    <n v="2722.5"/>
    <d v="2018-09-26T00:00:00"/>
    <s v="Brokerage"/>
    <x v="0"/>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Sanjana Bhargava"/>
    <s v="2412/2024 4046 0100 000"/>
    <x v="0"/>
    <x v="125"/>
    <d v="2019-09-25T00:00:00"/>
    <x v="0"/>
    <n v="1"/>
    <s v="Vinay"/>
    <x v="0"/>
    <s v="Marine"/>
    <s v="Cross Sell"/>
    <n v="2722.5"/>
    <d v="2018-09-26T00:00:00"/>
    <s v="Brokerage"/>
    <x v="0"/>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Kamlesh Trivedi"/>
    <n v="9.1E+19"/>
    <x v="1"/>
    <x v="126"/>
    <d v="2018-12-11T00:00:00"/>
    <x v="4"/>
    <n v="6"/>
    <s v="Ketan Jain"/>
    <x v="0"/>
    <s v="Liability"/>
    <s v="New"/>
    <n v="71875"/>
    <d v="2017-12-12T00:00:00"/>
    <s v="Brokerage"/>
    <x v="0"/>
    <s v="OTHR - Other"/>
    <d v="2020-01-22T00:00:00"/>
    <s v="Other"/>
    <m/>
    <m/>
    <m/>
    <m/>
    <m/>
    <m/>
    <m/>
    <m/>
    <m/>
    <m/>
    <m/>
    <m/>
    <m/>
    <m/>
    <m/>
    <m/>
    <m/>
    <m/>
    <m/>
    <m/>
  </r>
  <r>
    <s v="Nikita Tiwari"/>
    <n v="9.1E+19"/>
    <x v="0"/>
    <x v="127"/>
    <d v="2019-12-11T00:00:00"/>
    <x v="4"/>
    <n v="6"/>
    <s v="Ketan Jain"/>
    <x v="0"/>
    <s v="Liability"/>
    <s v="Renewal"/>
    <n v="62500"/>
    <d v="2018-12-12T00:00:00"/>
    <s v="Brokerage"/>
    <x v="1"/>
    <s v="OTHR - Other"/>
    <d v="2020-01-22T00:00:00"/>
    <s v="Other"/>
    <m/>
    <m/>
    <m/>
    <m/>
    <m/>
    <m/>
    <m/>
    <m/>
    <m/>
    <m/>
    <m/>
    <m/>
    <m/>
    <m/>
    <m/>
    <m/>
    <m/>
    <m/>
    <m/>
    <m/>
  </r>
  <r>
    <s v="Kapil Kapoor"/>
    <n v="304001140"/>
    <x v="0"/>
    <x v="25"/>
    <d v="2019-07-31T00:00:00"/>
    <x v="4"/>
    <n v="6"/>
    <s v="Ketan Jain"/>
    <x v="0"/>
    <s v="Liability"/>
    <s v="Renewal"/>
    <n v="84375"/>
    <d v="2018-08-01T00:00:00"/>
    <s v="Brokerage"/>
    <x v="0"/>
    <s v="OTHR - Other"/>
    <d v="2020-01-22T00:00:00"/>
    <s v="Other"/>
    <m/>
    <m/>
    <m/>
    <m/>
    <m/>
    <m/>
    <m/>
    <m/>
    <m/>
    <m/>
    <m/>
    <m/>
    <m/>
    <m/>
    <m/>
    <m/>
    <m/>
    <m/>
    <m/>
    <m/>
  </r>
  <r>
    <s v="Harish Rana"/>
    <n v="635003567"/>
    <x v="1"/>
    <x v="128"/>
    <d v="2018-11-30T00:00:00"/>
    <x v="2"/>
    <n v="3"/>
    <s v="Animesh Rawat"/>
    <x v="0"/>
    <s v="Global Client Network (GNB Inward)"/>
    <s v="New"/>
    <n v="55107.13"/>
    <d v="2017-12-01T00:00:00"/>
    <s v="Brokerage"/>
    <x v="0"/>
    <s v="OTHR - Other"/>
    <d v="2020-01-22T00:00:00"/>
    <s v="Other"/>
    <m/>
    <m/>
    <m/>
    <m/>
    <m/>
    <m/>
    <m/>
    <m/>
    <m/>
    <m/>
    <m/>
    <m/>
    <m/>
    <m/>
    <m/>
    <m/>
    <m/>
    <m/>
    <m/>
    <m/>
  </r>
  <r>
    <s v="Nikhil Pandit"/>
    <s v="0635003567 00"/>
    <x v="0"/>
    <x v="129"/>
    <d v="2019-11-30T00:00:00"/>
    <x v="2"/>
    <n v="12"/>
    <s v="Shivani Sharma"/>
    <x v="0"/>
    <s v="Global Client Network (GNB Inward)"/>
    <s v="Renewal"/>
    <n v="231094.04"/>
    <d v="2018-12-01T00:00:00"/>
    <s v="Brokerage"/>
    <x v="1"/>
    <s v="OTHR - Other"/>
    <d v="2020-01-22T00:00:00"/>
    <s v="Other"/>
    <m/>
    <m/>
    <m/>
    <m/>
    <m/>
    <m/>
    <m/>
    <m/>
    <m/>
    <m/>
    <m/>
    <m/>
    <m/>
    <m/>
    <m/>
    <m/>
    <m/>
    <m/>
    <m/>
    <m/>
  </r>
  <r>
    <s v="Vivek Rana"/>
    <s v="4010/118287210/02/000"/>
    <x v="0"/>
    <x v="130"/>
    <d v="2019-05-24T00:00:00"/>
    <x v="2"/>
    <n v="1"/>
    <s v="Vinay"/>
    <x v="0"/>
    <s v="Liability"/>
    <s v="Cross Sell"/>
    <n v="943.5"/>
    <d v="2018-05-2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Vivek Rana"/>
    <s v="4010/118287210/02/000"/>
    <x v="0"/>
    <x v="130"/>
    <d v="2019-05-24T00:00:00"/>
    <x v="2"/>
    <n v="1"/>
    <s v="Vinay"/>
    <x v="0"/>
    <s v="Liability"/>
    <s v="Cross Sell"/>
    <n v="943.5"/>
    <d v="2018-05-2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Vivek Rana"/>
    <s v="4010/118287210/02/000"/>
    <x v="0"/>
    <x v="130"/>
    <d v="2019-05-24T00:00:00"/>
    <x v="2"/>
    <n v="1"/>
    <s v="Vinay"/>
    <x v="0"/>
    <s v="Liability"/>
    <s v="Cross Sell"/>
    <n v="943.5"/>
    <d v="2018-05-2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Vivek Rana"/>
    <s v="4010/118287210/02/000"/>
    <x v="0"/>
    <x v="130"/>
    <d v="2019-05-24T00:00:00"/>
    <x v="2"/>
    <n v="1"/>
    <s v="Vinay"/>
    <x v="0"/>
    <s v="Liability"/>
    <s v="Cross Sell"/>
    <n v="943.5"/>
    <d v="2018-05-2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Vivek Rana"/>
    <s v="4010/118287210/02/000"/>
    <x v="0"/>
    <x v="130"/>
    <d v="2019-05-24T00:00:00"/>
    <x v="2"/>
    <n v="1"/>
    <s v="Vinay"/>
    <x v="0"/>
    <s v="Liability"/>
    <s v="Cross Sell"/>
    <n v="943.5"/>
    <d v="2018-05-2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Hemant Nair"/>
    <s v="4010/118433486/02/000"/>
    <x v="0"/>
    <x v="130"/>
    <d v="2019-05-24T00:00:00"/>
    <x v="2"/>
    <n v="1"/>
    <s v="Vinay"/>
    <x v="0"/>
    <s v="Liability"/>
    <s v="Cross Sell"/>
    <n v="2809.13"/>
    <d v="2018-05-25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Hemant Nair"/>
    <s v="4010/118433486/02/000"/>
    <x v="0"/>
    <x v="130"/>
    <d v="2019-05-24T00:00:00"/>
    <x v="2"/>
    <n v="1"/>
    <s v="Vinay"/>
    <x v="0"/>
    <s v="Liability"/>
    <s v="Cross Sell"/>
    <n v="2809.13"/>
    <d v="2018-05-25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Hemant Nair"/>
    <s v="4010/118433486/02/000"/>
    <x v="0"/>
    <x v="130"/>
    <d v="2019-05-24T00:00:00"/>
    <x v="2"/>
    <n v="1"/>
    <s v="Vinay"/>
    <x v="0"/>
    <s v="Liability"/>
    <s v="Cross Sell"/>
    <n v="2809.13"/>
    <d v="2018-05-25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Hemant Nair"/>
    <s v="4010/118433486/02/000"/>
    <x v="0"/>
    <x v="130"/>
    <d v="2019-05-24T00:00:00"/>
    <x v="2"/>
    <n v="1"/>
    <s v="Vinay"/>
    <x v="0"/>
    <s v="Liability"/>
    <s v="Cross Sell"/>
    <n v="2809.13"/>
    <d v="2018-05-25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Hemant Nair"/>
    <s v="4010/118433486/02/000"/>
    <x v="0"/>
    <x v="130"/>
    <d v="2019-05-24T00:00:00"/>
    <x v="2"/>
    <n v="1"/>
    <s v="Vinay"/>
    <x v="0"/>
    <s v="Liability"/>
    <s v="Cross Sell"/>
    <n v="2809.13"/>
    <d v="2018-05-25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Veena Bhargava"/>
    <s v="4010/118434222/02/000"/>
    <x v="0"/>
    <x v="130"/>
    <d v="2019-05-24T00:00:00"/>
    <x v="2"/>
    <n v="1"/>
    <s v="Vinay"/>
    <x v="0"/>
    <s v="Liability"/>
    <s v="Renewal"/>
    <n v="2809.25"/>
    <d v="2018-05-25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Veena Bhargava"/>
    <s v="4010/118434222/02/000"/>
    <x v="0"/>
    <x v="130"/>
    <d v="2019-05-24T00:00:00"/>
    <x v="2"/>
    <n v="1"/>
    <s v="Vinay"/>
    <x v="0"/>
    <s v="Liability"/>
    <s v="Renewal"/>
    <n v="2809.25"/>
    <d v="2018-05-25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Veena Bhargava"/>
    <s v="4010/118434222/02/000"/>
    <x v="0"/>
    <x v="130"/>
    <d v="2019-05-24T00:00:00"/>
    <x v="2"/>
    <n v="1"/>
    <s v="Vinay"/>
    <x v="0"/>
    <s v="Liability"/>
    <s v="Renewal"/>
    <n v="2809.25"/>
    <d v="2018-05-25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Veena Bhargava"/>
    <s v="4010/118434222/02/000"/>
    <x v="0"/>
    <x v="130"/>
    <d v="2019-05-24T00:00:00"/>
    <x v="2"/>
    <n v="1"/>
    <s v="Vinay"/>
    <x v="0"/>
    <s v="Liability"/>
    <s v="Renewal"/>
    <n v="2809.25"/>
    <d v="2018-05-25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Veena Bhargava"/>
    <s v="4010/118434222/02/000"/>
    <x v="0"/>
    <x v="130"/>
    <d v="2019-05-24T00:00:00"/>
    <x v="2"/>
    <n v="1"/>
    <s v="Vinay"/>
    <x v="0"/>
    <s v="Liability"/>
    <s v="Renewal"/>
    <n v="2809.25"/>
    <d v="2018-05-25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Shivam Shah"/>
    <n v="15552994"/>
    <x v="0"/>
    <x v="43"/>
    <d v="2020-12-01T00:00:00"/>
    <x v="0"/>
    <n v="2"/>
    <s v="Abhinav Shivam"/>
    <x v="0"/>
    <s v="Marine"/>
    <s v="New"/>
    <n v="20625"/>
    <d v="2019-12-02T00:00:00"/>
    <s v="Brokerage"/>
    <x v="0"/>
    <s v="OTHR - Other"/>
    <d v="2020-01-22T00:00:00"/>
    <s v="Other"/>
    <m/>
    <m/>
    <m/>
    <m/>
    <m/>
    <m/>
    <m/>
    <m/>
    <m/>
    <m/>
    <m/>
    <m/>
    <m/>
    <m/>
    <m/>
    <m/>
    <m/>
    <m/>
    <m/>
    <m/>
  </r>
  <r>
    <s v="Bhavna Bhandari"/>
    <n v="9.9E+19"/>
    <x v="0"/>
    <x v="131"/>
    <d v="2020-07-28T00:00:00"/>
    <x v="1"/>
    <n v="2"/>
    <s v="Abhinav Shivam"/>
    <x v="0"/>
    <s v="Small Medium Enterpries (SME)"/>
    <s v="New"/>
    <n v="32683"/>
    <d v="2019-07-29T00:00:00"/>
    <s v="Brokerage"/>
    <x v="0"/>
    <s v="OTHR - Other"/>
    <d v="2020-01-22T00:00:00"/>
    <s v="Other"/>
    <m/>
    <m/>
    <m/>
    <m/>
    <m/>
    <m/>
    <m/>
    <m/>
    <m/>
    <m/>
    <m/>
    <m/>
    <m/>
    <m/>
    <m/>
    <m/>
    <m/>
    <m/>
    <m/>
    <m/>
  </r>
  <r>
    <s v="Tarun Shah"/>
    <n v="9.9E+19"/>
    <x v="0"/>
    <x v="131"/>
    <d v="2020-07-28T00:00:00"/>
    <x v="1"/>
    <n v="2"/>
    <s v="Abhinav Shivam"/>
    <x v="0"/>
    <s v="Small Medium Enterpries (SME)"/>
    <s v="New"/>
    <n v="84590.55"/>
    <d v="2019-07-29T00:00:00"/>
    <s v="Brokerage"/>
    <x v="0"/>
    <s v="OTHR - Other"/>
    <d v="2020-01-22T00:00:00"/>
    <s v="Other"/>
    <m/>
    <m/>
    <m/>
    <m/>
    <m/>
    <m/>
    <m/>
    <m/>
    <m/>
    <m/>
    <m/>
    <m/>
    <m/>
    <m/>
    <m/>
    <m/>
    <m/>
    <m/>
    <m/>
    <m/>
  </r>
  <r>
    <s v="Hemant Chauhan"/>
    <n v="9.9E+19"/>
    <x v="0"/>
    <x v="131"/>
    <d v="2020-07-28T00:00:00"/>
    <x v="2"/>
    <n v="2"/>
    <s v="Abhinav Shivam"/>
    <x v="0"/>
    <s v="Small Medium Enterpries (SME)"/>
    <s v="New"/>
    <n v="10547.63"/>
    <d v="2019-07-29T00:00:00"/>
    <s v="Brokerage"/>
    <x v="0"/>
    <s v="OTHR - Other"/>
    <d v="2020-01-22T00:00:00"/>
    <s v="Other"/>
    <m/>
    <m/>
    <m/>
    <m/>
    <m/>
    <m/>
    <m/>
    <m/>
    <m/>
    <m/>
    <m/>
    <m/>
    <m/>
    <m/>
    <m/>
    <m/>
    <m/>
    <m/>
    <m/>
    <m/>
  </r>
  <r>
    <s v="Geeta Verma"/>
    <n v="14055133"/>
    <x v="0"/>
    <x v="132"/>
    <d v="2020-07-25T00:00:00"/>
    <x v="4"/>
    <n v="2"/>
    <s v="Abhinav Shivam"/>
    <x v="0"/>
    <s v="Liability"/>
    <s v="Cross Sell"/>
    <n v="63000"/>
    <d v="2019-07-26T00:00:00"/>
    <s v="Brokerage"/>
    <x v="0"/>
    <s v="OTHR - Other"/>
    <d v="2020-01-22T00:00:00"/>
    <s v="Other"/>
    <m/>
    <m/>
    <m/>
    <m/>
    <m/>
    <m/>
    <m/>
    <m/>
    <m/>
    <m/>
    <m/>
    <m/>
    <m/>
    <m/>
    <m/>
    <m/>
    <m/>
    <m/>
    <m/>
    <m/>
  </r>
  <r>
    <s v="Ashok Patel"/>
    <n v="2000010048"/>
    <x v="1"/>
    <x v="133"/>
    <d v="2019-07-27T00:00:00"/>
    <x v="2"/>
    <n v="8"/>
    <s v="Kumar Jha"/>
    <x v="0"/>
    <s v="Trade Credit &amp;amp; Political Risk"/>
    <s v="Renewal"/>
    <n v="121875"/>
    <d v="2018-07-28T00:00:00"/>
    <s v="Brokerage"/>
    <x v="2"/>
    <s v="OTHR - Other"/>
    <d v="2020-01-22T00:00:00"/>
    <s v="Other"/>
    <m/>
    <m/>
    <m/>
    <m/>
    <m/>
    <m/>
    <m/>
    <m/>
    <m/>
    <m/>
    <m/>
    <m/>
    <m/>
    <m/>
    <m/>
    <m/>
    <m/>
    <m/>
    <m/>
    <m/>
  </r>
  <r>
    <s v="Gayatri Reddy"/>
    <n v="2000010048"/>
    <x v="1"/>
    <x v="133"/>
    <d v="2019-07-27T00:00:00"/>
    <x v="2"/>
    <n v="8"/>
    <s v="Kumar Jha"/>
    <x v="0"/>
    <s v="Trade Credit &amp;amp; Political Risk"/>
    <s v="Renewal"/>
    <n v="8174.5"/>
    <d v="2019-07-18T00:00:00"/>
    <s v="Brokerage "/>
    <x v="2"/>
    <s v="OTHR - Other"/>
    <d v="2020-01-22T00:00:00"/>
    <s v="Other"/>
    <m/>
    <m/>
    <m/>
    <m/>
    <m/>
    <m/>
    <m/>
    <m/>
    <m/>
    <m/>
    <m/>
    <m/>
    <m/>
    <m/>
    <m/>
    <m/>
    <m/>
    <m/>
    <m/>
    <m/>
  </r>
  <r>
    <s v="Snehal Patel"/>
    <n v="2000010048"/>
    <x v="0"/>
    <x v="134"/>
    <d v="2020-07-27T00:00:00"/>
    <x v="2"/>
    <n v="4"/>
    <s v="Gilbert"/>
    <x v="0"/>
    <s v="Trade Credit &amp;amp; Political Risk"/>
    <s v="Renewal"/>
    <n v="115781.25"/>
    <d v="2019-07-28T00:00:00"/>
    <s v="Brokerage"/>
    <x v="1"/>
    <s v="OTHR - Other"/>
    <d v="2020-01-22T00:00:00"/>
    <s v="Other"/>
    <m/>
    <m/>
    <m/>
    <m/>
    <m/>
    <m/>
    <m/>
    <m/>
    <m/>
    <m/>
    <m/>
    <m/>
    <m/>
    <m/>
    <m/>
    <m/>
    <m/>
    <m/>
    <m/>
    <m/>
  </r>
  <r>
    <s v="Vivek Yadav"/>
    <n v="304001925"/>
    <x v="1"/>
    <x v="14"/>
    <d v="2019-03-31T00:00:00"/>
    <x v="4"/>
    <n v="3"/>
    <s v="Animesh Rawat"/>
    <x v="0"/>
    <s v="Global Client Network (GNB Inward)"/>
    <s v="Renewal"/>
    <n v="318411.5"/>
    <d v="2019-03-31T00:00:00"/>
    <s v="Brokerage"/>
    <x v="0"/>
    <s v="OTHR - Other"/>
    <d v="2020-01-22T00:00:00"/>
    <s v="Other"/>
    <m/>
    <m/>
    <m/>
    <m/>
    <m/>
    <m/>
    <m/>
    <m/>
    <m/>
    <m/>
    <m/>
    <m/>
    <m/>
    <m/>
    <m/>
    <m/>
    <m/>
    <m/>
    <m/>
    <m/>
  </r>
  <r>
    <s v="Kiran Saxena"/>
    <n v="304003763"/>
    <x v="0"/>
    <x v="16"/>
    <d v="2020-03-31T00:00:00"/>
    <x v="4"/>
    <n v="3"/>
    <s v="Animesh Rawat"/>
    <x v="0"/>
    <s v="Global Client Network (GNB Inward)"/>
    <s v="Renewal"/>
    <n v="344794.13"/>
    <d v="2019-04-01T00:00:00"/>
    <s v="Brokerage"/>
    <x v="1"/>
    <s v="OTHR - Other"/>
    <d v="2020-01-22T00:00:00"/>
    <s v="Other"/>
    <m/>
    <m/>
    <m/>
    <m/>
    <m/>
    <m/>
    <m/>
    <m/>
    <m/>
    <m/>
    <m/>
    <m/>
    <m/>
    <m/>
    <m/>
    <m/>
    <m/>
    <m/>
    <m/>
    <m/>
  </r>
  <r>
    <s v="Uday Reddy"/>
    <s v="0640002526 02"/>
    <x v="0"/>
    <x v="135"/>
    <d v="2019-07-09T00:00:00"/>
    <x v="2"/>
    <n v="3"/>
    <s v="Animesh Rawat"/>
    <x v="0"/>
    <s v="Global Client Network (GNB Inward)"/>
    <s v="Renewal"/>
    <n v="140949.5"/>
    <d v="2018-07-10T00:00:00"/>
    <s v="Brokerage"/>
    <x v="0"/>
    <s v="OTHR - Other"/>
    <d v="2020-01-22T00:00:00"/>
    <s v="Other"/>
    <m/>
    <m/>
    <m/>
    <m/>
    <m/>
    <m/>
    <m/>
    <m/>
    <m/>
    <m/>
    <m/>
    <m/>
    <m/>
    <m/>
    <m/>
    <m/>
    <m/>
    <m/>
    <m/>
    <m/>
  </r>
  <r>
    <s v="Anita Pandit"/>
    <s v="1003/126704810/01/000"/>
    <x v="1"/>
    <x v="49"/>
    <d v="2018-12-31T00:00:00"/>
    <x v="1"/>
    <n v="3"/>
    <s v="Animesh Rawat"/>
    <x v="0"/>
    <s v="Global Client Network (GNB Inward)"/>
    <s v="Renewal"/>
    <n v="460832.14"/>
    <d v="2018-01-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Anita Pandit"/>
    <s v="1003/126704810/01/000"/>
    <x v="1"/>
    <x v="49"/>
    <d v="2018-12-31T00:00:00"/>
    <x v="1"/>
    <n v="3"/>
    <s v="Animesh Rawat"/>
    <x v="0"/>
    <s v="Global Client Network (GNB Inward)"/>
    <s v="Renewal"/>
    <n v="460832.14"/>
    <d v="2018-01-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Anita Pandit"/>
    <s v="1003/126704810/01/000"/>
    <x v="1"/>
    <x v="49"/>
    <d v="2018-12-31T00:00:00"/>
    <x v="1"/>
    <n v="3"/>
    <s v="Animesh Rawat"/>
    <x v="0"/>
    <s v="Global Client Network (GNB Inward)"/>
    <s v="Renewal"/>
    <n v="460832.14"/>
    <d v="2018-01-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Anita Pandit"/>
    <s v="1003/126704810/01/000"/>
    <x v="1"/>
    <x v="49"/>
    <d v="2018-12-31T00:00:00"/>
    <x v="1"/>
    <n v="3"/>
    <s v="Animesh Rawat"/>
    <x v="0"/>
    <s v="Global Client Network (GNB Inward)"/>
    <s v="Renewal"/>
    <n v="460832.14"/>
    <d v="2018-01-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Anita Pandit"/>
    <s v="1003/126704810/01/000"/>
    <x v="1"/>
    <x v="49"/>
    <d v="2018-12-31T00:00:00"/>
    <x v="1"/>
    <n v="3"/>
    <s v="Animesh Rawat"/>
    <x v="0"/>
    <s v="Global Client Network (GNB Inward)"/>
    <s v="Renewal"/>
    <n v="460832.14"/>
    <d v="2018-01-01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Anita Pandit"/>
    <s v="1003/126704810/01/000"/>
    <x v="1"/>
    <x v="49"/>
    <d v="2018-12-31T00:00:00"/>
    <x v="1"/>
    <n v="3"/>
    <s v="Animesh Rawat"/>
    <x v="0"/>
    <s v="Global Client Network (GNB Inward)"/>
    <s v="Renewal"/>
    <n v="460832.14"/>
    <d v="2018-01-01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Anita Pandit"/>
    <s v="1003/126704810/01/000"/>
    <x v="1"/>
    <x v="49"/>
    <d v="2018-12-31T00:00:00"/>
    <x v="1"/>
    <n v="3"/>
    <s v="Animesh Rawat"/>
    <x v="0"/>
    <s v="Global Client Network (GNB Inward)"/>
    <s v="Renewal"/>
    <n v="460832.14"/>
    <d v="2018-01-01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Anita Pandit"/>
    <s v="1003/126704810/01/000"/>
    <x v="1"/>
    <x v="49"/>
    <d v="2018-12-31T00:00:00"/>
    <x v="1"/>
    <n v="3"/>
    <s v="Animesh Rawat"/>
    <x v="0"/>
    <s v="Global Client Network (GNB Inward)"/>
    <s v="Renewal"/>
    <n v="460832.14"/>
    <d v="2018-01-01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Anita Pandit"/>
    <s v="1003/126704810/01/000"/>
    <x v="1"/>
    <x v="49"/>
    <d v="2018-12-31T00:00:00"/>
    <x v="1"/>
    <n v="3"/>
    <s v="Animesh Rawat"/>
    <x v="0"/>
    <s v="Global Client Network (GNB Inward)"/>
    <s v="Renewal"/>
    <n v="460832.14"/>
    <d v="2018-01-01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Anita Pandit"/>
    <s v="1003/126704810/01/000"/>
    <x v="1"/>
    <x v="49"/>
    <d v="2018-12-31T00:00:00"/>
    <x v="1"/>
    <n v="3"/>
    <s v="Animesh Rawat"/>
    <x v="0"/>
    <s v="Global Client Network (GNB Inward)"/>
    <s v="Renewal"/>
    <n v="460832.14"/>
    <d v="2018-01-01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Anita Pandit"/>
    <s v="1003/126704810/01/000"/>
    <x v="1"/>
    <x v="49"/>
    <d v="2018-12-31T00:00:00"/>
    <x v="1"/>
    <n v="3"/>
    <s v="Animesh Rawat"/>
    <x v="0"/>
    <s v="Global Client Network (GNB Inward)"/>
    <s v="Renewal"/>
    <n v="460832.14"/>
    <d v="2018-01-01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Anita Pandit"/>
    <s v="1003/126704810/01/000"/>
    <x v="1"/>
    <x v="49"/>
    <d v="2018-12-31T00:00:00"/>
    <x v="1"/>
    <n v="3"/>
    <s v="Animesh Rawat"/>
    <x v="0"/>
    <s v="Global Client Network (GNB Inward)"/>
    <s v="Renewal"/>
    <n v="460832.14"/>
    <d v="2018-01-01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Hina Malhotra"/>
    <s v="1003/126704810/02/000"/>
    <x v="0"/>
    <x v="13"/>
    <d v="2019-03-31T00:00:00"/>
    <x v="1"/>
    <n v="3"/>
    <s v="Animesh Rawat"/>
    <x v="0"/>
    <s v="Global Client Network (GNB Inward)"/>
    <s v="Renewal"/>
    <n v="257590.8"/>
    <d v="2019-01-01T00:00:00"/>
    <s v="Brokerage"/>
    <x v="2"/>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Hina Malhotra"/>
    <s v="1003/126704810/02/000"/>
    <x v="0"/>
    <x v="13"/>
    <d v="2019-03-31T00:00:00"/>
    <x v="1"/>
    <n v="3"/>
    <s v="Animesh Rawat"/>
    <x v="0"/>
    <s v="Global Client Network (GNB Inward)"/>
    <s v="Renewal"/>
    <n v="257590.8"/>
    <d v="2019-01-01T00:00:00"/>
    <s v="Brokerage"/>
    <x v="2"/>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Hina Malhotra"/>
    <s v="1003/126704810/02/000"/>
    <x v="0"/>
    <x v="13"/>
    <d v="2019-03-31T00:00:00"/>
    <x v="1"/>
    <n v="3"/>
    <s v="Animesh Rawat"/>
    <x v="0"/>
    <s v="Global Client Network (GNB Inward)"/>
    <s v="Renewal"/>
    <n v="257590.8"/>
    <d v="2019-01-01T00:00:00"/>
    <s v="Brokerage"/>
    <x v="2"/>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Hina Malhotra"/>
    <s v="1003/126704810/02/000"/>
    <x v="0"/>
    <x v="13"/>
    <d v="2019-03-31T00:00:00"/>
    <x v="1"/>
    <n v="3"/>
    <s v="Animesh Rawat"/>
    <x v="0"/>
    <s v="Global Client Network (GNB Inward)"/>
    <s v="Renewal"/>
    <n v="257590.8"/>
    <d v="2019-01-01T00:00:00"/>
    <s v="Brokerage"/>
    <x v="2"/>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Hina Malhotra"/>
    <s v="1003/126704810/02/000"/>
    <x v="0"/>
    <x v="13"/>
    <d v="2019-03-31T00:00:00"/>
    <x v="1"/>
    <n v="3"/>
    <s v="Animesh Rawat"/>
    <x v="0"/>
    <s v="Global Client Network (GNB Inward)"/>
    <s v="Renewal"/>
    <n v="257590.8"/>
    <d v="2019-01-01T00:00:00"/>
    <s v="Brokerage"/>
    <x v="2"/>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Hina Malhotra"/>
    <s v="1003/126704810/02/000"/>
    <x v="0"/>
    <x v="13"/>
    <d v="2019-03-31T00:00:00"/>
    <x v="1"/>
    <n v="3"/>
    <s v="Animesh Rawat"/>
    <x v="0"/>
    <s v="Global Client Network (GNB Inward)"/>
    <s v="Renewal"/>
    <n v="257590.8"/>
    <d v="2019-01-01T00:00:00"/>
    <s v="Brokerage"/>
    <x v="2"/>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Hina Malhotra"/>
    <s v="1003/126704810/02/000"/>
    <x v="0"/>
    <x v="13"/>
    <d v="2019-03-31T00:00:00"/>
    <x v="1"/>
    <n v="3"/>
    <s v="Animesh Rawat"/>
    <x v="0"/>
    <s v="Global Client Network (GNB Inward)"/>
    <s v="Renewal"/>
    <n v="257590.8"/>
    <d v="2019-01-01T00:00:00"/>
    <s v="Brokerage"/>
    <x v="2"/>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Hina Malhotra"/>
    <s v="1003/126704810/02/000"/>
    <x v="0"/>
    <x v="13"/>
    <d v="2019-03-31T00:00:00"/>
    <x v="1"/>
    <n v="3"/>
    <s v="Animesh Rawat"/>
    <x v="0"/>
    <s v="Global Client Network (GNB Inward)"/>
    <s v="Renewal"/>
    <n v="257590.8"/>
    <d v="2019-01-01T00:00:00"/>
    <s v="Brokerage"/>
    <x v="2"/>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Hina Malhotra"/>
    <s v="1003/126704810/02/000"/>
    <x v="0"/>
    <x v="13"/>
    <d v="2019-03-31T00:00:00"/>
    <x v="1"/>
    <n v="3"/>
    <s v="Animesh Rawat"/>
    <x v="0"/>
    <s v="Global Client Network (GNB Inward)"/>
    <s v="Renewal"/>
    <n v="257590.8"/>
    <d v="2019-01-01T00:00:00"/>
    <s v="Brokerage"/>
    <x v="2"/>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Hina Malhotra"/>
    <s v="1003/126704810/02/000"/>
    <x v="0"/>
    <x v="13"/>
    <d v="2019-03-31T00:00:00"/>
    <x v="1"/>
    <n v="3"/>
    <s v="Animesh Rawat"/>
    <x v="0"/>
    <s v="Global Client Network (GNB Inward)"/>
    <s v="Renewal"/>
    <n v="257590.8"/>
    <d v="2019-01-01T00:00:00"/>
    <s v="Brokerage"/>
    <x v="2"/>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Hina Malhotra"/>
    <s v="1003/126704810/02/000"/>
    <x v="0"/>
    <x v="13"/>
    <d v="2019-03-31T00:00:00"/>
    <x v="1"/>
    <n v="3"/>
    <s v="Animesh Rawat"/>
    <x v="0"/>
    <s v="Global Client Network (GNB Inward)"/>
    <s v="Renewal"/>
    <n v="257590.8"/>
    <d v="2019-01-01T00:00:00"/>
    <s v="Brokerage"/>
    <x v="2"/>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Hina Malhotra"/>
    <s v="1003/126704810/02/000"/>
    <x v="0"/>
    <x v="13"/>
    <d v="2019-03-31T00:00:00"/>
    <x v="1"/>
    <n v="3"/>
    <s v="Animesh Rawat"/>
    <x v="0"/>
    <s v="Global Client Network (GNB Inward)"/>
    <s v="Renewal"/>
    <n v="257590.8"/>
    <d v="2019-01-01T00:00:00"/>
    <s v="Brokerage"/>
    <x v="2"/>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Alka Patel"/>
    <s v="1003/126704810/02/000"/>
    <x v="0"/>
    <x v="13"/>
    <d v="2019-03-31T00:00:00"/>
    <x v="1"/>
    <n v="3"/>
    <s v="Animesh Rawat"/>
    <x v="0"/>
    <s v="Global Client Network (GNB Inward)"/>
    <s v="Renewal"/>
    <n v="-98802.02"/>
    <d v="2019-01-01T00:00:00"/>
    <s v="Brokerage "/>
    <x v="2"/>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Alka Patel"/>
    <s v="1003/126704810/02/000"/>
    <x v="0"/>
    <x v="13"/>
    <d v="2019-03-31T00:00:00"/>
    <x v="1"/>
    <n v="3"/>
    <s v="Animesh Rawat"/>
    <x v="0"/>
    <s v="Global Client Network (GNB Inward)"/>
    <s v="Renewal"/>
    <n v="-98802.02"/>
    <d v="2019-01-01T00:00:00"/>
    <s v="Brokerage "/>
    <x v="2"/>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Alka Patel"/>
    <s v="1003/126704810/02/000"/>
    <x v="0"/>
    <x v="13"/>
    <d v="2019-03-31T00:00:00"/>
    <x v="1"/>
    <n v="3"/>
    <s v="Animesh Rawat"/>
    <x v="0"/>
    <s v="Global Client Network (GNB Inward)"/>
    <s v="Renewal"/>
    <n v="-98802.02"/>
    <d v="2019-01-01T00:00:00"/>
    <s v="Brokerage "/>
    <x v="2"/>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Alka Patel"/>
    <s v="1003/126704810/02/000"/>
    <x v="0"/>
    <x v="13"/>
    <d v="2019-03-31T00:00:00"/>
    <x v="1"/>
    <n v="3"/>
    <s v="Animesh Rawat"/>
    <x v="0"/>
    <s v="Global Client Network (GNB Inward)"/>
    <s v="Renewal"/>
    <n v="-98802.02"/>
    <d v="2019-01-01T00:00:00"/>
    <s v="Brokerage "/>
    <x v="2"/>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Alka Patel"/>
    <s v="1003/126704810/02/000"/>
    <x v="0"/>
    <x v="13"/>
    <d v="2019-03-31T00:00:00"/>
    <x v="1"/>
    <n v="3"/>
    <s v="Animesh Rawat"/>
    <x v="0"/>
    <s v="Global Client Network (GNB Inward)"/>
    <s v="Renewal"/>
    <n v="-98802.02"/>
    <d v="2019-01-01T00:00:00"/>
    <s v="Brokerage "/>
    <x v="2"/>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Alka Patel"/>
    <s v="1003/126704810/02/000"/>
    <x v="0"/>
    <x v="13"/>
    <d v="2019-03-31T00:00:00"/>
    <x v="1"/>
    <n v="3"/>
    <s v="Animesh Rawat"/>
    <x v="0"/>
    <s v="Global Client Network (GNB Inward)"/>
    <s v="Renewal"/>
    <n v="-98802.02"/>
    <d v="2019-01-01T00:00:00"/>
    <s v="Brokerage "/>
    <x v="2"/>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Alka Patel"/>
    <s v="1003/126704810/02/000"/>
    <x v="0"/>
    <x v="13"/>
    <d v="2019-03-31T00:00:00"/>
    <x v="1"/>
    <n v="3"/>
    <s v="Animesh Rawat"/>
    <x v="0"/>
    <s v="Global Client Network (GNB Inward)"/>
    <s v="Renewal"/>
    <n v="-98802.02"/>
    <d v="2019-01-01T00:00:00"/>
    <s v="Brokerage "/>
    <x v="2"/>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Alka Patel"/>
    <s v="1003/126704810/02/000"/>
    <x v="0"/>
    <x v="13"/>
    <d v="2019-03-31T00:00:00"/>
    <x v="1"/>
    <n v="3"/>
    <s v="Animesh Rawat"/>
    <x v="0"/>
    <s v="Global Client Network (GNB Inward)"/>
    <s v="Renewal"/>
    <n v="-98802.02"/>
    <d v="2019-01-01T00:00:00"/>
    <s v="Brokerage "/>
    <x v="2"/>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Alka Patel"/>
    <s v="1003/126704810/02/000"/>
    <x v="0"/>
    <x v="13"/>
    <d v="2019-03-31T00:00:00"/>
    <x v="1"/>
    <n v="3"/>
    <s v="Animesh Rawat"/>
    <x v="0"/>
    <s v="Global Client Network (GNB Inward)"/>
    <s v="Renewal"/>
    <n v="-98802.02"/>
    <d v="2019-01-01T00:00:00"/>
    <s v="Brokerage "/>
    <x v="2"/>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Alka Patel"/>
    <s v="1003/126704810/02/000"/>
    <x v="0"/>
    <x v="13"/>
    <d v="2019-03-31T00:00:00"/>
    <x v="1"/>
    <n v="3"/>
    <s v="Animesh Rawat"/>
    <x v="0"/>
    <s v="Global Client Network (GNB Inward)"/>
    <s v="Renewal"/>
    <n v="-98802.02"/>
    <d v="2019-01-01T00:00:00"/>
    <s v="Brokerage "/>
    <x v="2"/>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Alka Patel"/>
    <s v="1003/126704810/02/000"/>
    <x v="0"/>
    <x v="13"/>
    <d v="2019-03-31T00:00:00"/>
    <x v="1"/>
    <n v="3"/>
    <s v="Animesh Rawat"/>
    <x v="0"/>
    <s v="Global Client Network (GNB Inward)"/>
    <s v="Renewal"/>
    <n v="-98802.02"/>
    <d v="2019-01-01T00:00:00"/>
    <s v="Brokerage "/>
    <x v="2"/>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Alka Patel"/>
    <s v="1003/126704810/02/000"/>
    <x v="0"/>
    <x v="13"/>
    <d v="2019-03-31T00:00:00"/>
    <x v="1"/>
    <n v="3"/>
    <s v="Animesh Rawat"/>
    <x v="0"/>
    <s v="Global Client Network (GNB Inward)"/>
    <s v="Renewal"/>
    <n v="-98802.02"/>
    <d v="2019-01-01T00:00:00"/>
    <s v="Brokerage "/>
    <x v="2"/>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Shruti Roy"/>
    <n v="11988092"/>
    <x v="0"/>
    <x v="136"/>
    <d v="2018-02-12T00:00:00"/>
    <x v="2"/>
    <n v="3"/>
    <s v="Animesh Rawat"/>
    <x v="0"/>
    <s v="Global Client Network (GNB Inward)"/>
    <s v="Cross Sell"/>
    <n v="338.55"/>
    <d v="2018-02-07T00:00:00"/>
    <s v="Brokerage"/>
    <x v="0"/>
    <s v="OTHR - Other"/>
    <d v="2020-01-22T00:00:00"/>
    <s v="Other"/>
    <m/>
    <m/>
    <m/>
    <m/>
    <m/>
    <m/>
    <m/>
    <m/>
    <m/>
    <m/>
    <m/>
    <m/>
    <m/>
    <m/>
    <m/>
    <m/>
    <m/>
    <m/>
    <m/>
    <m/>
  </r>
  <r>
    <s v="Archana Singh"/>
    <n v="2304001082"/>
    <x v="1"/>
    <x v="14"/>
    <d v="2019-03-31T00:00:00"/>
    <x v="4"/>
    <n v="3"/>
    <s v="Animesh Rawat"/>
    <x v="0"/>
    <s v="Global Client Network (GNB Inward)"/>
    <s v="Renewal"/>
    <n v="40625"/>
    <d v="2019-03-31T00:00:00"/>
    <s v="Brokerage"/>
    <x v="0"/>
    <s v="OTHR - Other"/>
    <d v="2020-01-22T00:00:00"/>
    <s v="Other"/>
    <m/>
    <m/>
    <m/>
    <m/>
    <m/>
    <m/>
    <m/>
    <m/>
    <m/>
    <m/>
    <m/>
    <m/>
    <m/>
    <m/>
    <m/>
    <m/>
    <m/>
    <m/>
    <m/>
    <m/>
  </r>
  <r>
    <s v="Mukul Goyal"/>
    <s v="2304001082-01"/>
    <x v="0"/>
    <x v="16"/>
    <d v="2020-03-31T00:00:00"/>
    <x v="4"/>
    <n v="3"/>
    <s v="Animesh Rawat"/>
    <x v="0"/>
    <s v="Global Client Network (GNB Inward)"/>
    <s v="Renewal"/>
    <n v="37500"/>
    <d v="2019-04-01T00:00:00"/>
    <s v="Brokerage"/>
    <x v="1"/>
    <s v="OTHR - Other"/>
    <d v="2020-01-22T00:00:00"/>
    <s v="Other"/>
    <m/>
    <m/>
    <m/>
    <m/>
    <m/>
    <m/>
    <m/>
    <m/>
    <m/>
    <m/>
    <m/>
    <m/>
    <m/>
    <m/>
    <m/>
    <m/>
    <m/>
    <m/>
    <m/>
    <m/>
  </r>
  <r>
    <s v="Namita Bajaj"/>
    <n v="2.4142E+18"/>
    <x v="1"/>
    <x v="49"/>
    <d v="2018-12-31T00:00:00"/>
    <x v="0"/>
    <n v="3"/>
    <s v="Animesh Rawat"/>
    <x v="0"/>
    <s v="Global Client Network (GNB Inward)"/>
    <s v="Renewal"/>
    <n v="55361.599999999999"/>
    <d v="2018-01-01T00:00:00"/>
    <s v="Brokerage"/>
    <x v="0"/>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Namita Bajaj"/>
    <n v="2.4142E+18"/>
    <x v="1"/>
    <x v="49"/>
    <d v="2018-12-31T00:00:00"/>
    <x v="0"/>
    <n v="3"/>
    <s v="Animesh Rawat"/>
    <x v="0"/>
    <s v="Global Client Network (GNB Inward)"/>
    <s v="Renewal"/>
    <n v="55361.599999999999"/>
    <d v="2018-01-01T00:00:00"/>
    <s v="Brokerage"/>
    <x v="0"/>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Namita Bajaj"/>
    <n v="2.4142E+18"/>
    <x v="1"/>
    <x v="49"/>
    <d v="2018-12-31T00:00:00"/>
    <x v="0"/>
    <n v="3"/>
    <s v="Animesh Rawat"/>
    <x v="0"/>
    <s v="Global Client Network (GNB Inward)"/>
    <s v="Renewal"/>
    <n v="55361.599999999999"/>
    <d v="2018-01-01T00:00:00"/>
    <s v="Brokerage"/>
    <x v="0"/>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Namita Bajaj"/>
    <n v="2.4142E+18"/>
    <x v="1"/>
    <x v="49"/>
    <d v="2018-12-31T00:00:00"/>
    <x v="0"/>
    <n v="3"/>
    <s v="Animesh Rawat"/>
    <x v="0"/>
    <s v="Global Client Network (GNB Inward)"/>
    <s v="Renewal"/>
    <n v="55361.599999999999"/>
    <d v="2018-01-01T00:00:00"/>
    <s v="Brokerage"/>
    <x v="0"/>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Namita Bajaj"/>
    <n v="2.4142E+18"/>
    <x v="1"/>
    <x v="49"/>
    <d v="2018-12-31T00:00:00"/>
    <x v="0"/>
    <n v="3"/>
    <s v="Animesh Rawat"/>
    <x v="0"/>
    <s v="Global Client Network (GNB Inward)"/>
    <s v="Renewal"/>
    <n v="55361.599999999999"/>
    <d v="2018-01-01T00:00:00"/>
    <s v="Brokerage"/>
    <x v="0"/>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Namita Bajaj"/>
    <n v="2.4142E+18"/>
    <x v="1"/>
    <x v="49"/>
    <d v="2018-12-31T00:00:00"/>
    <x v="0"/>
    <n v="3"/>
    <s v="Animesh Rawat"/>
    <x v="0"/>
    <s v="Global Client Network (GNB Inward)"/>
    <s v="Renewal"/>
    <n v="55361.599999999999"/>
    <d v="2018-01-01T00:00:00"/>
    <s v="Brokerage"/>
    <x v="0"/>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Namita Bajaj"/>
    <n v="2.4142E+18"/>
    <x v="1"/>
    <x v="49"/>
    <d v="2018-12-31T00:00:00"/>
    <x v="0"/>
    <n v="3"/>
    <s v="Animesh Rawat"/>
    <x v="0"/>
    <s v="Global Client Network (GNB Inward)"/>
    <s v="Renewal"/>
    <n v="55361.599999999999"/>
    <d v="2018-01-01T00:00:00"/>
    <s v="Brokerage"/>
    <x v="0"/>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Namita Bajaj"/>
    <n v="2.4142E+18"/>
    <x v="1"/>
    <x v="49"/>
    <d v="2018-12-31T00:00:00"/>
    <x v="0"/>
    <n v="3"/>
    <s v="Animesh Rawat"/>
    <x v="0"/>
    <s v="Global Client Network (GNB Inward)"/>
    <s v="Renewal"/>
    <n v="55361.599999999999"/>
    <d v="2018-01-01T00:00:00"/>
    <s v="Brokerage"/>
    <x v="0"/>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Nikita Joshi"/>
    <n v="2.4142E+18"/>
    <x v="1"/>
    <x v="13"/>
    <d v="2019-12-31T00:00:00"/>
    <x v="0"/>
    <n v="3"/>
    <s v="Animesh Rawat"/>
    <x v="0"/>
    <s v="Global Client Network (GNB Inward)"/>
    <s v="Renewal"/>
    <n v="86723.5"/>
    <d v="2019-01-01T00:00:00"/>
    <s v="Brokerage"/>
    <x v="1"/>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Nikita Joshi"/>
    <n v="2.4142E+18"/>
    <x v="1"/>
    <x v="13"/>
    <d v="2019-12-31T00:00:00"/>
    <x v="0"/>
    <n v="3"/>
    <s v="Animesh Rawat"/>
    <x v="0"/>
    <s v="Global Client Network (GNB Inward)"/>
    <s v="Renewal"/>
    <n v="86723.5"/>
    <d v="2019-01-01T00:00:00"/>
    <s v="Brokerage"/>
    <x v="1"/>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Nikita Joshi"/>
    <n v="2.4142E+18"/>
    <x v="1"/>
    <x v="13"/>
    <d v="2019-12-31T00:00:00"/>
    <x v="0"/>
    <n v="3"/>
    <s v="Animesh Rawat"/>
    <x v="0"/>
    <s v="Global Client Network (GNB Inward)"/>
    <s v="Renewal"/>
    <n v="86723.5"/>
    <d v="2019-01-01T00:00:00"/>
    <s v="Brokerage"/>
    <x v="1"/>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Nikita Joshi"/>
    <n v="2.4142E+18"/>
    <x v="1"/>
    <x v="13"/>
    <d v="2019-12-31T00:00:00"/>
    <x v="0"/>
    <n v="3"/>
    <s v="Animesh Rawat"/>
    <x v="0"/>
    <s v="Global Client Network (GNB Inward)"/>
    <s v="Renewal"/>
    <n v="86723.5"/>
    <d v="2019-01-01T00:00:00"/>
    <s v="Brokerage"/>
    <x v="1"/>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Nikita Joshi"/>
    <n v="2.4142E+18"/>
    <x v="1"/>
    <x v="13"/>
    <d v="2019-12-31T00:00:00"/>
    <x v="0"/>
    <n v="3"/>
    <s v="Animesh Rawat"/>
    <x v="0"/>
    <s v="Global Client Network (GNB Inward)"/>
    <s v="Renewal"/>
    <n v="86723.5"/>
    <d v="2019-01-01T00:00:00"/>
    <s v="Brokerage"/>
    <x v="1"/>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Nikita Joshi"/>
    <n v="2.4142E+18"/>
    <x v="1"/>
    <x v="13"/>
    <d v="2019-12-31T00:00:00"/>
    <x v="0"/>
    <n v="3"/>
    <s v="Animesh Rawat"/>
    <x v="0"/>
    <s v="Global Client Network (GNB Inward)"/>
    <s v="Renewal"/>
    <n v="86723.5"/>
    <d v="2019-01-01T00:00:00"/>
    <s v="Brokerage"/>
    <x v="1"/>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Nikita Joshi"/>
    <n v="2.4142E+18"/>
    <x v="1"/>
    <x v="13"/>
    <d v="2019-12-31T00:00:00"/>
    <x v="0"/>
    <n v="3"/>
    <s v="Animesh Rawat"/>
    <x v="0"/>
    <s v="Global Client Network (GNB Inward)"/>
    <s v="Renewal"/>
    <n v="86723.5"/>
    <d v="2019-01-01T00:00:00"/>
    <s v="Brokerage"/>
    <x v="1"/>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Nikita Joshi"/>
    <n v="2.4142E+18"/>
    <x v="1"/>
    <x v="13"/>
    <d v="2019-12-31T00:00:00"/>
    <x v="0"/>
    <n v="3"/>
    <s v="Animesh Rawat"/>
    <x v="0"/>
    <s v="Global Client Network (GNB Inward)"/>
    <s v="Renewal"/>
    <n v="86723.5"/>
    <d v="2019-01-01T00:00:00"/>
    <s v="Brokerage"/>
    <x v="1"/>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Tejas Shah"/>
    <n v="2.4142E+18"/>
    <x v="0"/>
    <x v="137"/>
    <d v="2020-03-31T00:00:00"/>
    <x v="0"/>
    <n v="3"/>
    <s v="Animesh Rawat"/>
    <x v="0"/>
    <s v="Global Client Network (GNB Inward)"/>
    <s v="Renewal"/>
    <n v="21680.799999999999"/>
    <d v="2020-01-01T00:00:00"/>
    <s v="Brokerage"/>
    <x v="1"/>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Tejas Shah"/>
    <n v="2.4142E+18"/>
    <x v="0"/>
    <x v="137"/>
    <d v="2020-03-31T00:00:00"/>
    <x v="0"/>
    <n v="3"/>
    <s v="Animesh Rawat"/>
    <x v="0"/>
    <s v="Global Client Network (GNB Inward)"/>
    <s v="Renewal"/>
    <n v="21680.799999999999"/>
    <d v="2020-01-01T00:00:00"/>
    <s v="Brokerage"/>
    <x v="1"/>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Tejas Shah"/>
    <n v="2.4142E+18"/>
    <x v="0"/>
    <x v="137"/>
    <d v="2020-03-31T00:00:00"/>
    <x v="0"/>
    <n v="3"/>
    <s v="Animesh Rawat"/>
    <x v="0"/>
    <s v="Global Client Network (GNB Inward)"/>
    <s v="Renewal"/>
    <n v="21680.799999999999"/>
    <d v="2020-01-01T00:00:00"/>
    <s v="Brokerage"/>
    <x v="1"/>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Tejas Shah"/>
    <n v="2.4142E+18"/>
    <x v="0"/>
    <x v="137"/>
    <d v="2020-03-31T00:00:00"/>
    <x v="0"/>
    <n v="3"/>
    <s v="Animesh Rawat"/>
    <x v="0"/>
    <s v="Global Client Network (GNB Inward)"/>
    <s v="Renewal"/>
    <n v="21680.799999999999"/>
    <d v="2020-01-01T00:00:00"/>
    <s v="Brokerage"/>
    <x v="1"/>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Tejas Shah"/>
    <n v="2.4142E+18"/>
    <x v="0"/>
    <x v="137"/>
    <d v="2020-03-31T00:00:00"/>
    <x v="0"/>
    <n v="3"/>
    <s v="Animesh Rawat"/>
    <x v="0"/>
    <s v="Global Client Network (GNB Inward)"/>
    <s v="Renewal"/>
    <n v="21680.799999999999"/>
    <d v="2020-01-01T00:00:00"/>
    <s v="Brokerage"/>
    <x v="1"/>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Tejas Shah"/>
    <n v="2.4142E+18"/>
    <x v="0"/>
    <x v="137"/>
    <d v="2020-03-31T00:00:00"/>
    <x v="0"/>
    <n v="3"/>
    <s v="Animesh Rawat"/>
    <x v="0"/>
    <s v="Global Client Network (GNB Inward)"/>
    <s v="Renewal"/>
    <n v="21680.799999999999"/>
    <d v="2020-01-01T00:00:00"/>
    <s v="Brokerage"/>
    <x v="1"/>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Tejas Shah"/>
    <n v="2.4142E+18"/>
    <x v="0"/>
    <x v="137"/>
    <d v="2020-03-31T00:00:00"/>
    <x v="0"/>
    <n v="3"/>
    <s v="Animesh Rawat"/>
    <x v="0"/>
    <s v="Global Client Network (GNB Inward)"/>
    <s v="Renewal"/>
    <n v="21680.799999999999"/>
    <d v="2020-01-01T00:00:00"/>
    <s v="Brokerage"/>
    <x v="1"/>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Tejas Shah"/>
    <n v="2.4142E+18"/>
    <x v="0"/>
    <x v="137"/>
    <d v="2020-03-31T00:00:00"/>
    <x v="0"/>
    <n v="3"/>
    <s v="Animesh Rawat"/>
    <x v="0"/>
    <s v="Global Client Network (GNB Inward)"/>
    <s v="Renewal"/>
    <n v="21680.799999999999"/>
    <d v="2020-01-01T00:00:00"/>
    <s v="Brokerage"/>
    <x v="1"/>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Kavita Rao"/>
    <s v="2600010787 00"/>
    <x v="0"/>
    <x v="138"/>
    <d v="2018-10-19T00:00:00"/>
    <x v="5"/>
    <n v="3"/>
    <s v="Animesh Rawat"/>
    <x v="0"/>
    <s v="Global Client Network (GNB Inward)"/>
    <s v="Cross Sell"/>
    <n v="17419.13"/>
    <d v="2018-07-20T00:00:00"/>
    <s v="Brokerage"/>
    <x v="0"/>
    <s v="OTHR - Other"/>
    <d v="2020-01-22T00:00:00"/>
    <s v="Other"/>
    <m/>
    <m/>
    <m/>
    <m/>
    <m/>
    <m/>
    <m/>
    <m/>
    <m/>
    <m/>
    <m/>
    <m/>
    <m/>
    <m/>
    <m/>
    <m/>
    <m/>
    <m/>
    <m/>
    <m/>
  </r>
  <r>
    <s v="Hemant Shah"/>
    <s v="2600011209 00"/>
    <x v="0"/>
    <x v="45"/>
    <d v="2018-12-04T00:00:00"/>
    <x v="5"/>
    <n v="3"/>
    <s v="Animesh Rawat"/>
    <x v="0"/>
    <s v="Global Client Network (GNB Inward)"/>
    <s v="Cross Sell"/>
    <n v="5165.63"/>
    <d v="2018-09-05T00:00:00"/>
    <s v="Brokerage"/>
    <x v="0"/>
    <s v="OTHR - Other"/>
    <d v="2020-01-22T00:00:00"/>
    <s v="Other"/>
    <m/>
    <m/>
    <m/>
    <m/>
    <m/>
    <m/>
    <m/>
    <m/>
    <m/>
    <m/>
    <m/>
    <m/>
    <m/>
    <m/>
    <m/>
    <m/>
    <m/>
    <m/>
    <m/>
    <m/>
  </r>
  <r>
    <s v="Prabhat Naik"/>
    <s v="2600015265 00"/>
    <x v="0"/>
    <x v="44"/>
    <d v="2020-03-31T00:00:00"/>
    <x v="5"/>
    <n v="3"/>
    <s v="Animesh Rawat"/>
    <x v="0"/>
    <s v="Global Client Network (GNB Inward)"/>
    <s v="Cross Sell"/>
    <n v="9990.15"/>
    <d v="2019-05-23T00:00:00"/>
    <s v="Brokerage"/>
    <x v="0"/>
    <s v="OTHR - Other"/>
    <d v="2020-01-22T00:00:00"/>
    <s v="Other"/>
    <m/>
    <m/>
    <m/>
    <m/>
    <m/>
    <m/>
    <m/>
    <m/>
    <m/>
    <m/>
    <m/>
    <m/>
    <m/>
    <m/>
    <m/>
    <m/>
    <m/>
    <m/>
    <m/>
    <m/>
  </r>
  <r>
    <s v="Nikhil Tiwari"/>
    <n v="2640011190"/>
    <x v="0"/>
    <x v="139"/>
    <d v="2018-09-10T00:00:00"/>
    <x v="5"/>
    <n v="3"/>
    <s v="Animesh Rawat"/>
    <x v="0"/>
    <s v="Global Client Network (GNB Inward)"/>
    <s v="Cross Sell"/>
    <n v="10625"/>
    <d v="2018-06-11T00:00:00"/>
    <s v="Brokerage"/>
    <x v="0"/>
    <s v="OTHR - Other"/>
    <d v="2020-01-22T00:00:00"/>
    <s v="Other"/>
    <m/>
    <m/>
    <m/>
    <m/>
    <m/>
    <m/>
    <m/>
    <m/>
    <m/>
    <m/>
    <m/>
    <m/>
    <m/>
    <m/>
    <m/>
    <m/>
    <m/>
    <m/>
    <m/>
    <m/>
  </r>
  <r>
    <s v="Neha Trivedi"/>
    <n v="3.1142E+18"/>
    <x v="1"/>
    <x v="140"/>
    <d v="2018-06-30T00:00:00"/>
    <x v="2"/>
    <n v="3"/>
    <s v="Animesh Rawat"/>
    <x v="0"/>
    <s v="Global Client Network (GNB Inward)"/>
    <s v="Renewal"/>
    <n v="14399.88"/>
    <d v="2017-07-01T00:00:00"/>
    <s v="Brokerage"/>
    <x v="0"/>
    <s v="OTHR - Other"/>
    <d v="2020-01-22T00:00:00"/>
    <s v="Other"/>
    <m/>
    <m/>
    <m/>
    <m/>
    <m/>
    <m/>
    <m/>
    <m/>
    <m/>
    <m/>
    <m/>
    <m/>
    <m/>
    <m/>
    <m/>
    <m/>
    <m/>
    <m/>
    <m/>
    <m/>
  </r>
  <r>
    <s v="Shruti Agarwal"/>
    <n v="3.1142E+18"/>
    <x v="0"/>
    <x v="65"/>
    <d v="2020-06-30T00:00:00"/>
    <x v="2"/>
    <n v="3"/>
    <s v="Animesh Rawat"/>
    <x v="0"/>
    <s v="Global Client Network (GNB Inward)"/>
    <s v="Renewal"/>
    <n v="20165.5"/>
    <d v="2019-07-01T00:00:00"/>
    <s v="Brokerage"/>
    <x v="1"/>
    <s v="OTHR - Other"/>
    <d v="2020-01-22T00:00:00"/>
    <s v="Other"/>
    <m/>
    <m/>
    <m/>
    <m/>
    <m/>
    <m/>
    <m/>
    <m/>
    <m/>
    <m/>
    <m/>
    <m/>
    <m/>
    <m/>
    <m/>
    <m/>
    <m/>
    <m/>
    <m/>
    <m/>
  </r>
  <r>
    <s v="Kiran Desai"/>
    <n v="32119154"/>
    <x v="0"/>
    <x v="16"/>
    <d v="2019-05-31T00:00:00"/>
    <x v="5"/>
    <n v="3"/>
    <s v="Animesh Rawat"/>
    <x v="0"/>
    <s v="Global Client Network (GNB Inward)"/>
    <s v="Cross Sell"/>
    <n v="11593.27"/>
    <d v="2019-04-01T00:00:00"/>
    <s v="Brokerage"/>
    <x v="0"/>
    <s v="OTHR - Other"/>
    <d v="2020-01-22T00:00:00"/>
    <s v="Other"/>
    <m/>
    <m/>
    <m/>
    <m/>
    <m/>
    <m/>
    <m/>
    <m/>
    <m/>
    <m/>
    <m/>
    <m/>
    <m/>
    <m/>
    <m/>
    <m/>
    <m/>
    <m/>
    <m/>
    <m/>
  </r>
  <r>
    <s v="Kanchan Iyer"/>
    <s v="4001/117090005/02/0000"/>
    <x v="1"/>
    <x v="141"/>
    <d v="2019-04-30T00:00:00"/>
    <x v="2"/>
    <n v="3"/>
    <s v="Animesh Rawat"/>
    <x v="0"/>
    <s v="Global Client Network (GNB Inward)"/>
    <s v="Renewal"/>
    <n v="1185.9000000000001"/>
    <d v="2018-05-01T00:00:00"/>
    <s v="Brokerage"/>
    <x v="0"/>
    <s v="OTHR - Other"/>
    <d v="2020-01-22T00:00:00"/>
    <s v="Other"/>
    <m/>
    <m/>
    <m/>
    <m/>
    <m/>
    <m/>
    <m/>
    <m/>
    <m/>
    <m/>
    <m/>
    <m/>
    <m/>
    <m/>
    <m/>
    <m/>
    <m/>
    <m/>
    <m/>
    <m/>
  </r>
  <r>
    <s v="Bhavna Kapoor"/>
    <s v="4001/117090005/03/000"/>
    <x v="0"/>
    <x v="1"/>
    <d v="2020-04-30T00:00:00"/>
    <x v="2"/>
    <n v="3"/>
    <s v="Animesh Rawat"/>
    <x v="0"/>
    <s v="Global Client Network (GNB Inward)"/>
    <s v="Renewal"/>
    <n v="1005"/>
    <d v="2019-05-01T00:00:00"/>
    <s v="Brokerage"/>
    <x v="1"/>
    <s v="OTHR - Other"/>
    <d v="2020-01-22T00:00:00"/>
    <s v="Other"/>
    <m/>
    <m/>
    <m/>
    <m/>
    <m/>
    <m/>
    <m/>
    <m/>
    <m/>
    <m/>
    <m/>
    <m/>
    <m/>
    <m/>
    <m/>
    <m/>
    <m/>
    <m/>
    <m/>
    <m/>
  </r>
  <r>
    <s v="Ritika Reddy"/>
    <s v="4001/122835467/01"/>
    <x v="1"/>
    <x v="142"/>
    <d v="2018-09-27T00:00:00"/>
    <x v="2"/>
    <n v="3"/>
    <s v="Animesh Rawat"/>
    <x v="0"/>
    <s v="Global Client Network (GNB Inward)"/>
    <s v="Renewal"/>
    <n v="1050.3800000000001"/>
    <d v="2017-09-28T00:00:00"/>
    <s v="Brokerage"/>
    <x v="0"/>
    <s v="OTHR - Other"/>
    <d v="2020-01-22T00:00:00"/>
    <s v="Other"/>
    <m/>
    <m/>
    <m/>
    <m/>
    <m/>
    <m/>
    <m/>
    <m/>
    <m/>
    <m/>
    <m/>
    <m/>
    <m/>
    <m/>
    <m/>
    <m/>
    <m/>
    <m/>
    <m/>
    <m/>
  </r>
  <r>
    <s v="Suresh Das"/>
    <s v="4001/122835467/02/000"/>
    <x v="0"/>
    <x v="143"/>
    <d v="2019-09-27T00:00:00"/>
    <x v="2"/>
    <n v="3"/>
    <s v="Animesh Rawat"/>
    <x v="0"/>
    <s v="Global Client Network (GNB Inward)"/>
    <s v="Renewal"/>
    <n v="6250"/>
    <d v="2018-09-28T00:00:00"/>
    <s v="Brokerage"/>
    <x v="2"/>
    <s v="OTHR - Other"/>
    <d v="2020-01-22T00:00:00"/>
    <s v="Other"/>
    <m/>
    <m/>
    <m/>
    <m/>
    <m/>
    <m/>
    <m/>
    <m/>
    <m/>
    <m/>
    <m/>
    <m/>
    <m/>
    <m/>
    <m/>
    <m/>
    <m/>
    <m/>
    <m/>
    <m/>
  </r>
  <r>
    <s v="Shikha Chauhan"/>
    <s v="4001/122835467/02/000"/>
    <x v="0"/>
    <x v="143"/>
    <d v="2019-09-27T00:00:00"/>
    <x v="2"/>
    <n v="3"/>
    <s v="Animesh Rawat"/>
    <x v="0"/>
    <s v="Global Client Network (GNB Inward)"/>
    <s v="Renewal"/>
    <n v="13134.29"/>
    <d v="2018-10-29T00:00:00"/>
    <s v="Brokerage "/>
    <x v="2"/>
    <s v="OTHR - Other"/>
    <d v="2020-01-22T00:00:00"/>
    <s v="Other"/>
    <m/>
    <m/>
    <m/>
    <m/>
    <m/>
    <m/>
    <m/>
    <m/>
    <m/>
    <m/>
    <m/>
    <m/>
    <m/>
    <m/>
    <m/>
    <m/>
    <m/>
    <m/>
    <m/>
    <m/>
  </r>
  <r>
    <s v="Hemant Dutta"/>
    <s v="4001/122835467/02/000 "/>
    <x v="1"/>
    <x v="143"/>
    <d v="2019-09-27T00:00:00"/>
    <x v="2"/>
    <n v="3"/>
    <s v="Animesh Rawat"/>
    <x v="0"/>
    <s v="Global Client Network (GNB Inward)"/>
    <s v="Renewal"/>
    <n v="6250"/>
    <d v="2018-09-28T00:00:00"/>
    <s v="Brokerage"/>
    <x v="1"/>
    <s v="OTHR - Other"/>
    <d v="2020-01-22T00:00:00"/>
    <s v="Other"/>
    <m/>
    <m/>
    <m/>
    <m/>
    <m/>
    <m/>
    <m/>
    <m/>
    <m/>
    <m/>
    <m/>
    <m/>
    <m/>
    <m/>
    <m/>
    <m/>
    <m/>
    <m/>
    <m/>
    <m/>
  </r>
  <r>
    <s v="Dinesh Pandey"/>
    <s v="4001/122835467/03/000"/>
    <x v="0"/>
    <x v="144"/>
    <d v="2020-09-27T00:00:00"/>
    <x v="2"/>
    <n v="3"/>
    <s v="Animesh Rawat"/>
    <x v="0"/>
    <s v="Global Client Network (GNB Inward)"/>
    <s v="Renewal"/>
    <n v="18814.25"/>
    <d v="2019-09-28T00:00:00"/>
    <s v="Brokerage"/>
    <x v="1"/>
    <s v="OTHR - Other"/>
    <d v="2020-01-22T00:00:00"/>
    <s v="Other"/>
    <m/>
    <m/>
    <m/>
    <m/>
    <m/>
    <m/>
    <m/>
    <m/>
    <m/>
    <m/>
    <m/>
    <m/>
    <m/>
    <m/>
    <m/>
    <m/>
    <m/>
    <m/>
    <m/>
    <m/>
  </r>
  <r>
    <s v="Archana Iyer"/>
    <s v="4092/147 968178/00/000"/>
    <x v="1"/>
    <x v="145"/>
    <d v="2019-03-24T00:00:00"/>
    <x v="4"/>
    <n v="3"/>
    <s v="Animesh Rawat"/>
    <x v="0"/>
    <s v="Global Client Network (GNB Inward)"/>
    <s v="Renewal"/>
    <n v="200659.63"/>
    <d v="2019-03-31T00:00:00"/>
    <s v="Brokerage"/>
    <x v="0"/>
    <s v="OTHR - Other"/>
    <d v="2020-01-22T00:00:00"/>
    <s v="Other"/>
    <m/>
    <m/>
    <m/>
    <m/>
    <m/>
    <m/>
    <m/>
    <m/>
    <m/>
    <m/>
    <m/>
    <m/>
    <m/>
    <m/>
    <m/>
    <m/>
    <m/>
    <m/>
    <m/>
    <m/>
  </r>
  <r>
    <s v="Deepak Menon"/>
    <s v="4092/151965577/01/000"/>
    <x v="0"/>
    <x v="16"/>
    <d v="2020-03-31T00:00:00"/>
    <x v="4"/>
    <n v="3"/>
    <s v="Animesh Rawat"/>
    <x v="0"/>
    <s v="Global Client Network (GNB Inward)"/>
    <s v="Renewal"/>
    <n v="215165"/>
    <d v="2019-04-01T00:00:00"/>
    <s v="Brokerage"/>
    <x v="1"/>
    <s v="OTHR - Other"/>
    <d v="2020-01-22T00:00:00"/>
    <s v="Other"/>
    <m/>
    <m/>
    <m/>
    <m/>
    <m/>
    <m/>
    <m/>
    <m/>
    <m/>
    <m/>
    <m/>
    <m/>
    <m/>
    <m/>
    <m/>
    <m/>
    <m/>
    <m/>
    <m/>
    <m/>
  </r>
  <r>
    <s v="Vivek Gupta"/>
    <n v="44180169"/>
    <x v="0"/>
    <x v="146"/>
    <d v="2019-01-18T00:00:00"/>
    <x v="2"/>
    <n v="3"/>
    <s v="Animesh Rawat"/>
    <x v="0"/>
    <s v="Global Client Network (GNB Inward)"/>
    <s v="Cross Sell"/>
    <n v="97.35"/>
    <d v="2018-02-07T00:00:00"/>
    <s v="Brokerage"/>
    <x v="0"/>
    <s v="OTHR - Other"/>
    <d v="2020-01-22T00:00:00"/>
    <s v="Other"/>
    <m/>
    <m/>
    <m/>
    <m/>
    <m/>
    <m/>
    <m/>
    <m/>
    <m/>
    <m/>
    <m/>
    <m/>
    <m/>
    <m/>
    <m/>
    <m/>
    <m/>
    <m/>
    <m/>
    <m/>
  </r>
  <r>
    <s v="Rina Shah"/>
    <s v="ER00004563000100"/>
    <x v="0"/>
    <x v="147"/>
    <d v="2019-06-30T00:00:00"/>
    <x v="5"/>
    <n v="3"/>
    <s v="Animesh Rawat"/>
    <x v="0"/>
    <s v="Global Client Network (GNB Inward)"/>
    <s v="Cross Sell"/>
    <n v="3854.23"/>
    <d v="2019-04-30T00:00:00"/>
    <s v="Brokerage"/>
    <x v="0"/>
    <s v="OTHR - Other"/>
    <d v="2020-01-22T00:00:00"/>
    <s v="Other"/>
    <m/>
    <m/>
    <m/>
    <m/>
    <m/>
    <m/>
    <m/>
    <m/>
    <m/>
    <m/>
    <m/>
    <m/>
    <m/>
    <m/>
    <m/>
    <m/>
    <m/>
    <m/>
    <m/>
    <m/>
  </r>
  <r>
    <s v="Uday Prasad"/>
    <s v="OG-19-2202-1002-00001901"/>
    <x v="0"/>
    <x v="148"/>
    <d v="2019-02-22T00:00:00"/>
    <x v="0"/>
    <n v="3"/>
    <s v="Animesh Rawat"/>
    <x v="0"/>
    <s v="Global Client Network (GNB Inward)"/>
    <s v="Renewal"/>
    <n v="6739.76"/>
    <d v="2019-02-17T00:00:00"/>
    <s v="Brokerage"/>
    <x v="0"/>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Uday Prasad"/>
    <s v="OG-19-2202-1002-00001901"/>
    <x v="0"/>
    <x v="148"/>
    <d v="2019-02-22T00:00:00"/>
    <x v="0"/>
    <n v="3"/>
    <s v="Animesh Rawat"/>
    <x v="0"/>
    <s v="Global Client Network (GNB Inward)"/>
    <s v="Renewal"/>
    <n v="6739.76"/>
    <d v="2019-02-17T00:00:00"/>
    <s v="Brokerage"/>
    <x v="0"/>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Uday Prasad"/>
    <s v="OG-19-2202-1002-00001901"/>
    <x v="0"/>
    <x v="148"/>
    <d v="2019-02-22T00:00:00"/>
    <x v="0"/>
    <n v="3"/>
    <s v="Animesh Rawat"/>
    <x v="0"/>
    <s v="Global Client Network (GNB Inward)"/>
    <s v="Renewal"/>
    <n v="6739.76"/>
    <d v="2019-02-17T00:00:00"/>
    <s v="Brokerage"/>
    <x v="0"/>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Uday Prasad"/>
    <s v="OG-19-2202-1002-00001901"/>
    <x v="0"/>
    <x v="148"/>
    <d v="2019-02-22T00:00:00"/>
    <x v="0"/>
    <n v="3"/>
    <s v="Animesh Rawat"/>
    <x v="0"/>
    <s v="Global Client Network (GNB Inward)"/>
    <s v="Renewal"/>
    <n v="6739.76"/>
    <d v="2019-02-17T00:00:00"/>
    <s v="Brokerage"/>
    <x v="0"/>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Uday Prasad"/>
    <s v="OG-19-2202-1002-00001901"/>
    <x v="0"/>
    <x v="148"/>
    <d v="2019-02-22T00:00:00"/>
    <x v="0"/>
    <n v="3"/>
    <s v="Animesh Rawat"/>
    <x v="0"/>
    <s v="Global Client Network (GNB Inward)"/>
    <s v="Renewal"/>
    <n v="6739.76"/>
    <d v="2019-02-17T00:00:00"/>
    <s v="Brokerage"/>
    <x v="0"/>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Uday Prasad"/>
    <s v="OG-19-2202-1002-00001901"/>
    <x v="0"/>
    <x v="148"/>
    <d v="2019-02-22T00:00:00"/>
    <x v="0"/>
    <n v="3"/>
    <s v="Animesh Rawat"/>
    <x v="0"/>
    <s v="Global Client Network (GNB Inward)"/>
    <s v="Renewal"/>
    <n v="6739.76"/>
    <d v="2019-02-17T00:00:00"/>
    <s v="Brokerage"/>
    <x v="0"/>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Uday Prasad"/>
    <s v="OG-19-2202-1002-00001901"/>
    <x v="0"/>
    <x v="148"/>
    <d v="2019-02-22T00:00:00"/>
    <x v="0"/>
    <n v="3"/>
    <s v="Animesh Rawat"/>
    <x v="0"/>
    <s v="Global Client Network (GNB Inward)"/>
    <s v="Renewal"/>
    <n v="6739.76"/>
    <d v="2019-02-17T00:00:00"/>
    <s v="Brokerage"/>
    <x v="0"/>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Uday Prasad"/>
    <s v="OG-19-2202-1002-00001901"/>
    <x v="0"/>
    <x v="148"/>
    <d v="2019-02-22T00:00:00"/>
    <x v="0"/>
    <n v="3"/>
    <s v="Animesh Rawat"/>
    <x v="0"/>
    <s v="Global Client Network (GNB Inward)"/>
    <s v="Renewal"/>
    <n v="6739.76"/>
    <d v="2019-02-17T00:00:00"/>
    <s v="Brokerage"/>
    <x v="0"/>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Nitin Kapoor"/>
    <s v="OG-19-2202-1002-00001981"/>
    <x v="0"/>
    <x v="149"/>
    <d v="2019-03-10T00:00:00"/>
    <x v="2"/>
    <n v="3"/>
    <s v="Animesh Rawat"/>
    <x v="0"/>
    <s v="Global Client Network (GNB Inward)"/>
    <s v="Cross Sell"/>
    <n v="6739.76"/>
    <d v="2019-03-04T00:00:00"/>
    <s v="Brokerage"/>
    <x v="0"/>
    <s v="OTHR - Other"/>
    <d v="2020-01-22T00:00:00"/>
    <s v="Other"/>
    <m/>
    <m/>
    <m/>
    <m/>
    <m/>
    <m/>
    <m/>
    <m/>
    <m/>
    <m/>
    <m/>
    <m/>
    <m/>
    <m/>
    <m/>
    <m/>
    <m/>
    <m/>
    <m/>
    <m/>
  </r>
  <r>
    <s v="Harish Kaul"/>
    <s v="OG-19-2202-4001-00011127"/>
    <x v="0"/>
    <x v="150"/>
    <d v="2019-03-05T00:00:00"/>
    <x v="2"/>
    <n v="3"/>
    <s v="Animesh Rawat"/>
    <x v="0"/>
    <s v="Global Client Network (GNB Inward)"/>
    <s v="Cross Sell"/>
    <n v="8468.49"/>
    <d v="2019-02-18T00:00:00"/>
    <s v="Brokerage"/>
    <x v="0"/>
    <s v="OTHR - Other"/>
    <d v="2020-01-22T00:00:00"/>
    <s v="Other"/>
    <m/>
    <m/>
    <m/>
    <m/>
    <m/>
    <m/>
    <m/>
    <m/>
    <m/>
    <m/>
    <m/>
    <m/>
    <m/>
    <m/>
    <m/>
    <m/>
    <m/>
    <m/>
    <m/>
    <m/>
  </r>
  <r>
    <s v="Neeraj Arora"/>
    <s v="OG-19-2202-4010-00002245"/>
    <x v="0"/>
    <x v="150"/>
    <d v="2019-03-05T00:00:00"/>
    <x v="2"/>
    <n v="3"/>
    <s v="Animesh Rawat"/>
    <x v="0"/>
    <s v="Global Client Network (GNB Inward)"/>
    <s v="Cross Sell"/>
    <n v="529.13"/>
    <d v="2019-02-18T00:00:00"/>
    <s v="Brokerage"/>
    <x v="0"/>
    <s v="OTHR - Other"/>
    <d v="2020-01-22T00:00:00"/>
    <s v="Other"/>
    <m/>
    <m/>
    <m/>
    <m/>
    <m/>
    <m/>
    <m/>
    <m/>
    <m/>
    <m/>
    <m/>
    <m/>
    <m/>
    <m/>
    <m/>
    <m/>
    <m/>
    <m/>
    <m/>
    <m/>
  </r>
  <r>
    <s v="Mukul Kumar"/>
    <s v="'001P000202300000"/>
    <x v="0"/>
    <x v="151"/>
    <d v="2026-04-04T00:00:00"/>
    <x v="4"/>
    <n v="1"/>
    <s v="Vinay"/>
    <x v="0"/>
    <s v="Liability"/>
    <s v="Cross Sell"/>
    <n v="162500"/>
    <d v="2019-04-05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Mukul Kumar"/>
    <s v="'001P000202300000"/>
    <x v="0"/>
    <x v="151"/>
    <d v="2026-04-04T00:00:00"/>
    <x v="4"/>
    <n v="1"/>
    <s v="Vinay"/>
    <x v="0"/>
    <s v="Liability"/>
    <s v="Cross Sell"/>
    <n v="162500"/>
    <d v="2019-04-05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Mukul Kumar"/>
    <s v="'001P000202300000"/>
    <x v="0"/>
    <x v="151"/>
    <d v="2026-04-04T00:00:00"/>
    <x v="4"/>
    <n v="1"/>
    <s v="Vinay"/>
    <x v="0"/>
    <s v="Liability"/>
    <s v="Cross Sell"/>
    <n v="162500"/>
    <d v="2019-04-05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Mukul Kumar"/>
    <s v="'001P000202300000"/>
    <x v="0"/>
    <x v="151"/>
    <d v="2026-04-04T00:00:00"/>
    <x v="4"/>
    <n v="1"/>
    <s v="Vinay"/>
    <x v="0"/>
    <s v="Liability"/>
    <s v="Cross Sell"/>
    <n v="162500"/>
    <d v="2019-04-05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Mukul Kumar"/>
    <s v="'001P000202300000"/>
    <x v="0"/>
    <x v="151"/>
    <d v="2026-04-04T00:00:00"/>
    <x v="4"/>
    <n v="1"/>
    <s v="Vinay"/>
    <x v="0"/>
    <s v="Liability"/>
    <s v="Cross Sell"/>
    <n v="162500"/>
    <d v="2019-04-05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Gauri Naik"/>
    <s v="'001P000203500000"/>
    <x v="0"/>
    <x v="152"/>
    <d v="2025-10-17T00:00:00"/>
    <x v="4"/>
    <n v="1"/>
    <s v="Vinay"/>
    <x v="0"/>
    <s v="Liability"/>
    <s v="Cross Sell"/>
    <n v="250000"/>
    <d v="2019-04-18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Gauri Naik"/>
    <s v="'001P000203500000"/>
    <x v="0"/>
    <x v="152"/>
    <d v="2025-10-17T00:00:00"/>
    <x v="4"/>
    <n v="1"/>
    <s v="Vinay"/>
    <x v="0"/>
    <s v="Liability"/>
    <s v="Cross Sell"/>
    <n v="250000"/>
    <d v="2019-04-18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Gauri Naik"/>
    <s v="'001P000203500000"/>
    <x v="0"/>
    <x v="152"/>
    <d v="2025-10-17T00:00:00"/>
    <x v="4"/>
    <n v="1"/>
    <s v="Vinay"/>
    <x v="0"/>
    <s v="Liability"/>
    <s v="Cross Sell"/>
    <n v="250000"/>
    <d v="2019-04-18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Gauri Naik"/>
    <s v="'001P000203500000"/>
    <x v="0"/>
    <x v="152"/>
    <d v="2025-10-17T00:00:00"/>
    <x v="4"/>
    <n v="1"/>
    <s v="Vinay"/>
    <x v="0"/>
    <s v="Liability"/>
    <s v="Cross Sell"/>
    <n v="250000"/>
    <d v="2019-04-18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Gauri Naik"/>
    <s v="'001P000203500000"/>
    <x v="0"/>
    <x v="152"/>
    <d v="2025-10-17T00:00:00"/>
    <x v="4"/>
    <n v="1"/>
    <s v="Vinay"/>
    <x v="0"/>
    <s v="Liability"/>
    <s v="Cross Sell"/>
    <n v="250000"/>
    <d v="2019-04-18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Harish Menon"/>
    <s v="111200/11/2018/98"/>
    <x v="1"/>
    <x v="153"/>
    <d v="2018-08-01T00:00:00"/>
    <x v="1"/>
    <n v="1"/>
    <s v="Vinay"/>
    <x v="0"/>
    <s v="Construction, Power &amp; Infrastructure"/>
    <s v="Cross Sell"/>
    <n v="78837.100000000006"/>
    <d v="2017-08-02T00:00:00"/>
    <s v="Brokerage"/>
    <x v="3"/>
    <s v="DRCT - Direct"/>
    <d v="2020-01-22T00:00:00"/>
    <s v="DRCT - Direct"/>
    <m/>
    <m/>
    <m/>
    <m/>
    <m/>
    <m/>
    <m/>
    <m/>
    <m/>
    <m/>
    <m/>
    <m/>
    <m/>
    <m/>
    <m/>
    <m/>
    <m/>
    <m/>
    <m/>
    <m/>
  </r>
  <r>
    <s v="Mohit Gupta"/>
    <n v="1.112E+19"/>
    <x v="1"/>
    <x v="154"/>
    <d v="2019-03-22T00:00:00"/>
    <x v="4"/>
    <n v="1"/>
    <s v="Vinay"/>
    <x v="0"/>
    <s v="Liability"/>
    <s v="Renewal"/>
    <n v="21875"/>
    <d v="2018-03-23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Mohit Gupta"/>
    <n v="1.112E+19"/>
    <x v="1"/>
    <x v="154"/>
    <d v="2019-03-22T00:00:00"/>
    <x v="4"/>
    <n v="1"/>
    <s v="Vinay"/>
    <x v="0"/>
    <s v="Liability"/>
    <s v="Renewal"/>
    <n v="21875"/>
    <d v="2018-03-23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Mohit Gupta"/>
    <n v="1.112E+19"/>
    <x v="1"/>
    <x v="154"/>
    <d v="2019-03-22T00:00:00"/>
    <x v="4"/>
    <n v="1"/>
    <s v="Vinay"/>
    <x v="0"/>
    <s v="Liability"/>
    <s v="Renewal"/>
    <n v="21875"/>
    <d v="2018-03-23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Mohit Gupta"/>
    <n v="1.112E+19"/>
    <x v="1"/>
    <x v="154"/>
    <d v="2019-03-22T00:00:00"/>
    <x v="4"/>
    <n v="1"/>
    <s v="Vinay"/>
    <x v="0"/>
    <s v="Liability"/>
    <s v="Renewal"/>
    <n v="21875"/>
    <d v="2018-03-23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Mohit Gupta"/>
    <n v="1.112E+19"/>
    <x v="1"/>
    <x v="154"/>
    <d v="2019-03-22T00:00:00"/>
    <x v="4"/>
    <n v="1"/>
    <s v="Vinay"/>
    <x v="0"/>
    <s v="Liability"/>
    <s v="Renewal"/>
    <n v="21875"/>
    <d v="2018-03-23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Amit Arora"/>
    <s v="'11120036181000000012"/>
    <x v="0"/>
    <x v="155"/>
    <d v="2020-03-22T00:00:00"/>
    <x v="4"/>
    <n v="1"/>
    <s v="Vinay"/>
    <x v="0"/>
    <s v="Liability"/>
    <s v="Renewal"/>
    <n v="59322"/>
    <d v="2019-04-22T00:00:00"/>
    <s v="Brokerage"/>
    <x v="1"/>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Amit Arora"/>
    <s v="'11120036181000000012"/>
    <x v="0"/>
    <x v="155"/>
    <d v="2020-03-22T00:00:00"/>
    <x v="4"/>
    <n v="1"/>
    <s v="Vinay"/>
    <x v="0"/>
    <s v="Liability"/>
    <s v="Renewal"/>
    <n v="59322"/>
    <d v="2019-04-22T00:00:00"/>
    <s v="Brokerage"/>
    <x v="1"/>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Amit Arora"/>
    <s v="'11120036181000000012"/>
    <x v="0"/>
    <x v="155"/>
    <d v="2020-03-22T00:00:00"/>
    <x v="4"/>
    <n v="1"/>
    <s v="Vinay"/>
    <x v="0"/>
    <s v="Liability"/>
    <s v="Renewal"/>
    <n v="59322"/>
    <d v="2019-04-22T00:00:00"/>
    <s v="Brokerage"/>
    <x v="1"/>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Amit Arora"/>
    <s v="'11120036181000000012"/>
    <x v="0"/>
    <x v="155"/>
    <d v="2020-03-22T00:00:00"/>
    <x v="4"/>
    <n v="1"/>
    <s v="Vinay"/>
    <x v="0"/>
    <s v="Liability"/>
    <s v="Renewal"/>
    <n v="59322"/>
    <d v="2019-04-22T00:00:00"/>
    <s v="Brokerage"/>
    <x v="1"/>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Amit Arora"/>
    <s v="'11120036181000000012"/>
    <x v="0"/>
    <x v="155"/>
    <d v="2020-03-22T00:00:00"/>
    <x v="4"/>
    <n v="1"/>
    <s v="Vinay"/>
    <x v="0"/>
    <s v="Liability"/>
    <s v="Renewal"/>
    <n v="59322"/>
    <d v="2019-04-22T00:00:00"/>
    <s v="Brokerage"/>
    <x v="1"/>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Nikita Pandit"/>
    <s v="'11120044170300000014"/>
    <x v="0"/>
    <x v="154"/>
    <d v="2020-09-22T00:00:00"/>
    <x v="5"/>
    <n v="1"/>
    <s v="Vinay"/>
    <x v="0"/>
    <s v="Construction, Power &amp; Infrastructure"/>
    <s v="Cross Sell"/>
    <n v="26763.4"/>
    <d v="2019-12-23T00:00:00"/>
    <s v="Brokerage"/>
    <x v="0"/>
    <s v="OTHR - Other"/>
    <d v="2020-01-22T00:00:00"/>
    <s v="Other"/>
    <m/>
    <m/>
    <m/>
    <m/>
    <m/>
    <m/>
    <m/>
    <m/>
    <m/>
    <m/>
    <m/>
    <m/>
    <m/>
    <m/>
    <m/>
    <m/>
    <m/>
    <m/>
    <m/>
    <m/>
  </r>
  <r>
    <s v="Vikas Gupta"/>
    <s v="'11120044170300000014"/>
    <x v="0"/>
    <x v="154"/>
    <d v="2020-09-22T00:00:00"/>
    <x v="5"/>
    <n v="1"/>
    <s v="Vinay"/>
    <x v="0"/>
    <s v="Construction, Power &amp; Infrastructure"/>
    <s v="Cross Sell"/>
    <n v="26763.4"/>
    <d v="2020-03-23T00:00:00"/>
    <s v="Brokerage"/>
    <x v="0"/>
    <s v="OTHR - Other"/>
    <d v="2020-01-22T00:00:00"/>
    <s v="Other"/>
    <m/>
    <m/>
    <m/>
    <m/>
    <m/>
    <m/>
    <m/>
    <m/>
    <m/>
    <m/>
    <m/>
    <m/>
    <m/>
    <m/>
    <m/>
    <m/>
    <m/>
    <m/>
    <m/>
    <m/>
  </r>
  <r>
    <s v="Kamlesh Pillai"/>
    <s v="'11120044170300000014"/>
    <x v="0"/>
    <x v="154"/>
    <d v="2020-09-22T00:00:00"/>
    <x v="5"/>
    <n v="1"/>
    <s v="Vinay"/>
    <x v="0"/>
    <s v="Construction, Power &amp; Infrastructure"/>
    <s v="Cross Sell"/>
    <n v="26763.439999999999"/>
    <d v="2018-06-23T00:00:00"/>
    <s v="Brokerage"/>
    <x v="0"/>
    <s v="OTHR - Other"/>
    <d v="2020-01-22T00:00:00"/>
    <s v="Other"/>
    <m/>
    <m/>
    <m/>
    <m/>
    <m/>
    <m/>
    <m/>
    <m/>
    <m/>
    <m/>
    <m/>
    <m/>
    <m/>
    <m/>
    <m/>
    <m/>
    <m/>
    <m/>
    <m/>
    <m/>
  </r>
  <r>
    <s v="Umesh Agarwal"/>
    <s v="'11120044170300000014"/>
    <x v="0"/>
    <x v="154"/>
    <d v="2020-09-22T00:00:00"/>
    <x v="5"/>
    <n v="1"/>
    <s v="Vinay"/>
    <x v="0"/>
    <s v="Construction, Power &amp; Infrastructure"/>
    <s v="Cross Sell"/>
    <n v="26763.439999999999"/>
    <d v="2018-09-23T00:00:00"/>
    <s v="Brokerage"/>
    <x v="0"/>
    <s v="OTHR - Other"/>
    <d v="2020-01-22T00:00:00"/>
    <s v="Other"/>
    <m/>
    <m/>
    <m/>
    <m/>
    <m/>
    <m/>
    <m/>
    <m/>
    <m/>
    <m/>
    <m/>
    <m/>
    <m/>
    <m/>
    <m/>
    <m/>
    <m/>
    <m/>
    <m/>
    <m/>
  </r>
  <r>
    <s v="Ankur Gandhi"/>
    <s v="'11120044170300000014"/>
    <x v="0"/>
    <x v="154"/>
    <d v="2020-09-22T00:00:00"/>
    <x v="5"/>
    <n v="1"/>
    <s v="Vinay"/>
    <x v="0"/>
    <s v="Construction, Power &amp; Infrastructure"/>
    <s v="Cross Sell"/>
    <n v="26763.439999999999"/>
    <d v="2018-12-23T00:00:00"/>
    <s v="Brokerage"/>
    <x v="0"/>
    <s v="OTHR - Other"/>
    <d v="2020-01-22T00:00:00"/>
    <s v="Other"/>
    <m/>
    <m/>
    <m/>
    <m/>
    <m/>
    <m/>
    <m/>
    <m/>
    <m/>
    <m/>
    <m/>
    <m/>
    <m/>
    <m/>
    <m/>
    <m/>
    <m/>
    <m/>
    <m/>
    <m/>
  </r>
  <r>
    <s v="Dinesh Kaul"/>
    <s v="'11120044170300000014"/>
    <x v="0"/>
    <x v="154"/>
    <d v="2020-09-22T00:00:00"/>
    <x v="5"/>
    <n v="1"/>
    <s v="Vinay"/>
    <x v="0"/>
    <s v="Construction, Power &amp; Infrastructure"/>
    <s v="Cross Sell"/>
    <n v="26763.439999999999"/>
    <d v="2019-03-23T00:00:00"/>
    <s v="Brokerage"/>
    <x v="0"/>
    <s v="OTHR - Other"/>
    <d v="2020-01-22T00:00:00"/>
    <s v="Other"/>
    <m/>
    <m/>
    <m/>
    <m/>
    <m/>
    <m/>
    <m/>
    <m/>
    <m/>
    <m/>
    <m/>
    <m/>
    <m/>
    <m/>
    <m/>
    <m/>
    <m/>
    <m/>
    <m/>
    <m/>
  </r>
  <r>
    <s v="Ankur Naik"/>
    <s v="'11120044170300000014"/>
    <x v="0"/>
    <x v="154"/>
    <d v="2020-09-22T00:00:00"/>
    <x v="5"/>
    <n v="1"/>
    <s v="Vinay"/>
    <x v="0"/>
    <s v="Construction, Power &amp; Infrastructure"/>
    <s v="Cross Sell"/>
    <n v="26763.439999999999"/>
    <d v="2019-06-23T00:00:00"/>
    <s v="Brokerage"/>
    <x v="0"/>
    <s v="OTHR - Other"/>
    <d v="2020-01-22T00:00:00"/>
    <s v="Other"/>
    <m/>
    <m/>
    <m/>
    <m/>
    <m/>
    <m/>
    <m/>
    <m/>
    <m/>
    <m/>
    <m/>
    <m/>
    <m/>
    <m/>
    <m/>
    <m/>
    <m/>
    <m/>
    <m/>
    <m/>
  </r>
  <r>
    <s v="XYZ"/>
    <s v="'11120044170300000014"/>
    <x v="0"/>
    <x v="154"/>
    <d v="2020-09-22T00:00:00"/>
    <x v="5"/>
    <n v="1"/>
    <s v="Vinay"/>
    <x v="0"/>
    <s v="Construction, Power &amp; Infrastructure"/>
    <s v="Cross Sell"/>
    <n v="26763.439999999999"/>
    <d v="2019-09-23T00:00:00"/>
    <s v="Brokerage"/>
    <x v="0"/>
    <s v="OTHR - Other"/>
    <d v="2020-01-22T00:00:00"/>
    <s v="Other"/>
    <m/>
    <m/>
    <m/>
    <m/>
    <m/>
    <m/>
    <m/>
    <m/>
    <m/>
    <m/>
    <m/>
    <m/>
    <m/>
    <m/>
    <m/>
    <m/>
    <m/>
    <m/>
    <m/>
    <m/>
  </r>
  <r>
    <s v="XYZ"/>
    <s v="'11120044170300000014"/>
    <x v="0"/>
    <x v="154"/>
    <d v="2020-09-22T00:00:00"/>
    <x v="5"/>
    <n v="1"/>
    <s v="Vinay"/>
    <x v="0"/>
    <s v="Construction, Power &amp; Infrastructure"/>
    <s v="Cross Sell"/>
    <n v="39440.839999999997"/>
    <d v="2018-03-23T00:00:00"/>
    <s v="Brokerage"/>
    <x v="0"/>
    <s v="OTHR - Other"/>
    <d v="2020-01-22T00:00:00"/>
    <s v="Other"/>
    <m/>
    <m/>
    <m/>
    <m/>
    <m/>
    <m/>
    <m/>
    <m/>
    <m/>
    <m/>
    <m/>
    <m/>
    <m/>
    <m/>
    <m/>
    <m/>
    <m/>
    <m/>
    <m/>
    <m/>
  </r>
  <r>
    <s v="XYZ"/>
    <s v="11120044180300000010'"/>
    <x v="0"/>
    <x v="156"/>
    <d v="2021-08-08T00:00:00"/>
    <x v="5"/>
    <n v="1"/>
    <s v="Vinay"/>
    <x v="0"/>
    <s v="Construction, Power &amp; Infrastructure"/>
    <s v="Cross Sell"/>
    <n v="14274.76"/>
    <d v="2019-11-09T00:00:00"/>
    <s v="Brokerage"/>
    <x v="0"/>
    <s v="OTHR - Other"/>
    <d v="2020-01-22T00:00:00"/>
    <s v="Other"/>
    <m/>
    <m/>
    <m/>
    <m/>
    <m/>
    <m/>
    <m/>
    <m/>
    <m/>
    <m/>
    <m/>
    <m/>
    <m/>
    <m/>
    <m/>
    <m/>
    <m/>
    <m/>
    <m/>
    <m/>
  </r>
  <r>
    <s v="XYZ"/>
    <s v="11120044180300000010'"/>
    <x v="0"/>
    <x v="156"/>
    <d v="2021-08-08T00:00:00"/>
    <x v="5"/>
    <n v="1"/>
    <s v="Vinay"/>
    <x v="0"/>
    <s v="Construction, Power &amp; Infrastructure"/>
    <s v="Cross Sell"/>
    <n v="14274.76"/>
    <d v="2020-02-09T00:00:00"/>
    <s v="Brokerage"/>
    <x v="0"/>
    <s v="OTHR - Other"/>
    <d v="2020-01-22T00:00:00"/>
    <s v="Other"/>
    <m/>
    <m/>
    <m/>
    <m/>
    <m/>
    <m/>
    <m/>
    <m/>
    <m/>
    <m/>
    <m/>
    <m/>
    <m/>
    <m/>
    <m/>
    <m/>
    <m/>
    <m/>
    <m/>
    <m/>
  </r>
  <r>
    <s v="XYZ"/>
    <s v="11120044180300000010'"/>
    <x v="0"/>
    <x v="156"/>
    <d v="2021-08-08T00:00:00"/>
    <x v="5"/>
    <n v="1"/>
    <s v="Vinay"/>
    <x v="0"/>
    <s v="Construction, Power &amp; Infrastructure"/>
    <s v="Cross Sell"/>
    <n v="14274.76"/>
    <d v="2020-05-09T00:00:00"/>
    <s v="Brokerage"/>
    <x v="0"/>
    <s v="OTHR - Other"/>
    <d v="2020-01-22T00:00:00"/>
    <s v="Other"/>
    <m/>
    <m/>
    <m/>
    <m/>
    <m/>
    <m/>
    <m/>
    <m/>
    <m/>
    <m/>
    <m/>
    <m/>
    <m/>
    <m/>
    <m/>
    <m/>
    <m/>
    <m/>
    <m/>
    <m/>
  </r>
  <r>
    <s v="XYZ"/>
    <s v="11120044180300000010'"/>
    <x v="0"/>
    <x v="156"/>
    <d v="2021-08-08T00:00:00"/>
    <x v="5"/>
    <n v="1"/>
    <s v="Vinay"/>
    <x v="0"/>
    <s v="Construction, Power &amp; Infrastructure"/>
    <s v="Cross Sell"/>
    <n v="14274.76"/>
    <d v="2020-08-09T00:00:00"/>
    <s v="Brokerage"/>
    <x v="0"/>
    <s v="OTHR - Other"/>
    <d v="2020-01-22T00:00:00"/>
    <s v="Other"/>
    <m/>
    <m/>
    <m/>
    <m/>
    <m/>
    <m/>
    <m/>
    <m/>
    <m/>
    <m/>
    <m/>
    <m/>
    <m/>
    <m/>
    <m/>
    <m/>
    <m/>
    <m/>
    <m/>
    <m/>
  </r>
  <r>
    <s v="XYZ"/>
    <s v="11120044180300000010'"/>
    <x v="0"/>
    <x v="156"/>
    <d v="2021-08-08T00:00:00"/>
    <x v="5"/>
    <n v="1"/>
    <s v="Vinay"/>
    <x v="0"/>
    <s v="Construction, Power &amp; Infrastructure"/>
    <s v="Cross Sell"/>
    <n v="14274.76"/>
    <d v="2020-11-09T00:00:00"/>
    <s v="Brokerage"/>
    <x v="0"/>
    <s v="OTHR - Other"/>
    <d v="2020-01-22T00:00:00"/>
    <s v="Other"/>
    <m/>
    <m/>
    <m/>
    <m/>
    <m/>
    <m/>
    <m/>
    <m/>
    <m/>
    <m/>
    <m/>
    <m/>
    <m/>
    <m/>
    <m/>
    <m/>
    <m/>
    <m/>
    <m/>
    <m/>
  </r>
  <r>
    <s v="XYZ"/>
    <s v="11120044180300000010'"/>
    <x v="0"/>
    <x v="156"/>
    <d v="2021-08-08T00:00:00"/>
    <x v="5"/>
    <n v="1"/>
    <s v="Vinay"/>
    <x v="0"/>
    <s v="Construction, Power &amp; Infrastructure"/>
    <s v="Cross Sell"/>
    <n v="14274.76"/>
    <d v="2021-02-09T00:00:00"/>
    <s v="Brokerage"/>
    <x v="0"/>
    <s v="OTHR - Other"/>
    <d v="2020-01-22T00:00:00"/>
    <s v="Other"/>
    <m/>
    <m/>
    <m/>
    <m/>
    <m/>
    <m/>
    <m/>
    <m/>
    <m/>
    <m/>
    <m/>
    <m/>
    <m/>
    <m/>
    <m/>
    <m/>
    <m/>
    <m/>
    <m/>
    <m/>
  </r>
  <r>
    <s v="XYZ"/>
    <s v="11120044180300000010'"/>
    <x v="0"/>
    <x v="156"/>
    <d v="2021-08-08T00:00:00"/>
    <x v="5"/>
    <n v="1"/>
    <s v="Vinay"/>
    <x v="0"/>
    <s v="Construction, Power &amp; Infrastructure"/>
    <s v="Cross Sell"/>
    <n v="14274.76"/>
    <d v="2019-02-09T00:00:00"/>
    <s v="Brokerage"/>
    <x v="0"/>
    <s v="OTHR - Other"/>
    <d v="2020-01-22T00:00:00"/>
    <s v="Other"/>
    <m/>
    <m/>
    <m/>
    <m/>
    <m/>
    <m/>
    <m/>
    <m/>
    <m/>
    <m/>
    <m/>
    <m/>
    <m/>
    <m/>
    <m/>
    <m/>
    <m/>
    <m/>
    <m/>
    <m/>
  </r>
  <r>
    <s v="XYZ"/>
    <s v="11120044180300000010'"/>
    <x v="0"/>
    <x v="156"/>
    <d v="2021-08-08T00:00:00"/>
    <x v="5"/>
    <n v="1"/>
    <s v="Vinay"/>
    <x v="0"/>
    <s v="Construction, Power &amp; Infrastructure"/>
    <s v="Cross Sell"/>
    <n v="14274.76"/>
    <d v="2019-05-09T00:00:00"/>
    <s v="Brokerage"/>
    <x v="0"/>
    <s v="OTHR - Other"/>
    <d v="2020-01-22T00:00:00"/>
    <s v="Other"/>
    <m/>
    <m/>
    <m/>
    <m/>
    <m/>
    <m/>
    <m/>
    <m/>
    <m/>
    <m/>
    <m/>
    <m/>
    <m/>
    <m/>
    <m/>
    <m/>
    <m/>
    <m/>
    <m/>
    <m/>
  </r>
  <r>
    <s v="XYZ"/>
    <s v="11120044180300000010'"/>
    <x v="0"/>
    <x v="156"/>
    <d v="2021-08-08T00:00:00"/>
    <x v="5"/>
    <n v="1"/>
    <s v="Vinay"/>
    <x v="0"/>
    <s v="Construction, Power &amp; Infrastructure"/>
    <s v="Cross Sell"/>
    <n v="14274.76"/>
    <d v="2019-08-09T00:00:00"/>
    <s v="Brokerage"/>
    <x v="0"/>
    <s v="OTHR - Other"/>
    <d v="2020-01-22T00:00:00"/>
    <s v="Other"/>
    <m/>
    <m/>
    <m/>
    <m/>
    <m/>
    <m/>
    <m/>
    <m/>
    <m/>
    <m/>
    <m/>
    <m/>
    <m/>
    <m/>
    <m/>
    <m/>
    <m/>
    <m/>
    <m/>
    <m/>
  </r>
  <r>
    <s v="XYZ"/>
    <s v="11120044180300000010'"/>
    <x v="0"/>
    <x v="156"/>
    <d v="2021-08-08T00:00:00"/>
    <x v="5"/>
    <n v="1"/>
    <s v="Vinay"/>
    <x v="0"/>
    <s v="Construction, Power &amp; Infrastructure"/>
    <s v="Cross Sell"/>
    <n v="14274.8"/>
    <d v="2018-11-09T00:00:00"/>
    <s v="Brokerage"/>
    <x v="0"/>
    <s v="OTHR - Other"/>
    <d v="2020-01-22T00:00:00"/>
    <s v="Other"/>
    <m/>
    <m/>
    <m/>
    <m/>
    <m/>
    <m/>
    <m/>
    <m/>
    <m/>
    <m/>
    <m/>
    <m/>
    <m/>
    <m/>
    <m/>
    <m/>
    <m/>
    <m/>
    <m/>
    <m/>
  </r>
  <r>
    <s v="XYZ"/>
    <s v="11120044180300000010'"/>
    <x v="0"/>
    <x v="156"/>
    <d v="2021-08-08T00:00:00"/>
    <x v="5"/>
    <n v="1"/>
    <s v="Vinay"/>
    <x v="0"/>
    <s v="Construction, Power &amp; Infrastructure"/>
    <s v="Cross Sell"/>
    <n v="22539.08"/>
    <d v="2018-08-09T00:00:00"/>
    <s v="Brokerage"/>
    <x v="0"/>
    <s v="OTHR - Other"/>
    <d v="2020-01-22T00:00:00"/>
    <s v="Other"/>
    <m/>
    <m/>
    <m/>
    <m/>
    <m/>
    <m/>
    <m/>
    <m/>
    <m/>
    <m/>
    <m/>
    <m/>
    <m/>
    <m/>
    <m/>
    <m/>
    <m/>
    <m/>
    <m/>
    <m/>
  </r>
  <r>
    <s v="XYZ"/>
    <s v="'11120044180300000011"/>
    <x v="0"/>
    <x v="157"/>
    <d v="2021-06-12T00:00:00"/>
    <x v="5"/>
    <n v="1"/>
    <s v="Vinay"/>
    <x v="0"/>
    <s v="Construction, Power &amp; Infrastructure"/>
    <s v="Cross Sell"/>
    <n v="24072.23"/>
    <d v="2019-12-13T00:00:00"/>
    <s v="Brokerage"/>
    <x v="0"/>
    <s v="OTHR - Other"/>
    <d v="2020-01-22T00:00:00"/>
    <s v="Other"/>
    <m/>
    <m/>
    <m/>
    <m/>
    <m/>
    <m/>
    <m/>
    <m/>
    <m/>
    <m/>
    <m/>
    <m/>
    <m/>
    <m/>
    <m/>
    <m/>
    <m/>
    <m/>
    <m/>
    <m/>
  </r>
  <r>
    <s v="XYZ"/>
    <s v="'11120044180300000011"/>
    <x v="0"/>
    <x v="157"/>
    <d v="2021-06-12T00:00:00"/>
    <x v="5"/>
    <n v="1"/>
    <s v="Vinay"/>
    <x v="0"/>
    <s v="Construction, Power &amp; Infrastructure"/>
    <s v="Cross Sell"/>
    <n v="24072.23"/>
    <d v="2020-03-13T00:00:00"/>
    <s v="Brokerage"/>
    <x v="0"/>
    <s v="OTHR - Other"/>
    <d v="2020-01-22T00:00:00"/>
    <s v="Other"/>
    <m/>
    <m/>
    <m/>
    <m/>
    <m/>
    <m/>
    <m/>
    <m/>
    <m/>
    <m/>
    <m/>
    <m/>
    <m/>
    <m/>
    <m/>
    <m/>
    <m/>
    <m/>
    <m/>
    <m/>
  </r>
  <r>
    <s v="XYZ"/>
    <s v="'11120044180300000011"/>
    <x v="0"/>
    <x v="157"/>
    <d v="2021-06-12T00:00:00"/>
    <x v="5"/>
    <n v="1"/>
    <s v="Vinay"/>
    <x v="0"/>
    <s v="Construction, Power &amp; Infrastructure"/>
    <s v="Cross Sell"/>
    <n v="24072.23"/>
    <d v="2020-06-13T00:00:00"/>
    <s v="Brokerage"/>
    <x v="0"/>
    <s v="OTHR - Other"/>
    <d v="2020-01-22T00:00:00"/>
    <s v="Other"/>
    <m/>
    <m/>
    <m/>
    <m/>
    <m/>
    <m/>
    <m/>
    <m/>
    <m/>
    <m/>
    <m/>
    <m/>
    <m/>
    <m/>
    <m/>
    <m/>
    <m/>
    <m/>
    <m/>
    <m/>
  </r>
  <r>
    <s v="XYZ"/>
    <s v="'11120044180300000011"/>
    <x v="0"/>
    <x v="157"/>
    <d v="2021-06-12T00:00:00"/>
    <x v="5"/>
    <n v="1"/>
    <s v="Vinay"/>
    <x v="0"/>
    <s v="Construction, Power &amp; Infrastructure"/>
    <s v="Cross Sell"/>
    <n v="24072.23"/>
    <d v="2020-09-13T00:00:00"/>
    <s v="Brokerage"/>
    <x v="0"/>
    <s v="OTHR - Other"/>
    <d v="2020-01-22T00:00:00"/>
    <s v="Other"/>
    <m/>
    <m/>
    <m/>
    <m/>
    <m/>
    <m/>
    <m/>
    <m/>
    <m/>
    <m/>
    <m/>
    <m/>
    <m/>
    <m/>
    <m/>
    <m/>
    <m/>
    <m/>
    <m/>
    <m/>
  </r>
  <r>
    <s v="XYZ"/>
    <s v="'11120044180300000011"/>
    <x v="0"/>
    <x v="157"/>
    <d v="2021-06-12T00:00:00"/>
    <x v="5"/>
    <n v="1"/>
    <s v="Vinay"/>
    <x v="0"/>
    <s v="Construction, Power &amp; Infrastructure"/>
    <s v="Cross Sell"/>
    <n v="24072.23"/>
    <d v="2020-12-13T00:00:00"/>
    <s v="Brokerage"/>
    <x v="0"/>
    <s v="OTHR - Other"/>
    <d v="2020-01-22T00:00:00"/>
    <s v="Other"/>
    <m/>
    <m/>
    <m/>
    <m/>
    <m/>
    <m/>
    <m/>
    <m/>
    <m/>
    <m/>
    <m/>
    <m/>
    <m/>
    <m/>
    <m/>
    <m/>
    <m/>
    <m/>
    <m/>
    <m/>
  </r>
  <r>
    <s v="XYZ"/>
    <s v="'11120044180300000011"/>
    <x v="0"/>
    <x v="157"/>
    <d v="2021-06-12T00:00:00"/>
    <x v="5"/>
    <n v="1"/>
    <s v="Vinay"/>
    <x v="0"/>
    <s v="Construction, Power &amp; Infrastructure"/>
    <s v="Cross Sell"/>
    <n v="24072.23"/>
    <d v="2019-06-13T00:00:00"/>
    <s v="Brokerage"/>
    <x v="0"/>
    <s v="OTHR - Other"/>
    <d v="2020-01-22T00:00:00"/>
    <s v="Other"/>
    <m/>
    <m/>
    <m/>
    <m/>
    <m/>
    <m/>
    <m/>
    <m/>
    <m/>
    <m/>
    <m/>
    <m/>
    <m/>
    <m/>
    <m/>
    <m/>
    <m/>
    <m/>
    <m/>
    <m/>
  </r>
  <r>
    <s v="XYZ"/>
    <s v="'11120044180300000011"/>
    <x v="0"/>
    <x v="157"/>
    <d v="2021-06-12T00:00:00"/>
    <x v="5"/>
    <n v="1"/>
    <s v="Vinay"/>
    <x v="0"/>
    <s v="Construction, Power &amp; Infrastructure"/>
    <s v="Cross Sell"/>
    <n v="24072.23"/>
    <d v="2019-09-13T00:00:00"/>
    <s v="Brokerage"/>
    <x v="0"/>
    <s v="OTHR - Other"/>
    <d v="2020-01-22T00:00:00"/>
    <s v="Other"/>
    <m/>
    <m/>
    <m/>
    <m/>
    <m/>
    <m/>
    <m/>
    <m/>
    <m/>
    <m/>
    <m/>
    <m/>
    <m/>
    <m/>
    <m/>
    <m/>
    <m/>
    <m/>
    <m/>
    <m/>
  </r>
  <r>
    <s v="XYZ"/>
    <s v="'11120044180300000011"/>
    <x v="0"/>
    <x v="157"/>
    <d v="2021-06-12T00:00:00"/>
    <x v="5"/>
    <n v="1"/>
    <s v="Vinay"/>
    <x v="0"/>
    <s v="Construction, Power &amp; Infrastructure"/>
    <s v="Cross Sell"/>
    <n v="24072.26"/>
    <d v="2019-03-13T00:00:00"/>
    <s v="Brokerage"/>
    <x v="0"/>
    <s v="OTHR - Other"/>
    <d v="2020-01-22T00:00:00"/>
    <s v="Other"/>
    <m/>
    <m/>
    <m/>
    <m/>
    <m/>
    <m/>
    <m/>
    <m/>
    <m/>
    <m/>
    <m/>
    <m/>
    <m/>
    <m/>
    <m/>
    <m/>
    <m/>
    <m/>
    <m/>
    <m/>
  </r>
  <r>
    <s v="XYZ"/>
    <s v="'11120044180300000011"/>
    <x v="0"/>
    <x v="157"/>
    <d v="2021-06-12T00:00:00"/>
    <x v="5"/>
    <n v="1"/>
    <s v="Vinay"/>
    <x v="0"/>
    <s v="Construction, Power &amp; Infrastructure"/>
    <s v="Cross Sell"/>
    <n v="35521.53"/>
    <d v="2018-12-13T00:00:00"/>
    <s v="Brokerage"/>
    <x v="0"/>
    <s v="OTHR - Other"/>
    <d v="2020-01-22T00:00:00"/>
    <s v="Other"/>
    <m/>
    <m/>
    <m/>
    <m/>
    <m/>
    <m/>
    <m/>
    <m/>
    <m/>
    <m/>
    <m/>
    <m/>
    <m/>
    <m/>
    <m/>
    <m/>
    <m/>
    <m/>
    <m/>
    <m/>
  </r>
  <r>
    <s v="XYZ"/>
    <s v="'11120044180300000012"/>
    <x v="0"/>
    <x v="158"/>
    <d v="2021-06-10T00:00:00"/>
    <x v="5"/>
    <n v="1"/>
    <s v="Vinay"/>
    <x v="0"/>
    <s v="Construction, Power &amp; Infrastructure"/>
    <s v="Cross Sell"/>
    <n v="31816.79"/>
    <d v="2019-12-11T00:00:00"/>
    <s v="Brokerage"/>
    <x v="0"/>
    <s v="OTHR - Other"/>
    <d v="2020-01-22T00:00:00"/>
    <s v="Other"/>
    <m/>
    <m/>
    <m/>
    <m/>
    <m/>
    <m/>
    <m/>
    <m/>
    <m/>
    <m/>
    <m/>
    <m/>
    <m/>
    <m/>
    <m/>
    <m/>
    <m/>
    <m/>
    <m/>
    <m/>
  </r>
  <r>
    <s v="XYZ"/>
    <s v="'11120044180300000012"/>
    <x v="0"/>
    <x v="158"/>
    <d v="2021-06-10T00:00:00"/>
    <x v="5"/>
    <n v="1"/>
    <s v="Vinay"/>
    <x v="0"/>
    <s v="Construction, Power &amp; Infrastructure"/>
    <s v="Cross Sell"/>
    <n v="31816.79"/>
    <d v="2020-03-11T00:00:00"/>
    <s v="Brokerage"/>
    <x v="0"/>
    <s v="OTHR - Other"/>
    <d v="2020-01-22T00:00:00"/>
    <s v="Other"/>
    <m/>
    <m/>
    <m/>
    <m/>
    <m/>
    <m/>
    <m/>
    <m/>
    <m/>
    <m/>
    <m/>
    <m/>
    <m/>
    <m/>
    <m/>
    <m/>
    <m/>
    <m/>
    <m/>
    <m/>
  </r>
  <r>
    <s v="XYZ"/>
    <s v="'11120044180300000012"/>
    <x v="0"/>
    <x v="158"/>
    <d v="2021-06-10T00:00:00"/>
    <x v="5"/>
    <n v="1"/>
    <s v="Vinay"/>
    <x v="0"/>
    <s v="Construction, Power &amp; Infrastructure"/>
    <s v="Cross Sell"/>
    <n v="31816.79"/>
    <d v="2020-06-11T00:00:00"/>
    <s v="Brokerage"/>
    <x v="0"/>
    <s v="OTHR - Other"/>
    <d v="2020-01-22T00:00:00"/>
    <s v="Other"/>
    <m/>
    <m/>
    <m/>
    <m/>
    <m/>
    <m/>
    <m/>
    <m/>
    <m/>
    <m/>
    <m/>
    <m/>
    <m/>
    <m/>
    <m/>
    <m/>
    <m/>
    <m/>
    <m/>
    <m/>
  </r>
  <r>
    <s v="XYZ"/>
    <s v="'11120044180300000012"/>
    <x v="0"/>
    <x v="158"/>
    <d v="2021-06-10T00:00:00"/>
    <x v="5"/>
    <n v="1"/>
    <s v="Vinay"/>
    <x v="0"/>
    <s v="Construction, Power &amp; Infrastructure"/>
    <s v="Cross Sell"/>
    <n v="31816.79"/>
    <d v="2020-09-11T00:00:00"/>
    <s v="Brokerage"/>
    <x v="0"/>
    <s v="OTHR - Other"/>
    <d v="2020-01-22T00:00:00"/>
    <s v="Other"/>
    <m/>
    <m/>
    <m/>
    <m/>
    <m/>
    <m/>
    <m/>
    <m/>
    <m/>
    <m/>
    <m/>
    <m/>
    <m/>
    <m/>
    <m/>
    <m/>
    <m/>
    <m/>
    <m/>
    <m/>
  </r>
  <r>
    <s v="XYZ"/>
    <s v="'11120044180300000012"/>
    <x v="0"/>
    <x v="158"/>
    <d v="2021-06-10T00:00:00"/>
    <x v="5"/>
    <n v="1"/>
    <s v="Vinay"/>
    <x v="0"/>
    <s v="Construction, Power &amp; Infrastructure"/>
    <s v="Cross Sell"/>
    <n v="31816.79"/>
    <d v="2020-12-11T00:00:00"/>
    <s v="Brokerage"/>
    <x v="0"/>
    <s v="OTHR - Other"/>
    <d v="2020-01-22T00:00:00"/>
    <s v="Other"/>
    <m/>
    <m/>
    <m/>
    <m/>
    <m/>
    <m/>
    <m/>
    <m/>
    <m/>
    <m/>
    <m/>
    <m/>
    <m/>
    <m/>
    <m/>
    <m/>
    <m/>
    <m/>
    <m/>
    <m/>
  </r>
  <r>
    <s v="XYZ"/>
    <s v="'11120044180300000012"/>
    <x v="0"/>
    <x v="158"/>
    <d v="2021-06-10T00:00:00"/>
    <x v="5"/>
    <n v="1"/>
    <s v="Vinay"/>
    <x v="0"/>
    <s v="Construction, Power &amp; Infrastructure"/>
    <s v="Cross Sell"/>
    <n v="31816.79"/>
    <d v="2019-09-11T00:00:00"/>
    <s v="Brokerage"/>
    <x v="0"/>
    <s v="OTHR - Other"/>
    <d v="2020-01-22T00:00:00"/>
    <s v="Other"/>
    <m/>
    <m/>
    <m/>
    <m/>
    <m/>
    <m/>
    <m/>
    <m/>
    <m/>
    <m/>
    <m/>
    <m/>
    <m/>
    <m/>
    <m/>
    <m/>
    <m/>
    <m/>
    <m/>
    <m/>
  </r>
  <r>
    <s v="XYZ"/>
    <s v="'11120044180300000012"/>
    <x v="0"/>
    <x v="158"/>
    <d v="2021-06-10T00:00:00"/>
    <x v="5"/>
    <n v="1"/>
    <s v="Vinay"/>
    <x v="0"/>
    <s v="Construction, Power &amp; Infrastructure"/>
    <s v="Cross Sell"/>
    <n v="31816.83"/>
    <d v="2019-03-11T00:00:00"/>
    <s v="Brokerage"/>
    <x v="0"/>
    <s v="OTHR - Other"/>
    <d v="2020-01-22T00:00:00"/>
    <s v="Other"/>
    <m/>
    <m/>
    <m/>
    <m/>
    <m/>
    <m/>
    <m/>
    <m/>
    <m/>
    <m/>
    <m/>
    <m/>
    <m/>
    <m/>
    <m/>
    <m/>
    <m/>
    <m/>
    <m/>
    <m/>
  </r>
  <r>
    <s v="XYZ"/>
    <s v="'11120044180300000012"/>
    <x v="0"/>
    <x v="158"/>
    <d v="2021-06-10T00:00:00"/>
    <x v="5"/>
    <n v="1"/>
    <s v="Vinay"/>
    <x v="0"/>
    <s v="Construction, Power &amp; Infrastructure"/>
    <s v="Cross Sell"/>
    <n v="31816.83"/>
    <d v="2019-06-11T00:00:00"/>
    <s v="Brokerage"/>
    <x v="0"/>
    <s v="OTHR - Other"/>
    <d v="2020-01-22T00:00:00"/>
    <s v="Other"/>
    <m/>
    <m/>
    <m/>
    <m/>
    <m/>
    <m/>
    <m/>
    <m/>
    <m/>
    <m/>
    <m/>
    <m/>
    <m/>
    <m/>
    <m/>
    <m/>
    <m/>
    <m/>
    <m/>
    <m/>
  </r>
  <r>
    <s v="XYZ"/>
    <s v="'11120044180300000012"/>
    <x v="0"/>
    <x v="158"/>
    <d v="2021-06-10T00:00:00"/>
    <x v="5"/>
    <n v="1"/>
    <s v="Vinay"/>
    <x v="0"/>
    <s v="Construction, Power &amp; Infrastructure"/>
    <s v="Cross Sell"/>
    <n v="46888.34"/>
    <d v="2018-12-11T00:00:00"/>
    <s v="Brokerage"/>
    <x v="0"/>
    <s v="OTHR - Other"/>
    <d v="2020-01-22T00:00:00"/>
    <s v="Other"/>
    <m/>
    <m/>
    <m/>
    <m/>
    <m/>
    <m/>
    <m/>
    <m/>
    <m/>
    <m/>
    <m/>
    <m/>
    <m/>
    <m/>
    <m/>
    <m/>
    <m/>
    <m/>
    <m/>
    <m/>
  </r>
  <r>
    <s v="XYZ"/>
    <s v="'11120044180800000002"/>
    <x v="0"/>
    <x v="159"/>
    <d v="2022-01-13T00:00:00"/>
    <x v="5"/>
    <n v="1"/>
    <s v="Vinay"/>
    <x v="0"/>
    <s v="Construction, Power &amp; Infrastructure"/>
    <s v="Cross Sell"/>
    <n v="5712.04"/>
    <d v="2019-10-14T00:00:00"/>
    <s v="Brokerage"/>
    <x v="0"/>
    <s v="OTHR - Other"/>
    <d v="2020-01-22T00:00:00"/>
    <s v="Other"/>
    <m/>
    <m/>
    <m/>
    <m/>
    <m/>
    <m/>
    <m/>
    <m/>
    <m/>
    <m/>
    <m/>
    <m/>
    <m/>
    <m/>
    <m/>
    <m/>
    <m/>
    <m/>
    <m/>
    <m/>
  </r>
  <r>
    <s v="XYZ"/>
    <s v="'11120044180800000002"/>
    <x v="0"/>
    <x v="159"/>
    <d v="2022-01-13T00:00:00"/>
    <x v="5"/>
    <n v="1"/>
    <s v="Vinay"/>
    <x v="0"/>
    <s v="Construction, Power &amp; Infrastructure"/>
    <s v="Cross Sell"/>
    <n v="5712.04"/>
    <d v="2020-01-14T00:00:00"/>
    <s v="Brokerage"/>
    <x v="0"/>
    <s v="OTHR - Other"/>
    <d v="2020-01-22T00:00:00"/>
    <s v="Other"/>
    <m/>
    <m/>
    <m/>
    <m/>
    <m/>
    <m/>
    <m/>
    <m/>
    <m/>
    <m/>
    <m/>
    <m/>
    <m/>
    <m/>
    <m/>
    <m/>
    <m/>
    <m/>
    <m/>
    <m/>
  </r>
  <r>
    <s v="XYZ"/>
    <s v="'11120044180800000002"/>
    <x v="0"/>
    <x v="159"/>
    <d v="2022-01-13T00:00:00"/>
    <x v="5"/>
    <n v="1"/>
    <s v="Vinay"/>
    <x v="0"/>
    <s v="Construction, Power &amp; Infrastructure"/>
    <s v="Cross Sell"/>
    <n v="5712.04"/>
    <d v="2020-04-14T00:00:00"/>
    <s v="Brokerage"/>
    <x v="0"/>
    <s v="OTHR - Other"/>
    <d v="2020-01-22T00:00:00"/>
    <s v="Other"/>
    <m/>
    <m/>
    <m/>
    <m/>
    <m/>
    <m/>
    <m/>
    <m/>
    <m/>
    <m/>
    <m/>
    <m/>
    <m/>
    <m/>
    <m/>
    <m/>
    <m/>
    <m/>
    <m/>
    <m/>
  </r>
  <r>
    <s v="XYZ"/>
    <s v="'11120044180800000002"/>
    <x v="0"/>
    <x v="159"/>
    <d v="2022-01-13T00:00:00"/>
    <x v="5"/>
    <n v="1"/>
    <s v="Vinay"/>
    <x v="0"/>
    <s v="Construction, Power &amp; Infrastructure"/>
    <s v="Cross Sell"/>
    <n v="5712.04"/>
    <d v="2020-07-14T00:00:00"/>
    <s v="Brokerage"/>
    <x v="0"/>
    <s v="OTHR - Other"/>
    <d v="2020-01-22T00:00:00"/>
    <s v="Other"/>
    <m/>
    <m/>
    <m/>
    <m/>
    <m/>
    <m/>
    <m/>
    <m/>
    <m/>
    <m/>
    <m/>
    <m/>
    <m/>
    <m/>
    <m/>
    <m/>
    <m/>
    <m/>
    <m/>
    <m/>
  </r>
  <r>
    <s v="XYZ"/>
    <s v="'11120044180800000002"/>
    <x v="0"/>
    <x v="159"/>
    <d v="2022-01-13T00:00:00"/>
    <x v="5"/>
    <n v="1"/>
    <s v="Vinay"/>
    <x v="0"/>
    <s v="Construction, Power &amp; Infrastructure"/>
    <s v="Cross Sell"/>
    <n v="5712.04"/>
    <d v="2020-10-14T00:00:00"/>
    <s v="Brokerage"/>
    <x v="0"/>
    <s v="OTHR - Other"/>
    <d v="2020-01-22T00:00:00"/>
    <s v="Other"/>
    <m/>
    <m/>
    <m/>
    <m/>
    <m/>
    <m/>
    <m/>
    <m/>
    <m/>
    <m/>
    <m/>
    <m/>
    <m/>
    <m/>
    <m/>
    <m/>
    <m/>
    <m/>
    <m/>
    <m/>
  </r>
  <r>
    <s v="XYZ"/>
    <s v="'11120044180800000002"/>
    <x v="0"/>
    <x v="159"/>
    <d v="2022-01-13T00:00:00"/>
    <x v="5"/>
    <n v="1"/>
    <s v="Vinay"/>
    <x v="0"/>
    <s v="Construction, Power &amp; Infrastructure"/>
    <s v="Cross Sell"/>
    <n v="5712.04"/>
    <d v="2021-01-14T00:00:00"/>
    <s v="Brokerage"/>
    <x v="0"/>
    <s v="OTHR - Other"/>
    <d v="2020-01-22T00:00:00"/>
    <s v="Other"/>
    <m/>
    <m/>
    <m/>
    <m/>
    <m/>
    <m/>
    <m/>
    <m/>
    <m/>
    <m/>
    <m/>
    <m/>
    <m/>
    <m/>
    <m/>
    <m/>
    <m/>
    <m/>
    <m/>
    <m/>
  </r>
  <r>
    <s v="XYZ"/>
    <s v="'11120044180800000002"/>
    <x v="0"/>
    <x v="159"/>
    <d v="2022-01-13T00:00:00"/>
    <x v="5"/>
    <n v="1"/>
    <s v="Vinay"/>
    <x v="0"/>
    <s v="Construction, Power &amp; Infrastructure"/>
    <s v="Cross Sell"/>
    <n v="5712.04"/>
    <d v="2021-04-14T00:00:00"/>
    <s v="Brokerage"/>
    <x v="0"/>
    <s v="OTHR - Other"/>
    <d v="2020-01-22T00:00:00"/>
    <s v="Other"/>
    <m/>
    <m/>
    <m/>
    <m/>
    <m/>
    <m/>
    <m/>
    <m/>
    <m/>
    <m/>
    <m/>
    <m/>
    <m/>
    <m/>
    <m/>
    <m/>
    <m/>
    <m/>
    <m/>
    <m/>
  </r>
  <r>
    <s v="XYZ"/>
    <s v="'11120044180800000002"/>
    <x v="0"/>
    <x v="159"/>
    <d v="2022-01-13T00:00:00"/>
    <x v="5"/>
    <n v="1"/>
    <s v="Vinay"/>
    <x v="0"/>
    <s v="Construction, Power &amp; Infrastructure"/>
    <s v="Cross Sell"/>
    <n v="5712.04"/>
    <d v="2021-07-14T00:00:00"/>
    <s v="Brokerage"/>
    <x v="0"/>
    <s v="OTHR - Other"/>
    <d v="2020-01-22T00:00:00"/>
    <s v="Other"/>
    <m/>
    <m/>
    <m/>
    <m/>
    <m/>
    <m/>
    <m/>
    <m/>
    <m/>
    <m/>
    <m/>
    <m/>
    <m/>
    <m/>
    <m/>
    <m/>
    <m/>
    <m/>
    <m/>
    <m/>
  </r>
  <r>
    <s v="XYZ"/>
    <s v="'11120044180800000002"/>
    <x v="0"/>
    <x v="159"/>
    <d v="2022-01-13T00:00:00"/>
    <x v="5"/>
    <n v="1"/>
    <s v="Vinay"/>
    <x v="0"/>
    <s v="Construction, Power &amp; Infrastructure"/>
    <s v="Cross Sell"/>
    <n v="5712.04"/>
    <d v="2018-10-14T00:00:00"/>
    <s v="Brokerage"/>
    <x v="0"/>
    <s v="OTHR - Other"/>
    <d v="2020-01-22T00:00:00"/>
    <s v="Other"/>
    <m/>
    <m/>
    <m/>
    <m/>
    <m/>
    <m/>
    <m/>
    <m/>
    <m/>
    <m/>
    <m/>
    <m/>
    <m/>
    <m/>
    <m/>
    <m/>
    <m/>
    <m/>
    <m/>
    <m/>
  </r>
  <r>
    <s v="XYZ"/>
    <s v="'11120044180800000002"/>
    <x v="0"/>
    <x v="159"/>
    <d v="2022-01-13T00:00:00"/>
    <x v="5"/>
    <n v="1"/>
    <s v="Vinay"/>
    <x v="0"/>
    <s v="Construction, Power &amp; Infrastructure"/>
    <s v="Cross Sell"/>
    <n v="5712.04"/>
    <d v="2019-01-14T00:00:00"/>
    <s v="Brokerage"/>
    <x v="0"/>
    <s v="OTHR - Other"/>
    <d v="2020-01-22T00:00:00"/>
    <s v="Other"/>
    <m/>
    <m/>
    <m/>
    <m/>
    <m/>
    <m/>
    <m/>
    <m/>
    <m/>
    <m/>
    <m/>
    <m/>
    <m/>
    <m/>
    <m/>
    <m/>
    <m/>
    <m/>
    <m/>
    <m/>
  </r>
  <r>
    <s v="XYZ"/>
    <s v="'11120044180800000002"/>
    <x v="0"/>
    <x v="159"/>
    <d v="2022-01-13T00:00:00"/>
    <x v="5"/>
    <n v="1"/>
    <s v="Vinay"/>
    <x v="0"/>
    <s v="Construction, Power &amp; Infrastructure"/>
    <s v="Cross Sell"/>
    <n v="5712.04"/>
    <d v="2019-04-14T00:00:00"/>
    <s v="Brokerage"/>
    <x v="0"/>
    <s v="OTHR - Other"/>
    <d v="2020-01-22T00:00:00"/>
    <s v="Other"/>
    <m/>
    <m/>
    <m/>
    <m/>
    <m/>
    <m/>
    <m/>
    <m/>
    <m/>
    <m/>
    <m/>
    <m/>
    <m/>
    <m/>
    <m/>
    <m/>
    <m/>
    <m/>
    <m/>
    <m/>
  </r>
  <r>
    <s v="XYZ"/>
    <s v="'11120044180800000002"/>
    <x v="0"/>
    <x v="159"/>
    <d v="2022-01-13T00:00:00"/>
    <x v="5"/>
    <n v="1"/>
    <s v="Vinay"/>
    <x v="0"/>
    <s v="Construction, Power &amp; Infrastructure"/>
    <s v="Cross Sell"/>
    <n v="5712.04"/>
    <d v="2019-07-14T00:00:00"/>
    <s v="Brokerage"/>
    <x v="0"/>
    <s v="OTHR - Other"/>
    <d v="2020-01-22T00:00:00"/>
    <s v="Other"/>
    <m/>
    <m/>
    <m/>
    <m/>
    <m/>
    <m/>
    <m/>
    <m/>
    <m/>
    <m/>
    <m/>
    <m/>
    <m/>
    <m/>
    <m/>
    <m/>
    <m/>
    <m/>
    <m/>
    <m/>
  </r>
  <r>
    <s v="XYZ"/>
    <s v="'11120044180800000002"/>
    <x v="0"/>
    <x v="159"/>
    <d v="2022-01-13T00:00:00"/>
    <x v="5"/>
    <n v="1"/>
    <s v="Vinay"/>
    <x v="0"/>
    <s v="Construction, Power &amp; Infrastructure"/>
    <s v="Cross Sell"/>
    <n v="15832.08"/>
    <d v="2018-07-14T00:00:00"/>
    <s v="Brokerage"/>
    <x v="0"/>
    <s v="OTHR - Other"/>
    <d v="2020-01-22T00:00:00"/>
    <s v="Other"/>
    <m/>
    <m/>
    <m/>
    <m/>
    <m/>
    <m/>
    <m/>
    <m/>
    <m/>
    <m/>
    <m/>
    <m/>
    <m/>
    <m/>
    <m/>
    <m/>
    <m/>
    <m/>
    <m/>
    <m/>
  </r>
  <r>
    <s v="XYZ"/>
    <s v="'11120044180800000003"/>
    <x v="0"/>
    <x v="159"/>
    <d v="2022-01-13T00:00:00"/>
    <x v="5"/>
    <n v="1"/>
    <s v="Vinay"/>
    <x v="0"/>
    <s v="Construction, Power &amp; Infrastructure"/>
    <s v="Cross Sell"/>
    <n v="11198.33"/>
    <d v="2021-07-14T00:00:00"/>
    <s v="Brokerage"/>
    <x v="0"/>
    <s v="OTHR - Other"/>
    <d v="2020-01-22T00:00:00"/>
    <s v="Other"/>
    <m/>
    <m/>
    <m/>
    <m/>
    <m/>
    <m/>
    <m/>
    <m/>
    <m/>
    <m/>
    <m/>
    <m/>
    <m/>
    <m/>
    <m/>
    <m/>
    <m/>
    <m/>
    <m/>
    <m/>
  </r>
  <r>
    <s v="XYZ"/>
    <s v="'11120044180800000003"/>
    <x v="0"/>
    <x v="159"/>
    <d v="2022-01-13T00:00:00"/>
    <x v="5"/>
    <n v="1"/>
    <s v="Vinay"/>
    <x v="0"/>
    <s v="Construction, Power &amp; Infrastructure"/>
    <s v="Cross Sell"/>
    <n v="11279.55"/>
    <d v="2020-01-14T00:00:00"/>
    <s v="Brokerage"/>
    <x v="0"/>
    <s v="OTHR - Other"/>
    <d v="2020-01-22T00:00:00"/>
    <s v="Other"/>
    <m/>
    <m/>
    <m/>
    <m/>
    <m/>
    <m/>
    <m/>
    <m/>
    <m/>
    <m/>
    <m/>
    <m/>
    <m/>
    <m/>
    <m/>
    <m/>
    <m/>
    <m/>
    <m/>
    <m/>
  </r>
  <r>
    <s v="XYZ"/>
    <s v="'11120044180800000003"/>
    <x v="0"/>
    <x v="159"/>
    <d v="2022-01-13T00:00:00"/>
    <x v="5"/>
    <n v="1"/>
    <s v="Vinay"/>
    <x v="0"/>
    <s v="Construction, Power &amp; Infrastructure"/>
    <s v="Cross Sell"/>
    <n v="11279.55"/>
    <d v="2020-04-14T00:00:00"/>
    <s v="Brokerage"/>
    <x v="0"/>
    <s v="OTHR - Other"/>
    <d v="2020-01-22T00:00:00"/>
    <s v="Other"/>
    <m/>
    <m/>
    <m/>
    <m/>
    <m/>
    <m/>
    <m/>
    <m/>
    <m/>
    <m/>
    <m/>
    <m/>
    <m/>
    <m/>
    <m/>
    <m/>
    <m/>
    <m/>
    <m/>
    <m/>
  </r>
  <r>
    <s v="XYZ"/>
    <s v="'11120044180800000003"/>
    <x v="0"/>
    <x v="159"/>
    <d v="2022-01-13T00:00:00"/>
    <x v="5"/>
    <n v="1"/>
    <s v="Vinay"/>
    <x v="0"/>
    <s v="Construction, Power &amp; Infrastructure"/>
    <s v="Cross Sell"/>
    <n v="11279.55"/>
    <d v="2020-07-14T00:00:00"/>
    <s v="Brokerage"/>
    <x v="0"/>
    <s v="OTHR - Other"/>
    <d v="2020-01-22T00:00:00"/>
    <s v="Other"/>
    <m/>
    <m/>
    <m/>
    <m/>
    <m/>
    <m/>
    <m/>
    <m/>
    <m/>
    <m/>
    <m/>
    <m/>
    <m/>
    <m/>
    <m/>
    <m/>
    <m/>
    <m/>
    <m/>
    <m/>
  </r>
  <r>
    <s v="XYZ"/>
    <s v="'11120044180800000003"/>
    <x v="0"/>
    <x v="159"/>
    <d v="2022-01-13T00:00:00"/>
    <x v="5"/>
    <n v="1"/>
    <s v="Vinay"/>
    <x v="0"/>
    <s v="Construction, Power &amp; Infrastructure"/>
    <s v="Cross Sell"/>
    <n v="11279.55"/>
    <d v="2020-10-14T00:00:00"/>
    <s v="Brokerage"/>
    <x v="0"/>
    <s v="OTHR - Other"/>
    <d v="2020-01-22T00:00:00"/>
    <s v="Other"/>
    <m/>
    <m/>
    <m/>
    <m/>
    <m/>
    <m/>
    <m/>
    <m/>
    <m/>
    <m/>
    <m/>
    <m/>
    <m/>
    <m/>
    <m/>
    <m/>
    <m/>
    <m/>
    <m/>
    <m/>
  </r>
  <r>
    <s v="XYZ"/>
    <s v="'11120044180800000003"/>
    <x v="0"/>
    <x v="159"/>
    <d v="2022-01-13T00:00:00"/>
    <x v="5"/>
    <n v="1"/>
    <s v="Vinay"/>
    <x v="0"/>
    <s v="Construction, Power &amp; Infrastructure"/>
    <s v="Cross Sell"/>
    <n v="11279.55"/>
    <d v="2021-01-14T00:00:00"/>
    <s v="Brokerage"/>
    <x v="0"/>
    <s v="OTHR - Other"/>
    <d v="2020-01-22T00:00:00"/>
    <s v="Other"/>
    <m/>
    <m/>
    <m/>
    <m/>
    <m/>
    <m/>
    <m/>
    <m/>
    <m/>
    <m/>
    <m/>
    <m/>
    <m/>
    <m/>
    <m/>
    <m/>
    <m/>
    <m/>
    <m/>
    <m/>
  </r>
  <r>
    <s v="XYZ"/>
    <s v="'11120044180800000003"/>
    <x v="0"/>
    <x v="159"/>
    <d v="2022-01-13T00:00:00"/>
    <x v="5"/>
    <n v="1"/>
    <s v="Vinay"/>
    <x v="0"/>
    <s v="Construction, Power &amp; Infrastructure"/>
    <s v="Cross Sell"/>
    <n v="11279.55"/>
    <d v="2021-04-14T00:00:00"/>
    <s v="Brokerage"/>
    <x v="0"/>
    <s v="OTHR - Other"/>
    <d v="2020-01-22T00:00:00"/>
    <s v="Other"/>
    <m/>
    <m/>
    <m/>
    <m/>
    <m/>
    <m/>
    <m/>
    <m/>
    <m/>
    <m/>
    <m/>
    <m/>
    <m/>
    <m/>
    <m/>
    <m/>
    <m/>
    <m/>
    <m/>
    <m/>
  </r>
  <r>
    <s v="XYZ"/>
    <s v="'11120044180800000003"/>
    <x v="0"/>
    <x v="159"/>
    <d v="2022-01-13T00:00:00"/>
    <x v="5"/>
    <n v="1"/>
    <s v="Vinay"/>
    <x v="0"/>
    <s v="Construction, Power &amp; Infrastructure"/>
    <s v="Cross Sell"/>
    <n v="11279.55"/>
    <d v="2018-10-14T00:00:00"/>
    <s v="Brokerage"/>
    <x v="0"/>
    <s v="OTHR - Other"/>
    <d v="2020-01-22T00:00:00"/>
    <s v="Other"/>
    <m/>
    <m/>
    <m/>
    <m/>
    <m/>
    <m/>
    <m/>
    <m/>
    <m/>
    <m/>
    <m/>
    <m/>
    <m/>
    <m/>
    <m/>
    <m/>
    <m/>
    <m/>
    <m/>
    <m/>
  </r>
  <r>
    <s v="XYZ"/>
    <s v="'11120044180800000003"/>
    <x v="0"/>
    <x v="159"/>
    <d v="2022-01-13T00:00:00"/>
    <x v="5"/>
    <n v="1"/>
    <s v="Vinay"/>
    <x v="0"/>
    <s v="Construction, Power &amp; Infrastructure"/>
    <s v="Cross Sell"/>
    <n v="11279.55"/>
    <d v="2019-01-14T00:00:00"/>
    <s v="Brokerage"/>
    <x v="0"/>
    <s v="OTHR - Other"/>
    <d v="2020-01-22T00:00:00"/>
    <s v="Other"/>
    <m/>
    <m/>
    <m/>
    <m/>
    <m/>
    <m/>
    <m/>
    <m/>
    <m/>
    <m/>
    <m/>
    <m/>
    <m/>
    <m/>
    <m/>
    <m/>
    <m/>
    <m/>
    <m/>
    <m/>
  </r>
  <r>
    <s v="XYZ"/>
    <s v="'11120044180800000003"/>
    <x v="0"/>
    <x v="159"/>
    <d v="2022-01-13T00:00:00"/>
    <x v="5"/>
    <n v="1"/>
    <s v="Vinay"/>
    <x v="0"/>
    <s v="Construction, Power &amp; Infrastructure"/>
    <s v="Cross Sell"/>
    <n v="11279.55"/>
    <d v="2019-04-14T00:00:00"/>
    <s v="Brokerage"/>
    <x v="0"/>
    <s v="OTHR - Other"/>
    <d v="2020-01-22T00:00:00"/>
    <s v="Other"/>
    <m/>
    <m/>
    <m/>
    <m/>
    <m/>
    <m/>
    <m/>
    <m/>
    <m/>
    <m/>
    <m/>
    <m/>
    <m/>
    <m/>
    <m/>
    <m/>
    <m/>
    <m/>
    <m/>
    <m/>
  </r>
  <r>
    <s v="XYZ"/>
    <s v="'11120044180800000003"/>
    <x v="0"/>
    <x v="159"/>
    <d v="2022-01-13T00:00:00"/>
    <x v="5"/>
    <n v="1"/>
    <s v="Vinay"/>
    <x v="0"/>
    <s v="Construction, Power &amp; Infrastructure"/>
    <s v="Cross Sell"/>
    <n v="11279.55"/>
    <d v="2019-07-14T00:00:00"/>
    <s v="Brokerage"/>
    <x v="0"/>
    <s v="OTHR - Other"/>
    <d v="2020-01-22T00:00:00"/>
    <s v="Other"/>
    <m/>
    <m/>
    <m/>
    <m/>
    <m/>
    <m/>
    <m/>
    <m/>
    <m/>
    <m/>
    <m/>
    <m/>
    <m/>
    <m/>
    <m/>
    <m/>
    <m/>
    <m/>
    <m/>
    <m/>
  </r>
  <r>
    <s v="XYZ"/>
    <s v="'11120044180800000003"/>
    <x v="0"/>
    <x v="159"/>
    <d v="2022-01-13T00:00:00"/>
    <x v="5"/>
    <n v="1"/>
    <s v="Vinay"/>
    <x v="0"/>
    <s v="Construction, Power &amp; Infrastructure"/>
    <s v="Cross Sell"/>
    <n v="11279.55"/>
    <d v="2019-10-14T00:00:00"/>
    <s v="Brokerage"/>
    <x v="0"/>
    <s v="OTHR - Other"/>
    <d v="2020-01-22T00:00:00"/>
    <s v="Other"/>
    <m/>
    <m/>
    <m/>
    <m/>
    <m/>
    <m/>
    <m/>
    <m/>
    <m/>
    <m/>
    <m/>
    <m/>
    <m/>
    <m/>
    <m/>
    <m/>
    <m/>
    <m/>
    <m/>
    <m/>
  </r>
  <r>
    <s v="XYZ"/>
    <s v="'11120044180800000003"/>
    <x v="0"/>
    <x v="159"/>
    <d v="2022-01-13T00:00:00"/>
    <x v="5"/>
    <n v="1"/>
    <s v="Vinay"/>
    <x v="0"/>
    <s v="Construction, Power &amp; Infrastructure"/>
    <s v="Cross Sell"/>
    <n v="27256.2"/>
    <d v="2018-07-14T00:00:00"/>
    <s v="Brokerage"/>
    <x v="0"/>
    <s v="OTHR - Other"/>
    <d v="2020-01-22T00:00:00"/>
    <s v="Other"/>
    <m/>
    <m/>
    <m/>
    <m/>
    <m/>
    <m/>
    <m/>
    <m/>
    <m/>
    <m/>
    <m/>
    <m/>
    <m/>
    <m/>
    <m/>
    <m/>
    <m/>
    <m/>
    <m/>
    <m/>
  </r>
  <r>
    <s v="XYZ"/>
    <s v="'11120044180800000006"/>
    <x v="0"/>
    <x v="99"/>
    <d v="2021-06-13T00:00:00"/>
    <x v="5"/>
    <n v="1"/>
    <s v="Vinay"/>
    <x v="0"/>
    <s v="Construction, Power &amp; Infrastructure"/>
    <s v="Cross Sell"/>
    <n v="2426.0300000000002"/>
    <d v="2020-12-14T00:00:00"/>
    <s v="Brokerage"/>
    <x v="0"/>
    <s v="OTHR - Other"/>
    <d v="2020-01-22T00:00:00"/>
    <s v="Other"/>
    <m/>
    <m/>
    <m/>
    <m/>
    <m/>
    <m/>
    <m/>
    <m/>
    <m/>
    <m/>
    <m/>
    <m/>
    <m/>
    <m/>
    <m/>
    <m/>
    <m/>
    <m/>
    <m/>
    <m/>
  </r>
  <r>
    <s v="XYZ"/>
    <s v="'11120044180800000006"/>
    <x v="0"/>
    <x v="99"/>
    <d v="2021-06-13T00:00:00"/>
    <x v="5"/>
    <n v="1"/>
    <s v="Vinay"/>
    <x v="0"/>
    <s v="Construction, Power &amp; Infrastructure"/>
    <s v="Cross Sell"/>
    <n v="2426.06"/>
    <d v="2019-12-14T00:00:00"/>
    <s v="Brokerage"/>
    <x v="0"/>
    <s v="OTHR - Other"/>
    <d v="2020-01-22T00:00:00"/>
    <s v="Other"/>
    <m/>
    <m/>
    <m/>
    <m/>
    <m/>
    <m/>
    <m/>
    <m/>
    <m/>
    <m/>
    <m/>
    <m/>
    <m/>
    <m/>
    <m/>
    <m/>
    <m/>
    <m/>
    <m/>
    <m/>
  </r>
  <r>
    <s v="XYZ"/>
    <s v="'11120044180800000006"/>
    <x v="0"/>
    <x v="99"/>
    <d v="2021-06-13T00:00:00"/>
    <x v="5"/>
    <n v="1"/>
    <s v="Vinay"/>
    <x v="0"/>
    <s v="Construction, Power &amp; Infrastructure"/>
    <s v="Cross Sell"/>
    <n v="2426.06"/>
    <d v="2020-03-14T00:00:00"/>
    <s v="Brokerage"/>
    <x v="0"/>
    <s v="OTHR - Other"/>
    <d v="2020-01-22T00:00:00"/>
    <s v="Other"/>
    <m/>
    <m/>
    <m/>
    <m/>
    <m/>
    <m/>
    <m/>
    <m/>
    <m/>
    <m/>
    <m/>
    <m/>
    <m/>
    <m/>
    <m/>
    <m/>
    <m/>
    <m/>
    <m/>
    <m/>
  </r>
  <r>
    <s v="XYZ"/>
    <s v="'11120044180800000006"/>
    <x v="0"/>
    <x v="99"/>
    <d v="2021-06-13T00:00:00"/>
    <x v="5"/>
    <n v="1"/>
    <s v="Vinay"/>
    <x v="0"/>
    <s v="Construction, Power &amp; Infrastructure"/>
    <s v="Cross Sell"/>
    <n v="2426.06"/>
    <d v="2020-06-14T00:00:00"/>
    <s v="Brokerage"/>
    <x v="0"/>
    <s v="OTHR - Other"/>
    <d v="2020-01-22T00:00:00"/>
    <s v="Other"/>
    <m/>
    <m/>
    <m/>
    <m/>
    <m/>
    <m/>
    <m/>
    <m/>
    <m/>
    <m/>
    <m/>
    <m/>
    <m/>
    <m/>
    <m/>
    <m/>
    <m/>
    <m/>
    <m/>
    <m/>
  </r>
  <r>
    <s v="XYZ"/>
    <s v="'11120044180800000006"/>
    <x v="0"/>
    <x v="99"/>
    <d v="2021-06-13T00:00:00"/>
    <x v="5"/>
    <n v="1"/>
    <s v="Vinay"/>
    <x v="0"/>
    <s v="Construction, Power &amp; Infrastructure"/>
    <s v="Cross Sell"/>
    <n v="2426.06"/>
    <d v="2020-09-14T00:00:00"/>
    <s v="Brokerage"/>
    <x v="0"/>
    <s v="OTHR - Other"/>
    <d v="2020-01-22T00:00:00"/>
    <s v="Other"/>
    <m/>
    <m/>
    <m/>
    <m/>
    <m/>
    <m/>
    <m/>
    <m/>
    <m/>
    <m/>
    <m/>
    <m/>
    <m/>
    <m/>
    <m/>
    <m/>
    <m/>
    <m/>
    <m/>
    <m/>
  </r>
  <r>
    <s v="XYZ"/>
    <s v="'11120044180800000006"/>
    <x v="0"/>
    <x v="99"/>
    <d v="2021-06-13T00:00:00"/>
    <x v="5"/>
    <n v="1"/>
    <s v="Vinay"/>
    <x v="0"/>
    <s v="Construction, Power &amp; Infrastructure"/>
    <s v="Cross Sell"/>
    <n v="2426.06"/>
    <d v="2019-03-14T00:00:00"/>
    <s v="Brokerage"/>
    <x v="0"/>
    <s v="OTHR - Other"/>
    <d v="2020-01-22T00:00:00"/>
    <s v="Other"/>
    <m/>
    <m/>
    <m/>
    <m/>
    <m/>
    <m/>
    <m/>
    <m/>
    <m/>
    <m/>
    <m/>
    <m/>
    <m/>
    <m/>
    <m/>
    <m/>
    <m/>
    <m/>
    <m/>
    <m/>
  </r>
  <r>
    <s v="XYZ"/>
    <s v="'11120044180800000006"/>
    <x v="0"/>
    <x v="99"/>
    <d v="2021-06-13T00:00:00"/>
    <x v="5"/>
    <n v="1"/>
    <s v="Vinay"/>
    <x v="0"/>
    <s v="Construction, Power &amp; Infrastructure"/>
    <s v="Cross Sell"/>
    <n v="2426.06"/>
    <d v="2019-06-14T00:00:00"/>
    <s v="Brokerage"/>
    <x v="0"/>
    <s v="OTHR - Other"/>
    <d v="2020-01-22T00:00:00"/>
    <s v="Other"/>
    <m/>
    <m/>
    <m/>
    <m/>
    <m/>
    <m/>
    <m/>
    <m/>
    <m/>
    <m/>
    <m/>
    <m/>
    <m/>
    <m/>
    <m/>
    <m/>
    <m/>
    <m/>
    <m/>
    <m/>
  </r>
  <r>
    <s v="XYZ"/>
    <s v="'11120044180800000006"/>
    <x v="0"/>
    <x v="99"/>
    <d v="2021-06-13T00:00:00"/>
    <x v="5"/>
    <n v="1"/>
    <s v="Vinay"/>
    <x v="0"/>
    <s v="Construction, Power &amp; Infrastructure"/>
    <s v="Cross Sell"/>
    <n v="2426.06"/>
    <d v="2019-09-14T00:00:00"/>
    <s v="Brokerage"/>
    <x v="0"/>
    <s v="OTHR - Other"/>
    <d v="2020-01-22T00:00:00"/>
    <s v="Other"/>
    <m/>
    <m/>
    <m/>
    <m/>
    <m/>
    <m/>
    <m/>
    <m/>
    <m/>
    <m/>
    <m/>
    <m/>
    <m/>
    <m/>
    <m/>
    <m/>
    <m/>
    <m/>
    <m/>
    <m/>
  </r>
  <r>
    <s v="XYZ"/>
    <s v="'11120044180800000006"/>
    <x v="0"/>
    <x v="99"/>
    <d v="2021-06-13T00:00:00"/>
    <x v="5"/>
    <n v="1"/>
    <s v="Vinay"/>
    <x v="0"/>
    <s v="Construction, Power &amp; Infrastructure"/>
    <s v="Cross Sell"/>
    <n v="6203.49"/>
    <d v="2018-12-14T00:00:00"/>
    <s v="Brokerage"/>
    <x v="0"/>
    <s v="OTHR - Other"/>
    <d v="2020-01-22T00:00:00"/>
    <s v="Other"/>
    <m/>
    <m/>
    <m/>
    <m/>
    <m/>
    <m/>
    <m/>
    <m/>
    <m/>
    <m/>
    <m/>
    <m/>
    <m/>
    <m/>
    <m/>
    <m/>
    <m/>
    <m/>
    <m/>
    <m/>
  </r>
  <r>
    <s v="XYZ"/>
    <s v="1210001119P104351661'"/>
    <x v="0"/>
    <x v="160"/>
    <d v="2020-06-25T00:00:00"/>
    <x v="1"/>
    <n v="11"/>
    <s v="Raju Kumar"/>
    <x v="0"/>
    <s v="Construction, Power &amp; Infrastructure"/>
    <s v="Cross Sell"/>
    <n v="137712.39000000001"/>
    <d v="2019-06-26T00:00:00"/>
    <s v="Brokerage"/>
    <x v="0"/>
    <s v="OTHR - Other"/>
    <d v="2020-01-22T00:00:00"/>
    <s v="Other"/>
    <m/>
    <m/>
    <m/>
    <m/>
    <m/>
    <m/>
    <m/>
    <m/>
    <m/>
    <m/>
    <m/>
    <m/>
    <m/>
    <m/>
    <m/>
    <m/>
    <m/>
    <m/>
    <m/>
    <m/>
  </r>
  <r>
    <s v="XYZ"/>
    <s v="'1213004416P107726014 / 1213002116P107726019"/>
    <x v="0"/>
    <x v="88"/>
    <d v="2019-05-27T00:00:00"/>
    <x v="5"/>
    <n v="1"/>
    <s v="Vinay"/>
    <x v="0"/>
    <s v="Construction, Power &amp; Infrastructure"/>
    <s v="Cross Sell"/>
    <n v="21929.45"/>
    <d v="2019-03-01T00:00:00"/>
    <s v="Brokerage"/>
    <x v="1"/>
    <s v="OTHR - Other"/>
    <d v="2020-01-22T00:00:00"/>
    <s v="Other"/>
    <m/>
    <m/>
    <m/>
    <m/>
    <m/>
    <m/>
    <m/>
    <m/>
    <m/>
    <m/>
    <m/>
    <m/>
    <m/>
    <m/>
    <m/>
    <m/>
    <m/>
    <m/>
    <m/>
    <m/>
  </r>
  <r>
    <s v="XYZ"/>
    <s v="1213004416P107726014  (SCE)/1213002116P107726019 ( MCE)"/>
    <x v="1"/>
    <x v="161"/>
    <d v="2019-02-28T00:00:00"/>
    <x v="5"/>
    <n v="1"/>
    <s v="Vinay"/>
    <x v="0"/>
    <s v="Construction, Power &amp; Infrastructure"/>
    <s v="Cross Sell"/>
    <n v="55777.3"/>
    <d v="2016-08-29T00:00:00"/>
    <s v="Brokerage"/>
    <x v="0"/>
    <s v="OTHR - Other"/>
    <d v="2020-01-22T00:00:00"/>
    <s v="Other"/>
    <m/>
    <m/>
    <m/>
    <m/>
    <m/>
    <m/>
    <m/>
    <m/>
    <m/>
    <m/>
    <m/>
    <m/>
    <m/>
    <m/>
    <m/>
    <m/>
    <m/>
    <m/>
    <m/>
    <m/>
  </r>
  <r>
    <s v="XYZ"/>
    <s v="1213004416P107744588 "/>
    <x v="1"/>
    <x v="162"/>
    <d v="2018-08-25T00:00:00"/>
    <x v="5"/>
    <n v="1"/>
    <s v="Vinay"/>
    <x v="0"/>
    <s v="Construction, Power &amp; Infrastructure"/>
    <s v="Cross Sell"/>
    <n v="101109.75"/>
    <d v="2018-08-25T00:00:00"/>
    <s v="Brokerage"/>
    <x v="3"/>
    <s v="NOLN - No Longer Needed"/>
    <d v="2020-01-22T00:00:00"/>
    <s v="NOLN - No Longer Needed"/>
    <m/>
    <m/>
    <m/>
    <m/>
    <m/>
    <m/>
    <m/>
    <m/>
    <m/>
    <m/>
    <m/>
    <m/>
    <m/>
    <m/>
    <m/>
    <m/>
    <m/>
    <m/>
    <m/>
    <m/>
  </r>
  <r>
    <s v="Sanjay Trivedi"/>
    <s v="'1213004416P109402880"/>
    <x v="0"/>
    <x v="163"/>
    <d v="2019-09-22T00:00:00"/>
    <x v="5"/>
    <n v="1"/>
    <s v="Vinay"/>
    <x v="0"/>
    <s v="Construction, Power &amp; Infrastructure"/>
    <s v="New"/>
    <n v="31589.25"/>
    <d v="2017-12-23T00:00:00"/>
    <s v="Brokerage"/>
    <x v="2"/>
    <s v="OTHR - Other"/>
    <d v="2020-01-22T00:00:00"/>
    <s v="Other"/>
    <m/>
    <m/>
    <m/>
    <m/>
    <m/>
    <m/>
    <m/>
    <m/>
    <m/>
    <m/>
    <m/>
    <m/>
    <m/>
    <m/>
    <m/>
    <m/>
    <m/>
    <m/>
    <m/>
    <m/>
  </r>
  <r>
    <s v="Anita Sethi"/>
    <s v="'1213004416P109402880"/>
    <x v="0"/>
    <x v="163"/>
    <d v="2019-09-22T00:00:00"/>
    <x v="5"/>
    <n v="1"/>
    <s v="Vinay"/>
    <x v="0"/>
    <s v="Construction, Power &amp; Infrastructure"/>
    <s v="New"/>
    <n v="31589.25"/>
    <d v="2018-03-23T00:00:00"/>
    <s v="Brokerage"/>
    <x v="2"/>
    <s v="OTHR - Other"/>
    <d v="2020-01-22T00:00:00"/>
    <s v="Other"/>
    <m/>
    <m/>
    <m/>
    <m/>
    <m/>
    <m/>
    <m/>
    <m/>
    <m/>
    <m/>
    <m/>
    <m/>
    <m/>
    <m/>
    <m/>
    <m/>
    <m/>
    <m/>
    <m/>
    <m/>
  </r>
  <r>
    <s v="Ashok Chatterjee"/>
    <s v="'1213004416P109402880"/>
    <x v="0"/>
    <x v="163"/>
    <d v="2019-09-22T00:00:00"/>
    <x v="5"/>
    <n v="1"/>
    <s v="Vinay"/>
    <x v="0"/>
    <s v="Construction, Power &amp; Infrastructure"/>
    <s v="New"/>
    <n v="31589.25"/>
    <d v="2018-06-23T00:00:00"/>
    <s v="Brokerage"/>
    <x v="2"/>
    <s v="OTHR - Other"/>
    <d v="2020-01-22T00:00:00"/>
    <s v="Other"/>
    <m/>
    <m/>
    <m/>
    <m/>
    <m/>
    <m/>
    <m/>
    <m/>
    <m/>
    <m/>
    <m/>
    <m/>
    <m/>
    <m/>
    <m/>
    <m/>
    <m/>
    <m/>
    <m/>
    <m/>
  </r>
  <r>
    <s v="Rani Agarwal"/>
    <s v="'1213004416P109402880"/>
    <x v="0"/>
    <x v="163"/>
    <d v="2019-09-22T00:00:00"/>
    <x v="5"/>
    <n v="1"/>
    <s v="Vinay"/>
    <x v="0"/>
    <s v="Construction, Power &amp; Infrastructure"/>
    <s v="New"/>
    <n v="31589.25"/>
    <d v="2018-09-23T00:00:00"/>
    <s v="Brokerage"/>
    <x v="2"/>
    <s v="OTHR - Other"/>
    <d v="2020-01-22T00:00:00"/>
    <s v="Other"/>
    <m/>
    <m/>
    <m/>
    <m/>
    <m/>
    <m/>
    <m/>
    <m/>
    <m/>
    <m/>
    <m/>
    <m/>
    <m/>
    <m/>
    <m/>
    <m/>
    <m/>
    <m/>
    <m/>
    <m/>
  </r>
  <r>
    <s v="Arjun Rao"/>
    <s v="'1213004416P109402880"/>
    <x v="0"/>
    <x v="163"/>
    <d v="2019-09-22T00:00:00"/>
    <x v="5"/>
    <n v="1"/>
    <s v="Vinay"/>
    <x v="0"/>
    <s v="Construction, Power &amp; Infrastructure"/>
    <s v="New"/>
    <n v="31589.25"/>
    <d v="2018-12-23T00:00:00"/>
    <s v="Brokerage"/>
    <x v="2"/>
    <s v="OTHR - Other"/>
    <d v="2020-01-22T00:00:00"/>
    <s v="Other"/>
    <m/>
    <m/>
    <m/>
    <m/>
    <m/>
    <m/>
    <m/>
    <m/>
    <m/>
    <m/>
    <m/>
    <m/>
    <m/>
    <m/>
    <m/>
    <m/>
    <m/>
    <m/>
    <m/>
    <m/>
  </r>
  <r>
    <s v="Anil Naik"/>
    <s v="'1213004416P109402880"/>
    <x v="0"/>
    <x v="163"/>
    <d v="2019-09-22T00:00:00"/>
    <x v="5"/>
    <n v="1"/>
    <s v="Vinay"/>
    <x v="0"/>
    <s v="Construction, Power &amp; Infrastructure"/>
    <s v="New"/>
    <n v="31589.25"/>
    <d v="2019-03-23T00:00:00"/>
    <s v="Brokerage"/>
    <x v="2"/>
    <s v="OTHR - Other"/>
    <d v="2020-01-22T00:00:00"/>
    <s v="Other"/>
    <m/>
    <m/>
    <m/>
    <m/>
    <m/>
    <m/>
    <m/>
    <m/>
    <m/>
    <m/>
    <m/>
    <m/>
    <m/>
    <m/>
    <m/>
    <m/>
    <m/>
    <m/>
    <m/>
    <m/>
  </r>
  <r>
    <s v="Simran Trivedi"/>
    <s v="'1213004416P109402880"/>
    <x v="0"/>
    <x v="163"/>
    <d v="2019-09-22T00:00:00"/>
    <x v="5"/>
    <n v="1"/>
    <s v="Vinay"/>
    <x v="0"/>
    <s v="Construction, Power &amp; Infrastructure"/>
    <s v="New"/>
    <n v="31589.3"/>
    <d v="2016-12-23T00:00:00"/>
    <s v="Brokerage"/>
    <x v="2"/>
    <s v="OTHR - Other"/>
    <d v="2020-01-22T00:00:00"/>
    <s v="Other"/>
    <m/>
    <m/>
    <m/>
    <m/>
    <m/>
    <m/>
    <m/>
    <m/>
    <m/>
    <m/>
    <m/>
    <m/>
    <m/>
    <m/>
    <m/>
    <m/>
    <m/>
    <m/>
    <m/>
    <m/>
  </r>
  <r>
    <s v="Dhruv Chopra"/>
    <s v="'1213004416P109402880"/>
    <x v="0"/>
    <x v="163"/>
    <d v="2019-09-22T00:00:00"/>
    <x v="5"/>
    <n v="1"/>
    <s v="Vinay"/>
    <x v="0"/>
    <s v="Construction, Power &amp; Infrastructure"/>
    <s v="New"/>
    <n v="31589.3"/>
    <d v="2017-03-23T00:00:00"/>
    <s v="Brokerage"/>
    <x v="2"/>
    <s v="OTHR - Other"/>
    <d v="2020-01-22T00:00:00"/>
    <s v="Other"/>
    <m/>
    <m/>
    <m/>
    <m/>
    <m/>
    <m/>
    <m/>
    <m/>
    <m/>
    <m/>
    <m/>
    <m/>
    <m/>
    <m/>
    <m/>
    <m/>
    <m/>
    <m/>
    <m/>
    <m/>
  </r>
  <r>
    <s v="Jaya Chopra"/>
    <s v="'1213004416P109402880"/>
    <x v="0"/>
    <x v="163"/>
    <d v="2019-09-22T00:00:00"/>
    <x v="5"/>
    <n v="1"/>
    <s v="Vinay"/>
    <x v="0"/>
    <s v="Construction, Power &amp; Infrastructure"/>
    <s v="New"/>
    <n v="31589.3"/>
    <d v="2017-06-23T00:00:00"/>
    <s v="Brokerage"/>
    <x v="2"/>
    <s v="OTHR - Other"/>
    <d v="2020-01-22T00:00:00"/>
    <s v="Other"/>
    <m/>
    <m/>
    <m/>
    <m/>
    <m/>
    <m/>
    <m/>
    <m/>
    <m/>
    <m/>
    <m/>
    <m/>
    <m/>
    <m/>
    <m/>
    <m/>
    <m/>
    <m/>
    <m/>
    <m/>
  </r>
  <r>
    <s v="Kiran Goyal"/>
    <s v="'1213004416P109402880"/>
    <x v="0"/>
    <x v="163"/>
    <d v="2019-09-22T00:00:00"/>
    <x v="5"/>
    <n v="1"/>
    <s v="Vinay"/>
    <x v="0"/>
    <s v="Construction, Power &amp; Infrastructure"/>
    <s v="New"/>
    <n v="31589.3"/>
    <d v="2017-09-23T00:00:00"/>
    <s v="Brokerage"/>
    <x v="2"/>
    <s v="OTHR - Other"/>
    <d v="2020-01-22T00:00:00"/>
    <s v="Other"/>
    <m/>
    <m/>
    <m/>
    <m/>
    <m/>
    <m/>
    <m/>
    <m/>
    <m/>
    <m/>
    <m/>
    <m/>
    <m/>
    <m/>
    <m/>
    <m/>
    <m/>
    <m/>
    <m/>
    <m/>
  </r>
  <r>
    <s v="Pravin Sengupta"/>
    <s v="'1213004416P109402880"/>
    <x v="0"/>
    <x v="163"/>
    <d v="2019-09-22T00:00:00"/>
    <x v="5"/>
    <n v="1"/>
    <s v="Vinay"/>
    <x v="0"/>
    <s v="Construction, Power &amp; Infrastructure"/>
    <s v="New"/>
    <n v="183374.9"/>
    <d v="2016-09-23T00:00:00"/>
    <s v="Brokerage"/>
    <x v="2"/>
    <s v="OTHR - Other"/>
    <d v="2020-01-22T00:00:00"/>
    <s v="Other"/>
    <m/>
    <m/>
    <m/>
    <m/>
    <m/>
    <m/>
    <m/>
    <m/>
    <m/>
    <m/>
    <m/>
    <m/>
    <m/>
    <m/>
    <m/>
    <m/>
    <m/>
    <m/>
    <m/>
    <m/>
  </r>
  <r>
    <s v="Snehal Das"/>
    <s v="'1213004416P109402880"/>
    <x v="0"/>
    <x v="163"/>
    <d v="2019-09-22T00:00:00"/>
    <x v="5"/>
    <n v="1"/>
    <s v="Vinay"/>
    <x v="0"/>
    <s v="Construction, Power &amp; Infrastructure"/>
    <s v="New"/>
    <n v="0"/>
    <d v="2018-04-01T00:00:00"/>
    <s v="Brokerage "/>
    <x v="2"/>
    <s v="OTHR - Other"/>
    <d v="2020-01-22T00:00:00"/>
    <s v="Other"/>
    <m/>
    <m/>
    <m/>
    <m/>
    <m/>
    <m/>
    <m/>
    <m/>
    <m/>
    <m/>
    <m/>
    <m/>
    <m/>
    <m/>
    <m/>
    <m/>
    <m/>
    <m/>
    <m/>
    <m/>
  </r>
  <r>
    <s v="Rajesh Malhotra"/>
    <s v="'1213004416P109402880"/>
    <x v="0"/>
    <x v="163"/>
    <d v="2019-09-22T00:00:00"/>
    <x v="5"/>
    <n v="1"/>
    <s v="Vinay"/>
    <x v="0"/>
    <s v="Construction, Power &amp; Infrastructure"/>
    <s v="New"/>
    <n v="0"/>
    <d v="2018-04-01T00:00:00"/>
    <s v="Brokerage "/>
    <x v="2"/>
    <s v="OTHR - Other"/>
    <d v="2020-01-22T00:00:00"/>
    <s v="Other"/>
    <m/>
    <m/>
    <m/>
    <m/>
    <m/>
    <m/>
    <m/>
    <m/>
    <m/>
    <m/>
    <m/>
    <m/>
    <m/>
    <m/>
    <m/>
    <m/>
    <m/>
    <m/>
    <m/>
    <m/>
  </r>
  <r>
    <s v="Archana Bhatia"/>
    <s v="'1213004416P109402880"/>
    <x v="0"/>
    <x v="163"/>
    <d v="2019-09-22T00:00:00"/>
    <x v="5"/>
    <n v="1"/>
    <s v="Vinay"/>
    <x v="0"/>
    <s v="Construction, Power &amp; Infrastructure"/>
    <s v="New"/>
    <n v="0"/>
    <d v="2018-04-01T00:00:00"/>
    <s v="Brokerage "/>
    <x v="2"/>
    <s v="OTHR - Other"/>
    <d v="2020-01-22T00:00:00"/>
    <s v="Other"/>
    <m/>
    <m/>
    <m/>
    <m/>
    <m/>
    <m/>
    <m/>
    <m/>
    <m/>
    <m/>
    <m/>
    <m/>
    <m/>
    <m/>
    <m/>
    <m/>
    <m/>
    <m/>
    <m/>
    <m/>
  </r>
  <r>
    <s v="Ashok Reddy"/>
    <s v="141400/11/2018/484"/>
    <x v="0"/>
    <x v="164"/>
    <d v="2018-10-20T00:00:00"/>
    <x v="1"/>
    <n v="1"/>
    <s v="Vinay"/>
    <x v="0"/>
    <s v="Construction, Power &amp; Infrastructure"/>
    <s v="Cross Sell"/>
    <n v="10118.39"/>
    <d v="2017-10-21T00:00:00"/>
    <s v="Brokerage"/>
    <x v="0"/>
    <s v="OTHR - Other"/>
    <d v="2020-01-22T00:00:00"/>
    <s v="Other"/>
    <m/>
    <m/>
    <m/>
    <m/>
    <m/>
    <m/>
    <m/>
    <m/>
    <m/>
    <m/>
    <m/>
    <m/>
    <m/>
    <m/>
    <m/>
    <m/>
    <m/>
    <m/>
    <m/>
    <m/>
  </r>
  <r>
    <s v="Madhuri Bhatia"/>
    <s v="141400/48/2018/1288"/>
    <x v="0"/>
    <x v="164"/>
    <d v="2018-10-20T00:00:00"/>
    <x v="2"/>
    <n v="1"/>
    <s v="Vinay"/>
    <x v="0"/>
    <s v="Construction, Power &amp; Infrastructure"/>
    <s v="Cross Sell"/>
    <n v="2254.63"/>
    <d v="2017-10-21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Madhuri Bhatia"/>
    <s v="141400/48/2018/1288"/>
    <x v="0"/>
    <x v="164"/>
    <d v="2018-10-20T00:00:00"/>
    <x v="2"/>
    <n v="1"/>
    <s v="Vinay"/>
    <x v="0"/>
    <s v="Construction, Power &amp; Infrastructure"/>
    <s v="Cross Sell"/>
    <n v="2254.63"/>
    <d v="2017-10-21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Madhuri Bhatia"/>
    <s v="141400/48/2018/1288"/>
    <x v="0"/>
    <x v="164"/>
    <d v="2018-10-20T00:00:00"/>
    <x v="2"/>
    <n v="1"/>
    <s v="Vinay"/>
    <x v="0"/>
    <s v="Construction, Power &amp; Infrastructure"/>
    <s v="Cross Sell"/>
    <n v="2254.63"/>
    <d v="2017-10-21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Madhuri Bhatia"/>
    <s v="141400/48/2018/1288"/>
    <x v="0"/>
    <x v="164"/>
    <d v="2018-10-20T00:00:00"/>
    <x v="2"/>
    <n v="1"/>
    <s v="Vinay"/>
    <x v="0"/>
    <s v="Construction, Power &amp; Infrastructure"/>
    <s v="Cross Sell"/>
    <n v="2254.63"/>
    <d v="2017-10-21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Madhuri Bhatia"/>
    <s v="141400/48/2018/1288"/>
    <x v="0"/>
    <x v="164"/>
    <d v="2018-10-20T00:00:00"/>
    <x v="2"/>
    <n v="1"/>
    <s v="Vinay"/>
    <x v="0"/>
    <s v="Construction, Power &amp; Infrastructure"/>
    <s v="Cross Sell"/>
    <n v="2254.63"/>
    <d v="2017-10-21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Pranav Mishra"/>
    <s v="'23070044150300000010"/>
    <x v="0"/>
    <x v="165"/>
    <d v="2019-10-12T00:00:00"/>
    <x v="5"/>
    <n v="11"/>
    <s v="Raju Kumar"/>
    <x v="0"/>
    <s v="Construction, Power &amp; Infrastructure"/>
    <s v="Cross Sell"/>
    <n v="0"/>
    <d v="2015-10-13T00:00:00"/>
    <s v="Brokerage"/>
    <x v="0"/>
    <s v="OTHR - Other"/>
    <d v="2020-01-22T00:00:00"/>
    <s v="Other"/>
    <m/>
    <m/>
    <m/>
    <m/>
    <m/>
    <m/>
    <m/>
    <m/>
    <m/>
    <m/>
    <m/>
    <m/>
    <m/>
    <m/>
    <m/>
    <m/>
    <m/>
    <m/>
    <m/>
    <m/>
  </r>
  <r>
    <s v="Rina Goyal"/>
    <s v="'23070044170300000002"/>
    <x v="0"/>
    <x v="166"/>
    <d v="2019-11-18T00:00:00"/>
    <x v="5"/>
    <n v="11"/>
    <s v="Raju Kumar"/>
    <x v="0"/>
    <s v="Construction, Power &amp; Infrastructure"/>
    <s v="Cross Sell"/>
    <n v="0"/>
    <d v="2017-05-19T00:00:00"/>
    <s v="Brokerage"/>
    <x v="0"/>
    <s v="OTHR - Other"/>
    <d v="2020-01-22T00:00:00"/>
    <s v="Other"/>
    <m/>
    <m/>
    <m/>
    <m/>
    <m/>
    <m/>
    <m/>
    <m/>
    <m/>
    <m/>
    <m/>
    <m/>
    <m/>
    <m/>
    <m/>
    <m/>
    <m/>
    <m/>
    <m/>
    <m/>
  </r>
  <r>
    <s v="Geeta Gupta"/>
    <n v="2309003004"/>
    <x v="0"/>
    <x v="167"/>
    <d v="2027-05-28T00:00:00"/>
    <x v="4"/>
    <n v="1"/>
    <s v="Vinay"/>
    <x v="0"/>
    <s v="Liability"/>
    <s v="Cross Sell"/>
    <n v="118750"/>
    <d v="2018-05-29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Geeta Gupta"/>
    <n v="2309003004"/>
    <x v="0"/>
    <x v="167"/>
    <d v="2027-05-28T00:00:00"/>
    <x v="4"/>
    <n v="1"/>
    <s v="Vinay"/>
    <x v="0"/>
    <s v="Liability"/>
    <s v="Cross Sell"/>
    <n v="118750"/>
    <d v="2018-05-29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Geeta Gupta"/>
    <n v="2309003004"/>
    <x v="0"/>
    <x v="167"/>
    <d v="2027-05-28T00:00:00"/>
    <x v="4"/>
    <n v="1"/>
    <s v="Vinay"/>
    <x v="0"/>
    <s v="Liability"/>
    <s v="Cross Sell"/>
    <n v="118750"/>
    <d v="2018-05-29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Geeta Gupta"/>
    <n v="2309003004"/>
    <x v="0"/>
    <x v="167"/>
    <d v="2027-05-28T00:00:00"/>
    <x v="4"/>
    <n v="1"/>
    <s v="Vinay"/>
    <x v="0"/>
    <s v="Liability"/>
    <s v="Cross Sell"/>
    <n v="118750"/>
    <d v="2018-05-29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Geeta Gupta"/>
    <n v="2309003004"/>
    <x v="0"/>
    <x v="167"/>
    <d v="2027-05-28T00:00:00"/>
    <x v="4"/>
    <n v="1"/>
    <s v="Vinay"/>
    <x v="0"/>
    <s v="Liability"/>
    <s v="Cross Sell"/>
    <n v="118750"/>
    <d v="2018-05-29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Sudhir Roy"/>
    <s v="'42040044180300000018"/>
    <x v="0"/>
    <x v="168"/>
    <d v="2020-08-23T00:00:00"/>
    <x v="5"/>
    <n v="1"/>
    <s v="Vinay"/>
    <x v="0"/>
    <s v="Construction, Power &amp; Infrastructure"/>
    <s v="New"/>
    <n v="93516.75"/>
    <d v="2020-05-07T00:00:00"/>
    <s v="Brokerage"/>
    <x v="0"/>
    <s v="OTHR - Other"/>
    <d v="2020-01-22T00:00:00"/>
    <s v="Other"/>
    <m/>
    <m/>
    <m/>
    <m/>
    <m/>
    <m/>
    <m/>
    <m/>
    <m/>
    <m/>
    <m/>
    <m/>
    <m/>
    <m/>
    <m/>
    <m/>
    <m/>
    <m/>
    <m/>
    <m/>
  </r>
  <r>
    <s v="Rani Kaul"/>
    <s v="'42040044180300000018"/>
    <x v="0"/>
    <x v="168"/>
    <d v="2020-08-23T00:00:00"/>
    <x v="5"/>
    <n v="1"/>
    <s v="Vinay"/>
    <x v="0"/>
    <s v="Construction, Power &amp; Infrastructure"/>
    <s v="New"/>
    <n v="93516.75"/>
    <d v="2020-05-07T00:00:00"/>
    <s v="Brokerage"/>
    <x v="0"/>
    <s v="OTHR - Other"/>
    <d v="2020-01-22T00:00:00"/>
    <s v="Other"/>
    <m/>
    <m/>
    <m/>
    <m/>
    <m/>
    <m/>
    <m/>
    <m/>
    <m/>
    <m/>
    <m/>
    <m/>
    <m/>
    <m/>
    <m/>
    <m/>
    <m/>
    <m/>
    <m/>
    <m/>
  </r>
  <r>
    <s v="Kavita Sharma"/>
    <s v="'42040044180300000018"/>
    <x v="0"/>
    <x v="168"/>
    <d v="2020-08-23T00:00:00"/>
    <x v="5"/>
    <n v="1"/>
    <s v="Vinay"/>
    <x v="0"/>
    <s v="Construction, Power &amp; Infrastructure"/>
    <s v="New"/>
    <n v="93516.75"/>
    <d v="2020-05-07T00:00:00"/>
    <s v="Brokerage"/>
    <x v="0"/>
    <s v="OTHR - Other"/>
    <d v="2020-01-22T00:00:00"/>
    <s v="Other"/>
    <m/>
    <m/>
    <m/>
    <m/>
    <m/>
    <m/>
    <m/>
    <m/>
    <m/>
    <m/>
    <m/>
    <m/>
    <m/>
    <m/>
    <m/>
    <m/>
    <m/>
    <m/>
    <m/>
    <m/>
  </r>
  <r>
    <s v="Shikha Sethi"/>
    <s v="'42040044180300000018"/>
    <x v="0"/>
    <x v="168"/>
    <d v="2020-08-23T00:00:00"/>
    <x v="5"/>
    <n v="1"/>
    <s v="Vinay"/>
    <x v="0"/>
    <s v="Construction, Power &amp; Infrastructure"/>
    <s v="New"/>
    <n v="93517.25"/>
    <d v="2020-01-25T00:00:00"/>
    <s v="Brokerage"/>
    <x v="0"/>
    <s v="OTHR - Other"/>
    <d v="2020-01-22T00:00:00"/>
    <s v="Other"/>
    <m/>
    <m/>
    <m/>
    <m/>
    <m/>
    <m/>
    <m/>
    <m/>
    <m/>
    <m/>
    <m/>
    <m/>
    <m/>
    <m/>
    <m/>
    <m/>
    <m/>
    <m/>
    <m/>
    <m/>
  </r>
  <r>
    <s v="Amit Bhargava"/>
    <s v="'42040044180300000018"/>
    <x v="0"/>
    <x v="168"/>
    <d v="2020-08-23T00:00:00"/>
    <x v="5"/>
    <n v="1"/>
    <s v="Vinay"/>
    <x v="0"/>
    <s v="Construction, Power &amp; Infrastructure"/>
    <s v="New"/>
    <n v="100710.88"/>
    <d v="2018-12-09T00:00:00"/>
    <s v="Brokerage"/>
    <x v="0"/>
    <s v="OTHR - Other"/>
    <d v="2020-01-22T00:00:00"/>
    <s v="Other"/>
    <m/>
    <m/>
    <m/>
    <m/>
    <m/>
    <m/>
    <m/>
    <m/>
    <m/>
    <m/>
    <m/>
    <m/>
    <m/>
    <m/>
    <m/>
    <m/>
    <m/>
    <m/>
    <m/>
    <m/>
  </r>
  <r>
    <s v="Alka Goel"/>
    <s v="'42040044180300000018"/>
    <x v="0"/>
    <x v="168"/>
    <d v="2020-08-23T00:00:00"/>
    <x v="5"/>
    <n v="1"/>
    <s v="Vinay"/>
    <x v="0"/>
    <s v="Construction, Power &amp; Infrastructure"/>
    <s v="New"/>
    <n v="100710.88"/>
    <d v="2019-03-22T00:00:00"/>
    <s v="Brokerage"/>
    <x v="0"/>
    <s v="OTHR - Other"/>
    <d v="2020-01-22T00:00:00"/>
    <s v="Other"/>
    <m/>
    <m/>
    <m/>
    <m/>
    <m/>
    <m/>
    <m/>
    <m/>
    <m/>
    <m/>
    <m/>
    <m/>
    <m/>
    <m/>
    <m/>
    <m/>
    <m/>
    <m/>
    <m/>
    <m/>
  </r>
  <r>
    <s v="Harish Sharma"/>
    <s v="'42040044180300000018"/>
    <x v="0"/>
    <x v="168"/>
    <d v="2020-08-23T00:00:00"/>
    <x v="5"/>
    <n v="1"/>
    <s v="Vinay"/>
    <x v="0"/>
    <s v="Construction, Power &amp; Infrastructure"/>
    <s v="New"/>
    <n v="100710.88"/>
    <d v="2019-07-03T00:00:00"/>
    <s v="Brokerage"/>
    <x v="0"/>
    <s v="OTHR - Other"/>
    <d v="2020-01-22T00:00:00"/>
    <s v="Other"/>
    <m/>
    <m/>
    <m/>
    <m/>
    <m/>
    <m/>
    <m/>
    <m/>
    <m/>
    <m/>
    <m/>
    <m/>
    <m/>
    <m/>
    <m/>
    <m/>
    <m/>
    <m/>
    <m/>
    <m/>
  </r>
  <r>
    <s v="Gaurav Goel"/>
    <s v="'42040044180300000018"/>
    <x v="0"/>
    <x v="168"/>
    <d v="2020-08-23T00:00:00"/>
    <x v="5"/>
    <n v="1"/>
    <s v="Vinay"/>
    <x v="0"/>
    <s v="Construction, Power &amp; Infrastructure"/>
    <s v="New"/>
    <n v="100710.88"/>
    <d v="2019-10-14T00:00:00"/>
    <s v="Brokerage"/>
    <x v="0"/>
    <s v="OTHR - Other"/>
    <d v="2020-01-22T00:00:00"/>
    <s v="Other"/>
    <m/>
    <m/>
    <m/>
    <m/>
    <m/>
    <m/>
    <m/>
    <m/>
    <m/>
    <m/>
    <m/>
    <m/>
    <m/>
    <m/>
    <m/>
    <m/>
    <m/>
    <m/>
    <m/>
    <m/>
  </r>
  <r>
    <s v="Ravi Naik"/>
    <s v="'42040044180300000018"/>
    <x v="0"/>
    <x v="168"/>
    <d v="2020-08-23T00:00:00"/>
    <x v="5"/>
    <n v="1"/>
    <s v="Vinay"/>
    <x v="0"/>
    <s v="Construction, Power &amp; Infrastructure"/>
    <s v="New"/>
    <n v="129485.38"/>
    <d v="2018-08-28T00:00:00"/>
    <s v="Brokerage"/>
    <x v="0"/>
    <s v="OTHR - Other"/>
    <d v="2020-01-22T00:00:00"/>
    <s v="Other"/>
    <m/>
    <m/>
    <m/>
    <m/>
    <m/>
    <m/>
    <m/>
    <m/>
    <m/>
    <m/>
    <m/>
    <m/>
    <m/>
    <m/>
    <m/>
    <m/>
    <m/>
    <m/>
    <m/>
    <m/>
  </r>
  <r>
    <s v="Kamlesh Prasad"/>
    <s v="'42040044180300000033"/>
    <x v="0"/>
    <x v="169"/>
    <d v="2019-12-05T00:00:00"/>
    <x v="5"/>
    <n v="1"/>
    <s v="Vinay"/>
    <x v="0"/>
    <s v="Construction, Power &amp; Infrastructure"/>
    <s v="Cross Sell"/>
    <n v="53711"/>
    <d v="2018-12-06T00:00:00"/>
    <s v="Brokerage"/>
    <x v="0"/>
    <s v="OTHR - Other"/>
    <d v="2020-01-22T00:00:00"/>
    <s v="Other"/>
    <m/>
    <m/>
    <m/>
    <m/>
    <m/>
    <m/>
    <m/>
    <m/>
    <m/>
    <m/>
    <m/>
    <m/>
    <m/>
    <m/>
    <m/>
    <m/>
    <m/>
    <m/>
    <m/>
    <m/>
  </r>
  <r>
    <s v="Nikhil Verma"/>
    <s v="'42040044180300000057"/>
    <x v="0"/>
    <x v="170"/>
    <d v="2020-09-25T00:00:00"/>
    <x v="5"/>
    <n v="1"/>
    <s v="Vinay"/>
    <x v="0"/>
    <s v="Construction, Power &amp; Infrastructure"/>
    <s v="Cross Sell"/>
    <n v="49576"/>
    <d v="2019-03-26T00:00:00"/>
    <s v="Brokerage"/>
    <x v="0"/>
    <s v="OTHR - Other"/>
    <d v="2020-01-22T00:00:00"/>
    <s v="Other"/>
    <m/>
    <m/>
    <m/>
    <m/>
    <m/>
    <m/>
    <m/>
    <m/>
    <m/>
    <m/>
    <m/>
    <m/>
    <m/>
    <m/>
    <m/>
    <m/>
    <m/>
    <m/>
    <m/>
    <m/>
  </r>
  <r>
    <s v="Vaishali Desai"/>
    <s v="5004/118413988/00/000"/>
    <x v="0"/>
    <x v="171"/>
    <d v="2020-06-20T00:00:00"/>
    <x v="5"/>
    <n v="1"/>
    <s v="Vinay"/>
    <x v="0"/>
    <s v="Construction, Power &amp; Infrastructure"/>
    <s v="Cross Sell"/>
    <n v="0"/>
    <d v="2016-09-21T00:00:00"/>
    <s v="Brokerage"/>
    <x v="2"/>
    <s v="OTHR - Other"/>
    <d v="2020-01-22T00:00:00"/>
    <s v="Other"/>
    <m/>
    <m/>
    <m/>
    <m/>
    <m/>
    <m/>
    <m/>
    <m/>
    <m/>
    <m/>
    <m/>
    <m/>
    <m/>
    <m/>
    <m/>
    <m/>
    <m/>
    <m/>
    <m/>
    <m/>
  </r>
  <r>
    <s v="Atul Naik"/>
    <s v="5004/118413988/00/000"/>
    <x v="0"/>
    <x v="171"/>
    <d v="2020-06-20T00:00:00"/>
    <x v="5"/>
    <n v="1"/>
    <s v="Vinay"/>
    <x v="0"/>
    <s v="Construction, Power &amp; Infrastructure"/>
    <s v="Cross Sell"/>
    <n v="13134.29"/>
    <d v="2018-09-21T00:00:00"/>
    <s v="Brokerage "/>
    <x v="2"/>
    <s v="OTHR - Other"/>
    <d v="2020-01-22T00:00:00"/>
    <s v="Other"/>
    <m/>
    <m/>
    <m/>
    <m/>
    <m/>
    <m/>
    <m/>
    <m/>
    <m/>
    <m/>
    <m/>
    <m/>
    <m/>
    <m/>
    <m/>
    <m/>
    <m/>
    <m/>
    <m/>
    <m/>
  </r>
  <r>
    <s v="Meena Bhargava"/>
    <s v="5004/118413988/00/000"/>
    <x v="0"/>
    <x v="171"/>
    <d v="2020-06-20T00:00:00"/>
    <x v="5"/>
    <n v="1"/>
    <s v="Vinay"/>
    <x v="0"/>
    <s v="Construction, Power &amp; Infrastructure"/>
    <s v="Cross Sell"/>
    <n v="13134.29"/>
    <d v="2018-12-21T00:00:00"/>
    <s v="Brokerage "/>
    <x v="2"/>
    <s v="OTHR - Other"/>
    <d v="2020-01-22T00:00:00"/>
    <s v="Other"/>
    <m/>
    <m/>
    <m/>
    <m/>
    <m/>
    <m/>
    <m/>
    <m/>
    <m/>
    <m/>
    <m/>
    <m/>
    <m/>
    <m/>
    <m/>
    <m/>
    <m/>
    <m/>
    <m/>
    <m/>
  </r>
  <r>
    <s v="Mona Chopra"/>
    <s v="'500413128488100000"/>
    <x v="0"/>
    <x v="172"/>
    <d v="2019-05-31T00:00:00"/>
    <x v="5"/>
    <n v="1"/>
    <s v="Vinay"/>
    <x v="0"/>
    <s v="Construction, Power &amp; Infrastructure"/>
    <s v="Cross Sell"/>
    <n v="64971"/>
    <d v="2018-12-01T00:00:00"/>
    <s v="Brokerage"/>
    <x v="0"/>
    <s v="OTHR - Other"/>
    <d v="2020-01-22T00:00:00"/>
    <s v="Other"/>
    <m/>
    <m/>
    <m/>
    <m/>
    <m/>
    <m/>
    <m/>
    <m/>
    <m/>
    <m/>
    <m/>
    <m/>
    <m/>
    <m/>
    <m/>
    <m/>
    <m/>
    <m/>
    <m/>
    <m/>
  </r>
  <r>
    <s v="Mohit Tiwari"/>
    <s v="2002/174911788/00/000"/>
    <x v="0"/>
    <x v="173"/>
    <d v="2020-06-29T00:00:00"/>
    <x v="0"/>
    <n v="1"/>
    <s v="Vinay"/>
    <x v="0"/>
    <s v="Marine"/>
    <s v="Renewal"/>
    <n v="66188.759999999995"/>
    <d v="2019-06-30T00:00:00"/>
    <s v="Brokerage"/>
    <x v="1"/>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Mohit Tiwari"/>
    <s v="2002/174911788/00/000"/>
    <x v="0"/>
    <x v="173"/>
    <d v="2020-06-29T00:00:00"/>
    <x v="0"/>
    <n v="1"/>
    <s v="Vinay"/>
    <x v="0"/>
    <s v="Marine"/>
    <s v="Renewal"/>
    <n v="66188.759999999995"/>
    <d v="2019-06-30T00:00:00"/>
    <s v="Brokerage"/>
    <x v="1"/>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Mohit Tiwari"/>
    <s v="2002/174911788/00/000"/>
    <x v="0"/>
    <x v="173"/>
    <d v="2020-06-29T00:00:00"/>
    <x v="0"/>
    <n v="1"/>
    <s v="Vinay"/>
    <x v="0"/>
    <s v="Marine"/>
    <s v="Renewal"/>
    <n v="66188.759999999995"/>
    <d v="2019-06-30T00:00:00"/>
    <s v="Brokerage"/>
    <x v="1"/>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Mohit Tiwari"/>
    <s v="2002/174911788/00/000"/>
    <x v="0"/>
    <x v="173"/>
    <d v="2020-06-29T00:00:00"/>
    <x v="0"/>
    <n v="1"/>
    <s v="Vinay"/>
    <x v="0"/>
    <s v="Marine"/>
    <s v="Renewal"/>
    <n v="66188.759999999995"/>
    <d v="2019-06-30T00:00:00"/>
    <s v="Brokerage"/>
    <x v="1"/>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Mohit Tiwari"/>
    <s v="2002/174911788/00/000"/>
    <x v="0"/>
    <x v="173"/>
    <d v="2020-06-29T00:00:00"/>
    <x v="0"/>
    <n v="1"/>
    <s v="Vinay"/>
    <x v="0"/>
    <s v="Marine"/>
    <s v="Renewal"/>
    <n v="66188.759999999995"/>
    <d v="2019-06-30T00:00:00"/>
    <s v="Brokerage"/>
    <x v="1"/>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Mohit Tiwari"/>
    <s v="2002/174911788/00/000"/>
    <x v="0"/>
    <x v="173"/>
    <d v="2020-06-29T00:00:00"/>
    <x v="0"/>
    <n v="1"/>
    <s v="Vinay"/>
    <x v="0"/>
    <s v="Marine"/>
    <s v="Renewal"/>
    <n v="66188.759999999995"/>
    <d v="2019-06-30T00:00:00"/>
    <s v="Brokerage"/>
    <x v="1"/>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Mohit Tiwari"/>
    <s v="2002/174911788/00/000"/>
    <x v="0"/>
    <x v="173"/>
    <d v="2020-06-29T00:00:00"/>
    <x v="0"/>
    <n v="1"/>
    <s v="Vinay"/>
    <x v="0"/>
    <s v="Marine"/>
    <s v="Renewal"/>
    <n v="66188.759999999995"/>
    <d v="2019-06-30T00:00:00"/>
    <s v="Brokerage"/>
    <x v="1"/>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Mohit Tiwari"/>
    <s v="2002/174911788/00/000"/>
    <x v="0"/>
    <x v="173"/>
    <d v="2020-06-29T00:00:00"/>
    <x v="0"/>
    <n v="1"/>
    <s v="Vinay"/>
    <x v="0"/>
    <s v="Marine"/>
    <s v="Renewal"/>
    <n v="66188.759999999995"/>
    <d v="2019-06-30T00:00:00"/>
    <s v="Brokerage"/>
    <x v="1"/>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Mohit Tiwari"/>
    <s v="2002/174911788/00/000"/>
    <x v="0"/>
    <x v="173"/>
    <d v="2020-06-29T00:00:00"/>
    <x v="0"/>
    <n v="1"/>
    <s v="Vinay"/>
    <x v="0"/>
    <s v="Marine"/>
    <s v="Renewal"/>
    <n v="66188.759999999995"/>
    <d v="2019-06-30T00:00:00"/>
    <s v="Brokerage"/>
    <x v="1"/>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Mohit Tiwari"/>
    <s v="2002/174911788/00/000"/>
    <x v="0"/>
    <x v="173"/>
    <d v="2020-06-29T00:00:00"/>
    <x v="0"/>
    <n v="1"/>
    <s v="Vinay"/>
    <x v="0"/>
    <s v="Marine"/>
    <s v="Renewal"/>
    <n v="66188.759999999995"/>
    <d v="2019-06-30T00:00:00"/>
    <s v="Brokerage"/>
    <x v="1"/>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Mohit Tiwari"/>
    <s v="2002/174911788/00/000"/>
    <x v="0"/>
    <x v="173"/>
    <d v="2020-06-29T00:00:00"/>
    <x v="0"/>
    <n v="1"/>
    <s v="Vinay"/>
    <x v="0"/>
    <s v="Marine"/>
    <s v="Renewal"/>
    <n v="66188.759999999995"/>
    <d v="2019-06-30T00:00:00"/>
    <s v="Brokerage"/>
    <x v="1"/>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Mohit Tiwari"/>
    <s v="2002/174911788/00/000"/>
    <x v="0"/>
    <x v="173"/>
    <d v="2020-06-29T00:00:00"/>
    <x v="0"/>
    <n v="1"/>
    <s v="Vinay"/>
    <x v="0"/>
    <s v="Marine"/>
    <s v="Renewal"/>
    <n v="66188.759999999995"/>
    <d v="2019-06-30T00:00:00"/>
    <s v="Brokerage"/>
    <x v="1"/>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Mohit Tiwari"/>
    <s v="2002/174911788/00/000"/>
    <x v="0"/>
    <x v="173"/>
    <d v="2020-06-29T00:00:00"/>
    <x v="0"/>
    <n v="1"/>
    <s v="Vinay"/>
    <x v="0"/>
    <s v="Marine"/>
    <s v="Renewal"/>
    <n v="66188.759999999995"/>
    <d v="2019-06-30T00:00:00"/>
    <s v="Brokerage"/>
    <x v="1"/>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Mohit Tiwari"/>
    <s v="2002/174911788/00/000"/>
    <x v="0"/>
    <x v="173"/>
    <d v="2020-06-29T00:00:00"/>
    <x v="0"/>
    <n v="1"/>
    <s v="Vinay"/>
    <x v="0"/>
    <s v="Marine"/>
    <s v="Renewal"/>
    <n v="66188.759999999995"/>
    <d v="2019-06-30T00:00:00"/>
    <s v="Brokerage"/>
    <x v="1"/>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Mohit Tiwari"/>
    <s v="2002/174911788/00/000"/>
    <x v="0"/>
    <x v="173"/>
    <d v="2020-06-29T00:00:00"/>
    <x v="0"/>
    <n v="1"/>
    <s v="Vinay"/>
    <x v="0"/>
    <s v="Marine"/>
    <s v="Renewal"/>
    <n v="66188.759999999995"/>
    <d v="2019-06-30T00:00:00"/>
    <s v="Brokerage"/>
    <x v="1"/>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Mohit Tiwari"/>
    <s v="2002/174911788/00/000"/>
    <x v="0"/>
    <x v="173"/>
    <d v="2020-06-29T00:00:00"/>
    <x v="0"/>
    <n v="1"/>
    <s v="Vinay"/>
    <x v="0"/>
    <s v="Marine"/>
    <s v="Renewal"/>
    <n v="66188.759999999995"/>
    <d v="2019-06-30T00:00:00"/>
    <s v="Brokerage"/>
    <x v="1"/>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Mohit Tiwari"/>
    <s v="2002/174911788/00/000"/>
    <x v="0"/>
    <x v="173"/>
    <d v="2020-06-29T00:00:00"/>
    <x v="0"/>
    <n v="1"/>
    <s v="Vinay"/>
    <x v="0"/>
    <s v="Marine"/>
    <s v="Renewal"/>
    <n v="66188.759999999995"/>
    <d v="2019-06-30T00:00:00"/>
    <s v="Brokerage"/>
    <x v="1"/>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Mohit Tiwari"/>
    <s v="2002/174911788/00/000"/>
    <x v="0"/>
    <x v="173"/>
    <d v="2020-06-29T00:00:00"/>
    <x v="0"/>
    <n v="1"/>
    <s v="Vinay"/>
    <x v="0"/>
    <s v="Marine"/>
    <s v="Renewal"/>
    <n v="66188.759999999995"/>
    <d v="2019-06-30T00:00:00"/>
    <s v="Brokerage"/>
    <x v="1"/>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Mohit Tiwari"/>
    <s v="2002/174911788/00/000"/>
    <x v="0"/>
    <x v="173"/>
    <d v="2020-06-29T00:00:00"/>
    <x v="0"/>
    <n v="1"/>
    <s v="Vinay"/>
    <x v="0"/>
    <s v="Marine"/>
    <s v="Renewal"/>
    <n v="66188.759999999995"/>
    <d v="2019-06-30T00:00:00"/>
    <s v="Brokerage"/>
    <x v="1"/>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Mohit Tiwari"/>
    <s v="2002/174911788/00/000"/>
    <x v="0"/>
    <x v="173"/>
    <d v="2020-06-29T00:00:00"/>
    <x v="0"/>
    <n v="1"/>
    <s v="Vinay"/>
    <x v="0"/>
    <s v="Marine"/>
    <s v="Renewal"/>
    <n v="66188.759999999995"/>
    <d v="2019-06-30T00:00:00"/>
    <s v="Brokerage"/>
    <x v="1"/>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Tina Dutta"/>
    <s v="'2414201438068601000"/>
    <x v="0"/>
    <x v="174"/>
    <d v="2018-06-29T00:00:00"/>
    <x v="0"/>
    <n v="1"/>
    <s v="Vinay"/>
    <x v="0"/>
    <s v="Marine"/>
    <s v="Cross Sell"/>
    <n v="37754.15"/>
    <d v="2018-06-30T00:00:00"/>
    <s v="Brokerage"/>
    <x v="0"/>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Tina Dutta"/>
    <s v="'2414201438068601000"/>
    <x v="0"/>
    <x v="174"/>
    <d v="2018-06-29T00:00:00"/>
    <x v="0"/>
    <n v="1"/>
    <s v="Vinay"/>
    <x v="0"/>
    <s v="Marine"/>
    <s v="Cross Sell"/>
    <n v="37754.15"/>
    <d v="2018-06-30T00:00:00"/>
    <s v="Brokerage"/>
    <x v="0"/>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Tina Dutta"/>
    <s v="'2414201438068601000"/>
    <x v="0"/>
    <x v="174"/>
    <d v="2018-06-29T00:00:00"/>
    <x v="0"/>
    <n v="1"/>
    <s v="Vinay"/>
    <x v="0"/>
    <s v="Marine"/>
    <s v="Cross Sell"/>
    <n v="37754.15"/>
    <d v="2018-06-30T00:00:00"/>
    <s v="Brokerage"/>
    <x v="0"/>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Tina Dutta"/>
    <s v="'2414201438068601000"/>
    <x v="0"/>
    <x v="174"/>
    <d v="2018-06-29T00:00:00"/>
    <x v="0"/>
    <n v="1"/>
    <s v="Vinay"/>
    <x v="0"/>
    <s v="Marine"/>
    <s v="Cross Sell"/>
    <n v="37754.15"/>
    <d v="2018-06-30T00:00:00"/>
    <s v="Brokerage"/>
    <x v="0"/>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Tina Dutta"/>
    <s v="'2414201438068601000"/>
    <x v="0"/>
    <x v="174"/>
    <d v="2018-06-29T00:00:00"/>
    <x v="0"/>
    <n v="1"/>
    <s v="Vinay"/>
    <x v="0"/>
    <s v="Marine"/>
    <s v="Cross Sell"/>
    <n v="37754.15"/>
    <d v="2018-06-30T00:00:00"/>
    <s v="Brokerage"/>
    <x v="0"/>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Tina Dutta"/>
    <s v="'2414201438068601000"/>
    <x v="0"/>
    <x v="174"/>
    <d v="2018-06-29T00:00:00"/>
    <x v="0"/>
    <n v="1"/>
    <s v="Vinay"/>
    <x v="0"/>
    <s v="Marine"/>
    <s v="Cross Sell"/>
    <n v="37754.15"/>
    <d v="2018-06-30T00:00:00"/>
    <s v="Brokerage"/>
    <x v="0"/>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Tina Dutta"/>
    <s v="'2414201438068601000"/>
    <x v="0"/>
    <x v="174"/>
    <d v="2018-06-29T00:00:00"/>
    <x v="0"/>
    <n v="1"/>
    <s v="Vinay"/>
    <x v="0"/>
    <s v="Marine"/>
    <s v="Cross Sell"/>
    <n v="37754.15"/>
    <d v="2018-06-30T00:00:00"/>
    <s v="Brokerage"/>
    <x v="0"/>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Tina Dutta"/>
    <s v="'2414201438068601000"/>
    <x v="0"/>
    <x v="174"/>
    <d v="2018-06-29T00:00:00"/>
    <x v="0"/>
    <n v="1"/>
    <s v="Vinay"/>
    <x v="0"/>
    <s v="Marine"/>
    <s v="Cross Sell"/>
    <n v="37754.15"/>
    <d v="2018-06-30T00:00:00"/>
    <s v="Brokerage"/>
    <x v="0"/>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Tina Dutta"/>
    <s v="'2414201438068601000"/>
    <x v="0"/>
    <x v="174"/>
    <d v="2018-06-29T00:00:00"/>
    <x v="0"/>
    <n v="1"/>
    <s v="Vinay"/>
    <x v="0"/>
    <s v="Marine"/>
    <s v="Cross Sell"/>
    <n v="37754.15"/>
    <d v="2018-06-30T00:00:00"/>
    <s v="Brokerage"/>
    <x v="0"/>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Tina Dutta"/>
    <s v="'2414201438068601000"/>
    <x v="0"/>
    <x v="174"/>
    <d v="2018-06-29T00:00:00"/>
    <x v="0"/>
    <n v="1"/>
    <s v="Vinay"/>
    <x v="0"/>
    <s v="Marine"/>
    <s v="Cross Sell"/>
    <n v="37754.15"/>
    <d v="2018-06-30T00:00:00"/>
    <s v="Brokerage"/>
    <x v="0"/>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Tina Dutta"/>
    <s v="'2414201438068601000"/>
    <x v="0"/>
    <x v="174"/>
    <d v="2018-06-29T00:00:00"/>
    <x v="0"/>
    <n v="1"/>
    <s v="Vinay"/>
    <x v="0"/>
    <s v="Marine"/>
    <s v="Cross Sell"/>
    <n v="37754.15"/>
    <d v="2018-06-30T00:00:00"/>
    <s v="Brokerage"/>
    <x v="0"/>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Tina Dutta"/>
    <s v="'2414201438068601000"/>
    <x v="0"/>
    <x v="174"/>
    <d v="2018-06-29T00:00:00"/>
    <x v="0"/>
    <n v="1"/>
    <s v="Vinay"/>
    <x v="0"/>
    <s v="Marine"/>
    <s v="Cross Sell"/>
    <n v="37754.15"/>
    <d v="2018-06-30T00:00:00"/>
    <s v="Brokerage"/>
    <x v="0"/>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Tina Dutta"/>
    <s v="'2414201438068601000"/>
    <x v="0"/>
    <x v="174"/>
    <d v="2018-06-29T00:00:00"/>
    <x v="0"/>
    <n v="1"/>
    <s v="Vinay"/>
    <x v="0"/>
    <s v="Marine"/>
    <s v="Cross Sell"/>
    <n v="37754.15"/>
    <d v="2018-06-30T00:00:00"/>
    <s v="Brokerage"/>
    <x v="0"/>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Tina Dutta"/>
    <s v="'2414201438068601000"/>
    <x v="0"/>
    <x v="174"/>
    <d v="2018-06-29T00:00:00"/>
    <x v="0"/>
    <n v="1"/>
    <s v="Vinay"/>
    <x v="0"/>
    <s v="Marine"/>
    <s v="Cross Sell"/>
    <n v="37754.15"/>
    <d v="2018-06-30T00:00:00"/>
    <s v="Brokerage"/>
    <x v="0"/>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Tina Dutta"/>
    <s v="'2414201438068601000"/>
    <x v="0"/>
    <x v="174"/>
    <d v="2018-06-29T00:00:00"/>
    <x v="0"/>
    <n v="1"/>
    <s v="Vinay"/>
    <x v="0"/>
    <s v="Marine"/>
    <s v="Cross Sell"/>
    <n v="37754.15"/>
    <d v="2018-06-30T00:00:00"/>
    <s v="Brokerage"/>
    <x v="0"/>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Tina Dutta"/>
    <s v="'2414201438068601000"/>
    <x v="0"/>
    <x v="174"/>
    <d v="2018-06-29T00:00:00"/>
    <x v="0"/>
    <n v="1"/>
    <s v="Vinay"/>
    <x v="0"/>
    <s v="Marine"/>
    <s v="Cross Sell"/>
    <n v="37754.15"/>
    <d v="2018-06-30T00:00:00"/>
    <s v="Brokerage"/>
    <x v="0"/>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Tina Dutta"/>
    <s v="'2414201438068601000"/>
    <x v="0"/>
    <x v="174"/>
    <d v="2018-06-29T00:00:00"/>
    <x v="0"/>
    <n v="1"/>
    <s v="Vinay"/>
    <x v="0"/>
    <s v="Marine"/>
    <s v="Cross Sell"/>
    <n v="37754.15"/>
    <d v="2018-06-30T00:00:00"/>
    <s v="Brokerage"/>
    <x v="0"/>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Tina Dutta"/>
    <s v="'2414201438068601000"/>
    <x v="0"/>
    <x v="174"/>
    <d v="2018-06-29T00:00:00"/>
    <x v="0"/>
    <n v="1"/>
    <s v="Vinay"/>
    <x v="0"/>
    <s v="Marine"/>
    <s v="Cross Sell"/>
    <n v="37754.15"/>
    <d v="2018-06-30T00:00:00"/>
    <s v="Brokerage"/>
    <x v="0"/>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Tina Dutta"/>
    <s v="'2414201438068601000"/>
    <x v="0"/>
    <x v="174"/>
    <d v="2018-06-29T00:00:00"/>
    <x v="0"/>
    <n v="1"/>
    <s v="Vinay"/>
    <x v="0"/>
    <s v="Marine"/>
    <s v="Cross Sell"/>
    <n v="37754.15"/>
    <d v="2018-06-30T00:00:00"/>
    <s v="Brokerage"/>
    <x v="0"/>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Tina Dutta"/>
    <s v="'2414201438068601000"/>
    <x v="0"/>
    <x v="174"/>
    <d v="2018-06-29T00:00:00"/>
    <x v="0"/>
    <n v="1"/>
    <s v="Vinay"/>
    <x v="0"/>
    <s v="Marine"/>
    <s v="Cross Sell"/>
    <n v="37754.15"/>
    <d v="2018-06-30T00:00:00"/>
    <s v="Brokerage"/>
    <x v="0"/>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Hemant Das"/>
    <s v="'310300111910000371"/>
    <x v="0"/>
    <x v="23"/>
    <d v="2020-08-31T00:00:00"/>
    <x v="1"/>
    <n v="1"/>
    <s v="Vinay"/>
    <x v="0"/>
    <s v="Property / BI"/>
    <s v="Renewal"/>
    <n v="48325.760000000002"/>
    <d v="2019-09-01T00:00:00"/>
    <s v="Brokerage"/>
    <x v="1"/>
    <s v="OTHR - Other"/>
    <d v="2020-01-22T00:00:00"/>
    <s v="Other"/>
    <m/>
    <m/>
    <m/>
    <m/>
    <m/>
    <m/>
    <m/>
    <m/>
    <m/>
    <m/>
    <m/>
    <m/>
    <m/>
    <m/>
    <m/>
    <m/>
    <m/>
    <m/>
    <m/>
    <m/>
  </r>
  <r>
    <s v="Sanjana Bhargava"/>
    <n v="3.10304E+17"/>
    <x v="0"/>
    <x v="24"/>
    <d v="2019-08-31T00:00:00"/>
    <x v="1"/>
    <n v="1"/>
    <s v="Vinay"/>
    <x v="0"/>
    <s v="Property / BI"/>
    <s v="Renewal"/>
    <n v="5763.57"/>
    <d v="2018-09-01T00:00:00"/>
    <s v="Brokerage"/>
    <x v="0"/>
    <s v="OTHR - Other"/>
    <d v="2020-01-22T00:00:00"/>
    <s v="Other"/>
    <m/>
    <m/>
    <m/>
    <m/>
    <m/>
    <m/>
    <m/>
    <m/>
    <m/>
    <m/>
    <m/>
    <m/>
    <m/>
    <m/>
    <m/>
    <m/>
    <m/>
    <m/>
    <m/>
    <m/>
  </r>
  <r>
    <s v="Kamlesh Trivedi"/>
    <n v="3.10304E+17"/>
    <x v="1"/>
    <x v="24"/>
    <d v="2019-08-31T00:00:00"/>
    <x v="1"/>
    <n v="1"/>
    <s v="Vinay"/>
    <x v="0"/>
    <s v="Property / BI"/>
    <s v="Renewal"/>
    <n v="5721.71"/>
    <d v="2018-09-01T00:00:00"/>
    <s v="Brokerage"/>
    <x v="0"/>
    <s v="OTHR - Other"/>
    <d v="2020-01-22T00:00:00"/>
    <s v="Other"/>
    <m/>
    <m/>
    <m/>
    <m/>
    <m/>
    <m/>
    <m/>
    <m/>
    <m/>
    <m/>
    <m/>
    <m/>
    <m/>
    <m/>
    <m/>
    <m/>
    <m/>
    <m/>
    <m/>
    <m/>
  </r>
  <r>
    <s v="Nikita Tiwari"/>
    <s v="OG-19-2202-1018-00000036"/>
    <x v="1"/>
    <x v="175"/>
    <d v="2019-06-29T00:00:00"/>
    <x v="0"/>
    <n v="5"/>
    <s v="Juli"/>
    <x v="0"/>
    <s v="Marine"/>
    <s v="Renewal"/>
    <n v="50101.73"/>
    <d v="2018-06-30T00:00:00"/>
    <s v="Brokerage"/>
    <x v="0"/>
    <s v="OTHR - Other"/>
    <d v="2020-01-22T00:00:00"/>
    <s v="Other"/>
    <m/>
    <m/>
    <m/>
    <m/>
    <m/>
    <m/>
    <m/>
    <m/>
    <m/>
    <m/>
    <m/>
    <m/>
    <m/>
    <m/>
    <m/>
    <m/>
    <m/>
    <m/>
    <m/>
    <m/>
  </r>
  <r>
    <s v="Kapil Kapoor"/>
    <s v="YB00015574000102"/>
    <x v="1"/>
    <x v="176"/>
    <d v="2019-01-11T00:00:00"/>
    <x v="2"/>
    <n v="1"/>
    <s v="Vinay"/>
    <x v="0"/>
    <s v="Energy"/>
    <s v="Renewal"/>
    <n v="2940.49"/>
    <d v="2018-01-12T00:00:00"/>
    <s v="Brokerage"/>
    <x v="3"/>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Kapil Kapoor"/>
    <s v="YB00015574000102"/>
    <x v="1"/>
    <x v="176"/>
    <d v="2019-01-11T00:00:00"/>
    <x v="2"/>
    <n v="1"/>
    <s v="Vinay"/>
    <x v="0"/>
    <s v="Energy"/>
    <s v="Renewal"/>
    <n v="2940.49"/>
    <d v="2018-01-12T00:00:00"/>
    <s v="Brokerage"/>
    <x v="3"/>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Kapil Kapoor"/>
    <s v="YB00015574000102"/>
    <x v="1"/>
    <x v="176"/>
    <d v="2019-01-11T00:00:00"/>
    <x v="2"/>
    <n v="1"/>
    <s v="Vinay"/>
    <x v="0"/>
    <s v="Energy"/>
    <s v="Renewal"/>
    <n v="2940.49"/>
    <d v="2018-01-12T00:00:00"/>
    <s v="Brokerage"/>
    <x v="3"/>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Kapil Kapoor"/>
    <s v="YB00015574000102"/>
    <x v="1"/>
    <x v="176"/>
    <d v="2019-01-11T00:00:00"/>
    <x v="2"/>
    <n v="1"/>
    <s v="Vinay"/>
    <x v="0"/>
    <s v="Energy"/>
    <s v="Renewal"/>
    <n v="2940.49"/>
    <d v="2018-01-12T00:00:00"/>
    <s v="Brokerage"/>
    <x v="3"/>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Kapil Kapoor"/>
    <s v="YB00015574000102"/>
    <x v="1"/>
    <x v="176"/>
    <d v="2019-01-11T00:00:00"/>
    <x v="2"/>
    <n v="1"/>
    <s v="Vinay"/>
    <x v="0"/>
    <s v="Energy"/>
    <s v="Renewal"/>
    <n v="2940.49"/>
    <d v="2018-01-12T00:00:00"/>
    <s v="Brokerage"/>
    <x v="3"/>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Harish Rana"/>
    <s v="YB00015574000103"/>
    <x v="0"/>
    <x v="177"/>
    <d v="2020-01-11T00:00:00"/>
    <x v="2"/>
    <n v="1"/>
    <s v="Vinay"/>
    <x v="0"/>
    <s v="Energy"/>
    <s v="Renewal"/>
    <n v="3073.94"/>
    <d v="2019-01-12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Harish Rana"/>
    <s v="YB00015574000103"/>
    <x v="0"/>
    <x v="177"/>
    <d v="2020-01-11T00:00:00"/>
    <x v="2"/>
    <n v="1"/>
    <s v="Vinay"/>
    <x v="0"/>
    <s v="Energy"/>
    <s v="Renewal"/>
    <n v="3073.94"/>
    <d v="2019-01-12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Harish Rana"/>
    <s v="YB00015574000103"/>
    <x v="0"/>
    <x v="177"/>
    <d v="2020-01-11T00:00:00"/>
    <x v="2"/>
    <n v="1"/>
    <s v="Vinay"/>
    <x v="0"/>
    <s v="Energy"/>
    <s v="Renewal"/>
    <n v="3073.94"/>
    <d v="2019-01-12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Harish Rana"/>
    <s v="YB00015574000103"/>
    <x v="0"/>
    <x v="177"/>
    <d v="2020-01-11T00:00:00"/>
    <x v="2"/>
    <n v="1"/>
    <s v="Vinay"/>
    <x v="0"/>
    <s v="Energy"/>
    <s v="Renewal"/>
    <n v="3073.94"/>
    <d v="2019-01-12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Harish Rana"/>
    <s v="YB00015574000103"/>
    <x v="0"/>
    <x v="177"/>
    <d v="2020-01-11T00:00:00"/>
    <x v="2"/>
    <n v="1"/>
    <s v="Vinay"/>
    <x v="0"/>
    <s v="Energy"/>
    <s v="Renewal"/>
    <n v="3073.94"/>
    <d v="2019-01-12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Nikhil Pandit"/>
    <s v="'2411 2020 9689 0500 000"/>
    <x v="1"/>
    <x v="178"/>
    <d v="2019-01-15T00:00:00"/>
    <x v="0"/>
    <n v="1"/>
    <s v="Vinay"/>
    <x v="0"/>
    <s v="Marine"/>
    <s v="Cross Sell"/>
    <n v="330"/>
    <d v="2018-01-16T00:00:00"/>
    <s v="Brokerage"/>
    <x v="3"/>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Nikhil Pandit"/>
    <s v="'2411 2020 9689 0500 000"/>
    <x v="1"/>
    <x v="178"/>
    <d v="2019-01-15T00:00:00"/>
    <x v="0"/>
    <n v="1"/>
    <s v="Vinay"/>
    <x v="0"/>
    <s v="Marine"/>
    <s v="Cross Sell"/>
    <n v="330"/>
    <d v="2018-01-16T00:00:00"/>
    <s v="Brokerage"/>
    <x v="3"/>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Nikhil Pandit"/>
    <s v="'2411 2020 9689 0500 000"/>
    <x v="1"/>
    <x v="178"/>
    <d v="2019-01-15T00:00:00"/>
    <x v="0"/>
    <n v="1"/>
    <s v="Vinay"/>
    <x v="0"/>
    <s v="Marine"/>
    <s v="Cross Sell"/>
    <n v="330"/>
    <d v="2018-01-16T00:00:00"/>
    <s v="Brokerage"/>
    <x v="3"/>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Nikhil Pandit"/>
    <s v="'2411 2020 9689 0500 000"/>
    <x v="1"/>
    <x v="178"/>
    <d v="2019-01-15T00:00:00"/>
    <x v="0"/>
    <n v="1"/>
    <s v="Vinay"/>
    <x v="0"/>
    <s v="Marine"/>
    <s v="Cross Sell"/>
    <n v="330"/>
    <d v="2018-01-16T00:00:00"/>
    <s v="Brokerage"/>
    <x v="3"/>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Nikhil Pandit"/>
    <s v="'2411 2020 9689 0500 000"/>
    <x v="1"/>
    <x v="178"/>
    <d v="2019-01-15T00:00:00"/>
    <x v="0"/>
    <n v="1"/>
    <s v="Vinay"/>
    <x v="0"/>
    <s v="Marine"/>
    <s v="Cross Sell"/>
    <n v="330"/>
    <d v="2018-01-16T00:00:00"/>
    <s v="Brokerage"/>
    <x v="3"/>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Nikhil Pandit"/>
    <s v="'2411 2020 9689 0500 000"/>
    <x v="1"/>
    <x v="178"/>
    <d v="2019-01-15T00:00:00"/>
    <x v="0"/>
    <n v="1"/>
    <s v="Vinay"/>
    <x v="0"/>
    <s v="Marine"/>
    <s v="Cross Sell"/>
    <n v="330"/>
    <d v="2018-01-16T00:00:00"/>
    <s v="Brokerage"/>
    <x v="3"/>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Nikhil Pandit"/>
    <s v="'2411 2020 9689 0500 000"/>
    <x v="1"/>
    <x v="178"/>
    <d v="2019-01-15T00:00:00"/>
    <x v="0"/>
    <n v="1"/>
    <s v="Vinay"/>
    <x v="0"/>
    <s v="Marine"/>
    <s v="Cross Sell"/>
    <n v="330"/>
    <d v="2018-01-16T00:00:00"/>
    <s v="Brokerage"/>
    <x v="3"/>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Nikhil Pandit"/>
    <s v="'2411 2020 9689 0500 000"/>
    <x v="1"/>
    <x v="178"/>
    <d v="2019-01-15T00:00:00"/>
    <x v="0"/>
    <n v="1"/>
    <s v="Vinay"/>
    <x v="0"/>
    <s v="Marine"/>
    <s v="Cross Sell"/>
    <n v="330"/>
    <d v="2018-01-16T00:00:00"/>
    <s v="Brokerage"/>
    <x v="3"/>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Nikhil Pandit"/>
    <s v="'2411 2020 9689 0500 000"/>
    <x v="1"/>
    <x v="178"/>
    <d v="2019-01-15T00:00:00"/>
    <x v="0"/>
    <n v="1"/>
    <s v="Vinay"/>
    <x v="0"/>
    <s v="Marine"/>
    <s v="Cross Sell"/>
    <n v="330"/>
    <d v="2018-01-16T00:00:00"/>
    <s v="Brokerage"/>
    <x v="3"/>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Nikhil Pandit"/>
    <s v="'2411 2020 9689 0500 000"/>
    <x v="1"/>
    <x v="178"/>
    <d v="2019-01-15T00:00:00"/>
    <x v="0"/>
    <n v="1"/>
    <s v="Vinay"/>
    <x v="0"/>
    <s v="Marine"/>
    <s v="Cross Sell"/>
    <n v="330"/>
    <d v="2018-01-16T00:00:00"/>
    <s v="Brokerage"/>
    <x v="3"/>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Nikhil Pandit"/>
    <s v="'2411 2020 9689 0500 000"/>
    <x v="1"/>
    <x v="178"/>
    <d v="2019-01-15T00:00:00"/>
    <x v="0"/>
    <n v="1"/>
    <s v="Vinay"/>
    <x v="0"/>
    <s v="Marine"/>
    <s v="Cross Sell"/>
    <n v="330"/>
    <d v="2018-01-16T00:00:00"/>
    <s v="Brokerage"/>
    <x v="3"/>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Nikhil Pandit"/>
    <s v="'2411 2020 9689 0500 000"/>
    <x v="1"/>
    <x v="178"/>
    <d v="2019-01-15T00:00:00"/>
    <x v="0"/>
    <n v="1"/>
    <s v="Vinay"/>
    <x v="0"/>
    <s v="Marine"/>
    <s v="Cross Sell"/>
    <n v="330"/>
    <d v="2018-01-16T00:00:00"/>
    <s v="Brokerage"/>
    <x v="3"/>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Nikhil Pandit"/>
    <s v="'2411 2020 9689 0500 000"/>
    <x v="1"/>
    <x v="178"/>
    <d v="2019-01-15T00:00:00"/>
    <x v="0"/>
    <n v="1"/>
    <s v="Vinay"/>
    <x v="0"/>
    <s v="Marine"/>
    <s v="Cross Sell"/>
    <n v="330"/>
    <d v="2018-01-16T00:00:00"/>
    <s v="Brokerage"/>
    <x v="3"/>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Nikhil Pandit"/>
    <s v="'2411 2020 9689 0500 000"/>
    <x v="1"/>
    <x v="178"/>
    <d v="2019-01-15T00:00:00"/>
    <x v="0"/>
    <n v="1"/>
    <s v="Vinay"/>
    <x v="0"/>
    <s v="Marine"/>
    <s v="Cross Sell"/>
    <n v="330"/>
    <d v="2018-01-16T00:00:00"/>
    <s v="Brokerage"/>
    <x v="3"/>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Nikhil Pandit"/>
    <s v="'2411 2020 9689 0500 000"/>
    <x v="1"/>
    <x v="178"/>
    <d v="2019-01-15T00:00:00"/>
    <x v="0"/>
    <n v="1"/>
    <s v="Vinay"/>
    <x v="0"/>
    <s v="Marine"/>
    <s v="Cross Sell"/>
    <n v="330"/>
    <d v="2018-01-16T00:00:00"/>
    <s v="Brokerage"/>
    <x v="3"/>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Nikhil Pandit"/>
    <s v="'2411 2020 9689 0500 000"/>
    <x v="1"/>
    <x v="178"/>
    <d v="2019-01-15T00:00:00"/>
    <x v="0"/>
    <n v="1"/>
    <s v="Vinay"/>
    <x v="0"/>
    <s v="Marine"/>
    <s v="Cross Sell"/>
    <n v="330"/>
    <d v="2018-01-16T00:00:00"/>
    <s v="Brokerage"/>
    <x v="3"/>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Nikhil Pandit"/>
    <s v="'2411 2020 9689 0500 000"/>
    <x v="1"/>
    <x v="178"/>
    <d v="2019-01-15T00:00:00"/>
    <x v="0"/>
    <n v="1"/>
    <s v="Vinay"/>
    <x v="0"/>
    <s v="Marine"/>
    <s v="Cross Sell"/>
    <n v="330"/>
    <d v="2018-01-16T00:00:00"/>
    <s v="Brokerage"/>
    <x v="3"/>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Nikhil Pandit"/>
    <s v="'2411 2020 9689 0500 000"/>
    <x v="1"/>
    <x v="178"/>
    <d v="2019-01-15T00:00:00"/>
    <x v="0"/>
    <n v="1"/>
    <s v="Vinay"/>
    <x v="0"/>
    <s v="Marine"/>
    <s v="Cross Sell"/>
    <n v="330"/>
    <d v="2018-01-16T00:00:00"/>
    <s v="Brokerage"/>
    <x v="3"/>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Nikhil Pandit"/>
    <s v="'2411 2020 9689 0500 000"/>
    <x v="1"/>
    <x v="178"/>
    <d v="2019-01-15T00:00:00"/>
    <x v="0"/>
    <n v="1"/>
    <s v="Vinay"/>
    <x v="0"/>
    <s v="Marine"/>
    <s v="Cross Sell"/>
    <n v="330"/>
    <d v="2018-01-16T00:00:00"/>
    <s v="Brokerage"/>
    <x v="3"/>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Nikhil Pandit"/>
    <s v="'2411 2020 9689 0500 000"/>
    <x v="1"/>
    <x v="178"/>
    <d v="2019-01-15T00:00:00"/>
    <x v="0"/>
    <n v="1"/>
    <s v="Vinay"/>
    <x v="0"/>
    <s v="Marine"/>
    <s v="Cross Sell"/>
    <n v="330"/>
    <d v="2018-01-16T00:00:00"/>
    <s v="Brokerage"/>
    <x v="3"/>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Vivek Rana"/>
    <s v="'310300111910000396"/>
    <x v="0"/>
    <x v="23"/>
    <d v="2020-08-31T00:00:00"/>
    <x v="1"/>
    <n v="1"/>
    <s v="Vinay"/>
    <x v="0"/>
    <s v="Property / BI"/>
    <s v="Renewal"/>
    <n v="20327.63"/>
    <d v="2019-09-01T00:00:00"/>
    <s v="Brokerage"/>
    <x v="1"/>
    <s v="OTHR - Other"/>
    <d v="2020-01-22T00:00:00"/>
    <s v="Other"/>
    <m/>
    <m/>
    <m/>
    <m/>
    <m/>
    <m/>
    <m/>
    <m/>
    <m/>
    <m/>
    <m/>
    <m/>
    <m/>
    <m/>
    <m/>
    <m/>
    <m/>
    <m/>
    <m/>
    <m/>
  </r>
  <r>
    <s v="Hemant Nair"/>
    <n v="3.10304E+17"/>
    <x v="1"/>
    <x v="24"/>
    <d v="2019-08-31T00:00:00"/>
    <x v="1"/>
    <n v="1"/>
    <s v="Vinay"/>
    <x v="0"/>
    <s v="Property / BI"/>
    <s v="Renewal"/>
    <n v="2164.3000000000002"/>
    <d v="2018-09-01T00:00:00"/>
    <s v="Brokerage"/>
    <x v="0"/>
    <s v="OTHR - Other"/>
    <d v="2020-01-22T00:00:00"/>
    <s v="Other"/>
    <m/>
    <m/>
    <m/>
    <m/>
    <m/>
    <m/>
    <m/>
    <m/>
    <m/>
    <m/>
    <m/>
    <m/>
    <m/>
    <m/>
    <m/>
    <m/>
    <m/>
    <m/>
    <m/>
    <m/>
  </r>
  <r>
    <s v="Veena Bhargava"/>
    <s v="'310300111910000397"/>
    <x v="0"/>
    <x v="23"/>
    <d v="2020-08-31T00:00:00"/>
    <x v="1"/>
    <n v="1"/>
    <s v="Vinay"/>
    <x v="0"/>
    <s v="Property / BI"/>
    <s v="Renewal"/>
    <n v="27258.799999999999"/>
    <d v="2019-09-01T00:00:00"/>
    <s v="Brokerage"/>
    <x v="1"/>
    <s v="OTHR - Other"/>
    <d v="2020-01-22T00:00:00"/>
    <s v="Other"/>
    <m/>
    <m/>
    <m/>
    <m/>
    <m/>
    <m/>
    <m/>
    <m/>
    <m/>
    <m/>
    <m/>
    <m/>
    <m/>
    <m/>
    <m/>
    <m/>
    <m/>
    <m/>
    <m/>
    <m/>
  </r>
  <r>
    <s v="Shivam Shah"/>
    <n v="3.10304E+17"/>
    <x v="1"/>
    <x v="24"/>
    <d v="2019-08-31T00:00:00"/>
    <x v="1"/>
    <n v="1"/>
    <s v="Vinay"/>
    <x v="0"/>
    <s v="Property / BI"/>
    <s v="Renewal"/>
    <n v="5105.2"/>
    <d v="2018-09-01T00:00:00"/>
    <s v="Brokerage"/>
    <x v="0"/>
    <s v="OTHR - Other"/>
    <d v="2020-01-22T00:00:00"/>
    <s v="Other"/>
    <m/>
    <m/>
    <m/>
    <m/>
    <m/>
    <m/>
    <m/>
    <m/>
    <m/>
    <m/>
    <m/>
    <m/>
    <m/>
    <m/>
    <m/>
    <m/>
    <m/>
    <m/>
    <m/>
    <m/>
  </r>
  <r>
    <s v="Bhavna Bhandari"/>
    <s v="MD004600"/>
    <x v="0"/>
    <x v="179"/>
    <d v="2020-01-22T00:00:00"/>
    <x v="3"/>
    <n v="1"/>
    <s v="Vinay"/>
    <x v="0"/>
    <s v="Small Medium Enterpries (SME)"/>
    <s v="Cross Sell"/>
    <n v="95.85"/>
    <d v="2020-01-17T00:00:00"/>
    <s v="Brokerage"/>
    <x v="0"/>
    <s v="OTHR - Other"/>
    <d v="2020-01-22T00:00:00"/>
    <s v="Other"/>
    <s v="AL GPA"/>
    <s v="OPP1900001047"/>
    <s v="Vinay"/>
    <n v="200000"/>
    <n v="30000"/>
    <d v="2020-03-31T00:00:00"/>
    <s v="Qualify Opportunity"/>
    <s v="Ahmedabad"/>
    <s v="Employee Benefits (EB)"/>
    <s v="Mediclaim"/>
    <s v="Group Personal Accident"/>
    <m/>
    <m/>
    <s v="Sophia Garcia"/>
    <d v="2020-01-02T00:00:00"/>
    <s v="Vinay"/>
    <s v="Hunter &amp; Farmer"/>
    <n v="12788092"/>
    <n v="250000"/>
    <n v="1500000"/>
  </r>
  <r>
    <s v="Bhavna Bhandari"/>
    <s v="MD004600"/>
    <x v="0"/>
    <x v="179"/>
    <d v="2020-01-22T00:00:00"/>
    <x v="3"/>
    <n v="1"/>
    <s v="Vinay"/>
    <x v="0"/>
    <s v="Small Medium Enterpries (SME)"/>
    <s v="Cross Sell"/>
    <n v="95.85"/>
    <d v="2020-01-17T00:00:00"/>
    <s v="Brokerage"/>
    <x v="0"/>
    <s v="OTHR - Other"/>
    <d v="2020-01-22T00:00:00"/>
    <s v="Other"/>
    <s v="AL GPA"/>
    <s v="OPP1900001047"/>
    <s v="Vinay"/>
    <n v="200000"/>
    <n v="30000"/>
    <d v="2020-03-31T00:00:00"/>
    <s v="Qualify Opportunity"/>
    <s v="Ahmedabad"/>
    <s v="Employee Benefits (EB)"/>
    <s v="Mediclaim"/>
    <s v="Group Personal Accident"/>
    <m/>
    <m/>
    <s v="James Miller"/>
    <d v="2020-01-03T00:00:00"/>
    <s v="Vinay"/>
    <s v="Hunter &amp; Farmer"/>
    <n v="12788092"/>
    <n v="250000"/>
    <n v="1500000"/>
  </r>
  <r>
    <s v="Bhavna Bhandari"/>
    <s v="MD004600"/>
    <x v="0"/>
    <x v="179"/>
    <d v="2020-01-22T00:00:00"/>
    <x v="3"/>
    <n v="1"/>
    <s v="Vinay"/>
    <x v="0"/>
    <s v="Small Medium Enterpries (SME)"/>
    <s v="Cross Sell"/>
    <n v="95.85"/>
    <d v="2020-01-17T00:00:00"/>
    <s v="Brokerage"/>
    <x v="0"/>
    <s v="OTHR - Other"/>
    <d v="2020-01-22T00:00:00"/>
    <s v="Other"/>
    <s v="AL GPA"/>
    <s v="OPP1900001047"/>
    <s v="Vinay"/>
    <n v="200000"/>
    <n v="30000"/>
    <d v="2020-03-31T00:00:00"/>
    <s v="Qualify Opportunity"/>
    <s v="Ahmedabad"/>
    <s v="Employee Benefits (EB)"/>
    <s v="Mediclaim"/>
    <s v="Group Personal Accident"/>
    <m/>
    <m/>
    <s v="Mia Rodriguez"/>
    <d v="2020-01-06T00:00:00"/>
    <s v="Vinay"/>
    <s v="Hunter &amp; Farmer"/>
    <n v="12788092"/>
    <n v="250000"/>
    <n v="1500000"/>
  </r>
  <r>
    <s v="Bhavna Bhandari"/>
    <s v="MD004600"/>
    <x v="0"/>
    <x v="179"/>
    <d v="2020-01-22T00:00:00"/>
    <x v="3"/>
    <n v="1"/>
    <s v="Vinay"/>
    <x v="0"/>
    <s v="Small Medium Enterpries (SME)"/>
    <s v="Cross Sell"/>
    <n v="95.85"/>
    <d v="2020-01-17T00:00:00"/>
    <s v="Brokerage"/>
    <x v="0"/>
    <s v="OTHR - Other"/>
    <d v="2020-01-22T00:00:00"/>
    <s v="Other"/>
    <s v="AL GPA"/>
    <s v="OPP1900001047"/>
    <s v="Vinay"/>
    <n v="200000"/>
    <n v="30000"/>
    <d v="2020-03-31T00:00:00"/>
    <s v="Qualify Opportunity"/>
    <s v="Ahmedabad"/>
    <s v="Employee Benefits (EB)"/>
    <s v="Mediclaim"/>
    <s v="Group Personal Accident"/>
    <m/>
    <m/>
    <s v="Benjamin Anderson"/>
    <d v="2020-01-07T00:00:00"/>
    <s v="Vinay"/>
    <s v="Hunter &amp; Farmer"/>
    <n v="12788092"/>
    <n v="250000"/>
    <n v="1500000"/>
  </r>
  <r>
    <s v="Bhavna Bhandari"/>
    <s v="MD004600"/>
    <x v="0"/>
    <x v="179"/>
    <d v="2020-01-22T00:00:00"/>
    <x v="3"/>
    <n v="1"/>
    <s v="Vinay"/>
    <x v="0"/>
    <s v="Small Medium Enterpries (SME)"/>
    <s v="Cross Sell"/>
    <n v="95.85"/>
    <d v="2020-01-17T00:00:00"/>
    <s v="Brokerage"/>
    <x v="0"/>
    <s v="OTHR - Other"/>
    <d v="2020-01-22T00:00:00"/>
    <s v="Other"/>
    <s v="AL GPA"/>
    <s v="OPP1900001047"/>
    <s v="Vinay"/>
    <n v="200000"/>
    <n v="30000"/>
    <d v="2020-03-31T00:00:00"/>
    <s v="Qualify Opportunity"/>
    <s v="Ahmedabad"/>
    <s v="Employee Benefits (EB)"/>
    <s v="Mediclaim"/>
    <s v="Group Personal Accident"/>
    <m/>
    <m/>
    <s v="Charlotte Taylor"/>
    <d v="2020-01-08T00:00:00"/>
    <s v="Vinay"/>
    <s v="Hunter &amp; Farmer"/>
    <n v="12788092"/>
    <n v="250000"/>
    <n v="1500000"/>
  </r>
  <r>
    <s v="Bhavna Bhandari"/>
    <s v="MD004600"/>
    <x v="0"/>
    <x v="179"/>
    <d v="2020-01-22T00:00:00"/>
    <x v="3"/>
    <n v="1"/>
    <s v="Vinay"/>
    <x v="0"/>
    <s v="Small Medium Enterpries (SME)"/>
    <s v="Cross Sell"/>
    <n v="95.85"/>
    <d v="2020-01-17T00:00:00"/>
    <s v="Brokerage"/>
    <x v="0"/>
    <s v="OTHR - Other"/>
    <d v="2020-01-22T00:00:00"/>
    <s v="Other"/>
    <s v="SGL- GMC"/>
    <s v="OPP1900001054"/>
    <s v="Vinay"/>
    <n v="0"/>
    <n v="125000"/>
    <d v="2020-06-30T00:00:00"/>
    <s v="Qualify Opportunity"/>
    <s v="Ahmedabad"/>
    <s v="Employee Benefits (EB)"/>
    <s v="Mediclaim"/>
    <s v="Group Medical"/>
    <m/>
    <m/>
    <s v="Sophia Garcia"/>
    <d v="2020-01-02T00:00:00"/>
    <s v="Vinay"/>
    <s v="Hunter &amp; Farmer"/>
    <n v="12788092"/>
    <n v="250000"/>
    <n v="1500000"/>
  </r>
  <r>
    <s v="Bhavna Bhandari"/>
    <s v="MD004600"/>
    <x v="0"/>
    <x v="179"/>
    <d v="2020-01-22T00:00:00"/>
    <x v="3"/>
    <n v="1"/>
    <s v="Vinay"/>
    <x v="0"/>
    <s v="Small Medium Enterpries (SME)"/>
    <s v="Cross Sell"/>
    <n v="95.85"/>
    <d v="2020-01-17T00:00:00"/>
    <s v="Brokerage"/>
    <x v="0"/>
    <s v="OTHR - Other"/>
    <d v="2020-01-22T00:00:00"/>
    <s v="Other"/>
    <s v="SGL- GMC"/>
    <s v="OPP1900001054"/>
    <s v="Vinay"/>
    <n v="0"/>
    <n v="125000"/>
    <d v="2020-06-30T00:00:00"/>
    <s v="Qualify Opportunity"/>
    <s v="Ahmedabad"/>
    <s v="Employee Benefits (EB)"/>
    <s v="Mediclaim"/>
    <s v="Group Medical"/>
    <m/>
    <m/>
    <s v="James Miller"/>
    <d v="2020-01-03T00:00:00"/>
    <s v="Vinay"/>
    <s v="Hunter &amp; Farmer"/>
    <n v="12788092"/>
    <n v="250000"/>
    <n v="1500000"/>
  </r>
  <r>
    <s v="Bhavna Bhandari"/>
    <s v="MD004600"/>
    <x v="0"/>
    <x v="179"/>
    <d v="2020-01-22T00:00:00"/>
    <x v="3"/>
    <n v="1"/>
    <s v="Vinay"/>
    <x v="0"/>
    <s v="Small Medium Enterpries (SME)"/>
    <s v="Cross Sell"/>
    <n v="95.85"/>
    <d v="2020-01-17T00:00:00"/>
    <s v="Brokerage"/>
    <x v="0"/>
    <s v="OTHR - Other"/>
    <d v="2020-01-22T00:00:00"/>
    <s v="Other"/>
    <s v="SGL- GMC"/>
    <s v="OPP1900001054"/>
    <s v="Vinay"/>
    <n v="0"/>
    <n v="125000"/>
    <d v="2020-06-30T00:00:00"/>
    <s v="Qualify Opportunity"/>
    <s v="Ahmedabad"/>
    <s v="Employee Benefits (EB)"/>
    <s v="Mediclaim"/>
    <s v="Group Medical"/>
    <m/>
    <m/>
    <s v="Mia Rodriguez"/>
    <d v="2020-01-06T00:00:00"/>
    <s v="Vinay"/>
    <s v="Hunter &amp; Farmer"/>
    <n v="12788092"/>
    <n v="250000"/>
    <n v="1500000"/>
  </r>
  <r>
    <s v="Bhavna Bhandari"/>
    <s v="MD004600"/>
    <x v="0"/>
    <x v="179"/>
    <d v="2020-01-22T00:00:00"/>
    <x v="3"/>
    <n v="1"/>
    <s v="Vinay"/>
    <x v="0"/>
    <s v="Small Medium Enterpries (SME)"/>
    <s v="Cross Sell"/>
    <n v="95.85"/>
    <d v="2020-01-17T00:00:00"/>
    <s v="Brokerage"/>
    <x v="0"/>
    <s v="OTHR - Other"/>
    <d v="2020-01-22T00:00:00"/>
    <s v="Other"/>
    <s v="SGL- GMC"/>
    <s v="OPP1900001054"/>
    <s v="Vinay"/>
    <n v="0"/>
    <n v="125000"/>
    <d v="2020-06-30T00:00:00"/>
    <s v="Qualify Opportunity"/>
    <s v="Ahmedabad"/>
    <s v="Employee Benefits (EB)"/>
    <s v="Mediclaim"/>
    <s v="Group Medical"/>
    <m/>
    <m/>
    <s v="Benjamin Anderson"/>
    <d v="2020-01-07T00:00:00"/>
    <s v="Vinay"/>
    <s v="Hunter &amp; Farmer"/>
    <n v="12788092"/>
    <n v="250000"/>
    <n v="1500000"/>
  </r>
  <r>
    <s v="Bhavna Bhandari"/>
    <s v="MD004600"/>
    <x v="0"/>
    <x v="179"/>
    <d v="2020-01-22T00:00:00"/>
    <x v="3"/>
    <n v="1"/>
    <s v="Vinay"/>
    <x v="0"/>
    <s v="Small Medium Enterpries (SME)"/>
    <s v="Cross Sell"/>
    <n v="95.85"/>
    <d v="2020-01-17T00:00:00"/>
    <s v="Brokerage"/>
    <x v="0"/>
    <s v="OTHR - Other"/>
    <d v="2020-01-22T00:00:00"/>
    <s v="Other"/>
    <s v="SGL- GMC"/>
    <s v="OPP1900001054"/>
    <s v="Vinay"/>
    <n v="0"/>
    <n v="125000"/>
    <d v="2020-06-30T00:00:00"/>
    <s v="Qualify Opportunity"/>
    <s v="Ahmedabad"/>
    <s v="Employee Benefits (EB)"/>
    <s v="Mediclaim"/>
    <s v="Group Medical"/>
    <m/>
    <m/>
    <s v="Charlotte Taylor"/>
    <d v="2020-01-08T00:00:00"/>
    <s v="Vinay"/>
    <s v="Hunter &amp; Farmer"/>
    <n v="12788092"/>
    <n v="250000"/>
    <n v="1500000"/>
  </r>
  <r>
    <s v="Tarun Shah"/>
    <n v="3.10304E+17"/>
    <x v="0"/>
    <x v="24"/>
    <d v="2019-08-31T00:00:00"/>
    <x v="1"/>
    <n v="1"/>
    <s v="Vinay"/>
    <x v="0"/>
    <s v="Property / BI"/>
    <s v="Renewal"/>
    <n v="153.76"/>
    <d v="2018-09-01T00:00:00"/>
    <s v="Brokerage"/>
    <x v="0"/>
    <s v="OTHR - Other"/>
    <d v="2020-01-22T00:00:00"/>
    <s v="Other"/>
    <m/>
    <m/>
    <m/>
    <m/>
    <m/>
    <m/>
    <m/>
    <m/>
    <m/>
    <m/>
    <m/>
    <m/>
    <m/>
    <m/>
    <m/>
    <m/>
    <m/>
    <m/>
    <m/>
    <m/>
  </r>
  <r>
    <s v="Hemant Chauhan"/>
    <n v="3.10304E+17"/>
    <x v="0"/>
    <x v="24"/>
    <d v="2019-08-31T00:00:00"/>
    <x v="1"/>
    <n v="1"/>
    <s v="Vinay"/>
    <x v="0"/>
    <s v="Property / BI"/>
    <s v="Renewal"/>
    <n v="3842.38"/>
    <d v="2018-09-01T00:00:00"/>
    <s v="Brokerage"/>
    <x v="0"/>
    <s v="OTHR - Other"/>
    <d v="2020-01-22T00:00:00"/>
    <s v="Other"/>
    <m/>
    <m/>
    <m/>
    <m/>
    <m/>
    <m/>
    <m/>
    <m/>
    <m/>
    <m/>
    <m/>
    <m/>
    <m/>
    <m/>
    <m/>
    <m/>
    <m/>
    <m/>
    <m/>
    <m/>
  </r>
  <r>
    <s v="Geeta Verma"/>
    <s v="0865085175 00 00"/>
    <x v="0"/>
    <x v="180"/>
    <d v="2020-09-11T00:00:00"/>
    <x v="0"/>
    <n v="1"/>
    <s v="Vinay"/>
    <x v="0"/>
    <s v="Small Medium Enterpries (SME)"/>
    <s v="Renewal"/>
    <n v="3300"/>
    <d v="2019-09-12T00:00:00"/>
    <s v="Brokerage"/>
    <x v="0"/>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Geeta Verma"/>
    <s v="0865085175 00 00"/>
    <x v="0"/>
    <x v="180"/>
    <d v="2020-09-11T00:00:00"/>
    <x v="0"/>
    <n v="1"/>
    <s v="Vinay"/>
    <x v="0"/>
    <s v="Small Medium Enterpries (SME)"/>
    <s v="Renewal"/>
    <n v="3300"/>
    <d v="2019-09-12T00:00:00"/>
    <s v="Brokerage"/>
    <x v="0"/>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Geeta Verma"/>
    <s v="0865085175 00 00"/>
    <x v="0"/>
    <x v="180"/>
    <d v="2020-09-11T00:00:00"/>
    <x v="0"/>
    <n v="1"/>
    <s v="Vinay"/>
    <x v="0"/>
    <s v="Small Medium Enterpries (SME)"/>
    <s v="Renewal"/>
    <n v="3300"/>
    <d v="2019-09-12T00:00:00"/>
    <s v="Brokerage"/>
    <x v="0"/>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Geeta Verma"/>
    <s v="0865085175 00 00"/>
    <x v="0"/>
    <x v="180"/>
    <d v="2020-09-11T00:00:00"/>
    <x v="0"/>
    <n v="1"/>
    <s v="Vinay"/>
    <x v="0"/>
    <s v="Small Medium Enterpries (SME)"/>
    <s v="Renewal"/>
    <n v="3300"/>
    <d v="2019-09-12T00:00:00"/>
    <s v="Brokerage"/>
    <x v="0"/>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Geeta Verma"/>
    <s v="0865085175 00 00"/>
    <x v="0"/>
    <x v="180"/>
    <d v="2020-09-11T00:00:00"/>
    <x v="0"/>
    <n v="1"/>
    <s v="Vinay"/>
    <x v="0"/>
    <s v="Small Medium Enterpries (SME)"/>
    <s v="Renewal"/>
    <n v="3300"/>
    <d v="2019-09-12T00:00:00"/>
    <s v="Brokerage"/>
    <x v="0"/>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Geeta Verma"/>
    <s v="0865085175 00 00"/>
    <x v="0"/>
    <x v="180"/>
    <d v="2020-09-11T00:00:00"/>
    <x v="0"/>
    <n v="1"/>
    <s v="Vinay"/>
    <x v="0"/>
    <s v="Small Medium Enterpries (SME)"/>
    <s v="Renewal"/>
    <n v="3300"/>
    <d v="2019-09-12T00:00:00"/>
    <s v="Brokerage"/>
    <x v="0"/>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Geeta Verma"/>
    <s v="0865085175 00 00"/>
    <x v="0"/>
    <x v="180"/>
    <d v="2020-09-11T00:00:00"/>
    <x v="0"/>
    <n v="1"/>
    <s v="Vinay"/>
    <x v="0"/>
    <s v="Small Medium Enterpries (SME)"/>
    <s v="Renewal"/>
    <n v="3300"/>
    <d v="2019-09-12T00:00:00"/>
    <s v="Brokerage"/>
    <x v="0"/>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Geeta Verma"/>
    <s v="0865085175 00 00"/>
    <x v="0"/>
    <x v="180"/>
    <d v="2020-09-11T00:00:00"/>
    <x v="0"/>
    <n v="1"/>
    <s v="Vinay"/>
    <x v="0"/>
    <s v="Small Medium Enterpries (SME)"/>
    <s v="Renewal"/>
    <n v="3300"/>
    <d v="2019-09-12T00:00:00"/>
    <s v="Brokerage"/>
    <x v="0"/>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Geeta Verma"/>
    <s v="0865085175 00 00"/>
    <x v="0"/>
    <x v="180"/>
    <d v="2020-09-11T00:00:00"/>
    <x v="0"/>
    <n v="1"/>
    <s v="Vinay"/>
    <x v="0"/>
    <s v="Small Medium Enterpries (SME)"/>
    <s v="Renewal"/>
    <n v="3300"/>
    <d v="2019-09-12T00:00:00"/>
    <s v="Brokerage"/>
    <x v="0"/>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Geeta Verma"/>
    <s v="0865085175 00 00"/>
    <x v="0"/>
    <x v="180"/>
    <d v="2020-09-11T00:00:00"/>
    <x v="0"/>
    <n v="1"/>
    <s v="Vinay"/>
    <x v="0"/>
    <s v="Small Medium Enterpries (SME)"/>
    <s v="Renewal"/>
    <n v="3300"/>
    <d v="2019-09-12T00:00:00"/>
    <s v="Brokerage"/>
    <x v="0"/>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Geeta Verma"/>
    <s v="0865085175 00 00"/>
    <x v="0"/>
    <x v="180"/>
    <d v="2020-09-11T00:00:00"/>
    <x v="0"/>
    <n v="1"/>
    <s v="Vinay"/>
    <x v="0"/>
    <s v="Small Medium Enterpries (SME)"/>
    <s v="Renewal"/>
    <n v="3300"/>
    <d v="2019-09-12T00:00:00"/>
    <s v="Brokerage"/>
    <x v="0"/>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Geeta Verma"/>
    <s v="0865085175 00 00"/>
    <x v="0"/>
    <x v="180"/>
    <d v="2020-09-11T00:00:00"/>
    <x v="0"/>
    <n v="1"/>
    <s v="Vinay"/>
    <x v="0"/>
    <s v="Small Medium Enterpries (SME)"/>
    <s v="Renewal"/>
    <n v="3300"/>
    <d v="2019-09-12T00:00:00"/>
    <s v="Brokerage"/>
    <x v="0"/>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Geeta Verma"/>
    <s v="0865085175 00 00"/>
    <x v="0"/>
    <x v="180"/>
    <d v="2020-09-11T00:00:00"/>
    <x v="0"/>
    <n v="1"/>
    <s v="Vinay"/>
    <x v="0"/>
    <s v="Small Medium Enterpries (SME)"/>
    <s v="Renewal"/>
    <n v="3300"/>
    <d v="2019-09-12T00:00:00"/>
    <s v="Brokerage"/>
    <x v="0"/>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Geeta Verma"/>
    <s v="0865085175 00 00"/>
    <x v="0"/>
    <x v="180"/>
    <d v="2020-09-11T00:00:00"/>
    <x v="0"/>
    <n v="1"/>
    <s v="Vinay"/>
    <x v="0"/>
    <s v="Small Medium Enterpries (SME)"/>
    <s v="Renewal"/>
    <n v="3300"/>
    <d v="2019-09-12T00:00:00"/>
    <s v="Brokerage"/>
    <x v="0"/>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Geeta Verma"/>
    <s v="0865085175 00 00"/>
    <x v="0"/>
    <x v="180"/>
    <d v="2020-09-11T00:00:00"/>
    <x v="0"/>
    <n v="1"/>
    <s v="Vinay"/>
    <x v="0"/>
    <s v="Small Medium Enterpries (SME)"/>
    <s v="Renewal"/>
    <n v="3300"/>
    <d v="2019-09-12T00:00:00"/>
    <s v="Brokerage"/>
    <x v="0"/>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Geeta Verma"/>
    <s v="0865085175 00 00"/>
    <x v="0"/>
    <x v="180"/>
    <d v="2020-09-11T00:00:00"/>
    <x v="0"/>
    <n v="1"/>
    <s v="Vinay"/>
    <x v="0"/>
    <s v="Small Medium Enterpries (SME)"/>
    <s v="Renewal"/>
    <n v="3300"/>
    <d v="2019-09-12T00:00:00"/>
    <s v="Brokerage"/>
    <x v="0"/>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Geeta Verma"/>
    <s v="0865085175 00 00"/>
    <x v="0"/>
    <x v="180"/>
    <d v="2020-09-11T00:00:00"/>
    <x v="0"/>
    <n v="1"/>
    <s v="Vinay"/>
    <x v="0"/>
    <s v="Small Medium Enterpries (SME)"/>
    <s v="Renewal"/>
    <n v="3300"/>
    <d v="2019-09-12T00:00:00"/>
    <s v="Brokerage"/>
    <x v="0"/>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Geeta Verma"/>
    <s v="0865085175 00 00"/>
    <x v="0"/>
    <x v="180"/>
    <d v="2020-09-11T00:00:00"/>
    <x v="0"/>
    <n v="1"/>
    <s v="Vinay"/>
    <x v="0"/>
    <s v="Small Medium Enterpries (SME)"/>
    <s v="Renewal"/>
    <n v="3300"/>
    <d v="2019-09-12T00:00:00"/>
    <s v="Brokerage"/>
    <x v="0"/>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Geeta Verma"/>
    <s v="0865085175 00 00"/>
    <x v="0"/>
    <x v="180"/>
    <d v="2020-09-11T00:00:00"/>
    <x v="0"/>
    <n v="1"/>
    <s v="Vinay"/>
    <x v="0"/>
    <s v="Small Medium Enterpries (SME)"/>
    <s v="Renewal"/>
    <n v="3300"/>
    <d v="2019-09-12T00:00:00"/>
    <s v="Brokerage"/>
    <x v="0"/>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Geeta Verma"/>
    <s v="0865085175 00 00"/>
    <x v="0"/>
    <x v="180"/>
    <d v="2020-09-11T00:00:00"/>
    <x v="0"/>
    <n v="1"/>
    <s v="Vinay"/>
    <x v="0"/>
    <s v="Small Medium Enterpries (SME)"/>
    <s v="Renewal"/>
    <n v="3300"/>
    <d v="2019-09-12T00:00:00"/>
    <s v="Brokerage"/>
    <x v="0"/>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Ashok Patel"/>
    <s v="2002/160095852/00/000"/>
    <x v="0"/>
    <x v="33"/>
    <d v="2019-10-31T00:00:00"/>
    <x v="0"/>
    <n v="1"/>
    <s v="Vinay"/>
    <x v="0"/>
    <s v="Marine"/>
    <s v="Renewal"/>
    <n v="7424.84"/>
    <d v="2018-11-01T00:00:00"/>
    <s v="Brokerage"/>
    <x v="1"/>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Ashok Patel"/>
    <s v="2002/160095852/00/000"/>
    <x v="0"/>
    <x v="33"/>
    <d v="2019-10-31T00:00:00"/>
    <x v="0"/>
    <n v="1"/>
    <s v="Vinay"/>
    <x v="0"/>
    <s v="Marine"/>
    <s v="Renewal"/>
    <n v="7424.84"/>
    <d v="2018-11-01T00:00:00"/>
    <s v="Brokerage"/>
    <x v="1"/>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Ashok Patel"/>
    <s v="2002/160095852/00/000"/>
    <x v="0"/>
    <x v="33"/>
    <d v="2019-10-31T00:00:00"/>
    <x v="0"/>
    <n v="1"/>
    <s v="Vinay"/>
    <x v="0"/>
    <s v="Marine"/>
    <s v="Renewal"/>
    <n v="7424.84"/>
    <d v="2018-11-01T00:00:00"/>
    <s v="Brokerage"/>
    <x v="1"/>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Ashok Patel"/>
    <s v="2002/160095852/00/000"/>
    <x v="0"/>
    <x v="33"/>
    <d v="2019-10-31T00:00:00"/>
    <x v="0"/>
    <n v="1"/>
    <s v="Vinay"/>
    <x v="0"/>
    <s v="Marine"/>
    <s v="Renewal"/>
    <n v="7424.84"/>
    <d v="2018-11-01T00:00:00"/>
    <s v="Brokerage"/>
    <x v="1"/>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Ashok Patel"/>
    <s v="2002/160095852/00/000"/>
    <x v="0"/>
    <x v="33"/>
    <d v="2019-10-31T00:00:00"/>
    <x v="0"/>
    <n v="1"/>
    <s v="Vinay"/>
    <x v="0"/>
    <s v="Marine"/>
    <s v="Renewal"/>
    <n v="7424.84"/>
    <d v="2018-11-01T00:00:00"/>
    <s v="Brokerage"/>
    <x v="1"/>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Ashok Patel"/>
    <s v="2002/160095852/00/000"/>
    <x v="0"/>
    <x v="33"/>
    <d v="2019-10-31T00:00:00"/>
    <x v="0"/>
    <n v="1"/>
    <s v="Vinay"/>
    <x v="0"/>
    <s v="Marine"/>
    <s v="Renewal"/>
    <n v="7424.84"/>
    <d v="2018-11-01T00:00:00"/>
    <s v="Brokerage"/>
    <x v="1"/>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Ashok Patel"/>
    <s v="2002/160095852/00/000"/>
    <x v="0"/>
    <x v="33"/>
    <d v="2019-10-31T00:00:00"/>
    <x v="0"/>
    <n v="1"/>
    <s v="Vinay"/>
    <x v="0"/>
    <s v="Marine"/>
    <s v="Renewal"/>
    <n v="7424.84"/>
    <d v="2018-11-01T00:00:00"/>
    <s v="Brokerage"/>
    <x v="1"/>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Ashok Patel"/>
    <s v="2002/160095852/00/000"/>
    <x v="0"/>
    <x v="33"/>
    <d v="2019-10-31T00:00:00"/>
    <x v="0"/>
    <n v="1"/>
    <s v="Vinay"/>
    <x v="0"/>
    <s v="Marine"/>
    <s v="Renewal"/>
    <n v="7424.84"/>
    <d v="2018-11-01T00:00:00"/>
    <s v="Brokerage"/>
    <x v="1"/>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Ashok Patel"/>
    <s v="2002/160095852/00/000"/>
    <x v="0"/>
    <x v="33"/>
    <d v="2019-10-31T00:00:00"/>
    <x v="0"/>
    <n v="1"/>
    <s v="Vinay"/>
    <x v="0"/>
    <s v="Marine"/>
    <s v="Renewal"/>
    <n v="7424.84"/>
    <d v="2018-11-01T00:00:00"/>
    <s v="Brokerage"/>
    <x v="1"/>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Ashok Patel"/>
    <s v="2002/160095852/00/000"/>
    <x v="0"/>
    <x v="33"/>
    <d v="2019-10-31T00:00:00"/>
    <x v="0"/>
    <n v="1"/>
    <s v="Vinay"/>
    <x v="0"/>
    <s v="Marine"/>
    <s v="Renewal"/>
    <n v="7424.84"/>
    <d v="2018-11-01T00:00:00"/>
    <s v="Brokerage"/>
    <x v="1"/>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Ashok Patel"/>
    <s v="2002/160095852/00/000"/>
    <x v="0"/>
    <x v="33"/>
    <d v="2019-10-31T00:00:00"/>
    <x v="0"/>
    <n v="1"/>
    <s v="Vinay"/>
    <x v="0"/>
    <s v="Marine"/>
    <s v="Renewal"/>
    <n v="7424.84"/>
    <d v="2018-11-01T00:00:00"/>
    <s v="Brokerage"/>
    <x v="1"/>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Ashok Patel"/>
    <s v="2002/160095852/00/000"/>
    <x v="0"/>
    <x v="33"/>
    <d v="2019-10-31T00:00:00"/>
    <x v="0"/>
    <n v="1"/>
    <s v="Vinay"/>
    <x v="0"/>
    <s v="Marine"/>
    <s v="Renewal"/>
    <n v="7424.84"/>
    <d v="2018-11-01T00:00:00"/>
    <s v="Brokerage"/>
    <x v="1"/>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Ashok Patel"/>
    <s v="2002/160095852/00/000"/>
    <x v="0"/>
    <x v="33"/>
    <d v="2019-10-31T00:00:00"/>
    <x v="0"/>
    <n v="1"/>
    <s v="Vinay"/>
    <x v="0"/>
    <s v="Marine"/>
    <s v="Renewal"/>
    <n v="7424.84"/>
    <d v="2018-11-01T00:00:00"/>
    <s v="Brokerage"/>
    <x v="1"/>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Ashok Patel"/>
    <s v="2002/160095852/00/000"/>
    <x v="0"/>
    <x v="33"/>
    <d v="2019-10-31T00:00:00"/>
    <x v="0"/>
    <n v="1"/>
    <s v="Vinay"/>
    <x v="0"/>
    <s v="Marine"/>
    <s v="Renewal"/>
    <n v="7424.84"/>
    <d v="2018-11-01T00:00:00"/>
    <s v="Brokerage"/>
    <x v="1"/>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Ashok Patel"/>
    <s v="2002/160095852/00/000"/>
    <x v="0"/>
    <x v="33"/>
    <d v="2019-10-31T00:00:00"/>
    <x v="0"/>
    <n v="1"/>
    <s v="Vinay"/>
    <x v="0"/>
    <s v="Marine"/>
    <s v="Renewal"/>
    <n v="7424.84"/>
    <d v="2018-11-01T00:00:00"/>
    <s v="Brokerage"/>
    <x v="1"/>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Ashok Patel"/>
    <s v="2002/160095852/00/000"/>
    <x v="0"/>
    <x v="33"/>
    <d v="2019-10-31T00:00:00"/>
    <x v="0"/>
    <n v="1"/>
    <s v="Vinay"/>
    <x v="0"/>
    <s v="Marine"/>
    <s v="Renewal"/>
    <n v="7424.84"/>
    <d v="2018-11-01T00:00:00"/>
    <s v="Brokerage"/>
    <x v="1"/>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Ashok Patel"/>
    <s v="2002/160095852/00/000"/>
    <x v="0"/>
    <x v="33"/>
    <d v="2019-10-31T00:00:00"/>
    <x v="0"/>
    <n v="1"/>
    <s v="Vinay"/>
    <x v="0"/>
    <s v="Marine"/>
    <s v="Renewal"/>
    <n v="7424.84"/>
    <d v="2018-11-01T00:00:00"/>
    <s v="Brokerage"/>
    <x v="1"/>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Ashok Patel"/>
    <s v="2002/160095852/00/000"/>
    <x v="0"/>
    <x v="33"/>
    <d v="2019-10-31T00:00:00"/>
    <x v="0"/>
    <n v="1"/>
    <s v="Vinay"/>
    <x v="0"/>
    <s v="Marine"/>
    <s v="Renewal"/>
    <n v="7424.84"/>
    <d v="2018-11-01T00:00:00"/>
    <s v="Brokerage"/>
    <x v="1"/>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Ashok Patel"/>
    <s v="2002/160095852/00/000"/>
    <x v="0"/>
    <x v="33"/>
    <d v="2019-10-31T00:00:00"/>
    <x v="0"/>
    <n v="1"/>
    <s v="Vinay"/>
    <x v="0"/>
    <s v="Marine"/>
    <s v="Renewal"/>
    <n v="7424.84"/>
    <d v="2018-11-01T00:00:00"/>
    <s v="Brokerage"/>
    <x v="1"/>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Ashok Patel"/>
    <s v="2002/160095852/00/000"/>
    <x v="0"/>
    <x v="33"/>
    <d v="2019-10-31T00:00:00"/>
    <x v="0"/>
    <n v="1"/>
    <s v="Vinay"/>
    <x v="0"/>
    <s v="Marine"/>
    <s v="Renewal"/>
    <n v="7424.84"/>
    <d v="2018-11-01T00:00:00"/>
    <s v="Brokerage"/>
    <x v="1"/>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Gayatri Reddy"/>
    <n v="22214171"/>
    <x v="1"/>
    <x v="37"/>
    <d v="2018-10-31T00:00:00"/>
    <x v="0"/>
    <n v="1"/>
    <s v="Vinay"/>
    <x v="0"/>
    <s v="Marine"/>
    <s v="Renewal"/>
    <n v="55687.5"/>
    <d v="2017-11-01T00:00:00"/>
    <s v="Brokerage"/>
    <x v="3"/>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Gayatri Reddy"/>
    <n v="22214171"/>
    <x v="1"/>
    <x v="37"/>
    <d v="2018-10-31T00:00:00"/>
    <x v="0"/>
    <n v="1"/>
    <s v="Vinay"/>
    <x v="0"/>
    <s v="Marine"/>
    <s v="Renewal"/>
    <n v="55687.5"/>
    <d v="2017-11-01T00:00:00"/>
    <s v="Brokerage"/>
    <x v="3"/>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Gayatri Reddy"/>
    <n v="22214171"/>
    <x v="1"/>
    <x v="37"/>
    <d v="2018-10-31T00:00:00"/>
    <x v="0"/>
    <n v="1"/>
    <s v="Vinay"/>
    <x v="0"/>
    <s v="Marine"/>
    <s v="Renewal"/>
    <n v="55687.5"/>
    <d v="2017-11-01T00:00:00"/>
    <s v="Brokerage"/>
    <x v="3"/>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Gayatri Reddy"/>
    <n v="22214171"/>
    <x v="1"/>
    <x v="37"/>
    <d v="2018-10-31T00:00:00"/>
    <x v="0"/>
    <n v="1"/>
    <s v="Vinay"/>
    <x v="0"/>
    <s v="Marine"/>
    <s v="Renewal"/>
    <n v="55687.5"/>
    <d v="2017-11-01T00:00:00"/>
    <s v="Brokerage"/>
    <x v="3"/>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Gayatri Reddy"/>
    <n v="22214171"/>
    <x v="1"/>
    <x v="37"/>
    <d v="2018-10-31T00:00:00"/>
    <x v="0"/>
    <n v="1"/>
    <s v="Vinay"/>
    <x v="0"/>
    <s v="Marine"/>
    <s v="Renewal"/>
    <n v="55687.5"/>
    <d v="2017-11-01T00:00:00"/>
    <s v="Brokerage"/>
    <x v="3"/>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Gayatri Reddy"/>
    <n v="22214171"/>
    <x v="1"/>
    <x v="37"/>
    <d v="2018-10-31T00:00:00"/>
    <x v="0"/>
    <n v="1"/>
    <s v="Vinay"/>
    <x v="0"/>
    <s v="Marine"/>
    <s v="Renewal"/>
    <n v="55687.5"/>
    <d v="2017-11-01T00:00:00"/>
    <s v="Brokerage"/>
    <x v="3"/>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Gayatri Reddy"/>
    <n v="22214171"/>
    <x v="1"/>
    <x v="37"/>
    <d v="2018-10-31T00:00:00"/>
    <x v="0"/>
    <n v="1"/>
    <s v="Vinay"/>
    <x v="0"/>
    <s v="Marine"/>
    <s v="Renewal"/>
    <n v="55687.5"/>
    <d v="2017-11-01T00:00:00"/>
    <s v="Brokerage"/>
    <x v="3"/>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Gayatri Reddy"/>
    <n v="22214171"/>
    <x v="1"/>
    <x v="37"/>
    <d v="2018-10-31T00:00:00"/>
    <x v="0"/>
    <n v="1"/>
    <s v="Vinay"/>
    <x v="0"/>
    <s v="Marine"/>
    <s v="Renewal"/>
    <n v="55687.5"/>
    <d v="2017-11-01T00:00:00"/>
    <s v="Brokerage"/>
    <x v="3"/>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Gayatri Reddy"/>
    <n v="22214171"/>
    <x v="1"/>
    <x v="37"/>
    <d v="2018-10-31T00:00:00"/>
    <x v="0"/>
    <n v="1"/>
    <s v="Vinay"/>
    <x v="0"/>
    <s v="Marine"/>
    <s v="Renewal"/>
    <n v="55687.5"/>
    <d v="2017-11-01T00:00:00"/>
    <s v="Brokerage"/>
    <x v="3"/>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Gayatri Reddy"/>
    <n v="22214171"/>
    <x v="1"/>
    <x v="37"/>
    <d v="2018-10-31T00:00:00"/>
    <x v="0"/>
    <n v="1"/>
    <s v="Vinay"/>
    <x v="0"/>
    <s v="Marine"/>
    <s v="Renewal"/>
    <n v="55687.5"/>
    <d v="2017-11-01T00:00:00"/>
    <s v="Brokerage"/>
    <x v="3"/>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Gayatri Reddy"/>
    <n v="22214171"/>
    <x v="1"/>
    <x v="37"/>
    <d v="2018-10-31T00:00:00"/>
    <x v="0"/>
    <n v="1"/>
    <s v="Vinay"/>
    <x v="0"/>
    <s v="Marine"/>
    <s v="Renewal"/>
    <n v="55687.5"/>
    <d v="2017-11-01T00:00:00"/>
    <s v="Brokerage"/>
    <x v="3"/>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Gayatri Reddy"/>
    <n v="22214171"/>
    <x v="1"/>
    <x v="37"/>
    <d v="2018-10-31T00:00:00"/>
    <x v="0"/>
    <n v="1"/>
    <s v="Vinay"/>
    <x v="0"/>
    <s v="Marine"/>
    <s v="Renewal"/>
    <n v="55687.5"/>
    <d v="2017-11-01T00:00:00"/>
    <s v="Brokerage"/>
    <x v="3"/>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Gayatri Reddy"/>
    <n v="22214171"/>
    <x v="1"/>
    <x v="37"/>
    <d v="2018-10-31T00:00:00"/>
    <x v="0"/>
    <n v="1"/>
    <s v="Vinay"/>
    <x v="0"/>
    <s v="Marine"/>
    <s v="Renewal"/>
    <n v="55687.5"/>
    <d v="2017-11-01T00:00:00"/>
    <s v="Brokerage"/>
    <x v="3"/>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Gayatri Reddy"/>
    <n v="22214171"/>
    <x v="1"/>
    <x v="37"/>
    <d v="2018-10-31T00:00:00"/>
    <x v="0"/>
    <n v="1"/>
    <s v="Vinay"/>
    <x v="0"/>
    <s v="Marine"/>
    <s v="Renewal"/>
    <n v="55687.5"/>
    <d v="2017-11-01T00:00:00"/>
    <s v="Brokerage"/>
    <x v="3"/>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Gayatri Reddy"/>
    <n v="22214171"/>
    <x v="1"/>
    <x v="37"/>
    <d v="2018-10-31T00:00:00"/>
    <x v="0"/>
    <n v="1"/>
    <s v="Vinay"/>
    <x v="0"/>
    <s v="Marine"/>
    <s v="Renewal"/>
    <n v="55687.5"/>
    <d v="2017-11-01T00:00:00"/>
    <s v="Brokerage"/>
    <x v="3"/>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Gayatri Reddy"/>
    <n v="22214171"/>
    <x v="1"/>
    <x v="37"/>
    <d v="2018-10-31T00:00:00"/>
    <x v="0"/>
    <n v="1"/>
    <s v="Vinay"/>
    <x v="0"/>
    <s v="Marine"/>
    <s v="Renewal"/>
    <n v="55687.5"/>
    <d v="2017-11-01T00:00:00"/>
    <s v="Brokerage"/>
    <x v="3"/>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Gayatri Reddy"/>
    <n v="22214171"/>
    <x v="1"/>
    <x v="37"/>
    <d v="2018-10-31T00:00:00"/>
    <x v="0"/>
    <n v="1"/>
    <s v="Vinay"/>
    <x v="0"/>
    <s v="Marine"/>
    <s v="Renewal"/>
    <n v="55687.5"/>
    <d v="2017-11-01T00:00:00"/>
    <s v="Brokerage"/>
    <x v="3"/>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Gayatri Reddy"/>
    <n v="22214171"/>
    <x v="1"/>
    <x v="37"/>
    <d v="2018-10-31T00:00:00"/>
    <x v="0"/>
    <n v="1"/>
    <s v="Vinay"/>
    <x v="0"/>
    <s v="Marine"/>
    <s v="Renewal"/>
    <n v="55687.5"/>
    <d v="2017-11-01T00:00:00"/>
    <s v="Brokerage"/>
    <x v="3"/>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Gayatri Reddy"/>
    <n v="22214171"/>
    <x v="1"/>
    <x v="37"/>
    <d v="2018-10-31T00:00:00"/>
    <x v="0"/>
    <n v="1"/>
    <s v="Vinay"/>
    <x v="0"/>
    <s v="Marine"/>
    <s v="Renewal"/>
    <n v="55687.5"/>
    <d v="2017-11-01T00:00:00"/>
    <s v="Brokerage"/>
    <x v="3"/>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Gayatri Reddy"/>
    <n v="22214171"/>
    <x v="1"/>
    <x v="37"/>
    <d v="2018-10-31T00:00:00"/>
    <x v="0"/>
    <n v="1"/>
    <s v="Vinay"/>
    <x v="0"/>
    <s v="Marine"/>
    <s v="Renewal"/>
    <n v="55687.5"/>
    <d v="2017-11-01T00:00:00"/>
    <s v="Brokerage"/>
    <x v="3"/>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Snehal Patel"/>
    <n v="22341873"/>
    <x v="0"/>
    <x v="181"/>
    <d v="2019-09-11T00:00:00"/>
    <x v="0"/>
    <n v="5"/>
    <s v="Juli"/>
    <x v="0"/>
    <s v="Marine"/>
    <s v="Renewal"/>
    <n v="8745.18"/>
    <d v="2018-09-12T00:00:00"/>
    <s v="Brokerage"/>
    <x v="0"/>
    <s v="OTHR - Other"/>
    <d v="2020-01-22T00:00:00"/>
    <s v="Other"/>
    <m/>
    <m/>
    <m/>
    <m/>
    <m/>
    <m/>
    <m/>
    <m/>
    <m/>
    <m/>
    <m/>
    <m/>
    <m/>
    <m/>
    <m/>
    <m/>
    <m/>
    <m/>
    <m/>
    <m/>
  </r>
  <r>
    <s v="Vivek Yadav"/>
    <s v="'21300031180100007178"/>
    <x v="0"/>
    <x v="182"/>
    <d v="2020-02-14T00:00:00"/>
    <x v="6"/>
    <n v="9"/>
    <s v="Manish Sharma"/>
    <x v="0"/>
    <s v="Motor"/>
    <s v="Cross Sell"/>
    <n v="10578.39"/>
    <d v="2019-02-15T00:00:00"/>
    <s v="Brokerage"/>
    <x v="0"/>
    <s v="OTHR - Other"/>
    <d v="2020-01-22T00:00:00"/>
    <s v="Other"/>
    <m/>
    <m/>
    <m/>
    <m/>
    <m/>
    <m/>
    <m/>
    <m/>
    <m/>
    <m/>
    <m/>
    <m/>
    <m/>
    <m/>
    <m/>
    <m/>
    <m/>
    <m/>
    <m/>
    <m/>
  </r>
  <r>
    <s v="Kiran Saxena"/>
    <s v="'310300111910000395"/>
    <x v="0"/>
    <x v="23"/>
    <d v="2020-08-31T00:00:00"/>
    <x v="1"/>
    <n v="1"/>
    <s v="Vinay"/>
    <x v="0"/>
    <s v="Property / BI"/>
    <s v="Renewal"/>
    <n v="10279.51"/>
    <d v="2019-09-01T00:00:00"/>
    <s v="Brokerage"/>
    <x v="1"/>
    <s v="OTHR - Other"/>
    <d v="2020-01-22T00:00:00"/>
    <s v="Other"/>
    <m/>
    <m/>
    <m/>
    <m/>
    <m/>
    <m/>
    <m/>
    <m/>
    <m/>
    <m/>
    <m/>
    <m/>
    <m/>
    <m/>
    <m/>
    <m/>
    <m/>
    <m/>
    <m/>
    <m/>
  </r>
  <r>
    <s v="Uday Reddy"/>
    <n v="3.10304E+17"/>
    <x v="1"/>
    <x v="24"/>
    <d v="2019-08-31T00:00:00"/>
    <x v="1"/>
    <n v="1"/>
    <s v="Vinay"/>
    <x v="0"/>
    <s v="Property / BI"/>
    <s v="Renewal"/>
    <n v="610.77"/>
    <d v="2018-09-01T00:00:00"/>
    <s v="Brokerage"/>
    <x v="0"/>
    <s v="OTHR - Other"/>
    <d v="2020-01-22T00:00:00"/>
    <s v="Other"/>
    <m/>
    <m/>
    <m/>
    <m/>
    <m/>
    <m/>
    <m/>
    <m/>
    <m/>
    <m/>
    <m/>
    <m/>
    <m/>
    <m/>
    <m/>
    <m/>
    <m/>
    <m/>
    <m/>
    <m/>
  </r>
  <r>
    <s v="Anita Pandit"/>
    <n v="301004265"/>
    <x v="1"/>
    <x v="183"/>
    <d v="2019-03-08T00:00:00"/>
    <x v="4"/>
    <n v="12"/>
    <s v="Shivani Sharma"/>
    <x v="0"/>
    <s v="Global Client Network (GNB Inward)"/>
    <s v="Renewal"/>
    <n v="25000"/>
    <d v="2018-03-09T00:00:00"/>
    <s v="Brokerage"/>
    <x v="0"/>
    <s v="OTHR - Other"/>
    <d v="2020-01-22T00:00:00"/>
    <s v="Other"/>
    <s v="DB- Cyber Liability"/>
    <s v="OPP1900001138"/>
    <s v="Shivani Sharma"/>
    <n v="500000"/>
    <n v="75000"/>
    <d v="2020-05-31T00:00:00"/>
    <s v="Qualify Opportunity"/>
    <s v="Ahmedabad"/>
    <s v="Liability"/>
    <s v="Financial Lines"/>
    <s v="Cyber Liability Insurance"/>
    <m/>
    <m/>
    <s v="Madison Robinson"/>
    <d v="2020-01-21T00:00:00"/>
    <m/>
    <m/>
    <m/>
    <m/>
    <m/>
  </r>
  <r>
    <s v="Anita Pandit"/>
    <n v="301004265"/>
    <x v="1"/>
    <x v="183"/>
    <d v="2019-03-08T00:00:00"/>
    <x v="4"/>
    <n v="12"/>
    <s v="Shivani Sharma"/>
    <x v="0"/>
    <s v="Global Client Network (GNB Inward)"/>
    <s v="Renewal"/>
    <n v="25000"/>
    <d v="2018-03-09T00:00:00"/>
    <s v="Brokerage"/>
    <x v="0"/>
    <s v="OTHR - Other"/>
    <d v="2020-01-22T00:00:00"/>
    <s v="Other"/>
    <s v="DB- Cyber Liability"/>
    <s v="OPP1900001138"/>
    <s v="Shivani Sharma"/>
    <n v="500000"/>
    <n v="75000"/>
    <d v="2020-05-31T00:00:00"/>
    <s v="Qualify Opportunity"/>
    <s v="Ahmedabad"/>
    <s v="Liability"/>
    <s v="Financial Lines"/>
    <s v="Cyber Liability Insurance"/>
    <m/>
    <m/>
    <s v="David Hall"/>
    <d v="2020-01-21T00:00:00"/>
    <m/>
    <m/>
    <m/>
    <m/>
    <m/>
  </r>
  <r>
    <s v="Anita Pandit"/>
    <n v="301004265"/>
    <x v="1"/>
    <x v="183"/>
    <d v="2019-03-08T00:00:00"/>
    <x v="4"/>
    <n v="12"/>
    <s v="Shivani Sharma"/>
    <x v="0"/>
    <s v="Global Client Network (GNB Inward)"/>
    <s v="Renewal"/>
    <n v="25000"/>
    <d v="2018-03-09T00:00:00"/>
    <s v="Brokerage"/>
    <x v="0"/>
    <s v="OTHR - Other"/>
    <d v="2020-01-22T00:00:00"/>
    <s v="Other"/>
    <s v="DB- Cyber Liability"/>
    <s v="OPP1900001138"/>
    <s v="Shivani Sharma"/>
    <n v="500000"/>
    <n v="75000"/>
    <d v="2020-05-31T00:00:00"/>
    <s v="Qualify Opportunity"/>
    <s v="Ahmedabad"/>
    <s v="Liability"/>
    <s v="Financial Lines"/>
    <s v="Cyber Liability Insurance"/>
    <m/>
    <m/>
    <s v="Lily Young"/>
    <d v="2020-01-21T00:00:00"/>
    <m/>
    <m/>
    <m/>
    <m/>
    <m/>
  </r>
  <r>
    <s v="Anita Pandit"/>
    <n v="301004265"/>
    <x v="1"/>
    <x v="183"/>
    <d v="2019-03-08T00:00:00"/>
    <x v="4"/>
    <n v="12"/>
    <s v="Shivani Sharma"/>
    <x v="0"/>
    <s v="Global Client Network (GNB Inward)"/>
    <s v="Renewal"/>
    <n v="25000"/>
    <d v="2018-03-09T00:00:00"/>
    <s v="Brokerage"/>
    <x v="0"/>
    <s v="OTHR - Other"/>
    <d v="2020-01-22T00:00:00"/>
    <s v="Other"/>
    <s v="DB- Cyber Liability"/>
    <s v="OPP1900001138"/>
    <s v="Shivani Sharma"/>
    <n v="500000"/>
    <n v="75000"/>
    <d v="2020-05-31T00:00:00"/>
    <s v="Qualify Opportunity"/>
    <s v="Ahmedabad"/>
    <s v="Liability"/>
    <s v="Financial Lines"/>
    <s v="Cyber Liability Insurance"/>
    <m/>
    <m/>
    <s v="Samuel Allen"/>
    <d v="2020-01-22T00:00:00"/>
    <m/>
    <m/>
    <m/>
    <m/>
    <m/>
  </r>
  <r>
    <s v="Anita Pandit"/>
    <n v="301004265"/>
    <x v="1"/>
    <x v="183"/>
    <d v="2019-03-08T00:00:00"/>
    <x v="4"/>
    <n v="12"/>
    <s v="Shivani Sharma"/>
    <x v="0"/>
    <s v="Global Client Network (GNB Inward)"/>
    <s v="Renewal"/>
    <n v="25000"/>
    <d v="2018-03-09T00:00:00"/>
    <s v="Brokerage"/>
    <x v="0"/>
    <s v="OTHR - Other"/>
    <d v="2020-01-22T00:00:00"/>
    <s v="Other"/>
    <s v="VS.-D &amp; O"/>
    <s v="OPP1900002104"/>
    <s v="Shivani Sharma"/>
    <n v="0"/>
    <n v="50000"/>
    <d v="2020-03-31T00:00:00"/>
    <s v="Qualify Opportunity"/>
    <s v="Ahmedabad"/>
    <s v="Liability"/>
    <s v="Financial Lines"/>
    <s v="Director &amp;amp; Officers / Management  Liability"/>
    <m/>
    <m/>
    <s v="Madison Robinson"/>
    <d v="2020-01-21T00:00:00"/>
    <m/>
    <m/>
    <m/>
    <m/>
    <m/>
  </r>
  <r>
    <s v="Anita Pandit"/>
    <n v="301004265"/>
    <x v="1"/>
    <x v="183"/>
    <d v="2019-03-08T00:00:00"/>
    <x v="4"/>
    <n v="12"/>
    <s v="Shivani Sharma"/>
    <x v="0"/>
    <s v="Global Client Network (GNB Inward)"/>
    <s v="Renewal"/>
    <n v="25000"/>
    <d v="2018-03-09T00:00:00"/>
    <s v="Brokerage"/>
    <x v="0"/>
    <s v="OTHR - Other"/>
    <d v="2020-01-22T00:00:00"/>
    <s v="Other"/>
    <s v="VS.-D &amp; O"/>
    <s v="OPP1900002104"/>
    <s v="Shivani Sharma"/>
    <n v="0"/>
    <n v="50000"/>
    <d v="2020-03-31T00:00:00"/>
    <s v="Qualify Opportunity"/>
    <s v="Ahmedabad"/>
    <s v="Liability"/>
    <s v="Financial Lines"/>
    <s v="Director &amp;amp; Officers / Management  Liability"/>
    <m/>
    <m/>
    <s v="David Hall"/>
    <d v="2020-01-21T00:00:00"/>
    <m/>
    <m/>
    <m/>
    <m/>
    <m/>
  </r>
  <r>
    <s v="Anita Pandit"/>
    <n v="301004265"/>
    <x v="1"/>
    <x v="183"/>
    <d v="2019-03-08T00:00:00"/>
    <x v="4"/>
    <n v="12"/>
    <s v="Shivani Sharma"/>
    <x v="0"/>
    <s v="Global Client Network (GNB Inward)"/>
    <s v="Renewal"/>
    <n v="25000"/>
    <d v="2018-03-09T00:00:00"/>
    <s v="Brokerage"/>
    <x v="0"/>
    <s v="OTHR - Other"/>
    <d v="2020-01-22T00:00:00"/>
    <s v="Other"/>
    <s v="VS.-D &amp; O"/>
    <s v="OPP1900002104"/>
    <s v="Shivani Sharma"/>
    <n v="0"/>
    <n v="50000"/>
    <d v="2020-03-31T00:00:00"/>
    <s v="Qualify Opportunity"/>
    <s v="Ahmedabad"/>
    <s v="Liability"/>
    <s v="Financial Lines"/>
    <s v="Director &amp;amp; Officers / Management  Liability"/>
    <m/>
    <m/>
    <s v="Lily Young"/>
    <d v="2020-01-21T00:00:00"/>
    <m/>
    <m/>
    <m/>
    <m/>
    <m/>
  </r>
  <r>
    <s v="Anita Pandit"/>
    <n v="301004265"/>
    <x v="1"/>
    <x v="183"/>
    <d v="2019-03-08T00:00:00"/>
    <x v="4"/>
    <n v="12"/>
    <s v="Shivani Sharma"/>
    <x v="0"/>
    <s v="Global Client Network (GNB Inward)"/>
    <s v="Renewal"/>
    <n v="25000"/>
    <d v="2018-03-09T00:00:00"/>
    <s v="Brokerage"/>
    <x v="0"/>
    <s v="OTHR - Other"/>
    <d v="2020-01-22T00:00:00"/>
    <s v="Other"/>
    <s v="VS.-D &amp; O"/>
    <s v="OPP1900002104"/>
    <s v="Shivani Sharma"/>
    <n v="0"/>
    <n v="50000"/>
    <d v="2020-03-31T00:00:00"/>
    <s v="Qualify Opportunity"/>
    <s v="Ahmedabad"/>
    <s v="Liability"/>
    <s v="Financial Lines"/>
    <s v="Director &amp;amp; Officers / Management  Liability"/>
    <m/>
    <m/>
    <s v="Samuel Allen"/>
    <d v="2020-01-22T00:00:00"/>
    <m/>
    <m/>
    <m/>
    <m/>
    <m/>
  </r>
  <r>
    <s v="Hina Malhotra"/>
    <s v="0301004265-1"/>
    <x v="0"/>
    <x v="184"/>
    <d v="2020-03-08T00:00:00"/>
    <x v="4"/>
    <n v="3"/>
    <s v="Animesh Rawat"/>
    <x v="0"/>
    <s v="Global Client Network (GNB Inward)"/>
    <s v="Renewal"/>
    <n v="23750"/>
    <d v="2019-03-09T00:00:00"/>
    <s v="Brokerage"/>
    <x v="1"/>
    <s v="OTHR - Other"/>
    <d v="2020-01-22T00:00:00"/>
    <s v="Other"/>
    <m/>
    <m/>
    <m/>
    <m/>
    <m/>
    <m/>
    <m/>
    <m/>
    <m/>
    <m/>
    <m/>
    <m/>
    <m/>
    <m/>
    <m/>
    <m/>
    <m/>
    <m/>
    <m/>
    <m/>
  </r>
  <r>
    <s v="Alka Patel"/>
    <n v="195269000000"/>
    <x v="1"/>
    <x v="185"/>
    <d v="2019-11-09T00:00:00"/>
    <x v="3"/>
    <n v="13"/>
    <s v="Vididt Saha"/>
    <x v="0"/>
    <s v="Employee Benefits (EB)"/>
    <s v="Cross Sell"/>
    <n v="0"/>
    <d v="2018-11-10T00:00:00"/>
    <s v="Brokerage"/>
    <x v="0"/>
    <s v="OTHR - Other"/>
    <d v="2020-01-22T00:00:00"/>
    <s v="Other"/>
    <m/>
    <m/>
    <m/>
    <m/>
    <m/>
    <m/>
    <m/>
    <m/>
    <m/>
    <m/>
    <m/>
    <m/>
    <m/>
    <m/>
    <m/>
    <m/>
    <m/>
    <m/>
    <m/>
    <m/>
  </r>
  <r>
    <s v="Shruti Roy"/>
    <n v="2.4122E+18"/>
    <x v="1"/>
    <x v="176"/>
    <d v="2019-01-11T00:00:00"/>
    <x v="0"/>
    <n v="13"/>
    <s v="Vididt Saha"/>
    <x v="0"/>
    <s v="Marine"/>
    <s v="Cross Sell"/>
    <n v="10395"/>
    <d v="2018-01-12T00:00:00"/>
    <s v="Brokerage"/>
    <x v="2"/>
    <s v="OTHR - Other"/>
    <d v="2020-01-22T00:00:00"/>
    <s v="Other"/>
    <m/>
    <m/>
    <m/>
    <m/>
    <m/>
    <m/>
    <m/>
    <m/>
    <m/>
    <m/>
    <m/>
    <m/>
    <m/>
    <m/>
    <m/>
    <m/>
    <m/>
    <m/>
    <m/>
    <m/>
  </r>
  <r>
    <s v="Archana Singh"/>
    <n v="2.4122E+18"/>
    <x v="1"/>
    <x v="176"/>
    <d v="2019-01-11T00:00:00"/>
    <x v="0"/>
    <n v="13"/>
    <s v="Vididt Saha"/>
    <x v="0"/>
    <s v="Marine"/>
    <s v="Cross Sell"/>
    <n v="0"/>
    <d v="2018-04-01T00:00:00"/>
    <s v="Brokerage "/>
    <x v="2"/>
    <s v="OTHR - Other"/>
    <d v="2020-01-22T00:00:00"/>
    <s v="Other"/>
    <m/>
    <m/>
    <m/>
    <m/>
    <m/>
    <m/>
    <m/>
    <m/>
    <m/>
    <m/>
    <m/>
    <m/>
    <m/>
    <m/>
    <m/>
    <m/>
    <m/>
    <m/>
    <m/>
    <m/>
  </r>
  <r>
    <s v="Mukul Goyal"/>
    <s v="2412 2020 7182 9001 000"/>
    <x v="1"/>
    <x v="177"/>
    <d v="2020-01-11T00:00:00"/>
    <x v="0"/>
    <n v="13"/>
    <s v="Vididt Saha"/>
    <x v="0"/>
    <s v="Marine"/>
    <s v="Cross Sell"/>
    <n v="15592.5"/>
    <d v="2019-01-12T00:00:00"/>
    <s v="Brokerage"/>
    <x v="1"/>
    <s v="OTHR - Other"/>
    <d v="2020-01-22T00:00:00"/>
    <s v="Other"/>
    <m/>
    <m/>
    <m/>
    <m/>
    <m/>
    <m/>
    <m/>
    <m/>
    <m/>
    <m/>
    <m/>
    <m/>
    <m/>
    <m/>
    <m/>
    <m/>
    <m/>
    <m/>
    <m/>
    <m/>
  </r>
  <r>
    <s v="Namita Bajaj"/>
    <n v="2.4122E+18"/>
    <x v="0"/>
    <x v="186"/>
    <d v="2021-01-11T00:00:00"/>
    <x v="0"/>
    <n v="13"/>
    <s v="Vididt Saha"/>
    <x v="0"/>
    <s v="Marine"/>
    <s v="Cross Sell"/>
    <n v="11310.75"/>
    <d v="2020-01-12T00:00:00"/>
    <s v="Brokerage"/>
    <x v="1"/>
    <s v="OTHR - Other"/>
    <d v="2020-01-22T00:00:00"/>
    <s v="Other"/>
    <m/>
    <m/>
    <m/>
    <m/>
    <m/>
    <m/>
    <m/>
    <m/>
    <m/>
    <m/>
    <m/>
    <m/>
    <m/>
    <m/>
    <m/>
    <m/>
    <m/>
    <m/>
    <m/>
    <m/>
  </r>
  <r>
    <s v="Nikita Joshi"/>
    <s v="4101191100000008-00"/>
    <x v="0"/>
    <x v="187"/>
    <d v="2020-11-09T00:00:00"/>
    <x v="3"/>
    <n v="13"/>
    <s v="Vididt Saha"/>
    <x v="0"/>
    <s v="Employee Benefits (EB)"/>
    <s v="Renewal"/>
    <n v="48928.73"/>
    <d v="2019-11-10T00:00:00"/>
    <s v="Brokerage"/>
    <x v="1"/>
    <s v="OTHR - Other"/>
    <d v="2020-01-22T00:00:00"/>
    <s v="Other"/>
    <m/>
    <m/>
    <m/>
    <m/>
    <m/>
    <m/>
    <m/>
    <m/>
    <m/>
    <m/>
    <m/>
    <m/>
    <m/>
    <m/>
    <m/>
    <m/>
    <m/>
    <m/>
    <m/>
    <m/>
  </r>
  <r>
    <s v="Tejas Shah"/>
    <n v="41050127"/>
    <x v="0"/>
    <x v="188"/>
    <d v="2020-11-24T00:00:00"/>
    <x v="4"/>
    <n v="13"/>
    <s v="Vididt Saha"/>
    <x v="0"/>
    <s v="Liability"/>
    <s v="Renewal"/>
    <n v="18975"/>
    <d v="2019-11-25T00:00:00"/>
    <s v="Brokerage"/>
    <x v="0"/>
    <s v="OTHR - Other"/>
    <d v="2020-01-22T00:00:00"/>
    <s v="Other"/>
    <m/>
    <m/>
    <m/>
    <m/>
    <m/>
    <m/>
    <m/>
    <m/>
    <m/>
    <m/>
    <m/>
    <m/>
    <m/>
    <m/>
    <m/>
    <m/>
    <m/>
    <m/>
    <m/>
    <m/>
  </r>
  <r>
    <s v="Kavita Rao"/>
    <n v="43169018"/>
    <x v="1"/>
    <x v="189"/>
    <d v="2019-07-10T00:00:00"/>
    <x v="2"/>
    <n v="13"/>
    <s v="Vididt Saha"/>
    <x v="0"/>
    <s v="Liability"/>
    <s v="Cross Sell"/>
    <n v="16170"/>
    <d v="2018-07-11T00:00:00"/>
    <s v="Brokerage"/>
    <x v="3"/>
    <s v="NOLN - No Longer Needed"/>
    <d v="2020-01-22T00:00:00"/>
    <s v="NOLN - No Longer Needed"/>
    <m/>
    <m/>
    <m/>
    <m/>
    <m/>
    <m/>
    <m/>
    <m/>
    <m/>
    <m/>
    <m/>
    <m/>
    <m/>
    <m/>
    <m/>
    <m/>
    <m/>
    <m/>
    <m/>
    <m/>
  </r>
  <r>
    <s v="Hemant Shah"/>
    <n v="54522170"/>
    <x v="0"/>
    <x v="190"/>
    <d v="2020-07-08T00:00:00"/>
    <x v="3"/>
    <n v="13"/>
    <s v="Vididt Saha"/>
    <x v="0"/>
    <s v="Employee Benefits (EB)"/>
    <s v="Cross Sell"/>
    <n v="9056.48"/>
    <d v="2019-07-09T00:00:00"/>
    <s v="Brokerage"/>
    <x v="0"/>
    <s v="OTHR - Other"/>
    <d v="2020-01-22T00:00:00"/>
    <s v="Other"/>
    <m/>
    <m/>
    <m/>
    <m/>
    <m/>
    <m/>
    <m/>
    <m/>
    <m/>
    <m/>
    <m/>
    <m/>
    <m/>
    <m/>
    <m/>
    <m/>
    <m/>
    <m/>
    <m/>
    <m/>
  </r>
  <r>
    <s v="Prabhat Naik"/>
    <s v="OG-19-2202-4001-00004011"/>
    <x v="1"/>
    <x v="135"/>
    <d v="2019-07-09T00:00:00"/>
    <x v="1"/>
    <n v="13"/>
    <s v="Vididt Saha"/>
    <x v="0"/>
    <s v="Property / BI"/>
    <s v="Cross Sell"/>
    <n v="18357"/>
    <d v="2018-07-10T00:00:00"/>
    <s v="Brokerage"/>
    <x v="3"/>
    <s v="OTHR - Other"/>
    <d v="2020-01-22T00:00:00"/>
    <s v="Other"/>
    <m/>
    <m/>
    <m/>
    <m/>
    <m/>
    <m/>
    <m/>
    <m/>
    <m/>
    <m/>
    <m/>
    <m/>
    <m/>
    <m/>
    <m/>
    <m/>
    <m/>
    <m/>
    <m/>
    <m/>
  </r>
  <r>
    <s v="Nikhil Tiwari"/>
    <s v="OG-19-2202-4004-00000044"/>
    <x v="1"/>
    <x v="135"/>
    <d v="2019-07-09T00:00:00"/>
    <x v="1"/>
    <n v="13"/>
    <s v="Vididt Saha"/>
    <x v="0"/>
    <s v="Property / BI"/>
    <s v="Cross Sell"/>
    <n v="10416.75"/>
    <d v="2018-07-10T00:00:00"/>
    <s v="Brokerage"/>
    <x v="0"/>
    <s v="OTHR - Other"/>
    <d v="2020-01-22T00:00:00"/>
    <s v="Other"/>
    <m/>
    <m/>
    <m/>
    <m/>
    <m/>
    <m/>
    <m/>
    <m/>
    <m/>
    <m/>
    <m/>
    <m/>
    <m/>
    <m/>
    <m/>
    <m/>
    <m/>
    <m/>
    <m/>
    <m/>
  </r>
  <r>
    <s v="Neha Trivedi"/>
    <s v="OG-19-2202-4010-00000816"/>
    <x v="1"/>
    <x v="135"/>
    <d v="2019-07-09T00:00:00"/>
    <x v="2"/>
    <n v="13"/>
    <s v="Vididt Saha"/>
    <x v="0"/>
    <s v="Property / BI"/>
    <s v="Cross Sell"/>
    <n v="1232"/>
    <d v="2018-07-10T00:00:00"/>
    <s v="Brokerage"/>
    <x v="0"/>
    <s v="OTHR - Other"/>
    <d v="2020-01-22T00:00:00"/>
    <s v="Other"/>
    <m/>
    <m/>
    <m/>
    <m/>
    <m/>
    <m/>
    <m/>
    <m/>
    <m/>
    <m/>
    <m/>
    <m/>
    <m/>
    <m/>
    <m/>
    <m/>
    <m/>
    <m/>
    <m/>
    <m/>
  </r>
  <r>
    <s v="Shruti Agarwal"/>
    <s v="OG-19-2202-4010-00000817"/>
    <x v="1"/>
    <x v="135"/>
    <d v="2019-07-09T00:00:00"/>
    <x v="2"/>
    <n v="13"/>
    <s v="Vididt Saha"/>
    <x v="0"/>
    <s v="Property / BI"/>
    <s v="Cross Sell"/>
    <n v="242.5"/>
    <d v="2018-07-10T00:00:00"/>
    <s v="Brokerage"/>
    <x v="3"/>
    <s v="NOLN - No Longer Needed"/>
    <d v="2020-01-22T00:00:00"/>
    <s v="NOLN - No Longer Needed"/>
    <m/>
    <m/>
    <m/>
    <m/>
    <m/>
    <m/>
    <m/>
    <m/>
    <m/>
    <m/>
    <m/>
    <m/>
    <m/>
    <m/>
    <m/>
    <m/>
    <m/>
    <m/>
    <m/>
    <m/>
  </r>
  <r>
    <s v="Kiran Desai"/>
    <s v="OG-19-2202-4011-00000127"/>
    <x v="0"/>
    <x v="191"/>
    <d v="2020-01-08T00:00:00"/>
    <x v="2"/>
    <n v="13"/>
    <s v="Vididt Saha"/>
    <x v="0"/>
    <s v="Property / BI"/>
    <s v="Cross Sell"/>
    <n v="643.75"/>
    <d v="2019-01-09T00:00:00"/>
    <s v="Brokerage"/>
    <x v="0"/>
    <s v="OTHR - Other"/>
    <d v="2020-01-22T00:00:00"/>
    <s v="Other"/>
    <m/>
    <m/>
    <m/>
    <m/>
    <m/>
    <m/>
    <m/>
    <m/>
    <m/>
    <m/>
    <m/>
    <m/>
    <m/>
    <m/>
    <m/>
    <m/>
    <m/>
    <m/>
    <m/>
    <m/>
  </r>
  <r>
    <s v="Kanchan Iyer"/>
    <s v="OG-20-2202-4004-00000043"/>
    <x v="0"/>
    <x v="192"/>
    <d v="2020-05-15T00:00:00"/>
    <x v="1"/>
    <n v="13"/>
    <s v="Vididt Saha"/>
    <x v="0"/>
    <s v="Property / BI"/>
    <s v="Cross Sell"/>
    <n v="4595.75"/>
    <d v="2019-05-16T00:00:00"/>
    <s v="Brokerage"/>
    <x v="0"/>
    <s v="OTHR - Other"/>
    <d v="2020-01-22T00:00:00"/>
    <s v="Other"/>
    <m/>
    <m/>
    <m/>
    <m/>
    <m/>
    <m/>
    <m/>
    <m/>
    <m/>
    <m/>
    <m/>
    <m/>
    <m/>
    <m/>
    <m/>
    <m/>
    <m/>
    <m/>
    <m/>
    <m/>
  </r>
  <r>
    <s v="Bhavna Kapoor"/>
    <s v="OG-20-2202-4004-00000066"/>
    <x v="0"/>
    <x v="193"/>
    <d v="2020-07-10T00:00:00"/>
    <x v="1"/>
    <n v="13"/>
    <s v="Vididt Saha"/>
    <x v="0"/>
    <s v="Property / BI"/>
    <s v="Cross Sell"/>
    <n v="21905.200000000001"/>
    <d v="2019-07-11T00:00:00"/>
    <s v="Brokerage"/>
    <x v="1"/>
    <s v="OTHR - Other"/>
    <d v="2020-01-22T00:00:00"/>
    <s v="Other"/>
    <m/>
    <m/>
    <m/>
    <m/>
    <m/>
    <m/>
    <m/>
    <m/>
    <m/>
    <m/>
    <m/>
    <m/>
    <m/>
    <m/>
    <m/>
    <m/>
    <m/>
    <m/>
    <m/>
    <m/>
  </r>
  <r>
    <s v="Ritika Reddy"/>
    <s v="OG-20-2202-4010-00000924"/>
    <x v="0"/>
    <x v="194"/>
    <d v="2020-07-09T00:00:00"/>
    <x v="2"/>
    <n v="13"/>
    <s v="Vididt Saha"/>
    <x v="0"/>
    <s v="Property / BI"/>
    <s v="Cross Sell"/>
    <n v="337.5"/>
    <d v="2019-07-10T00:00:00"/>
    <s v="Brokerage"/>
    <x v="1"/>
    <s v="OTHR - Other"/>
    <d v="2020-01-22T00:00:00"/>
    <s v="Other"/>
    <m/>
    <m/>
    <m/>
    <m/>
    <m/>
    <m/>
    <m/>
    <m/>
    <m/>
    <m/>
    <m/>
    <m/>
    <m/>
    <m/>
    <m/>
    <m/>
    <m/>
    <m/>
    <m/>
    <m/>
  </r>
  <r>
    <s v="Suresh Das"/>
    <s v="0000000007919559-01"/>
    <x v="0"/>
    <x v="195"/>
    <d v="2019-12-27T00:00:00"/>
    <x v="0"/>
    <n v="1"/>
    <s v="Vinay"/>
    <x v="0"/>
    <s v="Marine"/>
    <s v="Cross Sell"/>
    <n v="6112.76"/>
    <d v="2018-12-28T00:00:00"/>
    <s v="Brokerage"/>
    <x v="2"/>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Suresh Das"/>
    <s v="0000000007919559-01"/>
    <x v="0"/>
    <x v="195"/>
    <d v="2019-12-27T00:00:00"/>
    <x v="0"/>
    <n v="1"/>
    <s v="Vinay"/>
    <x v="0"/>
    <s v="Marine"/>
    <s v="Cross Sell"/>
    <n v="6112.76"/>
    <d v="2018-12-28T00:00:00"/>
    <s v="Brokerage"/>
    <x v="2"/>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Suresh Das"/>
    <s v="0000000007919559-01"/>
    <x v="0"/>
    <x v="195"/>
    <d v="2019-12-27T00:00:00"/>
    <x v="0"/>
    <n v="1"/>
    <s v="Vinay"/>
    <x v="0"/>
    <s v="Marine"/>
    <s v="Cross Sell"/>
    <n v="6112.76"/>
    <d v="2018-12-28T00:00:00"/>
    <s v="Brokerage"/>
    <x v="2"/>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Suresh Das"/>
    <s v="0000000007919559-01"/>
    <x v="0"/>
    <x v="195"/>
    <d v="2019-12-27T00:00:00"/>
    <x v="0"/>
    <n v="1"/>
    <s v="Vinay"/>
    <x v="0"/>
    <s v="Marine"/>
    <s v="Cross Sell"/>
    <n v="6112.76"/>
    <d v="2018-12-28T00:00:00"/>
    <s v="Brokerage"/>
    <x v="2"/>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Suresh Das"/>
    <s v="0000000007919559-01"/>
    <x v="0"/>
    <x v="195"/>
    <d v="2019-12-27T00:00:00"/>
    <x v="0"/>
    <n v="1"/>
    <s v="Vinay"/>
    <x v="0"/>
    <s v="Marine"/>
    <s v="Cross Sell"/>
    <n v="6112.76"/>
    <d v="2018-12-28T00:00:00"/>
    <s v="Brokerage"/>
    <x v="2"/>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Suresh Das"/>
    <s v="0000000007919559-01"/>
    <x v="0"/>
    <x v="195"/>
    <d v="2019-12-27T00:00:00"/>
    <x v="0"/>
    <n v="1"/>
    <s v="Vinay"/>
    <x v="0"/>
    <s v="Marine"/>
    <s v="Cross Sell"/>
    <n v="6112.76"/>
    <d v="2018-12-28T00:00:00"/>
    <s v="Brokerage"/>
    <x v="2"/>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Suresh Das"/>
    <s v="0000000007919559-01"/>
    <x v="0"/>
    <x v="195"/>
    <d v="2019-12-27T00:00:00"/>
    <x v="0"/>
    <n v="1"/>
    <s v="Vinay"/>
    <x v="0"/>
    <s v="Marine"/>
    <s v="Cross Sell"/>
    <n v="6112.76"/>
    <d v="2018-12-28T00:00:00"/>
    <s v="Brokerage"/>
    <x v="2"/>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Suresh Das"/>
    <s v="0000000007919559-01"/>
    <x v="0"/>
    <x v="195"/>
    <d v="2019-12-27T00:00:00"/>
    <x v="0"/>
    <n v="1"/>
    <s v="Vinay"/>
    <x v="0"/>
    <s v="Marine"/>
    <s v="Cross Sell"/>
    <n v="6112.76"/>
    <d v="2018-12-28T00:00:00"/>
    <s v="Brokerage"/>
    <x v="2"/>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Suresh Das"/>
    <s v="0000000007919559-01"/>
    <x v="0"/>
    <x v="195"/>
    <d v="2019-12-27T00:00:00"/>
    <x v="0"/>
    <n v="1"/>
    <s v="Vinay"/>
    <x v="0"/>
    <s v="Marine"/>
    <s v="Cross Sell"/>
    <n v="6112.76"/>
    <d v="2018-12-28T00:00:00"/>
    <s v="Brokerage"/>
    <x v="2"/>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Suresh Das"/>
    <s v="0000000007919559-01"/>
    <x v="0"/>
    <x v="195"/>
    <d v="2019-12-27T00:00:00"/>
    <x v="0"/>
    <n v="1"/>
    <s v="Vinay"/>
    <x v="0"/>
    <s v="Marine"/>
    <s v="Cross Sell"/>
    <n v="6112.76"/>
    <d v="2018-12-28T00:00:00"/>
    <s v="Brokerage"/>
    <x v="2"/>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Suresh Das"/>
    <s v="0000000007919559-01"/>
    <x v="0"/>
    <x v="195"/>
    <d v="2019-12-27T00:00:00"/>
    <x v="0"/>
    <n v="1"/>
    <s v="Vinay"/>
    <x v="0"/>
    <s v="Marine"/>
    <s v="Cross Sell"/>
    <n v="6112.76"/>
    <d v="2018-12-28T00:00:00"/>
    <s v="Brokerage"/>
    <x v="2"/>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Suresh Das"/>
    <s v="0000000007919559-01"/>
    <x v="0"/>
    <x v="195"/>
    <d v="2019-12-27T00:00:00"/>
    <x v="0"/>
    <n v="1"/>
    <s v="Vinay"/>
    <x v="0"/>
    <s v="Marine"/>
    <s v="Cross Sell"/>
    <n v="6112.76"/>
    <d v="2018-12-28T00:00:00"/>
    <s v="Brokerage"/>
    <x v="2"/>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Suresh Das"/>
    <s v="0000000007919559-01"/>
    <x v="0"/>
    <x v="195"/>
    <d v="2019-12-27T00:00:00"/>
    <x v="0"/>
    <n v="1"/>
    <s v="Vinay"/>
    <x v="0"/>
    <s v="Marine"/>
    <s v="Cross Sell"/>
    <n v="6112.76"/>
    <d v="2018-12-28T00:00:00"/>
    <s v="Brokerage"/>
    <x v="2"/>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Suresh Das"/>
    <s v="0000000007919559-01"/>
    <x v="0"/>
    <x v="195"/>
    <d v="2019-12-27T00:00:00"/>
    <x v="0"/>
    <n v="1"/>
    <s v="Vinay"/>
    <x v="0"/>
    <s v="Marine"/>
    <s v="Cross Sell"/>
    <n v="6112.76"/>
    <d v="2018-12-28T00:00:00"/>
    <s v="Brokerage"/>
    <x v="2"/>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Suresh Das"/>
    <s v="0000000007919559-01"/>
    <x v="0"/>
    <x v="195"/>
    <d v="2019-12-27T00:00:00"/>
    <x v="0"/>
    <n v="1"/>
    <s v="Vinay"/>
    <x v="0"/>
    <s v="Marine"/>
    <s v="Cross Sell"/>
    <n v="6112.76"/>
    <d v="2018-12-28T00:00:00"/>
    <s v="Brokerage"/>
    <x v="2"/>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Suresh Das"/>
    <s v="0000000007919559-01"/>
    <x v="0"/>
    <x v="195"/>
    <d v="2019-12-27T00:00:00"/>
    <x v="0"/>
    <n v="1"/>
    <s v="Vinay"/>
    <x v="0"/>
    <s v="Marine"/>
    <s v="Cross Sell"/>
    <n v="6112.76"/>
    <d v="2018-12-28T00:00:00"/>
    <s v="Brokerage"/>
    <x v="2"/>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Suresh Das"/>
    <s v="0000000007919559-01"/>
    <x v="0"/>
    <x v="195"/>
    <d v="2019-12-27T00:00:00"/>
    <x v="0"/>
    <n v="1"/>
    <s v="Vinay"/>
    <x v="0"/>
    <s v="Marine"/>
    <s v="Cross Sell"/>
    <n v="6112.76"/>
    <d v="2018-12-28T00:00:00"/>
    <s v="Brokerage"/>
    <x v="2"/>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Suresh Das"/>
    <s v="0000000007919559-01"/>
    <x v="0"/>
    <x v="195"/>
    <d v="2019-12-27T00:00:00"/>
    <x v="0"/>
    <n v="1"/>
    <s v="Vinay"/>
    <x v="0"/>
    <s v="Marine"/>
    <s v="Cross Sell"/>
    <n v="6112.76"/>
    <d v="2018-12-28T00:00:00"/>
    <s v="Brokerage"/>
    <x v="2"/>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Suresh Das"/>
    <s v="0000000007919559-01"/>
    <x v="0"/>
    <x v="195"/>
    <d v="2019-12-27T00:00:00"/>
    <x v="0"/>
    <n v="1"/>
    <s v="Vinay"/>
    <x v="0"/>
    <s v="Marine"/>
    <s v="Cross Sell"/>
    <n v="6112.76"/>
    <d v="2018-12-28T00:00:00"/>
    <s v="Brokerage"/>
    <x v="2"/>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Suresh Das"/>
    <s v="0000000007919559-01"/>
    <x v="0"/>
    <x v="195"/>
    <d v="2019-12-27T00:00:00"/>
    <x v="0"/>
    <n v="1"/>
    <s v="Vinay"/>
    <x v="0"/>
    <s v="Marine"/>
    <s v="Cross Sell"/>
    <n v="6112.76"/>
    <d v="2018-12-28T00:00:00"/>
    <s v="Brokerage"/>
    <x v="2"/>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Shikha Chauhan"/>
    <s v="0000000007919559-01"/>
    <x v="0"/>
    <x v="195"/>
    <d v="2019-12-27T00:00:00"/>
    <x v="0"/>
    <n v="1"/>
    <s v="Vinay"/>
    <x v="0"/>
    <s v="Marine"/>
    <s v="Cross Sell"/>
    <n v="0"/>
    <d v="2018-04-01T00:00:00"/>
    <s v="Brokerage "/>
    <x v="2"/>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Shikha Chauhan"/>
    <s v="0000000007919559-01"/>
    <x v="0"/>
    <x v="195"/>
    <d v="2019-12-27T00:00:00"/>
    <x v="0"/>
    <n v="1"/>
    <s v="Vinay"/>
    <x v="0"/>
    <s v="Marine"/>
    <s v="Cross Sell"/>
    <n v="0"/>
    <d v="2018-04-01T00:00:00"/>
    <s v="Brokerage "/>
    <x v="2"/>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Shikha Chauhan"/>
    <s v="0000000007919559-01"/>
    <x v="0"/>
    <x v="195"/>
    <d v="2019-12-27T00:00:00"/>
    <x v="0"/>
    <n v="1"/>
    <s v="Vinay"/>
    <x v="0"/>
    <s v="Marine"/>
    <s v="Cross Sell"/>
    <n v="0"/>
    <d v="2018-04-01T00:00:00"/>
    <s v="Brokerage "/>
    <x v="2"/>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Shikha Chauhan"/>
    <s v="0000000007919559-01"/>
    <x v="0"/>
    <x v="195"/>
    <d v="2019-12-27T00:00:00"/>
    <x v="0"/>
    <n v="1"/>
    <s v="Vinay"/>
    <x v="0"/>
    <s v="Marine"/>
    <s v="Cross Sell"/>
    <n v="0"/>
    <d v="2018-04-01T00:00:00"/>
    <s v="Brokerage "/>
    <x v="2"/>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Shikha Chauhan"/>
    <s v="0000000007919559-01"/>
    <x v="0"/>
    <x v="195"/>
    <d v="2019-12-27T00:00:00"/>
    <x v="0"/>
    <n v="1"/>
    <s v="Vinay"/>
    <x v="0"/>
    <s v="Marine"/>
    <s v="Cross Sell"/>
    <n v="0"/>
    <d v="2018-04-01T00:00:00"/>
    <s v="Brokerage "/>
    <x v="2"/>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Shikha Chauhan"/>
    <s v="0000000007919559-01"/>
    <x v="0"/>
    <x v="195"/>
    <d v="2019-12-27T00:00:00"/>
    <x v="0"/>
    <n v="1"/>
    <s v="Vinay"/>
    <x v="0"/>
    <s v="Marine"/>
    <s v="Cross Sell"/>
    <n v="0"/>
    <d v="2018-04-01T00:00:00"/>
    <s v="Brokerage "/>
    <x v="2"/>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Shikha Chauhan"/>
    <s v="0000000007919559-01"/>
    <x v="0"/>
    <x v="195"/>
    <d v="2019-12-27T00:00:00"/>
    <x v="0"/>
    <n v="1"/>
    <s v="Vinay"/>
    <x v="0"/>
    <s v="Marine"/>
    <s v="Cross Sell"/>
    <n v="0"/>
    <d v="2018-04-01T00:00:00"/>
    <s v="Brokerage "/>
    <x v="2"/>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Shikha Chauhan"/>
    <s v="0000000007919559-01"/>
    <x v="0"/>
    <x v="195"/>
    <d v="2019-12-27T00:00:00"/>
    <x v="0"/>
    <n v="1"/>
    <s v="Vinay"/>
    <x v="0"/>
    <s v="Marine"/>
    <s v="Cross Sell"/>
    <n v="0"/>
    <d v="2018-04-01T00:00:00"/>
    <s v="Brokerage "/>
    <x v="2"/>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Shikha Chauhan"/>
    <s v="0000000007919559-01"/>
    <x v="0"/>
    <x v="195"/>
    <d v="2019-12-27T00:00:00"/>
    <x v="0"/>
    <n v="1"/>
    <s v="Vinay"/>
    <x v="0"/>
    <s v="Marine"/>
    <s v="Cross Sell"/>
    <n v="0"/>
    <d v="2018-04-01T00:00:00"/>
    <s v="Brokerage "/>
    <x v="2"/>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Shikha Chauhan"/>
    <s v="0000000007919559-01"/>
    <x v="0"/>
    <x v="195"/>
    <d v="2019-12-27T00:00:00"/>
    <x v="0"/>
    <n v="1"/>
    <s v="Vinay"/>
    <x v="0"/>
    <s v="Marine"/>
    <s v="Cross Sell"/>
    <n v="0"/>
    <d v="2018-04-01T00:00:00"/>
    <s v="Brokerage "/>
    <x v="2"/>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Shikha Chauhan"/>
    <s v="0000000007919559-01"/>
    <x v="0"/>
    <x v="195"/>
    <d v="2019-12-27T00:00:00"/>
    <x v="0"/>
    <n v="1"/>
    <s v="Vinay"/>
    <x v="0"/>
    <s v="Marine"/>
    <s v="Cross Sell"/>
    <n v="0"/>
    <d v="2018-04-01T00:00:00"/>
    <s v="Brokerage "/>
    <x v="2"/>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Shikha Chauhan"/>
    <s v="0000000007919559-01"/>
    <x v="0"/>
    <x v="195"/>
    <d v="2019-12-27T00:00:00"/>
    <x v="0"/>
    <n v="1"/>
    <s v="Vinay"/>
    <x v="0"/>
    <s v="Marine"/>
    <s v="Cross Sell"/>
    <n v="0"/>
    <d v="2018-04-01T00:00:00"/>
    <s v="Brokerage "/>
    <x v="2"/>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Shikha Chauhan"/>
    <s v="0000000007919559-01"/>
    <x v="0"/>
    <x v="195"/>
    <d v="2019-12-27T00:00:00"/>
    <x v="0"/>
    <n v="1"/>
    <s v="Vinay"/>
    <x v="0"/>
    <s v="Marine"/>
    <s v="Cross Sell"/>
    <n v="0"/>
    <d v="2018-04-01T00:00:00"/>
    <s v="Brokerage "/>
    <x v="2"/>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Shikha Chauhan"/>
    <s v="0000000007919559-01"/>
    <x v="0"/>
    <x v="195"/>
    <d v="2019-12-27T00:00:00"/>
    <x v="0"/>
    <n v="1"/>
    <s v="Vinay"/>
    <x v="0"/>
    <s v="Marine"/>
    <s v="Cross Sell"/>
    <n v="0"/>
    <d v="2018-04-01T00:00:00"/>
    <s v="Brokerage "/>
    <x v="2"/>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Shikha Chauhan"/>
    <s v="0000000007919559-01"/>
    <x v="0"/>
    <x v="195"/>
    <d v="2019-12-27T00:00:00"/>
    <x v="0"/>
    <n v="1"/>
    <s v="Vinay"/>
    <x v="0"/>
    <s v="Marine"/>
    <s v="Cross Sell"/>
    <n v="0"/>
    <d v="2018-04-01T00:00:00"/>
    <s v="Brokerage "/>
    <x v="2"/>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Shikha Chauhan"/>
    <s v="0000000007919559-01"/>
    <x v="0"/>
    <x v="195"/>
    <d v="2019-12-27T00:00:00"/>
    <x v="0"/>
    <n v="1"/>
    <s v="Vinay"/>
    <x v="0"/>
    <s v="Marine"/>
    <s v="Cross Sell"/>
    <n v="0"/>
    <d v="2018-04-01T00:00:00"/>
    <s v="Brokerage "/>
    <x v="2"/>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Shikha Chauhan"/>
    <s v="0000000007919559-01"/>
    <x v="0"/>
    <x v="195"/>
    <d v="2019-12-27T00:00:00"/>
    <x v="0"/>
    <n v="1"/>
    <s v="Vinay"/>
    <x v="0"/>
    <s v="Marine"/>
    <s v="Cross Sell"/>
    <n v="0"/>
    <d v="2018-04-01T00:00:00"/>
    <s v="Brokerage "/>
    <x v="2"/>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Shikha Chauhan"/>
    <s v="0000000007919559-01"/>
    <x v="0"/>
    <x v="195"/>
    <d v="2019-12-27T00:00:00"/>
    <x v="0"/>
    <n v="1"/>
    <s v="Vinay"/>
    <x v="0"/>
    <s v="Marine"/>
    <s v="Cross Sell"/>
    <n v="0"/>
    <d v="2018-04-01T00:00:00"/>
    <s v="Brokerage "/>
    <x v="2"/>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Shikha Chauhan"/>
    <s v="0000000007919559-01"/>
    <x v="0"/>
    <x v="195"/>
    <d v="2019-12-27T00:00:00"/>
    <x v="0"/>
    <n v="1"/>
    <s v="Vinay"/>
    <x v="0"/>
    <s v="Marine"/>
    <s v="Cross Sell"/>
    <n v="0"/>
    <d v="2018-04-01T00:00:00"/>
    <s v="Brokerage "/>
    <x v="2"/>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Shikha Chauhan"/>
    <s v="0000000007919559-01"/>
    <x v="0"/>
    <x v="195"/>
    <d v="2019-12-27T00:00:00"/>
    <x v="0"/>
    <n v="1"/>
    <s v="Vinay"/>
    <x v="0"/>
    <s v="Marine"/>
    <s v="Cross Sell"/>
    <n v="0"/>
    <d v="2018-04-01T00:00:00"/>
    <s v="Brokerage "/>
    <x v="2"/>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Hemant Dutta"/>
    <s v="2001/161822918/00/000"/>
    <x v="0"/>
    <x v="169"/>
    <d v="2019-12-05T00:00:00"/>
    <x v="0"/>
    <n v="1"/>
    <s v="Vinay"/>
    <x v="0"/>
    <s v="Marine"/>
    <s v="Cross Sell"/>
    <n v="10725"/>
    <d v="2018-12-06T00:00:00"/>
    <s v="Brokerage"/>
    <x v="0"/>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Hemant Dutta"/>
    <s v="2001/161822918/00/000"/>
    <x v="0"/>
    <x v="169"/>
    <d v="2019-12-05T00:00:00"/>
    <x v="0"/>
    <n v="1"/>
    <s v="Vinay"/>
    <x v="0"/>
    <s v="Marine"/>
    <s v="Cross Sell"/>
    <n v="10725"/>
    <d v="2018-12-06T00:00:00"/>
    <s v="Brokerage"/>
    <x v="0"/>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Hemant Dutta"/>
    <s v="2001/161822918/00/000"/>
    <x v="0"/>
    <x v="169"/>
    <d v="2019-12-05T00:00:00"/>
    <x v="0"/>
    <n v="1"/>
    <s v="Vinay"/>
    <x v="0"/>
    <s v="Marine"/>
    <s v="Cross Sell"/>
    <n v="10725"/>
    <d v="2018-12-06T00:00:00"/>
    <s v="Brokerage"/>
    <x v="0"/>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Hemant Dutta"/>
    <s v="2001/161822918/00/000"/>
    <x v="0"/>
    <x v="169"/>
    <d v="2019-12-05T00:00:00"/>
    <x v="0"/>
    <n v="1"/>
    <s v="Vinay"/>
    <x v="0"/>
    <s v="Marine"/>
    <s v="Cross Sell"/>
    <n v="10725"/>
    <d v="2018-12-06T00:00:00"/>
    <s v="Brokerage"/>
    <x v="0"/>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Hemant Dutta"/>
    <s v="2001/161822918/00/000"/>
    <x v="0"/>
    <x v="169"/>
    <d v="2019-12-05T00:00:00"/>
    <x v="0"/>
    <n v="1"/>
    <s v="Vinay"/>
    <x v="0"/>
    <s v="Marine"/>
    <s v="Cross Sell"/>
    <n v="10725"/>
    <d v="2018-12-06T00:00:00"/>
    <s v="Brokerage"/>
    <x v="0"/>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Hemant Dutta"/>
    <s v="2001/161822918/00/000"/>
    <x v="0"/>
    <x v="169"/>
    <d v="2019-12-05T00:00:00"/>
    <x v="0"/>
    <n v="1"/>
    <s v="Vinay"/>
    <x v="0"/>
    <s v="Marine"/>
    <s v="Cross Sell"/>
    <n v="10725"/>
    <d v="2018-12-06T00:00:00"/>
    <s v="Brokerage"/>
    <x v="0"/>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Hemant Dutta"/>
    <s v="2001/161822918/00/000"/>
    <x v="0"/>
    <x v="169"/>
    <d v="2019-12-05T00:00:00"/>
    <x v="0"/>
    <n v="1"/>
    <s v="Vinay"/>
    <x v="0"/>
    <s v="Marine"/>
    <s v="Cross Sell"/>
    <n v="10725"/>
    <d v="2018-12-06T00:00:00"/>
    <s v="Brokerage"/>
    <x v="0"/>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Hemant Dutta"/>
    <s v="2001/161822918/00/000"/>
    <x v="0"/>
    <x v="169"/>
    <d v="2019-12-05T00:00:00"/>
    <x v="0"/>
    <n v="1"/>
    <s v="Vinay"/>
    <x v="0"/>
    <s v="Marine"/>
    <s v="Cross Sell"/>
    <n v="10725"/>
    <d v="2018-12-06T00:00:00"/>
    <s v="Brokerage"/>
    <x v="0"/>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Hemant Dutta"/>
    <s v="2001/161822918/00/000"/>
    <x v="0"/>
    <x v="169"/>
    <d v="2019-12-05T00:00:00"/>
    <x v="0"/>
    <n v="1"/>
    <s v="Vinay"/>
    <x v="0"/>
    <s v="Marine"/>
    <s v="Cross Sell"/>
    <n v="10725"/>
    <d v="2018-12-06T00:00:00"/>
    <s v="Brokerage"/>
    <x v="0"/>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Hemant Dutta"/>
    <s v="2001/161822918/00/000"/>
    <x v="0"/>
    <x v="169"/>
    <d v="2019-12-05T00:00:00"/>
    <x v="0"/>
    <n v="1"/>
    <s v="Vinay"/>
    <x v="0"/>
    <s v="Marine"/>
    <s v="Cross Sell"/>
    <n v="10725"/>
    <d v="2018-12-06T00:00:00"/>
    <s v="Brokerage"/>
    <x v="0"/>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Hemant Dutta"/>
    <s v="2001/161822918/00/000"/>
    <x v="0"/>
    <x v="169"/>
    <d v="2019-12-05T00:00:00"/>
    <x v="0"/>
    <n v="1"/>
    <s v="Vinay"/>
    <x v="0"/>
    <s v="Marine"/>
    <s v="Cross Sell"/>
    <n v="10725"/>
    <d v="2018-12-06T00:00:00"/>
    <s v="Brokerage"/>
    <x v="0"/>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Hemant Dutta"/>
    <s v="2001/161822918/00/000"/>
    <x v="0"/>
    <x v="169"/>
    <d v="2019-12-05T00:00:00"/>
    <x v="0"/>
    <n v="1"/>
    <s v="Vinay"/>
    <x v="0"/>
    <s v="Marine"/>
    <s v="Cross Sell"/>
    <n v="10725"/>
    <d v="2018-12-06T00:00:00"/>
    <s v="Brokerage"/>
    <x v="0"/>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Hemant Dutta"/>
    <s v="2001/161822918/00/000"/>
    <x v="0"/>
    <x v="169"/>
    <d v="2019-12-05T00:00:00"/>
    <x v="0"/>
    <n v="1"/>
    <s v="Vinay"/>
    <x v="0"/>
    <s v="Marine"/>
    <s v="Cross Sell"/>
    <n v="10725"/>
    <d v="2018-12-06T00:00:00"/>
    <s v="Brokerage"/>
    <x v="0"/>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Hemant Dutta"/>
    <s v="2001/161822918/00/000"/>
    <x v="0"/>
    <x v="169"/>
    <d v="2019-12-05T00:00:00"/>
    <x v="0"/>
    <n v="1"/>
    <s v="Vinay"/>
    <x v="0"/>
    <s v="Marine"/>
    <s v="Cross Sell"/>
    <n v="10725"/>
    <d v="2018-12-06T00:00:00"/>
    <s v="Brokerage"/>
    <x v="0"/>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Hemant Dutta"/>
    <s v="2001/161822918/00/000"/>
    <x v="0"/>
    <x v="169"/>
    <d v="2019-12-05T00:00:00"/>
    <x v="0"/>
    <n v="1"/>
    <s v="Vinay"/>
    <x v="0"/>
    <s v="Marine"/>
    <s v="Cross Sell"/>
    <n v="10725"/>
    <d v="2018-12-06T00:00:00"/>
    <s v="Brokerage"/>
    <x v="0"/>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Hemant Dutta"/>
    <s v="2001/161822918/00/000"/>
    <x v="0"/>
    <x v="169"/>
    <d v="2019-12-05T00:00:00"/>
    <x v="0"/>
    <n v="1"/>
    <s v="Vinay"/>
    <x v="0"/>
    <s v="Marine"/>
    <s v="Cross Sell"/>
    <n v="10725"/>
    <d v="2018-12-06T00:00:00"/>
    <s v="Brokerage"/>
    <x v="0"/>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Hemant Dutta"/>
    <s v="2001/161822918/00/000"/>
    <x v="0"/>
    <x v="169"/>
    <d v="2019-12-05T00:00:00"/>
    <x v="0"/>
    <n v="1"/>
    <s v="Vinay"/>
    <x v="0"/>
    <s v="Marine"/>
    <s v="Cross Sell"/>
    <n v="10725"/>
    <d v="2018-12-06T00:00:00"/>
    <s v="Brokerage"/>
    <x v="0"/>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Hemant Dutta"/>
    <s v="2001/161822918/00/000"/>
    <x v="0"/>
    <x v="169"/>
    <d v="2019-12-05T00:00:00"/>
    <x v="0"/>
    <n v="1"/>
    <s v="Vinay"/>
    <x v="0"/>
    <s v="Marine"/>
    <s v="Cross Sell"/>
    <n v="10725"/>
    <d v="2018-12-06T00:00:00"/>
    <s v="Brokerage"/>
    <x v="0"/>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Hemant Dutta"/>
    <s v="2001/161822918/00/000"/>
    <x v="0"/>
    <x v="169"/>
    <d v="2019-12-05T00:00:00"/>
    <x v="0"/>
    <n v="1"/>
    <s v="Vinay"/>
    <x v="0"/>
    <s v="Marine"/>
    <s v="Cross Sell"/>
    <n v="10725"/>
    <d v="2018-12-06T00:00:00"/>
    <s v="Brokerage"/>
    <x v="0"/>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Hemant Dutta"/>
    <s v="2001/161822918/00/000"/>
    <x v="0"/>
    <x v="169"/>
    <d v="2019-12-05T00:00:00"/>
    <x v="0"/>
    <n v="1"/>
    <s v="Vinay"/>
    <x v="0"/>
    <s v="Marine"/>
    <s v="Cross Sell"/>
    <n v="10725"/>
    <d v="2018-12-06T00:00:00"/>
    <s v="Brokerage"/>
    <x v="0"/>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Dinesh Pandey"/>
    <n v="2280014070"/>
    <x v="0"/>
    <x v="184"/>
    <d v="2020-03-08T00:00:00"/>
    <x v="4"/>
    <n v="2"/>
    <s v="Abhinav Shivam"/>
    <x v="0"/>
    <s v="Liability"/>
    <s v="Cross Sell"/>
    <n v="27530.38"/>
    <d v="2019-03-09T00:00:00"/>
    <s v="Brokerage"/>
    <x v="0"/>
    <s v="OTHR - Other"/>
    <d v="2020-01-22T00:00:00"/>
    <s v="Other"/>
    <m/>
    <m/>
    <m/>
    <m/>
    <m/>
    <m/>
    <m/>
    <m/>
    <m/>
    <m/>
    <m/>
    <m/>
    <m/>
    <m/>
    <m/>
    <m/>
    <m/>
    <m/>
    <m/>
    <m/>
  </r>
  <r>
    <s v="Archana Iyer"/>
    <n v="3.10304E+17"/>
    <x v="1"/>
    <x v="14"/>
    <d v="2019-03-31T00:00:00"/>
    <x v="2"/>
    <n v="1"/>
    <s v="Vinay"/>
    <x v="0"/>
    <s v="Property / BI"/>
    <s v="Cross Sell"/>
    <n v="106033.91"/>
    <d v="2018-04-01T00:00:00"/>
    <s v="Brokerage"/>
    <x v="3"/>
    <s v="COMP - Competition"/>
    <d v="2020-01-22T00:00:00"/>
    <s v="COMP - Competition"/>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Archana Iyer"/>
    <n v="3.10304E+17"/>
    <x v="1"/>
    <x v="14"/>
    <d v="2019-03-31T00:00:00"/>
    <x v="2"/>
    <n v="1"/>
    <s v="Vinay"/>
    <x v="0"/>
    <s v="Property / BI"/>
    <s v="Cross Sell"/>
    <n v="106033.91"/>
    <d v="2018-04-01T00:00:00"/>
    <s v="Brokerage"/>
    <x v="3"/>
    <s v="COMP - Competition"/>
    <d v="2020-01-22T00:00:00"/>
    <s v="COMP - Competition"/>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Archana Iyer"/>
    <n v="3.10304E+17"/>
    <x v="1"/>
    <x v="14"/>
    <d v="2019-03-31T00:00:00"/>
    <x v="2"/>
    <n v="1"/>
    <s v="Vinay"/>
    <x v="0"/>
    <s v="Property / BI"/>
    <s v="Cross Sell"/>
    <n v="106033.91"/>
    <d v="2018-04-01T00:00:00"/>
    <s v="Brokerage"/>
    <x v="3"/>
    <s v="COMP - Competition"/>
    <d v="2020-01-22T00:00:00"/>
    <s v="COMP - Competition"/>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Archana Iyer"/>
    <n v="3.10304E+17"/>
    <x v="1"/>
    <x v="14"/>
    <d v="2019-03-31T00:00:00"/>
    <x v="2"/>
    <n v="1"/>
    <s v="Vinay"/>
    <x v="0"/>
    <s v="Property / BI"/>
    <s v="Cross Sell"/>
    <n v="106033.91"/>
    <d v="2018-04-01T00:00:00"/>
    <s v="Brokerage"/>
    <x v="3"/>
    <s v="COMP - Competition"/>
    <d v="2020-01-22T00:00:00"/>
    <s v="COMP - Competition"/>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Archana Iyer"/>
    <n v="3.10304E+17"/>
    <x v="1"/>
    <x v="14"/>
    <d v="2019-03-31T00:00:00"/>
    <x v="2"/>
    <n v="1"/>
    <s v="Vinay"/>
    <x v="0"/>
    <s v="Property / BI"/>
    <s v="Cross Sell"/>
    <n v="106033.91"/>
    <d v="2018-04-01T00:00:00"/>
    <s v="Brokerage"/>
    <x v="3"/>
    <s v="COMP - Competition"/>
    <d v="2020-01-22T00:00:00"/>
    <s v="COMP - Competition"/>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Deepak Menon"/>
    <n v="3.10304E+17"/>
    <x v="0"/>
    <x v="196"/>
    <d v="2019-04-07T00:00:00"/>
    <x v="1"/>
    <n v="2"/>
    <s v="Abhinav Shivam"/>
    <x v="0"/>
    <s v="Small Medium Enterpries (SME)"/>
    <s v="Cross Sell"/>
    <n v="3978.77"/>
    <d v="2019-01-08T00:00:00"/>
    <s v="Brokerage"/>
    <x v="0"/>
    <s v="OTHR - Other"/>
    <d v="2020-01-22T00:00:00"/>
    <s v="Other"/>
    <m/>
    <m/>
    <m/>
    <m/>
    <m/>
    <m/>
    <m/>
    <m/>
    <m/>
    <m/>
    <m/>
    <m/>
    <m/>
    <m/>
    <m/>
    <m/>
    <m/>
    <m/>
    <m/>
    <m/>
  </r>
  <r>
    <s v="Vivek Gupta"/>
    <n v="3.10304E+17"/>
    <x v="0"/>
    <x v="197"/>
    <d v="2019-04-18T00:00:00"/>
    <x v="1"/>
    <n v="2"/>
    <s v="Abhinav Shivam"/>
    <x v="0"/>
    <s v="Small Medium Enterpries (SME)"/>
    <s v="Cross Sell"/>
    <n v="9453.35"/>
    <d v="2019-01-19T00:00:00"/>
    <s v="Brokerage"/>
    <x v="0"/>
    <s v="OTHR - Other"/>
    <d v="2020-01-22T00:00:00"/>
    <s v="Other"/>
    <m/>
    <m/>
    <m/>
    <m/>
    <m/>
    <m/>
    <m/>
    <m/>
    <m/>
    <m/>
    <m/>
    <m/>
    <m/>
    <m/>
    <m/>
    <m/>
    <m/>
    <m/>
    <m/>
    <m/>
  </r>
  <r>
    <s v="Rina Shah"/>
    <n v="3.10304E+17"/>
    <x v="0"/>
    <x v="111"/>
    <d v="2019-04-25T00:00:00"/>
    <x v="1"/>
    <n v="2"/>
    <s v="Abhinav Shivam"/>
    <x v="0"/>
    <s v="Small Medium Enterpries (SME)"/>
    <s v="Cross Sell"/>
    <n v="4156.79"/>
    <d v="2019-02-26T00:00:00"/>
    <s v="Brokerage"/>
    <x v="0"/>
    <s v="OTHR - Other"/>
    <d v="2020-01-22T00:00:00"/>
    <s v="Other"/>
    <m/>
    <m/>
    <m/>
    <m/>
    <m/>
    <m/>
    <m/>
    <m/>
    <m/>
    <m/>
    <m/>
    <m/>
    <m/>
    <m/>
    <m/>
    <m/>
    <m/>
    <m/>
    <m/>
    <m/>
  </r>
  <r>
    <s v="Uday Prasad"/>
    <n v="43187020"/>
    <x v="0"/>
    <x v="123"/>
    <d v="2020-04-21T00:00:00"/>
    <x v="2"/>
    <n v="13"/>
    <s v="Vididt Saha"/>
    <x v="0"/>
    <s v="Liability"/>
    <s v="New"/>
    <n v="7451.24"/>
    <d v="2019-04-22T00:00:00"/>
    <s v="Brokerage"/>
    <x v="0"/>
    <s v="OTHR - Other"/>
    <d v="2020-01-22T00:00:00"/>
    <s v="Other"/>
    <m/>
    <m/>
    <m/>
    <m/>
    <m/>
    <m/>
    <m/>
    <m/>
    <m/>
    <m/>
    <m/>
    <m/>
    <m/>
    <m/>
    <m/>
    <m/>
    <m/>
    <m/>
    <m/>
    <m/>
  </r>
  <r>
    <s v="Nitin Kapoor"/>
    <s v="0865082088 00"/>
    <x v="0"/>
    <x v="198"/>
    <d v="2019-12-06T00:00:00"/>
    <x v="0"/>
    <n v="1"/>
    <s v="Vinay"/>
    <x v="0"/>
    <s v="Marine"/>
    <s v="Cross Sell"/>
    <n v="3630"/>
    <d v="2019-12-17T00:00:00"/>
    <s v="Brokerage"/>
    <x v="0"/>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Nitin Kapoor"/>
    <s v="0865082088 00"/>
    <x v="0"/>
    <x v="198"/>
    <d v="2019-12-06T00:00:00"/>
    <x v="0"/>
    <n v="1"/>
    <s v="Vinay"/>
    <x v="0"/>
    <s v="Marine"/>
    <s v="Cross Sell"/>
    <n v="3630"/>
    <d v="2019-12-17T00:00:00"/>
    <s v="Brokerage"/>
    <x v="0"/>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Nitin Kapoor"/>
    <s v="0865082088 00"/>
    <x v="0"/>
    <x v="198"/>
    <d v="2019-12-06T00:00:00"/>
    <x v="0"/>
    <n v="1"/>
    <s v="Vinay"/>
    <x v="0"/>
    <s v="Marine"/>
    <s v="Cross Sell"/>
    <n v="3630"/>
    <d v="2019-12-17T00:00:00"/>
    <s v="Brokerage"/>
    <x v="0"/>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Nitin Kapoor"/>
    <s v="0865082088 00"/>
    <x v="0"/>
    <x v="198"/>
    <d v="2019-12-06T00:00:00"/>
    <x v="0"/>
    <n v="1"/>
    <s v="Vinay"/>
    <x v="0"/>
    <s v="Marine"/>
    <s v="Cross Sell"/>
    <n v="3630"/>
    <d v="2019-12-17T00:00:00"/>
    <s v="Brokerage"/>
    <x v="0"/>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Nitin Kapoor"/>
    <s v="0865082088 00"/>
    <x v="0"/>
    <x v="198"/>
    <d v="2019-12-06T00:00:00"/>
    <x v="0"/>
    <n v="1"/>
    <s v="Vinay"/>
    <x v="0"/>
    <s v="Marine"/>
    <s v="Cross Sell"/>
    <n v="3630"/>
    <d v="2019-12-17T00:00:00"/>
    <s v="Brokerage"/>
    <x v="0"/>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Nitin Kapoor"/>
    <s v="0865082088 00"/>
    <x v="0"/>
    <x v="198"/>
    <d v="2019-12-06T00:00:00"/>
    <x v="0"/>
    <n v="1"/>
    <s v="Vinay"/>
    <x v="0"/>
    <s v="Marine"/>
    <s v="Cross Sell"/>
    <n v="3630"/>
    <d v="2019-12-17T00:00:00"/>
    <s v="Brokerage"/>
    <x v="0"/>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Nitin Kapoor"/>
    <s v="0865082088 00"/>
    <x v="0"/>
    <x v="198"/>
    <d v="2019-12-06T00:00:00"/>
    <x v="0"/>
    <n v="1"/>
    <s v="Vinay"/>
    <x v="0"/>
    <s v="Marine"/>
    <s v="Cross Sell"/>
    <n v="3630"/>
    <d v="2019-12-17T00:00:00"/>
    <s v="Brokerage"/>
    <x v="0"/>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Nitin Kapoor"/>
    <s v="0865082088 00"/>
    <x v="0"/>
    <x v="198"/>
    <d v="2019-12-06T00:00:00"/>
    <x v="0"/>
    <n v="1"/>
    <s v="Vinay"/>
    <x v="0"/>
    <s v="Marine"/>
    <s v="Cross Sell"/>
    <n v="3630"/>
    <d v="2019-12-17T00:00:00"/>
    <s v="Brokerage"/>
    <x v="0"/>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Nitin Kapoor"/>
    <s v="0865082088 00"/>
    <x v="0"/>
    <x v="198"/>
    <d v="2019-12-06T00:00:00"/>
    <x v="0"/>
    <n v="1"/>
    <s v="Vinay"/>
    <x v="0"/>
    <s v="Marine"/>
    <s v="Cross Sell"/>
    <n v="3630"/>
    <d v="2019-12-17T00:00:00"/>
    <s v="Brokerage"/>
    <x v="0"/>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Nitin Kapoor"/>
    <s v="0865082088 00"/>
    <x v="0"/>
    <x v="198"/>
    <d v="2019-12-06T00:00:00"/>
    <x v="0"/>
    <n v="1"/>
    <s v="Vinay"/>
    <x v="0"/>
    <s v="Marine"/>
    <s v="Cross Sell"/>
    <n v="3630"/>
    <d v="2019-12-17T00:00:00"/>
    <s v="Brokerage"/>
    <x v="0"/>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Nitin Kapoor"/>
    <s v="0865082088 00"/>
    <x v="0"/>
    <x v="198"/>
    <d v="2019-12-06T00:00:00"/>
    <x v="0"/>
    <n v="1"/>
    <s v="Vinay"/>
    <x v="0"/>
    <s v="Marine"/>
    <s v="Cross Sell"/>
    <n v="3630"/>
    <d v="2019-12-17T00:00:00"/>
    <s v="Brokerage"/>
    <x v="0"/>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Nitin Kapoor"/>
    <s v="0865082088 00"/>
    <x v="0"/>
    <x v="198"/>
    <d v="2019-12-06T00:00:00"/>
    <x v="0"/>
    <n v="1"/>
    <s v="Vinay"/>
    <x v="0"/>
    <s v="Marine"/>
    <s v="Cross Sell"/>
    <n v="3630"/>
    <d v="2019-12-17T00:00:00"/>
    <s v="Brokerage"/>
    <x v="0"/>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Nitin Kapoor"/>
    <s v="0865082088 00"/>
    <x v="0"/>
    <x v="198"/>
    <d v="2019-12-06T00:00:00"/>
    <x v="0"/>
    <n v="1"/>
    <s v="Vinay"/>
    <x v="0"/>
    <s v="Marine"/>
    <s v="Cross Sell"/>
    <n v="3630"/>
    <d v="2019-12-17T00:00:00"/>
    <s v="Brokerage"/>
    <x v="0"/>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Nitin Kapoor"/>
    <s v="0865082088 00"/>
    <x v="0"/>
    <x v="198"/>
    <d v="2019-12-06T00:00:00"/>
    <x v="0"/>
    <n v="1"/>
    <s v="Vinay"/>
    <x v="0"/>
    <s v="Marine"/>
    <s v="Cross Sell"/>
    <n v="3630"/>
    <d v="2019-12-17T00:00:00"/>
    <s v="Brokerage"/>
    <x v="0"/>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Nitin Kapoor"/>
    <s v="0865082088 00"/>
    <x v="0"/>
    <x v="198"/>
    <d v="2019-12-06T00:00:00"/>
    <x v="0"/>
    <n v="1"/>
    <s v="Vinay"/>
    <x v="0"/>
    <s v="Marine"/>
    <s v="Cross Sell"/>
    <n v="3630"/>
    <d v="2019-12-17T00:00:00"/>
    <s v="Brokerage"/>
    <x v="0"/>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Nitin Kapoor"/>
    <s v="0865082088 00"/>
    <x v="0"/>
    <x v="198"/>
    <d v="2019-12-06T00:00:00"/>
    <x v="0"/>
    <n v="1"/>
    <s v="Vinay"/>
    <x v="0"/>
    <s v="Marine"/>
    <s v="Cross Sell"/>
    <n v="3630"/>
    <d v="2019-12-17T00:00:00"/>
    <s v="Brokerage"/>
    <x v="0"/>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Nitin Kapoor"/>
    <s v="0865082088 00"/>
    <x v="0"/>
    <x v="198"/>
    <d v="2019-12-06T00:00:00"/>
    <x v="0"/>
    <n v="1"/>
    <s v="Vinay"/>
    <x v="0"/>
    <s v="Marine"/>
    <s v="Cross Sell"/>
    <n v="3630"/>
    <d v="2019-12-17T00:00:00"/>
    <s v="Brokerage"/>
    <x v="0"/>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Nitin Kapoor"/>
    <s v="0865082088 00"/>
    <x v="0"/>
    <x v="198"/>
    <d v="2019-12-06T00:00:00"/>
    <x v="0"/>
    <n v="1"/>
    <s v="Vinay"/>
    <x v="0"/>
    <s v="Marine"/>
    <s v="Cross Sell"/>
    <n v="3630"/>
    <d v="2019-12-17T00:00:00"/>
    <s v="Brokerage"/>
    <x v="0"/>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Nitin Kapoor"/>
    <s v="0865082088 00"/>
    <x v="0"/>
    <x v="198"/>
    <d v="2019-12-06T00:00:00"/>
    <x v="0"/>
    <n v="1"/>
    <s v="Vinay"/>
    <x v="0"/>
    <s v="Marine"/>
    <s v="Cross Sell"/>
    <n v="3630"/>
    <d v="2019-12-17T00:00:00"/>
    <s v="Brokerage"/>
    <x v="0"/>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Nitin Kapoor"/>
    <s v="0865082088 00"/>
    <x v="0"/>
    <x v="198"/>
    <d v="2019-12-06T00:00:00"/>
    <x v="0"/>
    <n v="1"/>
    <s v="Vinay"/>
    <x v="0"/>
    <s v="Marine"/>
    <s v="Cross Sell"/>
    <n v="3630"/>
    <d v="2019-12-17T00:00:00"/>
    <s v="Brokerage"/>
    <x v="0"/>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Harish Kaul"/>
    <s v="0865081032 00"/>
    <x v="0"/>
    <x v="20"/>
    <d v="2019-09-10T00:00:00"/>
    <x v="0"/>
    <n v="1"/>
    <s v="Vinay"/>
    <x v="0"/>
    <s v="Marine"/>
    <s v="Renewal"/>
    <n v="1072.5"/>
    <d v="2019-09-11T00:00:00"/>
    <s v="Brokerage"/>
    <x v="0"/>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Harish Kaul"/>
    <s v="0865081032 00"/>
    <x v="0"/>
    <x v="20"/>
    <d v="2019-09-10T00:00:00"/>
    <x v="0"/>
    <n v="1"/>
    <s v="Vinay"/>
    <x v="0"/>
    <s v="Marine"/>
    <s v="Renewal"/>
    <n v="1072.5"/>
    <d v="2019-09-11T00:00:00"/>
    <s v="Brokerage"/>
    <x v="0"/>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Harish Kaul"/>
    <s v="0865081032 00"/>
    <x v="0"/>
    <x v="20"/>
    <d v="2019-09-10T00:00:00"/>
    <x v="0"/>
    <n v="1"/>
    <s v="Vinay"/>
    <x v="0"/>
    <s v="Marine"/>
    <s v="Renewal"/>
    <n v="1072.5"/>
    <d v="2019-09-11T00:00:00"/>
    <s v="Brokerage"/>
    <x v="0"/>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Harish Kaul"/>
    <s v="0865081032 00"/>
    <x v="0"/>
    <x v="20"/>
    <d v="2019-09-10T00:00:00"/>
    <x v="0"/>
    <n v="1"/>
    <s v="Vinay"/>
    <x v="0"/>
    <s v="Marine"/>
    <s v="Renewal"/>
    <n v="1072.5"/>
    <d v="2019-09-11T00:00:00"/>
    <s v="Brokerage"/>
    <x v="0"/>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Harish Kaul"/>
    <s v="0865081032 00"/>
    <x v="0"/>
    <x v="20"/>
    <d v="2019-09-10T00:00:00"/>
    <x v="0"/>
    <n v="1"/>
    <s v="Vinay"/>
    <x v="0"/>
    <s v="Marine"/>
    <s v="Renewal"/>
    <n v="1072.5"/>
    <d v="2019-09-11T00:00:00"/>
    <s v="Brokerage"/>
    <x v="0"/>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Harish Kaul"/>
    <s v="0865081032 00"/>
    <x v="0"/>
    <x v="20"/>
    <d v="2019-09-10T00:00:00"/>
    <x v="0"/>
    <n v="1"/>
    <s v="Vinay"/>
    <x v="0"/>
    <s v="Marine"/>
    <s v="Renewal"/>
    <n v="1072.5"/>
    <d v="2019-09-11T00:00:00"/>
    <s v="Brokerage"/>
    <x v="0"/>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Harish Kaul"/>
    <s v="0865081032 00"/>
    <x v="0"/>
    <x v="20"/>
    <d v="2019-09-10T00:00:00"/>
    <x v="0"/>
    <n v="1"/>
    <s v="Vinay"/>
    <x v="0"/>
    <s v="Marine"/>
    <s v="Renewal"/>
    <n v="1072.5"/>
    <d v="2019-09-11T00:00:00"/>
    <s v="Brokerage"/>
    <x v="0"/>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Harish Kaul"/>
    <s v="0865081032 00"/>
    <x v="0"/>
    <x v="20"/>
    <d v="2019-09-10T00:00:00"/>
    <x v="0"/>
    <n v="1"/>
    <s v="Vinay"/>
    <x v="0"/>
    <s v="Marine"/>
    <s v="Renewal"/>
    <n v="1072.5"/>
    <d v="2019-09-11T00:00:00"/>
    <s v="Brokerage"/>
    <x v="0"/>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Harish Kaul"/>
    <s v="0865081032 00"/>
    <x v="0"/>
    <x v="20"/>
    <d v="2019-09-10T00:00:00"/>
    <x v="0"/>
    <n v="1"/>
    <s v="Vinay"/>
    <x v="0"/>
    <s v="Marine"/>
    <s v="Renewal"/>
    <n v="1072.5"/>
    <d v="2019-09-11T00:00:00"/>
    <s v="Brokerage"/>
    <x v="0"/>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Harish Kaul"/>
    <s v="0865081032 00"/>
    <x v="0"/>
    <x v="20"/>
    <d v="2019-09-10T00:00:00"/>
    <x v="0"/>
    <n v="1"/>
    <s v="Vinay"/>
    <x v="0"/>
    <s v="Marine"/>
    <s v="Renewal"/>
    <n v="1072.5"/>
    <d v="2019-09-11T00:00:00"/>
    <s v="Brokerage"/>
    <x v="0"/>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Harish Kaul"/>
    <s v="0865081032 00"/>
    <x v="0"/>
    <x v="20"/>
    <d v="2019-09-10T00:00:00"/>
    <x v="0"/>
    <n v="1"/>
    <s v="Vinay"/>
    <x v="0"/>
    <s v="Marine"/>
    <s v="Renewal"/>
    <n v="1072.5"/>
    <d v="2019-09-11T00:00:00"/>
    <s v="Brokerage"/>
    <x v="0"/>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Harish Kaul"/>
    <s v="0865081032 00"/>
    <x v="0"/>
    <x v="20"/>
    <d v="2019-09-10T00:00:00"/>
    <x v="0"/>
    <n v="1"/>
    <s v="Vinay"/>
    <x v="0"/>
    <s v="Marine"/>
    <s v="Renewal"/>
    <n v="1072.5"/>
    <d v="2019-09-11T00:00:00"/>
    <s v="Brokerage"/>
    <x v="0"/>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Harish Kaul"/>
    <s v="0865081032 00"/>
    <x v="0"/>
    <x v="20"/>
    <d v="2019-09-10T00:00:00"/>
    <x v="0"/>
    <n v="1"/>
    <s v="Vinay"/>
    <x v="0"/>
    <s v="Marine"/>
    <s v="Renewal"/>
    <n v="1072.5"/>
    <d v="2019-09-11T00:00:00"/>
    <s v="Brokerage"/>
    <x v="0"/>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Harish Kaul"/>
    <s v="0865081032 00"/>
    <x v="0"/>
    <x v="20"/>
    <d v="2019-09-10T00:00:00"/>
    <x v="0"/>
    <n v="1"/>
    <s v="Vinay"/>
    <x v="0"/>
    <s v="Marine"/>
    <s v="Renewal"/>
    <n v="1072.5"/>
    <d v="2019-09-11T00:00:00"/>
    <s v="Brokerage"/>
    <x v="0"/>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Harish Kaul"/>
    <s v="0865081032 00"/>
    <x v="0"/>
    <x v="20"/>
    <d v="2019-09-10T00:00:00"/>
    <x v="0"/>
    <n v="1"/>
    <s v="Vinay"/>
    <x v="0"/>
    <s v="Marine"/>
    <s v="Renewal"/>
    <n v="1072.5"/>
    <d v="2019-09-11T00:00:00"/>
    <s v="Brokerage"/>
    <x v="0"/>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Harish Kaul"/>
    <s v="0865081032 00"/>
    <x v="0"/>
    <x v="20"/>
    <d v="2019-09-10T00:00:00"/>
    <x v="0"/>
    <n v="1"/>
    <s v="Vinay"/>
    <x v="0"/>
    <s v="Marine"/>
    <s v="Renewal"/>
    <n v="1072.5"/>
    <d v="2019-09-11T00:00:00"/>
    <s v="Brokerage"/>
    <x v="0"/>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Harish Kaul"/>
    <s v="0865081032 00"/>
    <x v="0"/>
    <x v="20"/>
    <d v="2019-09-10T00:00:00"/>
    <x v="0"/>
    <n v="1"/>
    <s v="Vinay"/>
    <x v="0"/>
    <s v="Marine"/>
    <s v="Renewal"/>
    <n v="1072.5"/>
    <d v="2019-09-11T00:00:00"/>
    <s v="Brokerage"/>
    <x v="0"/>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Harish Kaul"/>
    <s v="0865081032 00"/>
    <x v="0"/>
    <x v="20"/>
    <d v="2019-09-10T00:00:00"/>
    <x v="0"/>
    <n v="1"/>
    <s v="Vinay"/>
    <x v="0"/>
    <s v="Marine"/>
    <s v="Renewal"/>
    <n v="1072.5"/>
    <d v="2019-09-11T00:00:00"/>
    <s v="Brokerage"/>
    <x v="0"/>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Harish Kaul"/>
    <s v="0865081032 00"/>
    <x v="0"/>
    <x v="20"/>
    <d v="2019-09-10T00:00:00"/>
    <x v="0"/>
    <n v="1"/>
    <s v="Vinay"/>
    <x v="0"/>
    <s v="Marine"/>
    <s v="Renewal"/>
    <n v="1072.5"/>
    <d v="2019-09-11T00:00:00"/>
    <s v="Brokerage"/>
    <x v="0"/>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Harish Kaul"/>
    <s v="0865081032 00"/>
    <x v="0"/>
    <x v="20"/>
    <d v="2019-09-10T00:00:00"/>
    <x v="0"/>
    <n v="1"/>
    <s v="Vinay"/>
    <x v="0"/>
    <s v="Marine"/>
    <s v="Renewal"/>
    <n v="1072.5"/>
    <d v="2019-09-11T00:00:00"/>
    <s v="Brokerage"/>
    <x v="0"/>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Neeraj Arora"/>
    <n v="1.112E+19"/>
    <x v="0"/>
    <x v="199"/>
    <d v="2019-10-02T00:00:00"/>
    <x v="5"/>
    <n v="3"/>
    <s v="Animesh Rawat"/>
    <x v="0"/>
    <s v="Global Client Network (GNB Inward)"/>
    <s v="Cross Sell"/>
    <n v="49401.25"/>
    <d v="2019-01-03T00:00:00"/>
    <s v="Brokerage"/>
    <x v="0"/>
    <s v="OTHR - Other"/>
    <d v="2020-01-22T00:00:00"/>
    <s v="Other"/>
    <m/>
    <m/>
    <m/>
    <m/>
    <m/>
    <m/>
    <m/>
    <m/>
    <m/>
    <m/>
    <m/>
    <m/>
    <m/>
    <m/>
    <m/>
    <m/>
    <m/>
    <m/>
    <m/>
    <m/>
  </r>
  <r>
    <s v="Mukul Kumar"/>
    <n v="1.112E+19"/>
    <x v="0"/>
    <x v="199"/>
    <d v="2019-10-02T00:00:00"/>
    <x v="5"/>
    <n v="3"/>
    <s v="Animesh Rawat"/>
    <x v="0"/>
    <s v="Global Client Network (GNB Inward)"/>
    <s v="Cross Sell"/>
    <n v="49401.25"/>
    <d v="2019-01-03T00:00:00"/>
    <s v="Brokerage"/>
    <x v="0"/>
    <s v="OTHR - Other"/>
    <d v="2020-01-22T00:00:00"/>
    <s v="Other"/>
    <m/>
    <m/>
    <m/>
    <m/>
    <m/>
    <m/>
    <m/>
    <m/>
    <m/>
    <m/>
    <m/>
    <m/>
    <m/>
    <m/>
    <m/>
    <m/>
    <m/>
    <m/>
    <m/>
    <m/>
  </r>
  <r>
    <s v="Gauri Naik"/>
    <n v="1.112E+19"/>
    <x v="0"/>
    <x v="199"/>
    <d v="2019-10-02T00:00:00"/>
    <x v="5"/>
    <n v="3"/>
    <s v="Animesh Rawat"/>
    <x v="0"/>
    <s v="Global Client Network (GNB Inward)"/>
    <s v="Cross Sell"/>
    <n v="45000"/>
    <d v="2019-01-03T00:00:00"/>
    <s v="Brokerage"/>
    <x v="0"/>
    <s v="OTHR - Other"/>
    <d v="2020-01-22T00:00:00"/>
    <s v="Other"/>
    <m/>
    <m/>
    <m/>
    <m/>
    <m/>
    <m/>
    <m/>
    <m/>
    <m/>
    <m/>
    <m/>
    <m/>
    <m/>
    <m/>
    <m/>
    <m/>
    <m/>
    <m/>
    <m/>
    <m/>
  </r>
  <r>
    <s v="Harish Menon"/>
    <s v="4016/138636598/01/000"/>
    <x v="1"/>
    <x v="67"/>
    <d v="2019-09-29T00:00:00"/>
    <x v="3"/>
    <n v="10"/>
    <s v="Mark"/>
    <x v="0"/>
    <s v="Employee Benefits (EB)"/>
    <s v="Renewal"/>
    <n v="54000"/>
    <d v="2018-09-30T00:00:00"/>
    <s v="Brokerage"/>
    <x v="0"/>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Harish Menon"/>
    <s v="4016/138636598/01/000"/>
    <x v="1"/>
    <x v="67"/>
    <d v="2019-09-29T00:00:00"/>
    <x v="3"/>
    <n v="10"/>
    <s v="Mark"/>
    <x v="0"/>
    <s v="Employee Benefits (EB)"/>
    <s v="Renewal"/>
    <n v="54000"/>
    <d v="2018-09-30T00:00:00"/>
    <s v="Brokerage"/>
    <x v="0"/>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Harish Menon"/>
    <s v="4016/138636598/01/000"/>
    <x v="1"/>
    <x v="67"/>
    <d v="2019-09-29T00:00:00"/>
    <x v="3"/>
    <n v="10"/>
    <s v="Mark"/>
    <x v="0"/>
    <s v="Employee Benefits (EB)"/>
    <s v="Renewal"/>
    <n v="54000"/>
    <d v="2018-09-30T00:00:00"/>
    <s v="Brokerage"/>
    <x v="0"/>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Harish Menon"/>
    <s v="4016/138636598/01/000"/>
    <x v="1"/>
    <x v="67"/>
    <d v="2019-09-29T00:00:00"/>
    <x v="3"/>
    <n v="10"/>
    <s v="Mark"/>
    <x v="0"/>
    <s v="Employee Benefits (EB)"/>
    <s v="Renewal"/>
    <n v="54000"/>
    <d v="2018-09-30T00:00:00"/>
    <s v="Brokerage"/>
    <x v="0"/>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Harish Menon"/>
    <s v="4016/138636598/01/000"/>
    <x v="1"/>
    <x v="67"/>
    <d v="2019-09-29T00:00:00"/>
    <x v="3"/>
    <n v="10"/>
    <s v="Mark"/>
    <x v="0"/>
    <s v="Employee Benefits (EB)"/>
    <s v="Renewal"/>
    <n v="54000"/>
    <d v="2018-09-30T00:00:00"/>
    <s v="Brokerage"/>
    <x v="0"/>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Harish Menon"/>
    <s v="4016/138636598/01/000"/>
    <x v="1"/>
    <x v="67"/>
    <d v="2019-09-29T00:00:00"/>
    <x v="3"/>
    <n v="10"/>
    <s v="Mark"/>
    <x v="0"/>
    <s v="Employee Benefits (EB)"/>
    <s v="Renewal"/>
    <n v="54000"/>
    <d v="2018-09-30T00:00:00"/>
    <s v="Brokerage"/>
    <x v="0"/>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Harish Menon"/>
    <s v="4016/138636598/01/000"/>
    <x v="1"/>
    <x v="67"/>
    <d v="2019-09-29T00:00:00"/>
    <x v="3"/>
    <n v="10"/>
    <s v="Mark"/>
    <x v="0"/>
    <s v="Employee Benefits (EB)"/>
    <s v="Renewal"/>
    <n v="54000"/>
    <d v="2018-09-30T00:00:00"/>
    <s v="Brokerage"/>
    <x v="0"/>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Harish Menon"/>
    <s v="4016/138636598/01/000"/>
    <x v="1"/>
    <x v="67"/>
    <d v="2019-09-29T00:00:00"/>
    <x v="3"/>
    <n v="10"/>
    <s v="Mark"/>
    <x v="0"/>
    <s v="Employee Benefits (EB)"/>
    <s v="Renewal"/>
    <n v="54000"/>
    <d v="2018-09-30T00:00:00"/>
    <s v="Brokerage"/>
    <x v="0"/>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Harish Menon"/>
    <s v="4016/138636598/01/000"/>
    <x v="1"/>
    <x v="67"/>
    <d v="2019-09-29T00:00:00"/>
    <x v="3"/>
    <n v="10"/>
    <s v="Mark"/>
    <x v="0"/>
    <s v="Employee Benefits (EB)"/>
    <s v="Renewal"/>
    <n v="54000"/>
    <d v="2018-09-30T00:00:00"/>
    <s v="Brokerage"/>
    <x v="0"/>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Harish Menon"/>
    <s v="4016/138636598/01/000"/>
    <x v="1"/>
    <x v="67"/>
    <d v="2019-09-29T00:00:00"/>
    <x v="3"/>
    <n v="10"/>
    <s v="Mark"/>
    <x v="0"/>
    <s v="Employee Benefits (EB)"/>
    <s v="Renewal"/>
    <n v="54000"/>
    <d v="2018-09-30T00:00:00"/>
    <s v="Brokerage"/>
    <x v="0"/>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Mohit Gupta"/>
    <s v="2005/162167315/00/000"/>
    <x v="0"/>
    <x v="99"/>
    <d v="2019-12-13T00:00:00"/>
    <x v="0"/>
    <n v="12"/>
    <s v="Shivani Sharma"/>
    <x v="0"/>
    <s v="Global Client Network (GNB Inward)"/>
    <s v="Cross Sell"/>
    <n v="5659.5"/>
    <d v="2018-12-14T00:00:00"/>
    <s v="Brokerage"/>
    <x v="0"/>
    <s v="OTHR - Other"/>
    <d v="2020-01-22T00:00:00"/>
    <s v="Other"/>
    <s v="VS.-Marine"/>
    <s v="OPP1900001056"/>
    <s v="Shivani Sharma"/>
    <n v="0"/>
    <n v="200000"/>
    <d v="2020-03-31T00:00:00"/>
    <s v="Qualify Opportunity"/>
    <s v="Ahmedabad"/>
    <s v="Marine"/>
    <s v="Marine Hull"/>
    <s v="Charterers' Liability Policy"/>
    <m/>
    <m/>
    <s v="Madison Robinson"/>
    <d v="2020-01-21T00:00:00"/>
    <m/>
    <m/>
    <m/>
    <m/>
    <m/>
  </r>
  <r>
    <s v="Mohit Gupta"/>
    <s v="2005/162167315/00/000"/>
    <x v="0"/>
    <x v="99"/>
    <d v="2019-12-13T00:00:00"/>
    <x v="0"/>
    <n v="12"/>
    <s v="Shivani Sharma"/>
    <x v="0"/>
    <s v="Global Client Network (GNB Inward)"/>
    <s v="Cross Sell"/>
    <n v="5659.5"/>
    <d v="2018-12-14T00:00:00"/>
    <s v="Brokerage"/>
    <x v="0"/>
    <s v="OTHR - Other"/>
    <d v="2020-01-22T00:00:00"/>
    <s v="Other"/>
    <s v="VS.-Marine"/>
    <s v="OPP1900001056"/>
    <s v="Shivani Sharma"/>
    <n v="0"/>
    <n v="200000"/>
    <d v="2020-03-31T00:00:00"/>
    <s v="Qualify Opportunity"/>
    <s v="Ahmedabad"/>
    <s v="Marine"/>
    <s v="Marine Hull"/>
    <s v="Charterers' Liability Policy"/>
    <m/>
    <m/>
    <s v="David Hall"/>
    <d v="2020-01-21T00:00:00"/>
    <m/>
    <m/>
    <m/>
    <m/>
    <m/>
  </r>
  <r>
    <s v="Mohit Gupta"/>
    <s v="2005/162167315/00/000"/>
    <x v="0"/>
    <x v="99"/>
    <d v="2019-12-13T00:00:00"/>
    <x v="0"/>
    <n v="12"/>
    <s v="Shivani Sharma"/>
    <x v="0"/>
    <s v="Global Client Network (GNB Inward)"/>
    <s v="Cross Sell"/>
    <n v="5659.5"/>
    <d v="2018-12-14T00:00:00"/>
    <s v="Brokerage"/>
    <x v="0"/>
    <s v="OTHR - Other"/>
    <d v="2020-01-22T00:00:00"/>
    <s v="Other"/>
    <s v="VS.-Marine"/>
    <s v="OPP1900001056"/>
    <s v="Shivani Sharma"/>
    <n v="0"/>
    <n v="200000"/>
    <d v="2020-03-31T00:00:00"/>
    <s v="Qualify Opportunity"/>
    <s v="Ahmedabad"/>
    <s v="Marine"/>
    <s v="Marine Hull"/>
    <s v="Charterers' Liability Policy"/>
    <m/>
    <m/>
    <s v="Lily Young"/>
    <d v="2020-01-21T00:00:00"/>
    <m/>
    <m/>
    <m/>
    <m/>
    <m/>
  </r>
  <r>
    <s v="Mohit Gupta"/>
    <s v="2005/162167315/00/000"/>
    <x v="0"/>
    <x v="99"/>
    <d v="2019-12-13T00:00:00"/>
    <x v="0"/>
    <n v="12"/>
    <s v="Shivani Sharma"/>
    <x v="0"/>
    <s v="Global Client Network (GNB Inward)"/>
    <s v="Cross Sell"/>
    <n v="5659.5"/>
    <d v="2018-12-14T00:00:00"/>
    <s v="Brokerage"/>
    <x v="0"/>
    <s v="OTHR - Other"/>
    <d v="2020-01-22T00:00:00"/>
    <s v="Other"/>
    <s v="VS.-Marine"/>
    <s v="OPP1900001056"/>
    <s v="Shivani Sharma"/>
    <n v="0"/>
    <n v="200000"/>
    <d v="2020-03-31T00:00:00"/>
    <s v="Qualify Opportunity"/>
    <s v="Ahmedabad"/>
    <s v="Marine"/>
    <s v="Marine Hull"/>
    <s v="Charterers' Liability Policy"/>
    <m/>
    <m/>
    <s v="Samuel Allen"/>
    <d v="2020-01-22T00:00:00"/>
    <m/>
    <m/>
    <m/>
    <m/>
    <m/>
  </r>
  <r>
    <s v="Amit Arora"/>
    <n v="3.1142E+18"/>
    <x v="0"/>
    <x v="200"/>
    <d v="2020-04-09T00:00:00"/>
    <x v="2"/>
    <n v="3"/>
    <s v="Animesh Rawat"/>
    <x v="0"/>
    <s v="Global Client Network (GNB Inward)"/>
    <s v="Cross Sell"/>
    <n v="2942.25"/>
    <d v="2019-04-11T00:00:00"/>
    <s v="Brokerage"/>
    <x v="0"/>
    <s v="OTHR - Other"/>
    <d v="2020-01-22T00:00:00"/>
    <s v="Other"/>
    <m/>
    <m/>
    <m/>
    <m/>
    <m/>
    <m/>
    <m/>
    <m/>
    <m/>
    <m/>
    <m/>
    <m/>
    <m/>
    <m/>
    <m/>
    <m/>
    <m/>
    <m/>
    <m/>
    <m/>
  </r>
  <r>
    <s v="Nikita Pandit"/>
    <s v="0000000007404252-01"/>
    <x v="1"/>
    <x v="201"/>
    <d v="2019-10-23T00:00:00"/>
    <x v="2"/>
    <n v="3"/>
    <s v="Animesh Rawat"/>
    <x v="0"/>
    <s v="Global Client Network (GNB Inward)"/>
    <s v="Renewal"/>
    <n v="6335.5"/>
    <d v="2019-10-23T00:00:00"/>
    <s v="Brokerage"/>
    <x v="0"/>
    <s v="OTHR - Other"/>
    <d v="2020-01-22T00:00:00"/>
    <s v="Other"/>
    <m/>
    <m/>
    <m/>
    <m/>
    <m/>
    <m/>
    <m/>
    <m/>
    <m/>
    <m/>
    <m/>
    <m/>
    <m/>
    <m/>
    <m/>
    <m/>
    <m/>
    <m/>
    <m/>
    <m/>
  </r>
  <r>
    <s v="Vikas Gupta"/>
    <s v="0000000007404252-02"/>
    <x v="0"/>
    <x v="202"/>
    <d v="2020-10-25T00:00:00"/>
    <x v="2"/>
    <n v="3"/>
    <s v="Animesh Rawat"/>
    <x v="0"/>
    <s v="Global Client Network (GNB Inward)"/>
    <s v="Renewal"/>
    <n v="2436.75"/>
    <d v="2019-10-26T00:00:00"/>
    <s v="Brokerage"/>
    <x v="1"/>
    <s v="OTHR - Other"/>
    <d v="2020-01-22T00:00:00"/>
    <s v="Other"/>
    <m/>
    <m/>
    <m/>
    <m/>
    <m/>
    <m/>
    <m/>
    <m/>
    <m/>
    <m/>
    <m/>
    <m/>
    <m/>
    <m/>
    <m/>
    <m/>
    <m/>
    <m/>
    <m/>
    <m/>
  </r>
  <r>
    <s v="Kamlesh Pillai"/>
    <n v="10619837"/>
    <x v="1"/>
    <x v="201"/>
    <d v="2019-10-23T00:00:00"/>
    <x v="1"/>
    <n v="3"/>
    <s v="Animesh Rawat"/>
    <x v="0"/>
    <s v="Global Client Network (GNB Inward)"/>
    <s v="Renewal"/>
    <n v="18321.23"/>
    <d v="2018-10-24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Kamlesh Pillai"/>
    <n v="10619837"/>
    <x v="1"/>
    <x v="201"/>
    <d v="2019-10-23T00:00:00"/>
    <x v="1"/>
    <n v="3"/>
    <s v="Animesh Rawat"/>
    <x v="0"/>
    <s v="Global Client Network (GNB Inward)"/>
    <s v="Renewal"/>
    <n v="18321.23"/>
    <d v="2018-10-24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Kamlesh Pillai"/>
    <n v="10619837"/>
    <x v="1"/>
    <x v="201"/>
    <d v="2019-10-23T00:00:00"/>
    <x v="1"/>
    <n v="3"/>
    <s v="Animesh Rawat"/>
    <x v="0"/>
    <s v="Global Client Network (GNB Inward)"/>
    <s v="Renewal"/>
    <n v="18321.23"/>
    <d v="2018-10-24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Kamlesh Pillai"/>
    <n v="10619837"/>
    <x v="1"/>
    <x v="201"/>
    <d v="2019-10-23T00:00:00"/>
    <x v="1"/>
    <n v="3"/>
    <s v="Animesh Rawat"/>
    <x v="0"/>
    <s v="Global Client Network (GNB Inward)"/>
    <s v="Renewal"/>
    <n v="18321.23"/>
    <d v="2018-10-24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Kamlesh Pillai"/>
    <n v="10619837"/>
    <x v="1"/>
    <x v="201"/>
    <d v="2019-10-23T00:00:00"/>
    <x v="1"/>
    <n v="3"/>
    <s v="Animesh Rawat"/>
    <x v="0"/>
    <s v="Global Client Network (GNB Inward)"/>
    <s v="Renewal"/>
    <n v="18321.23"/>
    <d v="2018-10-24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Kamlesh Pillai"/>
    <n v="10619837"/>
    <x v="1"/>
    <x v="201"/>
    <d v="2019-10-23T00:00:00"/>
    <x v="1"/>
    <n v="3"/>
    <s v="Animesh Rawat"/>
    <x v="0"/>
    <s v="Global Client Network (GNB Inward)"/>
    <s v="Renewal"/>
    <n v="18321.23"/>
    <d v="2018-10-24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Kamlesh Pillai"/>
    <n v="10619837"/>
    <x v="1"/>
    <x v="201"/>
    <d v="2019-10-23T00:00:00"/>
    <x v="1"/>
    <n v="3"/>
    <s v="Animesh Rawat"/>
    <x v="0"/>
    <s v="Global Client Network (GNB Inward)"/>
    <s v="Renewal"/>
    <n v="18321.23"/>
    <d v="2018-10-24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Kamlesh Pillai"/>
    <n v="10619837"/>
    <x v="1"/>
    <x v="201"/>
    <d v="2019-10-23T00:00:00"/>
    <x v="1"/>
    <n v="3"/>
    <s v="Animesh Rawat"/>
    <x v="0"/>
    <s v="Global Client Network (GNB Inward)"/>
    <s v="Renewal"/>
    <n v="18321.23"/>
    <d v="2018-10-24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Kamlesh Pillai"/>
    <n v="10619837"/>
    <x v="1"/>
    <x v="201"/>
    <d v="2019-10-23T00:00:00"/>
    <x v="1"/>
    <n v="3"/>
    <s v="Animesh Rawat"/>
    <x v="0"/>
    <s v="Global Client Network (GNB Inward)"/>
    <s v="Renewal"/>
    <n v="18321.23"/>
    <d v="2018-10-24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Kamlesh Pillai"/>
    <n v="10619837"/>
    <x v="1"/>
    <x v="201"/>
    <d v="2019-10-23T00:00:00"/>
    <x v="1"/>
    <n v="3"/>
    <s v="Animesh Rawat"/>
    <x v="0"/>
    <s v="Global Client Network (GNB Inward)"/>
    <s v="Renewal"/>
    <n v="18321.23"/>
    <d v="2018-10-24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Kamlesh Pillai"/>
    <n v="10619837"/>
    <x v="1"/>
    <x v="201"/>
    <d v="2019-10-23T00:00:00"/>
    <x v="1"/>
    <n v="3"/>
    <s v="Animesh Rawat"/>
    <x v="0"/>
    <s v="Global Client Network (GNB Inward)"/>
    <s v="Renewal"/>
    <n v="18321.23"/>
    <d v="2018-10-24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Kamlesh Pillai"/>
    <n v="10619837"/>
    <x v="1"/>
    <x v="201"/>
    <d v="2019-10-23T00:00:00"/>
    <x v="1"/>
    <n v="3"/>
    <s v="Animesh Rawat"/>
    <x v="0"/>
    <s v="Global Client Network (GNB Inward)"/>
    <s v="Renewal"/>
    <n v="18321.23"/>
    <d v="2018-10-24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Umesh Agarwal"/>
    <s v="0000000010619837-01"/>
    <x v="0"/>
    <x v="203"/>
    <d v="2020-10-24T00:00:00"/>
    <x v="1"/>
    <n v="3"/>
    <s v="Animesh Rawat"/>
    <x v="0"/>
    <s v="Global Client Network (GNB Inward)"/>
    <s v="Renewal"/>
    <n v="26967.39"/>
    <d v="2019-10-25T00:00:00"/>
    <s v="Brokerage"/>
    <x v="1"/>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Umesh Agarwal"/>
    <s v="0000000010619837-01"/>
    <x v="0"/>
    <x v="203"/>
    <d v="2020-10-24T00:00:00"/>
    <x v="1"/>
    <n v="3"/>
    <s v="Animesh Rawat"/>
    <x v="0"/>
    <s v="Global Client Network (GNB Inward)"/>
    <s v="Renewal"/>
    <n v="26967.39"/>
    <d v="2019-10-25T00:00:00"/>
    <s v="Brokerage"/>
    <x v="1"/>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Umesh Agarwal"/>
    <s v="0000000010619837-01"/>
    <x v="0"/>
    <x v="203"/>
    <d v="2020-10-24T00:00:00"/>
    <x v="1"/>
    <n v="3"/>
    <s v="Animesh Rawat"/>
    <x v="0"/>
    <s v="Global Client Network (GNB Inward)"/>
    <s v="Renewal"/>
    <n v="26967.39"/>
    <d v="2019-10-25T00:00:00"/>
    <s v="Brokerage"/>
    <x v="1"/>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Umesh Agarwal"/>
    <s v="0000000010619837-01"/>
    <x v="0"/>
    <x v="203"/>
    <d v="2020-10-24T00:00:00"/>
    <x v="1"/>
    <n v="3"/>
    <s v="Animesh Rawat"/>
    <x v="0"/>
    <s v="Global Client Network (GNB Inward)"/>
    <s v="Renewal"/>
    <n v="26967.39"/>
    <d v="2019-10-25T00:00:00"/>
    <s v="Brokerage"/>
    <x v="1"/>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Umesh Agarwal"/>
    <s v="0000000010619837-01"/>
    <x v="0"/>
    <x v="203"/>
    <d v="2020-10-24T00:00:00"/>
    <x v="1"/>
    <n v="3"/>
    <s v="Animesh Rawat"/>
    <x v="0"/>
    <s v="Global Client Network (GNB Inward)"/>
    <s v="Renewal"/>
    <n v="26967.39"/>
    <d v="2019-10-25T00:00:00"/>
    <s v="Brokerage"/>
    <x v="1"/>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Umesh Agarwal"/>
    <s v="0000000010619837-01"/>
    <x v="0"/>
    <x v="203"/>
    <d v="2020-10-24T00:00:00"/>
    <x v="1"/>
    <n v="3"/>
    <s v="Animesh Rawat"/>
    <x v="0"/>
    <s v="Global Client Network (GNB Inward)"/>
    <s v="Renewal"/>
    <n v="26967.39"/>
    <d v="2019-10-25T00:00:00"/>
    <s v="Brokerage"/>
    <x v="1"/>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Umesh Agarwal"/>
    <s v="0000000010619837-01"/>
    <x v="0"/>
    <x v="203"/>
    <d v="2020-10-24T00:00:00"/>
    <x v="1"/>
    <n v="3"/>
    <s v="Animesh Rawat"/>
    <x v="0"/>
    <s v="Global Client Network (GNB Inward)"/>
    <s v="Renewal"/>
    <n v="26967.39"/>
    <d v="2019-10-25T00:00:00"/>
    <s v="Brokerage"/>
    <x v="1"/>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Umesh Agarwal"/>
    <s v="0000000010619837-01"/>
    <x v="0"/>
    <x v="203"/>
    <d v="2020-10-24T00:00:00"/>
    <x v="1"/>
    <n v="3"/>
    <s v="Animesh Rawat"/>
    <x v="0"/>
    <s v="Global Client Network (GNB Inward)"/>
    <s v="Renewal"/>
    <n v="26967.39"/>
    <d v="2019-10-25T00:00:00"/>
    <s v="Brokerage"/>
    <x v="1"/>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Umesh Agarwal"/>
    <s v="0000000010619837-01"/>
    <x v="0"/>
    <x v="203"/>
    <d v="2020-10-24T00:00:00"/>
    <x v="1"/>
    <n v="3"/>
    <s v="Animesh Rawat"/>
    <x v="0"/>
    <s v="Global Client Network (GNB Inward)"/>
    <s v="Renewal"/>
    <n v="26967.39"/>
    <d v="2019-10-25T00:00:00"/>
    <s v="Brokerage"/>
    <x v="1"/>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Umesh Agarwal"/>
    <s v="0000000010619837-01"/>
    <x v="0"/>
    <x v="203"/>
    <d v="2020-10-24T00:00:00"/>
    <x v="1"/>
    <n v="3"/>
    <s v="Animesh Rawat"/>
    <x v="0"/>
    <s v="Global Client Network (GNB Inward)"/>
    <s v="Renewal"/>
    <n v="26967.39"/>
    <d v="2019-10-25T00:00:00"/>
    <s v="Brokerage"/>
    <x v="1"/>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Umesh Agarwal"/>
    <s v="0000000010619837-01"/>
    <x v="0"/>
    <x v="203"/>
    <d v="2020-10-24T00:00:00"/>
    <x v="1"/>
    <n v="3"/>
    <s v="Animesh Rawat"/>
    <x v="0"/>
    <s v="Global Client Network (GNB Inward)"/>
    <s v="Renewal"/>
    <n v="26967.39"/>
    <d v="2019-10-25T00:00:00"/>
    <s v="Brokerage"/>
    <x v="1"/>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Umesh Agarwal"/>
    <s v="0000000010619837-01"/>
    <x v="0"/>
    <x v="203"/>
    <d v="2020-10-24T00:00:00"/>
    <x v="1"/>
    <n v="3"/>
    <s v="Animesh Rawat"/>
    <x v="0"/>
    <s v="Global Client Network (GNB Inward)"/>
    <s v="Renewal"/>
    <n v="26967.39"/>
    <d v="2019-10-25T00:00:00"/>
    <s v="Brokerage"/>
    <x v="1"/>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Ankur Gandhi"/>
    <s v="1011/142530053/00/000"/>
    <x v="0"/>
    <x v="49"/>
    <d v="2018-12-31T00:00:00"/>
    <x v="2"/>
    <n v="3"/>
    <s v="Animesh Rawat"/>
    <x v="0"/>
    <s v="Global Client Network (GNB Inward)"/>
    <s v="Renewal"/>
    <n v="159956.76"/>
    <d v="2018-01-01T00:00:00"/>
    <s v="Brokerage"/>
    <x v="0"/>
    <s v="OTHR - Other"/>
    <d v="2020-01-22T00:00:00"/>
    <s v="Other"/>
    <m/>
    <m/>
    <m/>
    <m/>
    <m/>
    <m/>
    <m/>
    <m/>
    <m/>
    <m/>
    <m/>
    <m/>
    <m/>
    <m/>
    <m/>
    <m/>
    <m/>
    <m/>
    <m/>
    <m/>
  </r>
  <r>
    <s v="Dinesh Kaul"/>
    <s v="1011/142530053/01/000"/>
    <x v="0"/>
    <x v="13"/>
    <d v="2019-12-31T00:00:00"/>
    <x v="1"/>
    <n v="3"/>
    <s v="Animesh Rawat"/>
    <x v="0"/>
    <s v="Global Client Network (GNB Inward)"/>
    <s v="Renewal"/>
    <n v="0"/>
    <d v="2019-01-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Dinesh Kaul"/>
    <s v="1011/142530053/01/000"/>
    <x v="0"/>
    <x v="13"/>
    <d v="2019-12-31T00:00:00"/>
    <x v="1"/>
    <n v="3"/>
    <s v="Animesh Rawat"/>
    <x v="0"/>
    <s v="Global Client Network (GNB Inward)"/>
    <s v="Renewal"/>
    <n v="0"/>
    <d v="2019-01-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Dinesh Kaul"/>
    <s v="1011/142530053/01/000"/>
    <x v="0"/>
    <x v="13"/>
    <d v="2019-12-31T00:00:00"/>
    <x v="1"/>
    <n v="3"/>
    <s v="Animesh Rawat"/>
    <x v="0"/>
    <s v="Global Client Network (GNB Inward)"/>
    <s v="Renewal"/>
    <n v="0"/>
    <d v="2019-01-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Dinesh Kaul"/>
    <s v="1011/142530053/01/000"/>
    <x v="0"/>
    <x v="13"/>
    <d v="2019-12-31T00:00:00"/>
    <x v="1"/>
    <n v="3"/>
    <s v="Animesh Rawat"/>
    <x v="0"/>
    <s v="Global Client Network (GNB Inward)"/>
    <s v="Renewal"/>
    <n v="0"/>
    <d v="2019-01-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Dinesh Kaul"/>
    <s v="1011/142530053/01/000"/>
    <x v="0"/>
    <x v="13"/>
    <d v="2019-12-31T00:00:00"/>
    <x v="1"/>
    <n v="3"/>
    <s v="Animesh Rawat"/>
    <x v="0"/>
    <s v="Global Client Network (GNB Inward)"/>
    <s v="Renewal"/>
    <n v="0"/>
    <d v="2019-01-01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Dinesh Kaul"/>
    <s v="1011/142530053/01/000"/>
    <x v="0"/>
    <x v="13"/>
    <d v="2019-12-31T00:00:00"/>
    <x v="1"/>
    <n v="3"/>
    <s v="Animesh Rawat"/>
    <x v="0"/>
    <s v="Global Client Network (GNB Inward)"/>
    <s v="Renewal"/>
    <n v="0"/>
    <d v="2019-01-01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Dinesh Kaul"/>
    <s v="1011/142530053/01/000"/>
    <x v="0"/>
    <x v="13"/>
    <d v="2019-12-31T00:00:00"/>
    <x v="1"/>
    <n v="3"/>
    <s v="Animesh Rawat"/>
    <x v="0"/>
    <s v="Global Client Network (GNB Inward)"/>
    <s v="Renewal"/>
    <n v="0"/>
    <d v="2019-01-01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Dinesh Kaul"/>
    <s v="1011/142530053/01/000"/>
    <x v="0"/>
    <x v="13"/>
    <d v="2019-12-31T00:00:00"/>
    <x v="1"/>
    <n v="3"/>
    <s v="Animesh Rawat"/>
    <x v="0"/>
    <s v="Global Client Network (GNB Inward)"/>
    <s v="Renewal"/>
    <n v="0"/>
    <d v="2019-01-01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Dinesh Kaul"/>
    <s v="1011/142530053/01/000"/>
    <x v="0"/>
    <x v="13"/>
    <d v="2019-12-31T00:00:00"/>
    <x v="1"/>
    <n v="3"/>
    <s v="Animesh Rawat"/>
    <x v="0"/>
    <s v="Global Client Network (GNB Inward)"/>
    <s v="Renewal"/>
    <n v="0"/>
    <d v="2019-01-01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Dinesh Kaul"/>
    <s v="1011/142530053/01/000"/>
    <x v="0"/>
    <x v="13"/>
    <d v="2019-12-31T00:00:00"/>
    <x v="1"/>
    <n v="3"/>
    <s v="Animesh Rawat"/>
    <x v="0"/>
    <s v="Global Client Network (GNB Inward)"/>
    <s v="Renewal"/>
    <n v="0"/>
    <d v="2019-01-01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Dinesh Kaul"/>
    <s v="1011/142530053/01/000"/>
    <x v="0"/>
    <x v="13"/>
    <d v="2019-12-31T00:00:00"/>
    <x v="1"/>
    <n v="3"/>
    <s v="Animesh Rawat"/>
    <x v="0"/>
    <s v="Global Client Network (GNB Inward)"/>
    <s v="Renewal"/>
    <n v="0"/>
    <d v="2019-01-01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Dinesh Kaul"/>
    <s v="1011/142530053/01/000"/>
    <x v="0"/>
    <x v="13"/>
    <d v="2019-12-31T00:00:00"/>
    <x v="1"/>
    <n v="3"/>
    <s v="Animesh Rawat"/>
    <x v="0"/>
    <s v="Global Client Network (GNB Inward)"/>
    <s v="Renewal"/>
    <n v="0"/>
    <d v="2019-01-01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Ankur Naik"/>
    <n v="1.60262E+17"/>
    <x v="0"/>
    <x v="204"/>
    <d v="2018-09-30T00:00:00"/>
    <x v="5"/>
    <n v="3"/>
    <s v="Animesh Rawat"/>
    <x v="0"/>
    <s v="Global Client Network (GNB Inward)"/>
    <s v="Renewal"/>
    <n v="8268.1299999999992"/>
    <d v="2018-09-30T00:00:00"/>
    <s v="Brokerage"/>
    <x v="0"/>
    <s v="OTHR - Other"/>
    <d v="2020-01-22T00:00:00"/>
    <s v="Other"/>
    <m/>
    <m/>
    <m/>
    <m/>
    <m/>
    <m/>
    <m/>
    <m/>
    <m/>
    <m/>
    <m/>
    <m/>
    <m/>
    <m/>
    <m/>
    <m/>
    <m/>
    <m/>
    <m/>
    <m/>
  </r>
  <r>
    <s v="DDD"/>
    <n v="3.1142E+18"/>
    <x v="0"/>
    <x v="205"/>
    <d v="2020-09-18T00:00:00"/>
    <x v="2"/>
    <n v="3"/>
    <s v="Animesh Rawat"/>
    <x v="0"/>
    <s v="Global Client Network (GNB Inward)"/>
    <s v="Renewal"/>
    <n v="12500.13"/>
    <d v="2019-09-19T00:00:00"/>
    <s v="Brokerage"/>
    <x v="1"/>
    <s v="OTHR - Other"/>
    <d v="2020-01-22T00:00:00"/>
    <s v="Other"/>
    <m/>
    <m/>
    <m/>
    <m/>
    <m/>
    <m/>
    <m/>
    <m/>
    <m/>
    <m/>
    <m/>
    <m/>
    <m/>
    <m/>
    <m/>
    <m/>
    <m/>
    <m/>
    <m/>
    <m/>
  </r>
  <r>
    <s v="DDD"/>
    <n v="3.1242E+18"/>
    <x v="0"/>
    <x v="21"/>
    <d v="2019-03-26T00:00:00"/>
    <x v="2"/>
    <n v="3"/>
    <s v="Animesh Rawat"/>
    <x v="0"/>
    <s v="Global Client Network (GNB Inward)"/>
    <s v="Renewal"/>
    <n v="10584.15"/>
    <d v="2018-03-27T00:00:00"/>
    <s v="Brokerage"/>
    <x v="0"/>
    <s v="OTHR - Other"/>
    <d v="2020-01-22T00:00:00"/>
    <s v="Other"/>
    <m/>
    <m/>
    <m/>
    <m/>
    <m/>
    <m/>
    <m/>
    <m/>
    <m/>
    <m/>
    <m/>
    <m/>
    <m/>
    <m/>
    <m/>
    <m/>
    <m/>
    <m/>
    <m/>
    <m/>
  </r>
  <r>
    <s v="DDD"/>
    <n v="3.1242E+18"/>
    <x v="0"/>
    <x v="206"/>
    <d v="2019-12-31T00:00:00"/>
    <x v="4"/>
    <n v="3"/>
    <s v="Animesh Rawat"/>
    <x v="0"/>
    <s v="Global Client Network (GNB Inward)"/>
    <s v="Renewal"/>
    <n v="14393.8"/>
    <d v="2019-01-02T00:00:00"/>
    <s v="Brokerage"/>
    <x v="0"/>
    <s v="OTHR - Other"/>
    <d v="2020-01-22T00:00:00"/>
    <s v="Other"/>
    <m/>
    <m/>
    <m/>
    <m/>
    <m/>
    <m/>
    <m/>
    <m/>
    <m/>
    <m/>
    <m/>
    <m/>
    <m/>
    <m/>
    <m/>
    <m/>
    <m/>
    <m/>
    <m/>
    <m/>
  </r>
  <r>
    <s v="DDD"/>
    <s v="4006/131284920/01/000"/>
    <x v="1"/>
    <x v="207"/>
    <d v="2019-05-14T00:00:00"/>
    <x v="2"/>
    <n v="3"/>
    <s v="Animesh Rawat"/>
    <x v="0"/>
    <s v="Global Client Network (GNB Inward)"/>
    <s v="Renewal"/>
    <n v="691.85"/>
    <d v="2018-05-15T00:00:00"/>
    <s v="Brokerage"/>
    <x v="0"/>
    <s v="OTHR - Other"/>
    <d v="2020-01-22T00:00:00"/>
    <s v="Other"/>
    <m/>
    <m/>
    <m/>
    <m/>
    <m/>
    <m/>
    <m/>
    <m/>
    <m/>
    <m/>
    <m/>
    <m/>
    <m/>
    <m/>
    <m/>
    <m/>
    <m/>
    <m/>
    <m/>
    <m/>
  </r>
  <r>
    <s v="DDD"/>
    <s v="4006/131284920/02/000"/>
    <x v="0"/>
    <x v="208"/>
    <d v="2020-05-14T00:00:00"/>
    <x v="2"/>
    <n v="3"/>
    <s v="Animesh Rawat"/>
    <x v="0"/>
    <s v="Global Client Network (GNB Inward)"/>
    <s v="Renewal"/>
    <n v="691.85"/>
    <d v="2019-05-15T00:00:00"/>
    <s v="Brokerage"/>
    <x v="1"/>
    <s v="OTHR - Other"/>
    <d v="2020-01-22T00:00:00"/>
    <s v="Other"/>
    <m/>
    <m/>
    <m/>
    <m/>
    <m/>
    <m/>
    <m/>
    <m/>
    <m/>
    <m/>
    <m/>
    <m/>
    <m/>
    <m/>
    <m/>
    <m/>
    <m/>
    <m/>
    <m/>
    <m/>
  </r>
  <r>
    <s v="DDD"/>
    <s v="4010/121054809/01/000"/>
    <x v="0"/>
    <x v="209"/>
    <d v="2018-08-21T00:00:00"/>
    <x v="2"/>
    <n v="3"/>
    <s v="Animesh Rawat"/>
    <x v="0"/>
    <s v="Global Client Network (GNB Inward)"/>
    <s v="Renewal"/>
    <n v="10964.79"/>
    <d v="2017-08-22T00:00:00"/>
    <s v="Brokerage"/>
    <x v="0"/>
    <s v="OTHR - Other"/>
    <d v="2020-01-22T00:00:00"/>
    <s v="Other"/>
    <m/>
    <m/>
    <m/>
    <m/>
    <m/>
    <m/>
    <m/>
    <m/>
    <m/>
    <m/>
    <m/>
    <m/>
    <m/>
    <m/>
    <m/>
    <m/>
    <m/>
    <m/>
    <m/>
    <m/>
  </r>
  <r>
    <s v="DDD"/>
    <s v="4010/121054809/02/000"/>
    <x v="1"/>
    <x v="210"/>
    <d v="2019-08-21T00:00:00"/>
    <x v="2"/>
    <n v="3"/>
    <s v="Animesh Rawat"/>
    <x v="0"/>
    <s v="Global Client Network (GNB Inward)"/>
    <s v="Renewal"/>
    <n v="13630.7"/>
    <d v="2019-08-21T00:00:00"/>
    <s v="Brokerage"/>
    <x v="0"/>
    <s v="OTHR - Other"/>
    <d v="2020-01-22T00:00:00"/>
    <s v="Other"/>
    <m/>
    <m/>
    <m/>
    <m/>
    <m/>
    <m/>
    <m/>
    <m/>
    <m/>
    <m/>
    <m/>
    <m/>
    <m/>
    <m/>
    <m/>
    <m/>
    <m/>
    <m/>
    <m/>
    <m/>
  </r>
  <r>
    <s v="DDD"/>
    <s v="4016 138636598 02 000"/>
    <x v="0"/>
    <x v="68"/>
    <d v="2020-09-29T00:00:00"/>
    <x v="3"/>
    <n v="10"/>
    <s v="Mark"/>
    <x v="0"/>
    <s v="Employee Benefits (EB)"/>
    <s v="Renewal"/>
    <n v="123750"/>
    <d v="2019-09-30T00:00:00"/>
    <s v="Brokerage"/>
    <x v="1"/>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DDD"/>
    <s v="4016 138636598 02 000"/>
    <x v="0"/>
    <x v="68"/>
    <d v="2020-09-29T00:00:00"/>
    <x v="3"/>
    <n v="10"/>
    <s v="Mark"/>
    <x v="0"/>
    <s v="Employee Benefits (EB)"/>
    <s v="Renewal"/>
    <n v="123750"/>
    <d v="2019-09-30T00:00:00"/>
    <s v="Brokerage"/>
    <x v="1"/>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DDD"/>
    <s v="4016 138636598 02 000"/>
    <x v="0"/>
    <x v="68"/>
    <d v="2020-09-29T00:00:00"/>
    <x v="3"/>
    <n v="10"/>
    <s v="Mark"/>
    <x v="0"/>
    <s v="Employee Benefits (EB)"/>
    <s v="Renewal"/>
    <n v="123750"/>
    <d v="2019-09-30T00:00:00"/>
    <s v="Brokerage"/>
    <x v="1"/>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DDD"/>
    <s v="4016 138636598 02 000"/>
    <x v="0"/>
    <x v="68"/>
    <d v="2020-09-29T00:00:00"/>
    <x v="3"/>
    <n v="10"/>
    <s v="Mark"/>
    <x v="0"/>
    <s v="Employee Benefits (EB)"/>
    <s v="Renewal"/>
    <n v="123750"/>
    <d v="2019-09-30T00:00:00"/>
    <s v="Brokerage"/>
    <x v="1"/>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DDD"/>
    <s v="4016 138636598 02 000"/>
    <x v="0"/>
    <x v="68"/>
    <d v="2020-09-29T00:00:00"/>
    <x v="3"/>
    <n v="10"/>
    <s v="Mark"/>
    <x v="0"/>
    <s v="Employee Benefits (EB)"/>
    <s v="Renewal"/>
    <n v="123750"/>
    <d v="2019-09-30T00:00:00"/>
    <s v="Brokerage"/>
    <x v="1"/>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DDD"/>
    <s v="4016 138636598 02 000"/>
    <x v="0"/>
    <x v="68"/>
    <d v="2020-09-29T00:00:00"/>
    <x v="3"/>
    <n v="10"/>
    <s v="Mark"/>
    <x v="0"/>
    <s v="Employee Benefits (EB)"/>
    <s v="Renewal"/>
    <n v="123750"/>
    <d v="2019-09-30T00:00:00"/>
    <s v="Brokerage"/>
    <x v="1"/>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DDD"/>
    <s v="4016 138636598 02 000"/>
    <x v="0"/>
    <x v="68"/>
    <d v="2020-09-29T00:00:00"/>
    <x v="3"/>
    <n v="10"/>
    <s v="Mark"/>
    <x v="0"/>
    <s v="Employee Benefits (EB)"/>
    <s v="Renewal"/>
    <n v="123750"/>
    <d v="2019-09-30T00:00:00"/>
    <s v="Brokerage"/>
    <x v="1"/>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DDD"/>
    <s v="4016 138636598 02 000"/>
    <x v="0"/>
    <x v="68"/>
    <d v="2020-09-29T00:00:00"/>
    <x v="3"/>
    <n v="10"/>
    <s v="Mark"/>
    <x v="0"/>
    <s v="Employee Benefits (EB)"/>
    <s v="Renewal"/>
    <n v="123750"/>
    <d v="2019-09-30T00:00:00"/>
    <s v="Brokerage"/>
    <x v="1"/>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DDD"/>
    <s v="4016 138636598 02 000"/>
    <x v="0"/>
    <x v="68"/>
    <d v="2020-09-29T00:00:00"/>
    <x v="3"/>
    <n v="10"/>
    <s v="Mark"/>
    <x v="0"/>
    <s v="Employee Benefits (EB)"/>
    <s v="Renewal"/>
    <n v="123750"/>
    <d v="2019-09-30T00:00:00"/>
    <s v="Brokerage"/>
    <x v="1"/>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DDD"/>
    <s v="4016 138636598 02 000"/>
    <x v="0"/>
    <x v="68"/>
    <d v="2020-09-29T00:00:00"/>
    <x v="3"/>
    <n v="10"/>
    <s v="Mark"/>
    <x v="0"/>
    <s v="Employee Benefits (EB)"/>
    <s v="Renewal"/>
    <n v="123750"/>
    <d v="2019-09-30T00:00:00"/>
    <s v="Brokerage"/>
    <x v="1"/>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DDD"/>
    <s v="5002/131802941/01/000"/>
    <x v="1"/>
    <x v="211"/>
    <d v="2019-05-25T00:00:00"/>
    <x v="5"/>
    <n v="12"/>
    <s v="Shivani Sharma"/>
    <x v="0"/>
    <s v="Global Client Network (GNB Inward)"/>
    <s v="Renewal"/>
    <n v="869.63"/>
    <d v="2018-05-26T00:00:00"/>
    <s v="Brokerage"/>
    <x v="0"/>
    <s v="OTHR - Other"/>
    <d v="2020-01-22T00:00:00"/>
    <s v="Other"/>
    <s v="KG-CAR"/>
    <s v="OPP1900001947"/>
    <s v="Shivani Sharma"/>
    <n v="500000"/>
    <n v="50000"/>
    <d v="2019-12-31T00:00:00"/>
    <s v="Qualify Opportunity"/>
    <s v="Ahmedabad"/>
    <s v="Construction, Power &amp; Infrastructure"/>
    <s v="Engineering"/>
    <s v="Contractors All Risk"/>
    <m/>
    <m/>
    <s v="Madison Robinson"/>
    <d v="2020-01-21T00:00:00"/>
    <m/>
    <m/>
    <m/>
    <m/>
    <m/>
  </r>
  <r>
    <s v="DDD"/>
    <s v="5002/131802941/01/000"/>
    <x v="1"/>
    <x v="211"/>
    <d v="2019-05-25T00:00:00"/>
    <x v="5"/>
    <n v="12"/>
    <s v="Shivani Sharma"/>
    <x v="0"/>
    <s v="Global Client Network (GNB Inward)"/>
    <s v="Renewal"/>
    <n v="869.63"/>
    <d v="2018-05-26T00:00:00"/>
    <s v="Brokerage"/>
    <x v="0"/>
    <s v="OTHR - Other"/>
    <d v="2020-01-22T00:00:00"/>
    <s v="Other"/>
    <s v="KG-CAR"/>
    <s v="OPP1900001947"/>
    <s v="Shivani Sharma"/>
    <n v="500000"/>
    <n v="50000"/>
    <d v="2019-12-31T00:00:00"/>
    <s v="Qualify Opportunity"/>
    <s v="Ahmedabad"/>
    <s v="Construction, Power &amp; Infrastructure"/>
    <s v="Engineering"/>
    <s v="Contractors All Risk"/>
    <m/>
    <m/>
    <s v="David Hall"/>
    <d v="2020-01-21T00:00:00"/>
    <m/>
    <m/>
    <m/>
    <m/>
    <m/>
  </r>
  <r>
    <s v="DDD"/>
    <s v="5002/131802941/01/000"/>
    <x v="1"/>
    <x v="211"/>
    <d v="2019-05-25T00:00:00"/>
    <x v="5"/>
    <n v="12"/>
    <s v="Shivani Sharma"/>
    <x v="0"/>
    <s v="Global Client Network (GNB Inward)"/>
    <s v="Renewal"/>
    <n v="869.63"/>
    <d v="2018-05-26T00:00:00"/>
    <s v="Brokerage"/>
    <x v="0"/>
    <s v="OTHR - Other"/>
    <d v="2020-01-22T00:00:00"/>
    <s v="Other"/>
    <s v="KG-CAR"/>
    <s v="OPP1900001947"/>
    <s v="Shivani Sharma"/>
    <n v="500000"/>
    <n v="50000"/>
    <d v="2019-12-31T00:00:00"/>
    <s v="Qualify Opportunity"/>
    <s v="Ahmedabad"/>
    <s v="Construction, Power &amp; Infrastructure"/>
    <s v="Engineering"/>
    <s v="Contractors All Risk"/>
    <m/>
    <m/>
    <s v="Lily Young"/>
    <d v="2020-01-21T00:00:00"/>
    <m/>
    <m/>
    <m/>
    <m/>
    <m/>
  </r>
  <r>
    <s v="DDD"/>
    <s v="5002/131802941/01/000"/>
    <x v="1"/>
    <x v="211"/>
    <d v="2019-05-25T00:00:00"/>
    <x v="5"/>
    <n v="12"/>
    <s v="Shivani Sharma"/>
    <x v="0"/>
    <s v="Global Client Network (GNB Inward)"/>
    <s v="Renewal"/>
    <n v="869.63"/>
    <d v="2018-05-26T00:00:00"/>
    <s v="Brokerage"/>
    <x v="0"/>
    <s v="OTHR - Other"/>
    <d v="2020-01-22T00:00:00"/>
    <s v="Other"/>
    <s v="KG-CAR"/>
    <s v="OPP1900001947"/>
    <s v="Shivani Sharma"/>
    <n v="500000"/>
    <n v="50000"/>
    <d v="2019-12-31T00:00:00"/>
    <s v="Qualify Opportunity"/>
    <s v="Ahmedabad"/>
    <s v="Construction, Power &amp; Infrastructure"/>
    <s v="Engineering"/>
    <s v="Contractors All Risk"/>
    <m/>
    <m/>
    <s v="Samuel Allen"/>
    <d v="2020-01-22T00:00:00"/>
    <m/>
    <m/>
    <m/>
    <m/>
    <m/>
  </r>
  <r>
    <s v="DDD"/>
    <s v="5002/131802941/01/000"/>
    <x v="1"/>
    <x v="211"/>
    <d v="2019-05-25T00:00:00"/>
    <x v="5"/>
    <n v="12"/>
    <s v="Shivani Sharma"/>
    <x v="0"/>
    <s v="Global Client Network (GNB Inward)"/>
    <s v="Renewal"/>
    <n v="869.63"/>
    <d v="2018-05-26T00:00:00"/>
    <s v="Brokerage"/>
    <x v="0"/>
    <s v="OTHR - Other"/>
    <d v="2020-01-22T00:00:00"/>
    <s v="Other"/>
    <s v="G R -CAR"/>
    <s v="OPP1900001950"/>
    <s v="Shivani Sharma"/>
    <n v="1000000"/>
    <n v="100000"/>
    <d v="2019-09-30T00:00:00"/>
    <s v="Qualify Opportunity"/>
    <s v="Ahmedabad"/>
    <s v="Construction, Power &amp; Infrastructure"/>
    <s v="Engineering"/>
    <s v="Contractors All Risk"/>
    <m/>
    <m/>
    <s v="Madison Robinson"/>
    <d v="2020-01-21T00:00:00"/>
    <m/>
    <m/>
    <m/>
    <m/>
    <m/>
  </r>
  <r>
    <s v="DDD"/>
    <s v="5002/131802941/01/000"/>
    <x v="1"/>
    <x v="211"/>
    <d v="2019-05-25T00:00:00"/>
    <x v="5"/>
    <n v="12"/>
    <s v="Shivani Sharma"/>
    <x v="0"/>
    <s v="Global Client Network (GNB Inward)"/>
    <s v="Renewal"/>
    <n v="869.63"/>
    <d v="2018-05-26T00:00:00"/>
    <s v="Brokerage"/>
    <x v="0"/>
    <s v="OTHR - Other"/>
    <d v="2020-01-22T00:00:00"/>
    <s v="Other"/>
    <s v="G R -CAR"/>
    <s v="OPP1900001950"/>
    <s v="Shivani Sharma"/>
    <n v="1000000"/>
    <n v="100000"/>
    <d v="2019-09-30T00:00:00"/>
    <s v="Qualify Opportunity"/>
    <s v="Ahmedabad"/>
    <s v="Construction, Power &amp; Infrastructure"/>
    <s v="Engineering"/>
    <s v="Contractors All Risk"/>
    <m/>
    <m/>
    <s v="David Hall"/>
    <d v="2020-01-21T00:00:00"/>
    <m/>
    <m/>
    <m/>
    <m/>
    <m/>
  </r>
  <r>
    <s v="DDD"/>
    <s v="5002/131802941/01/000"/>
    <x v="1"/>
    <x v="211"/>
    <d v="2019-05-25T00:00:00"/>
    <x v="5"/>
    <n v="12"/>
    <s v="Shivani Sharma"/>
    <x v="0"/>
    <s v="Global Client Network (GNB Inward)"/>
    <s v="Renewal"/>
    <n v="869.63"/>
    <d v="2018-05-26T00:00:00"/>
    <s v="Brokerage"/>
    <x v="0"/>
    <s v="OTHR - Other"/>
    <d v="2020-01-22T00:00:00"/>
    <s v="Other"/>
    <s v="G R -CAR"/>
    <s v="OPP1900001950"/>
    <s v="Shivani Sharma"/>
    <n v="1000000"/>
    <n v="100000"/>
    <d v="2019-09-30T00:00:00"/>
    <s v="Qualify Opportunity"/>
    <s v="Ahmedabad"/>
    <s v="Construction, Power &amp; Infrastructure"/>
    <s v="Engineering"/>
    <s v="Contractors All Risk"/>
    <m/>
    <m/>
    <s v="Lily Young"/>
    <d v="2020-01-21T00:00:00"/>
    <m/>
    <m/>
    <m/>
    <m/>
    <m/>
  </r>
  <r>
    <s v="DDD"/>
    <s v="5002/131802941/01/000"/>
    <x v="1"/>
    <x v="211"/>
    <d v="2019-05-25T00:00:00"/>
    <x v="5"/>
    <n v="12"/>
    <s v="Shivani Sharma"/>
    <x v="0"/>
    <s v="Global Client Network (GNB Inward)"/>
    <s v="Renewal"/>
    <n v="869.63"/>
    <d v="2018-05-26T00:00:00"/>
    <s v="Brokerage"/>
    <x v="0"/>
    <s v="OTHR - Other"/>
    <d v="2020-01-22T00:00:00"/>
    <s v="Other"/>
    <s v="G R -CAR"/>
    <s v="OPP1900001950"/>
    <s v="Shivani Sharma"/>
    <n v="1000000"/>
    <n v="100000"/>
    <d v="2019-09-30T00:00:00"/>
    <s v="Qualify Opportunity"/>
    <s v="Ahmedabad"/>
    <s v="Construction, Power &amp; Infrastructure"/>
    <s v="Engineering"/>
    <s v="Contractors All Risk"/>
    <m/>
    <m/>
    <s v="Samuel Allen"/>
    <d v="2020-01-22T00:00:00"/>
    <m/>
    <m/>
    <m/>
    <m/>
    <m/>
  </r>
  <r>
    <s v="DDD"/>
    <s v="5002/131802941/02/000"/>
    <x v="0"/>
    <x v="212"/>
    <d v="2020-05-25T00:00:00"/>
    <x v="5"/>
    <n v="3"/>
    <s v="Animesh Rawat"/>
    <x v="0"/>
    <s v="Global Client Network (GNB Inward)"/>
    <s v="Renewal"/>
    <n v="869.63"/>
    <d v="2019-05-26T00:00:00"/>
    <s v="Brokerage"/>
    <x v="1"/>
    <s v="OTHR - Other"/>
    <d v="2020-01-22T00:00:00"/>
    <s v="Other"/>
    <m/>
    <m/>
    <m/>
    <m/>
    <m/>
    <m/>
    <m/>
    <m/>
    <m/>
    <m/>
    <m/>
    <m/>
    <m/>
    <m/>
    <m/>
    <m/>
    <m/>
    <m/>
    <m/>
    <m/>
  </r>
  <r>
    <s v="DDD"/>
    <s v="LQX/I2508418/71/02/005537"/>
    <x v="0"/>
    <x v="213"/>
    <d v="2019-02-15T00:00:00"/>
    <x v="4"/>
    <n v="3"/>
    <s v="Animesh Rawat"/>
    <x v="0"/>
    <s v="Global Client Network (GNB Inward)"/>
    <s v="Renewal"/>
    <n v="1562.5"/>
    <d v="2019-02-16T00:00:00"/>
    <s v="Brokerage"/>
    <x v="0"/>
    <s v="OTHR - Other"/>
    <d v="2020-01-22T00:00:00"/>
    <s v="Other"/>
    <m/>
    <m/>
    <m/>
    <m/>
    <m/>
    <m/>
    <m/>
    <m/>
    <m/>
    <m/>
    <m/>
    <m/>
    <m/>
    <m/>
    <m/>
    <m/>
    <m/>
    <m/>
    <m/>
    <m/>
  </r>
  <r>
    <s v="DDD"/>
    <s v="NBI Domestic"/>
    <x v="1"/>
    <x v="13"/>
    <d v="2019-12-31T00:00:00"/>
    <x v="2"/>
    <n v="4"/>
    <s v="Gilbert"/>
    <x v="0"/>
    <s v="Trade Credit &amp;amp; Political Risk"/>
    <s v="Renewal"/>
    <n v="43367"/>
    <d v="2019-07-01T00:00:00"/>
    <s v="Brokerage"/>
    <x v="3"/>
    <s v="GMAN - Global Mandate"/>
    <d v="2020-01-22T00:00:00"/>
    <s v="GMAN - Global Mandate"/>
    <m/>
    <m/>
    <m/>
    <m/>
    <m/>
    <m/>
    <m/>
    <m/>
    <m/>
    <m/>
    <m/>
    <m/>
    <m/>
    <m/>
    <m/>
    <m/>
    <m/>
    <m/>
    <m/>
    <m/>
  </r>
  <r>
    <s v="DDD"/>
    <s v="NBI Domestic"/>
    <x v="1"/>
    <x v="13"/>
    <d v="2019-12-31T00:00:00"/>
    <x v="2"/>
    <n v="4"/>
    <s v="Gilbert"/>
    <x v="0"/>
    <s v="Trade Credit &amp;amp; Political Risk"/>
    <s v="Renewal"/>
    <n v="43367"/>
    <d v="2019-10-01T00:00:00"/>
    <s v="Brokerage"/>
    <x v="3"/>
    <s v="GMAN - Global Mandate"/>
    <d v="2020-01-22T00:00:00"/>
    <s v="GMAN - Global Mandate"/>
    <m/>
    <m/>
    <m/>
    <m/>
    <m/>
    <m/>
    <m/>
    <m/>
    <m/>
    <m/>
    <m/>
    <m/>
    <m/>
    <m/>
    <m/>
    <m/>
    <m/>
    <m/>
    <m/>
    <m/>
  </r>
  <r>
    <s v="DDD"/>
    <s v="NBI Domestic"/>
    <x v="1"/>
    <x v="13"/>
    <d v="2019-12-31T00:00:00"/>
    <x v="2"/>
    <n v="4"/>
    <s v="Gilbert"/>
    <x v="0"/>
    <s v="Trade Credit &amp;amp; Political Risk"/>
    <s v="Renewal"/>
    <n v="65050.5"/>
    <d v="2019-01-01T00:00:00"/>
    <s v="Brokerage"/>
    <x v="3"/>
    <s v="GMAN - Global Mandate"/>
    <d v="2020-01-22T00:00:00"/>
    <s v="GMAN - Global Mandate"/>
    <m/>
    <m/>
    <m/>
    <m/>
    <m/>
    <m/>
    <m/>
    <m/>
    <m/>
    <m/>
    <m/>
    <m/>
    <m/>
    <m/>
    <m/>
    <m/>
    <m/>
    <m/>
    <m/>
    <m/>
  </r>
  <r>
    <s v="DDD"/>
    <s v="NBI Domestic"/>
    <x v="1"/>
    <x v="13"/>
    <d v="2019-12-31T00:00:00"/>
    <x v="2"/>
    <n v="4"/>
    <s v="Gilbert"/>
    <x v="0"/>
    <s v="Trade Credit &amp;amp; Political Risk"/>
    <s v="Renewal"/>
    <n v="65050.5"/>
    <d v="2019-04-01T00:00:00"/>
    <s v="Brokerage"/>
    <x v="3"/>
    <s v="GMAN - Global Mandate"/>
    <d v="2020-01-22T00:00:00"/>
    <s v="GMAN - Global Mandate"/>
    <m/>
    <m/>
    <m/>
    <m/>
    <m/>
    <m/>
    <m/>
    <m/>
    <m/>
    <m/>
    <m/>
    <m/>
    <m/>
    <m/>
    <m/>
    <m/>
    <m/>
    <m/>
    <m/>
    <m/>
  </r>
  <r>
    <s v="DDD"/>
    <s v="NBI Export"/>
    <x v="1"/>
    <x v="13"/>
    <d v="2019-12-31T00:00:00"/>
    <x v="2"/>
    <n v="4"/>
    <s v="Gilbert"/>
    <x v="0"/>
    <s v="Trade Credit &amp;amp; Political Risk"/>
    <s v="Renewal"/>
    <n v="10824.4"/>
    <d v="2019-07-01T00:00:00"/>
    <s v="Brokerage"/>
    <x v="3"/>
    <s v="GMAN - Global Mandate"/>
    <d v="2020-01-22T00:00:00"/>
    <s v="GMAN - Global Mandate"/>
    <m/>
    <m/>
    <m/>
    <m/>
    <m/>
    <m/>
    <m/>
    <m/>
    <m/>
    <m/>
    <m/>
    <m/>
    <m/>
    <m/>
    <m/>
    <m/>
    <m/>
    <m/>
    <m/>
    <m/>
  </r>
  <r>
    <s v="DDD"/>
    <s v="NBI Export"/>
    <x v="1"/>
    <x v="13"/>
    <d v="2019-12-31T00:00:00"/>
    <x v="2"/>
    <n v="4"/>
    <s v="Gilbert"/>
    <x v="0"/>
    <s v="Trade Credit &amp;amp; Political Risk"/>
    <s v="Renewal"/>
    <n v="10824.4"/>
    <d v="2019-10-01T00:00:00"/>
    <s v="Brokerage"/>
    <x v="3"/>
    <s v="GMAN - Global Mandate"/>
    <d v="2020-01-22T00:00:00"/>
    <s v="GMAN - Global Mandate"/>
    <m/>
    <m/>
    <m/>
    <m/>
    <m/>
    <m/>
    <m/>
    <m/>
    <m/>
    <m/>
    <m/>
    <m/>
    <m/>
    <m/>
    <m/>
    <m/>
    <m/>
    <m/>
    <m/>
    <m/>
  </r>
  <r>
    <s v="DDD"/>
    <s v="NBI Export"/>
    <x v="1"/>
    <x v="13"/>
    <d v="2019-12-31T00:00:00"/>
    <x v="2"/>
    <n v="4"/>
    <s v="Gilbert"/>
    <x v="0"/>
    <s v="Trade Credit &amp;amp; Political Risk"/>
    <s v="Renewal"/>
    <n v="16236.6"/>
    <d v="2019-01-01T00:00:00"/>
    <s v="Brokerage"/>
    <x v="3"/>
    <s v="GMAN - Global Mandate"/>
    <d v="2020-01-22T00:00:00"/>
    <s v="GMAN - Global Mandate"/>
    <m/>
    <m/>
    <m/>
    <m/>
    <m/>
    <m/>
    <m/>
    <m/>
    <m/>
    <m/>
    <m/>
    <m/>
    <m/>
    <m/>
    <m/>
    <m/>
    <m/>
    <m/>
    <m/>
    <m/>
  </r>
  <r>
    <s v="DDD"/>
    <s v="NBI Export"/>
    <x v="1"/>
    <x v="13"/>
    <d v="2019-12-31T00:00:00"/>
    <x v="2"/>
    <n v="4"/>
    <s v="Gilbert"/>
    <x v="0"/>
    <s v="Trade Credit &amp;amp; Political Risk"/>
    <s v="Renewal"/>
    <n v="16236.6"/>
    <d v="2019-04-01T00:00:00"/>
    <s v="Brokerage"/>
    <x v="3"/>
    <s v="GMAN - Global Mandate"/>
    <d v="2020-01-22T00:00:00"/>
    <s v="GMAN - Global Mandate"/>
    <m/>
    <m/>
    <m/>
    <m/>
    <m/>
    <m/>
    <m/>
    <m/>
    <m/>
    <m/>
    <m/>
    <m/>
    <m/>
    <m/>
    <m/>
    <m/>
    <m/>
    <m/>
    <m/>
    <m/>
  </r>
  <r>
    <s v="DDD"/>
    <s v="OG-18-2202-1018-00000036"/>
    <x v="1"/>
    <x v="49"/>
    <d v="2018-12-31T00:00:00"/>
    <x v="0"/>
    <n v="3"/>
    <s v="Animesh Rawat"/>
    <x v="0"/>
    <s v="Global Client Network (GNB Inward)"/>
    <s v="Renewal"/>
    <n v="36612.18"/>
    <d v="2018-01-01T00:00:00"/>
    <s v="Brokerage"/>
    <x v="0"/>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DDD"/>
    <s v="OG-18-2202-1018-00000036"/>
    <x v="1"/>
    <x v="49"/>
    <d v="2018-12-31T00:00:00"/>
    <x v="0"/>
    <n v="3"/>
    <s v="Animesh Rawat"/>
    <x v="0"/>
    <s v="Global Client Network (GNB Inward)"/>
    <s v="Renewal"/>
    <n v="36612.18"/>
    <d v="2018-01-01T00:00:00"/>
    <s v="Brokerage"/>
    <x v="0"/>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DDD"/>
    <s v="OG-18-2202-1018-00000036"/>
    <x v="1"/>
    <x v="49"/>
    <d v="2018-12-31T00:00:00"/>
    <x v="0"/>
    <n v="3"/>
    <s v="Animesh Rawat"/>
    <x v="0"/>
    <s v="Global Client Network (GNB Inward)"/>
    <s v="Renewal"/>
    <n v="36612.18"/>
    <d v="2018-01-01T00:00:00"/>
    <s v="Brokerage"/>
    <x v="0"/>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DDD"/>
    <s v="OG-18-2202-1018-00000036"/>
    <x v="1"/>
    <x v="49"/>
    <d v="2018-12-31T00:00:00"/>
    <x v="0"/>
    <n v="3"/>
    <s v="Animesh Rawat"/>
    <x v="0"/>
    <s v="Global Client Network (GNB Inward)"/>
    <s v="Renewal"/>
    <n v="36612.18"/>
    <d v="2018-01-01T00:00:00"/>
    <s v="Brokerage"/>
    <x v="0"/>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DDD"/>
    <s v="OG-18-2202-1018-00000036"/>
    <x v="1"/>
    <x v="49"/>
    <d v="2018-12-31T00:00:00"/>
    <x v="0"/>
    <n v="3"/>
    <s v="Animesh Rawat"/>
    <x v="0"/>
    <s v="Global Client Network (GNB Inward)"/>
    <s v="Renewal"/>
    <n v="36612.18"/>
    <d v="2018-01-01T00:00:00"/>
    <s v="Brokerage"/>
    <x v="0"/>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DDD"/>
    <s v="OG-18-2202-1018-00000036"/>
    <x v="1"/>
    <x v="49"/>
    <d v="2018-12-31T00:00:00"/>
    <x v="0"/>
    <n v="3"/>
    <s v="Animesh Rawat"/>
    <x v="0"/>
    <s v="Global Client Network (GNB Inward)"/>
    <s v="Renewal"/>
    <n v="36612.18"/>
    <d v="2018-01-01T00:00:00"/>
    <s v="Brokerage"/>
    <x v="0"/>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DDD"/>
    <s v="OG-18-2202-1018-00000036"/>
    <x v="1"/>
    <x v="49"/>
    <d v="2018-12-31T00:00:00"/>
    <x v="0"/>
    <n v="3"/>
    <s v="Animesh Rawat"/>
    <x v="0"/>
    <s v="Global Client Network (GNB Inward)"/>
    <s v="Renewal"/>
    <n v="36612.18"/>
    <d v="2018-01-01T00:00:00"/>
    <s v="Brokerage"/>
    <x v="0"/>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DDD"/>
    <s v="OG-18-2202-1018-00000036"/>
    <x v="1"/>
    <x v="49"/>
    <d v="2018-12-31T00:00:00"/>
    <x v="0"/>
    <n v="3"/>
    <s v="Animesh Rawat"/>
    <x v="0"/>
    <s v="Global Client Network (GNB Inward)"/>
    <s v="Renewal"/>
    <n v="36612.18"/>
    <d v="2018-01-01T00:00:00"/>
    <s v="Brokerage"/>
    <x v="0"/>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DDD"/>
    <s v="OG-18-2202-3383-00000005"/>
    <x v="1"/>
    <x v="49"/>
    <d v="2018-12-31T00:00:00"/>
    <x v="4"/>
    <n v="3"/>
    <s v="Animesh Rawat"/>
    <x v="0"/>
    <s v="Global Client Network (GNB Inward)"/>
    <s v="Renewal"/>
    <n v="28735.65"/>
    <d v="2018-01-01T00:00:00"/>
    <s v="Brokerage"/>
    <x v="0"/>
    <s v="OTHR - Other"/>
    <d v="2020-01-22T00:00:00"/>
    <s v="Other"/>
    <m/>
    <m/>
    <m/>
    <m/>
    <m/>
    <m/>
    <m/>
    <m/>
    <m/>
    <m/>
    <m/>
    <m/>
    <m/>
    <m/>
    <m/>
    <m/>
    <m/>
    <m/>
    <m/>
    <m/>
  </r>
  <r>
    <s v="DDD"/>
    <s v="OG-19-2202-1018-00000052"/>
    <x v="0"/>
    <x v="13"/>
    <d v="2019-12-31T00:00:00"/>
    <x v="0"/>
    <n v="3"/>
    <s v="Animesh Rawat"/>
    <x v="0"/>
    <s v="Global Client Network (GNB Inward)"/>
    <s v="Renewal"/>
    <n v="53277.919999999998"/>
    <d v="2019-01-01T00:00:00"/>
    <s v="Brokerage"/>
    <x v="1"/>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DDD"/>
    <s v="OG-19-2202-1018-00000052"/>
    <x v="0"/>
    <x v="13"/>
    <d v="2019-12-31T00:00:00"/>
    <x v="0"/>
    <n v="3"/>
    <s v="Animesh Rawat"/>
    <x v="0"/>
    <s v="Global Client Network (GNB Inward)"/>
    <s v="Renewal"/>
    <n v="53277.919999999998"/>
    <d v="2019-01-01T00:00:00"/>
    <s v="Brokerage"/>
    <x v="1"/>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DDD"/>
    <s v="OG-19-2202-1018-00000052"/>
    <x v="0"/>
    <x v="13"/>
    <d v="2019-12-31T00:00:00"/>
    <x v="0"/>
    <n v="3"/>
    <s v="Animesh Rawat"/>
    <x v="0"/>
    <s v="Global Client Network (GNB Inward)"/>
    <s v="Renewal"/>
    <n v="53277.919999999998"/>
    <d v="2019-01-01T00:00:00"/>
    <s v="Brokerage"/>
    <x v="1"/>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DDD"/>
    <s v="OG-19-2202-1018-00000052"/>
    <x v="0"/>
    <x v="13"/>
    <d v="2019-12-31T00:00:00"/>
    <x v="0"/>
    <n v="3"/>
    <s v="Animesh Rawat"/>
    <x v="0"/>
    <s v="Global Client Network (GNB Inward)"/>
    <s v="Renewal"/>
    <n v="53277.919999999998"/>
    <d v="2019-01-01T00:00:00"/>
    <s v="Brokerage"/>
    <x v="1"/>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DDD"/>
    <s v="OG-19-2202-1018-00000052"/>
    <x v="0"/>
    <x v="13"/>
    <d v="2019-12-31T00:00:00"/>
    <x v="0"/>
    <n v="3"/>
    <s v="Animesh Rawat"/>
    <x v="0"/>
    <s v="Global Client Network (GNB Inward)"/>
    <s v="Renewal"/>
    <n v="53277.919999999998"/>
    <d v="2019-01-01T00:00:00"/>
    <s v="Brokerage"/>
    <x v="1"/>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DDD"/>
    <s v="OG-19-2202-1018-00000052"/>
    <x v="0"/>
    <x v="13"/>
    <d v="2019-12-31T00:00:00"/>
    <x v="0"/>
    <n v="3"/>
    <s v="Animesh Rawat"/>
    <x v="0"/>
    <s v="Global Client Network (GNB Inward)"/>
    <s v="Renewal"/>
    <n v="53277.919999999998"/>
    <d v="2019-01-01T00:00:00"/>
    <s v="Brokerage"/>
    <x v="1"/>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DDD"/>
    <s v="OG-19-2202-1018-00000052"/>
    <x v="0"/>
    <x v="13"/>
    <d v="2019-12-31T00:00:00"/>
    <x v="0"/>
    <n v="3"/>
    <s v="Animesh Rawat"/>
    <x v="0"/>
    <s v="Global Client Network (GNB Inward)"/>
    <s v="Renewal"/>
    <n v="53277.919999999998"/>
    <d v="2019-01-01T00:00:00"/>
    <s v="Brokerage"/>
    <x v="1"/>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DDD"/>
    <s v="OG-19-2202-1018-00000052"/>
    <x v="0"/>
    <x v="13"/>
    <d v="2019-12-31T00:00:00"/>
    <x v="0"/>
    <n v="3"/>
    <s v="Animesh Rawat"/>
    <x v="0"/>
    <s v="Global Client Network (GNB Inward)"/>
    <s v="Renewal"/>
    <n v="53277.919999999998"/>
    <d v="2019-01-01T00:00:00"/>
    <s v="Brokerage"/>
    <x v="1"/>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DDD"/>
    <s v="OG-19-2202-3383-00000007"/>
    <x v="0"/>
    <x v="13"/>
    <d v="2019-12-31T00:00:00"/>
    <x v="4"/>
    <n v="3"/>
    <s v="Animesh Rawat"/>
    <x v="0"/>
    <s v="Global Client Network (GNB Inward)"/>
    <s v="Renewal"/>
    <n v="30048.080000000002"/>
    <d v="2019-01-01T00:00:00"/>
    <s v="Brokerage"/>
    <x v="1"/>
    <s v="OTHR - Other"/>
    <d v="2020-01-22T00:00:00"/>
    <s v="Other"/>
    <m/>
    <m/>
    <m/>
    <m/>
    <m/>
    <m/>
    <m/>
    <m/>
    <m/>
    <m/>
    <m/>
    <m/>
    <m/>
    <m/>
    <m/>
    <m/>
    <m/>
    <m/>
    <m/>
    <m/>
  </r>
  <r>
    <s v="DDD"/>
    <s v="PROHLN000005719"/>
    <x v="0"/>
    <x v="214"/>
    <d v="2020-01-20T00:00:00"/>
    <x v="3"/>
    <n v="3"/>
    <s v="Animesh Rawat"/>
    <x v="0"/>
    <s v="Global Client Network (GNB Inward)"/>
    <s v="Cross Sell"/>
    <n v="15084.15"/>
    <d v="2019-01-21T00:00:00"/>
    <s v="Brokerage"/>
    <x v="0"/>
    <s v="OTHR - Other"/>
    <d v="2020-01-22T00:00:00"/>
    <s v="Other"/>
    <s v="EL-Group Mediclaim"/>
    <s v="OPP1900001042"/>
    <s v="Animesh Rawat"/>
    <n v="8000000"/>
    <n v="400000"/>
    <d v="2019-11-13T00:00:00"/>
    <s v="Qualify Opportunity"/>
    <s v="Ahmedabad"/>
    <s v="Employee Benefits (EB)"/>
    <s v="Mediclaim"/>
    <s v="Group Medical"/>
    <m/>
    <m/>
    <s v="Lucas Hernandez"/>
    <d v="2020-01-13T00:00:00"/>
    <s v="Animesh Rawat"/>
    <s v="Servicer"/>
    <n v="1278023"/>
    <n v="12365300"/>
    <n v="12900"/>
  </r>
  <r>
    <s v="DDD"/>
    <s v="PROHLN000005719"/>
    <x v="0"/>
    <x v="214"/>
    <d v="2020-01-20T00:00:00"/>
    <x v="3"/>
    <n v="3"/>
    <s v="Animesh Rawat"/>
    <x v="0"/>
    <s v="Global Client Network (GNB Inward)"/>
    <s v="Cross Sell"/>
    <n v="15084.15"/>
    <d v="2019-01-21T00:00:00"/>
    <s v="Brokerage"/>
    <x v="0"/>
    <s v="OTHR - Other"/>
    <d v="2020-01-22T00:00:00"/>
    <s v="Other"/>
    <s v="EL-Group Mediclaim"/>
    <s v="OPP1900001042"/>
    <s v="Animesh Rawat"/>
    <n v="8000000"/>
    <n v="400000"/>
    <d v="2019-11-13T00:00:00"/>
    <s v="Qualify Opportunity"/>
    <s v="Ahmedabad"/>
    <s v="Employee Benefits (EB)"/>
    <s v="Mediclaim"/>
    <s v="Group Medical"/>
    <m/>
    <m/>
    <s v="Amelia Moore"/>
    <d v="2020-01-13T00:00:00"/>
    <s v="Animesh Rawat"/>
    <s v="Servicer"/>
    <n v="1278023"/>
    <n v="12365300"/>
    <n v="12900"/>
  </r>
  <r>
    <s v="DDD"/>
    <s v="PROHLN000005719"/>
    <x v="0"/>
    <x v="214"/>
    <d v="2020-01-20T00:00:00"/>
    <x v="3"/>
    <n v="3"/>
    <s v="Animesh Rawat"/>
    <x v="0"/>
    <s v="Global Client Network (GNB Inward)"/>
    <s v="Cross Sell"/>
    <n v="15084.15"/>
    <d v="2019-01-21T00:00:00"/>
    <s v="Brokerage"/>
    <x v="0"/>
    <s v="OTHR - Other"/>
    <d v="2020-01-22T00:00:00"/>
    <s v="Other"/>
    <s v="EL-Group Mediclaim"/>
    <s v="OPP1900001042"/>
    <s v="Animesh Rawat"/>
    <n v="8000000"/>
    <n v="400000"/>
    <d v="2019-11-13T00:00:00"/>
    <s v="Qualify Opportunity"/>
    <s v="Ahmedabad"/>
    <s v="Employee Benefits (EB)"/>
    <s v="Mediclaim"/>
    <s v="Group Medical"/>
    <m/>
    <m/>
    <s v="Henry Thomas"/>
    <d v="2020-01-09T00:00:00"/>
    <s v="Animesh Rawat"/>
    <s v="Servicer"/>
    <n v="1278023"/>
    <n v="12365300"/>
    <n v="12900"/>
  </r>
  <r>
    <s v="DDD"/>
    <s v="PROHLN000005719"/>
    <x v="0"/>
    <x v="214"/>
    <d v="2020-01-20T00:00:00"/>
    <x v="3"/>
    <n v="3"/>
    <s v="Animesh Rawat"/>
    <x v="0"/>
    <s v="Global Client Network (GNB Inward)"/>
    <s v="Cross Sell"/>
    <n v="15084.15"/>
    <d v="2019-01-21T00:00:00"/>
    <s v="Brokerage"/>
    <x v="0"/>
    <s v="OTHR - Other"/>
    <d v="2020-01-22T00:00:00"/>
    <s v="Other"/>
    <s v="EL-Group Mediclaim"/>
    <s v="OPP1900001042"/>
    <s v="Animesh Rawat"/>
    <n v="8000000"/>
    <n v="400000"/>
    <d v="2019-11-13T00:00:00"/>
    <s v="Qualify Opportunity"/>
    <s v="Ahmedabad"/>
    <s v="Employee Benefits (EB)"/>
    <s v="Mediclaim"/>
    <s v="Group Medical"/>
    <m/>
    <m/>
    <s v="Harper Martin"/>
    <d v="2020-01-10T00:00:00"/>
    <s v="Animesh Rawat"/>
    <s v="Servicer"/>
    <n v="1278023"/>
    <n v="12365300"/>
    <n v="12900"/>
  </r>
  <r>
    <s v="DDD"/>
    <s v="PROHLN000005719"/>
    <x v="0"/>
    <x v="214"/>
    <d v="2020-01-20T00:00:00"/>
    <x v="3"/>
    <n v="3"/>
    <s v="Animesh Rawat"/>
    <x v="0"/>
    <s v="Global Client Network (GNB Inward)"/>
    <s v="Cross Sell"/>
    <n v="15084.15"/>
    <d v="2019-01-21T00:00:00"/>
    <s v="Brokerage"/>
    <x v="0"/>
    <s v="OTHR - Other"/>
    <d v="2020-01-22T00:00:00"/>
    <s v="Other"/>
    <s v="KB GMC"/>
    <s v="OPP1900001222"/>
    <s v="Animesh Rawat"/>
    <n v="2500000"/>
    <n v="125000"/>
    <d v="2019-12-01T00:00:00"/>
    <s v="Qualify Opportunity"/>
    <s v="Ahmedabad"/>
    <s v="Employee Benefits (EB)"/>
    <s v="Mediclaim"/>
    <s v="Group Medical"/>
    <m/>
    <m/>
    <s v="Lucas Hernandez"/>
    <d v="2020-01-13T00:00:00"/>
    <s v="Animesh Rawat"/>
    <s v="Servicer"/>
    <n v="1278023"/>
    <n v="12365300"/>
    <n v="12900"/>
  </r>
  <r>
    <s v="DDD"/>
    <s v="PROHLN000005719"/>
    <x v="0"/>
    <x v="214"/>
    <d v="2020-01-20T00:00:00"/>
    <x v="3"/>
    <n v="3"/>
    <s v="Animesh Rawat"/>
    <x v="0"/>
    <s v="Global Client Network (GNB Inward)"/>
    <s v="Cross Sell"/>
    <n v="15084.15"/>
    <d v="2019-01-21T00:00:00"/>
    <s v="Brokerage"/>
    <x v="0"/>
    <s v="OTHR - Other"/>
    <d v="2020-01-22T00:00:00"/>
    <s v="Other"/>
    <s v="KB GMC"/>
    <s v="OPP1900001222"/>
    <s v="Animesh Rawat"/>
    <n v="2500000"/>
    <n v="125000"/>
    <d v="2019-12-01T00:00:00"/>
    <s v="Qualify Opportunity"/>
    <s v="Ahmedabad"/>
    <s v="Employee Benefits (EB)"/>
    <s v="Mediclaim"/>
    <s v="Group Medical"/>
    <m/>
    <m/>
    <s v="Amelia Moore"/>
    <d v="2020-01-13T00:00:00"/>
    <s v="Animesh Rawat"/>
    <s v="Servicer"/>
    <n v="1278023"/>
    <n v="12365300"/>
    <n v="12900"/>
  </r>
  <r>
    <s v="DDD"/>
    <s v="PROHLN000005719"/>
    <x v="0"/>
    <x v="214"/>
    <d v="2020-01-20T00:00:00"/>
    <x v="3"/>
    <n v="3"/>
    <s v="Animesh Rawat"/>
    <x v="0"/>
    <s v="Global Client Network (GNB Inward)"/>
    <s v="Cross Sell"/>
    <n v="15084.15"/>
    <d v="2019-01-21T00:00:00"/>
    <s v="Brokerage"/>
    <x v="0"/>
    <s v="OTHR - Other"/>
    <d v="2020-01-22T00:00:00"/>
    <s v="Other"/>
    <s v="KB GMC"/>
    <s v="OPP1900001222"/>
    <s v="Animesh Rawat"/>
    <n v="2500000"/>
    <n v="125000"/>
    <d v="2019-12-01T00:00:00"/>
    <s v="Qualify Opportunity"/>
    <s v="Ahmedabad"/>
    <s v="Employee Benefits (EB)"/>
    <s v="Mediclaim"/>
    <s v="Group Medical"/>
    <m/>
    <m/>
    <s v="Henry Thomas"/>
    <d v="2020-01-09T00:00:00"/>
    <s v="Animesh Rawat"/>
    <s v="Servicer"/>
    <n v="1278023"/>
    <n v="12365300"/>
    <n v="12900"/>
  </r>
  <r>
    <s v="DDD"/>
    <s v="PROHLN000005719"/>
    <x v="0"/>
    <x v="214"/>
    <d v="2020-01-20T00:00:00"/>
    <x v="3"/>
    <n v="3"/>
    <s v="Animesh Rawat"/>
    <x v="0"/>
    <s v="Global Client Network (GNB Inward)"/>
    <s v="Cross Sell"/>
    <n v="15084.15"/>
    <d v="2019-01-21T00:00:00"/>
    <s v="Brokerage"/>
    <x v="0"/>
    <s v="OTHR - Other"/>
    <d v="2020-01-22T00:00:00"/>
    <s v="Other"/>
    <s v="KB GMC"/>
    <s v="OPP1900001222"/>
    <s v="Animesh Rawat"/>
    <n v="2500000"/>
    <n v="125000"/>
    <d v="2019-12-01T00:00:00"/>
    <s v="Qualify Opportunity"/>
    <s v="Ahmedabad"/>
    <s v="Employee Benefits (EB)"/>
    <s v="Mediclaim"/>
    <s v="Group Medical"/>
    <m/>
    <m/>
    <s v="Harper Martin"/>
    <d v="2020-01-10T00:00:00"/>
    <s v="Animesh Rawat"/>
    <s v="Servicer"/>
    <n v="1278023"/>
    <n v="12365300"/>
    <n v="12900"/>
  </r>
  <r>
    <s v="DDD"/>
    <s v="PROHLN000005719"/>
    <x v="0"/>
    <x v="214"/>
    <d v="2020-01-20T00:00:00"/>
    <x v="3"/>
    <n v="3"/>
    <s v="Animesh Rawat"/>
    <x v="0"/>
    <s v="Global Client Network (GNB Inward)"/>
    <s v="Cross Sell"/>
    <n v="15084.15"/>
    <d v="2019-01-21T00:00:00"/>
    <s v="Brokerage"/>
    <x v="0"/>
    <s v="OTHR - Other"/>
    <d v="2020-01-22T00:00:00"/>
    <s v="Other"/>
    <s v="Sin GMC"/>
    <s v="OPP1900001366"/>
    <s v="Animesh Rawat"/>
    <n v="9500000"/>
    <n v="200000"/>
    <d v="2019-09-30T00:00:00"/>
    <s v="Negotiate"/>
    <s v="Ahmedabad"/>
    <s v="Employee Benefits (EB)"/>
    <s v="Mediclaim"/>
    <s v="Group Medical"/>
    <m/>
    <m/>
    <s v="Lucas Hernandez"/>
    <d v="2020-01-13T00:00:00"/>
    <s v="Animesh Rawat"/>
    <s v="Servicer"/>
    <n v="1278023"/>
    <n v="12365300"/>
    <n v="12900"/>
  </r>
  <r>
    <s v="DDD"/>
    <s v="PROHLN000005719"/>
    <x v="0"/>
    <x v="214"/>
    <d v="2020-01-20T00:00:00"/>
    <x v="3"/>
    <n v="3"/>
    <s v="Animesh Rawat"/>
    <x v="0"/>
    <s v="Global Client Network (GNB Inward)"/>
    <s v="Cross Sell"/>
    <n v="15084.15"/>
    <d v="2019-01-21T00:00:00"/>
    <s v="Brokerage"/>
    <x v="0"/>
    <s v="OTHR - Other"/>
    <d v="2020-01-22T00:00:00"/>
    <s v="Other"/>
    <s v="Sin GMC"/>
    <s v="OPP1900001366"/>
    <s v="Animesh Rawat"/>
    <n v="9500000"/>
    <n v="200000"/>
    <d v="2019-09-30T00:00:00"/>
    <s v="Negotiate"/>
    <s v="Ahmedabad"/>
    <s v="Employee Benefits (EB)"/>
    <s v="Mediclaim"/>
    <s v="Group Medical"/>
    <m/>
    <m/>
    <s v="Amelia Moore"/>
    <d v="2020-01-13T00:00:00"/>
    <s v="Animesh Rawat"/>
    <s v="Servicer"/>
    <n v="1278023"/>
    <n v="12365300"/>
    <n v="12900"/>
  </r>
  <r>
    <s v="DDD"/>
    <s v="PROHLN000005719"/>
    <x v="0"/>
    <x v="214"/>
    <d v="2020-01-20T00:00:00"/>
    <x v="3"/>
    <n v="3"/>
    <s v="Animesh Rawat"/>
    <x v="0"/>
    <s v="Global Client Network (GNB Inward)"/>
    <s v="Cross Sell"/>
    <n v="15084.15"/>
    <d v="2019-01-21T00:00:00"/>
    <s v="Brokerage"/>
    <x v="0"/>
    <s v="OTHR - Other"/>
    <d v="2020-01-22T00:00:00"/>
    <s v="Other"/>
    <s v="Sin GMC"/>
    <s v="OPP1900001366"/>
    <s v="Animesh Rawat"/>
    <n v="9500000"/>
    <n v="200000"/>
    <d v="2019-09-30T00:00:00"/>
    <s v="Negotiate"/>
    <s v="Ahmedabad"/>
    <s v="Employee Benefits (EB)"/>
    <s v="Mediclaim"/>
    <s v="Group Medical"/>
    <m/>
    <m/>
    <s v="Henry Thomas"/>
    <d v="2020-01-09T00:00:00"/>
    <s v="Animesh Rawat"/>
    <s v="Servicer"/>
    <n v="1278023"/>
    <n v="12365300"/>
    <n v="12900"/>
  </r>
  <r>
    <s v="DDD"/>
    <s v="PROHLN000005719"/>
    <x v="0"/>
    <x v="214"/>
    <d v="2020-01-20T00:00:00"/>
    <x v="3"/>
    <n v="3"/>
    <s v="Animesh Rawat"/>
    <x v="0"/>
    <s v="Global Client Network (GNB Inward)"/>
    <s v="Cross Sell"/>
    <n v="15084.15"/>
    <d v="2019-01-21T00:00:00"/>
    <s v="Brokerage"/>
    <x v="0"/>
    <s v="OTHR - Other"/>
    <d v="2020-01-22T00:00:00"/>
    <s v="Other"/>
    <s v="Sin GMC"/>
    <s v="OPP1900001366"/>
    <s v="Animesh Rawat"/>
    <n v="9500000"/>
    <n v="200000"/>
    <d v="2019-09-30T00:00:00"/>
    <s v="Negotiate"/>
    <s v="Ahmedabad"/>
    <s v="Employee Benefits (EB)"/>
    <s v="Mediclaim"/>
    <s v="Group Medical"/>
    <m/>
    <m/>
    <s v="Harper Martin"/>
    <d v="2020-01-10T00:00:00"/>
    <s v="Animesh Rawat"/>
    <s v="Servicer"/>
    <n v="1278023"/>
    <n v="12365300"/>
    <n v="12900"/>
  </r>
  <r>
    <s v="DDD"/>
    <s v="PROHLN000005719"/>
    <x v="0"/>
    <x v="214"/>
    <d v="2020-01-20T00:00:00"/>
    <x v="3"/>
    <n v="3"/>
    <s v="Animesh Rawat"/>
    <x v="0"/>
    <s v="Global Client Network (GNB Inward)"/>
    <s v="Cross Sell"/>
    <n v="15084.15"/>
    <d v="2019-01-21T00:00:00"/>
    <s v="Brokerage"/>
    <x v="0"/>
    <s v="OTHR - Other"/>
    <d v="2020-01-22T00:00:00"/>
    <s v="Other"/>
    <s v="Stem GMC"/>
    <s v="OPP1900001391"/>
    <s v="Animesh Rawat"/>
    <n v="0"/>
    <n v="100000"/>
    <d v="2019-11-15T00:00:00"/>
    <s v="Qualify Opportunity"/>
    <s v="Ahmedabad"/>
    <s v="Employee Benefits (EB)"/>
    <s v="Mediclaim"/>
    <s v="Group Medical"/>
    <m/>
    <m/>
    <s v="Lucas Hernandez"/>
    <d v="2020-01-13T00:00:00"/>
    <s v="Animesh Rawat"/>
    <s v="Servicer"/>
    <n v="1278023"/>
    <n v="12365300"/>
    <n v="12900"/>
  </r>
  <r>
    <s v="DDD"/>
    <s v="PROHLN000005719"/>
    <x v="0"/>
    <x v="214"/>
    <d v="2020-01-20T00:00:00"/>
    <x v="3"/>
    <n v="3"/>
    <s v="Animesh Rawat"/>
    <x v="0"/>
    <s v="Global Client Network (GNB Inward)"/>
    <s v="Cross Sell"/>
    <n v="15084.15"/>
    <d v="2019-01-21T00:00:00"/>
    <s v="Brokerage"/>
    <x v="0"/>
    <s v="OTHR - Other"/>
    <d v="2020-01-22T00:00:00"/>
    <s v="Other"/>
    <s v="Stem GMC"/>
    <s v="OPP1900001391"/>
    <s v="Animesh Rawat"/>
    <n v="0"/>
    <n v="100000"/>
    <d v="2019-11-15T00:00:00"/>
    <s v="Qualify Opportunity"/>
    <s v="Ahmedabad"/>
    <s v="Employee Benefits (EB)"/>
    <s v="Mediclaim"/>
    <s v="Group Medical"/>
    <m/>
    <m/>
    <s v="Amelia Moore"/>
    <d v="2020-01-13T00:00:00"/>
    <s v="Animesh Rawat"/>
    <s v="Servicer"/>
    <n v="1278023"/>
    <n v="12365300"/>
    <n v="12900"/>
  </r>
  <r>
    <s v="DDD"/>
    <s v="PROHLN000005719"/>
    <x v="0"/>
    <x v="214"/>
    <d v="2020-01-20T00:00:00"/>
    <x v="3"/>
    <n v="3"/>
    <s v="Animesh Rawat"/>
    <x v="0"/>
    <s v="Global Client Network (GNB Inward)"/>
    <s v="Cross Sell"/>
    <n v="15084.15"/>
    <d v="2019-01-21T00:00:00"/>
    <s v="Brokerage"/>
    <x v="0"/>
    <s v="OTHR - Other"/>
    <d v="2020-01-22T00:00:00"/>
    <s v="Other"/>
    <s v="Stem GMC"/>
    <s v="OPP1900001391"/>
    <s v="Animesh Rawat"/>
    <n v="0"/>
    <n v="100000"/>
    <d v="2019-11-15T00:00:00"/>
    <s v="Qualify Opportunity"/>
    <s v="Ahmedabad"/>
    <s v="Employee Benefits (EB)"/>
    <s v="Mediclaim"/>
    <s v="Group Medical"/>
    <m/>
    <m/>
    <s v="Henry Thomas"/>
    <d v="2020-01-09T00:00:00"/>
    <s v="Animesh Rawat"/>
    <s v="Servicer"/>
    <n v="1278023"/>
    <n v="12365300"/>
    <n v="12900"/>
  </r>
  <r>
    <s v="DDD"/>
    <s v="PROHLN000005719"/>
    <x v="0"/>
    <x v="214"/>
    <d v="2020-01-20T00:00:00"/>
    <x v="3"/>
    <n v="3"/>
    <s v="Animesh Rawat"/>
    <x v="0"/>
    <s v="Global Client Network (GNB Inward)"/>
    <s v="Cross Sell"/>
    <n v="15084.15"/>
    <d v="2019-01-21T00:00:00"/>
    <s v="Brokerage"/>
    <x v="0"/>
    <s v="OTHR - Other"/>
    <d v="2020-01-22T00:00:00"/>
    <s v="Other"/>
    <s v="Stem GMC"/>
    <s v="OPP1900001391"/>
    <s v="Animesh Rawat"/>
    <n v="0"/>
    <n v="100000"/>
    <d v="2019-11-15T00:00:00"/>
    <s v="Qualify Opportunity"/>
    <s v="Ahmedabad"/>
    <s v="Employee Benefits (EB)"/>
    <s v="Mediclaim"/>
    <s v="Group Medical"/>
    <m/>
    <m/>
    <s v="Harper Martin"/>
    <d v="2020-01-10T00:00:00"/>
    <s v="Animesh Rawat"/>
    <s v="Servicer"/>
    <n v="1278023"/>
    <n v="12365300"/>
    <n v="12900"/>
  </r>
  <r>
    <s v="DDD"/>
    <s v="PROHLN000005719"/>
    <x v="0"/>
    <x v="214"/>
    <d v="2020-01-20T00:00:00"/>
    <x v="3"/>
    <n v="3"/>
    <s v="Animesh Rawat"/>
    <x v="0"/>
    <s v="Global Client Network (GNB Inward)"/>
    <s v="Cross Sell"/>
    <n v="15084.15"/>
    <d v="2019-01-21T00:00:00"/>
    <s v="Brokerage"/>
    <x v="0"/>
    <s v="OTHR - Other"/>
    <d v="2020-01-22T00:00:00"/>
    <s v="Other"/>
    <s v="DS- Employees GMC"/>
    <s v="OPP1900001392"/>
    <s v="Animesh Rawat"/>
    <n v="6000000"/>
    <n v="300000"/>
    <d v="2019-12-01T00:00:00"/>
    <s v="Qualify Opportunity"/>
    <s v="Ahmedabad"/>
    <s v="Employee Benefits (EB)"/>
    <s v="Mediclaim"/>
    <s v="Group Medical"/>
    <m/>
    <m/>
    <s v="Lucas Hernandez"/>
    <d v="2020-01-13T00:00:00"/>
    <s v="Animesh Rawat"/>
    <s v="Servicer"/>
    <n v="1278023"/>
    <n v="12365300"/>
    <n v="12900"/>
  </r>
  <r>
    <s v="DDD"/>
    <s v="PROHLN000005719"/>
    <x v="0"/>
    <x v="214"/>
    <d v="2020-01-20T00:00:00"/>
    <x v="3"/>
    <n v="3"/>
    <s v="Animesh Rawat"/>
    <x v="0"/>
    <s v="Global Client Network (GNB Inward)"/>
    <s v="Cross Sell"/>
    <n v="15084.15"/>
    <d v="2019-01-21T00:00:00"/>
    <s v="Brokerage"/>
    <x v="0"/>
    <s v="OTHR - Other"/>
    <d v="2020-01-22T00:00:00"/>
    <s v="Other"/>
    <s v="DS- Employees GMC"/>
    <s v="OPP1900001392"/>
    <s v="Animesh Rawat"/>
    <n v="6000000"/>
    <n v="300000"/>
    <d v="2019-12-01T00:00:00"/>
    <s v="Qualify Opportunity"/>
    <s v="Ahmedabad"/>
    <s v="Employee Benefits (EB)"/>
    <s v="Mediclaim"/>
    <s v="Group Medical"/>
    <m/>
    <m/>
    <s v="Amelia Moore"/>
    <d v="2020-01-13T00:00:00"/>
    <s v="Animesh Rawat"/>
    <s v="Servicer"/>
    <n v="1278023"/>
    <n v="12365300"/>
    <n v="12900"/>
  </r>
  <r>
    <s v="DDD"/>
    <s v="PROHLN000005719"/>
    <x v="0"/>
    <x v="214"/>
    <d v="2020-01-20T00:00:00"/>
    <x v="3"/>
    <n v="3"/>
    <s v="Animesh Rawat"/>
    <x v="0"/>
    <s v="Global Client Network (GNB Inward)"/>
    <s v="Cross Sell"/>
    <n v="15084.15"/>
    <d v="2019-01-21T00:00:00"/>
    <s v="Brokerage"/>
    <x v="0"/>
    <s v="OTHR - Other"/>
    <d v="2020-01-22T00:00:00"/>
    <s v="Other"/>
    <s v="DS- Employees GMC"/>
    <s v="OPP1900001392"/>
    <s v="Animesh Rawat"/>
    <n v="6000000"/>
    <n v="300000"/>
    <d v="2019-12-01T00:00:00"/>
    <s v="Qualify Opportunity"/>
    <s v="Ahmedabad"/>
    <s v="Employee Benefits (EB)"/>
    <s v="Mediclaim"/>
    <s v="Group Medical"/>
    <m/>
    <m/>
    <s v="Henry Thomas"/>
    <d v="2020-01-09T00:00:00"/>
    <s v="Animesh Rawat"/>
    <s v="Servicer"/>
    <n v="1278023"/>
    <n v="12365300"/>
    <n v="12900"/>
  </r>
  <r>
    <s v="DDD"/>
    <s v="PROHLN000005719"/>
    <x v="0"/>
    <x v="214"/>
    <d v="2020-01-20T00:00:00"/>
    <x v="3"/>
    <n v="3"/>
    <s v="Animesh Rawat"/>
    <x v="0"/>
    <s v="Global Client Network (GNB Inward)"/>
    <s v="Cross Sell"/>
    <n v="15084.15"/>
    <d v="2019-01-21T00:00:00"/>
    <s v="Brokerage"/>
    <x v="0"/>
    <s v="OTHR - Other"/>
    <d v="2020-01-22T00:00:00"/>
    <s v="Other"/>
    <s v="DS- Employees GMC"/>
    <s v="OPP1900001392"/>
    <s v="Animesh Rawat"/>
    <n v="6000000"/>
    <n v="300000"/>
    <d v="2019-12-01T00:00:00"/>
    <s v="Qualify Opportunity"/>
    <s v="Ahmedabad"/>
    <s v="Employee Benefits (EB)"/>
    <s v="Mediclaim"/>
    <s v="Group Medical"/>
    <m/>
    <m/>
    <s v="Harper Martin"/>
    <d v="2020-01-10T00:00:00"/>
    <s v="Animesh Rawat"/>
    <s v="Servicer"/>
    <n v="1278023"/>
    <n v="12365300"/>
    <n v="12900"/>
  </r>
  <r>
    <s v="DDD"/>
    <n v="2250007836"/>
    <x v="1"/>
    <x v="136"/>
    <d v="2019-02-06T00:00:00"/>
    <x v="2"/>
    <n v="1"/>
    <s v="Vinay"/>
    <x v="0"/>
    <s v="Liability"/>
    <s v="Cross Sell"/>
    <n v="1013.88"/>
    <d v="2018-02-07T00:00:00"/>
    <s v="Brokerage"/>
    <x v="3"/>
    <s v="NOLN - No Longer Needed"/>
    <d v="2020-01-22T00:00:00"/>
    <s v="NOLN - No Longer Needed"/>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DDD"/>
    <n v="2250007836"/>
    <x v="1"/>
    <x v="136"/>
    <d v="2019-02-06T00:00:00"/>
    <x v="2"/>
    <n v="1"/>
    <s v="Vinay"/>
    <x v="0"/>
    <s v="Liability"/>
    <s v="Cross Sell"/>
    <n v="1013.88"/>
    <d v="2018-02-07T00:00:00"/>
    <s v="Brokerage"/>
    <x v="3"/>
    <s v="NOLN - No Longer Needed"/>
    <d v="2020-01-22T00:00:00"/>
    <s v="NOLN - No Longer Needed"/>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DDD"/>
    <n v="2250007836"/>
    <x v="1"/>
    <x v="136"/>
    <d v="2019-02-06T00:00:00"/>
    <x v="2"/>
    <n v="1"/>
    <s v="Vinay"/>
    <x v="0"/>
    <s v="Liability"/>
    <s v="Cross Sell"/>
    <n v="1013.88"/>
    <d v="2018-02-07T00:00:00"/>
    <s v="Brokerage"/>
    <x v="3"/>
    <s v="NOLN - No Longer Needed"/>
    <d v="2020-01-22T00:00:00"/>
    <s v="NOLN - No Longer Needed"/>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DDD"/>
    <n v="2250007836"/>
    <x v="1"/>
    <x v="136"/>
    <d v="2019-02-06T00:00:00"/>
    <x v="2"/>
    <n v="1"/>
    <s v="Vinay"/>
    <x v="0"/>
    <s v="Liability"/>
    <s v="Cross Sell"/>
    <n v="1013.88"/>
    <d v="2018-02-07T00:00:00"/>
    <s v="Brokerage"/>
    <x v="3"/>
    <s v="NOLN - No Longer Needed"/>
    <d v="2020-01-22T00:00:00"/>
    <s v="NOLN - No Longer Needed"/>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DDD"/>
    <n v="2250007836"/>
    <x v="1"/>
    <x v="136"/>
    <d v="2019-02-06T00:00:00"/>
    <x v="2"/>
    <n v="1"/>
    <s v="Vinay"/>
    <x v="0"/>
    <s v="Liability"/>
    <s v="Cross Sell"/>
    <n v="1013.88"/>
    <d v="2018-02-07T00:00:00"/>
    <s v="Brokerage"/>
    <x v="3"/>
    <s v="NOLN - No Longer Needed"/>
    <d v="2020-01-22T00:00:00"/>
    <s v="NOLN - No Longer Needed"/>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DDD"/>
    <n v="2250007837"/>
    <x v="1"/>
    <x v="136"/>
    <d v="2019-02-06T00:00:00"/>
    <x v="2"/>
    <n v="1"/>
    <s v="Vinay"/>
    <x v="0"/>
    <s v="Liability"/>
    <s v="Cross Sell"/>
    <n v="1601.5"/>
    <d v="2018-02-07T00:00:00"/>
    <s v="Brokerage"/>
    <x v="3"/>
    <s v="JCOM - Job Completed"/>
    <d v="2020-01-22T00:00:00"/>
    <s v="JCOM - Job Completed"/>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DDD"/>
    <n v="2250007837"/>
    <x v="1"/>
    <x v="136"/>
    <d v="2019-02-06T00:00:00"/>
    <x v="2"/>
    <n v="1"/>
    <s v="Vinay"/>
    <x v="0"/>
    <s v="Liability"/>
    <s v="Cross Sell"/>
    <n v="1601.5"/>
    <d v="2018-02-07T00:00:00"/>
    <s v="Brokerage"/>
    <x v="3"/>
    <s v="JCOM - Job Completed"/>
    <d v="2020-01-22T00:00:00"/>
    <s v="JCOM - Job Completed"/>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DDD"/>
    <n v="2250007837"/>
    <x v="1"/>
    <x v="136"/>
    <d v="2019-02-06T00:00:00"/>
    <x v="2"/>
    <n v="1"/>
    <s v="Vinay"/>
    <x v="0"/>
    <s v="Liability"/>
    <s v="Cross Sell"/>
    <n v="1601.5"/>
    <d v="2018-02-07T00:00:00"/>
    <s v="Brokerage"/>
    <x v="3"/>
    <s v="JCOM - Job Completed"/>
    <d v="2020-01-22T00:00:00"/>
    <s v="JCOM - Job Completed"/>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DDD"/>
    <n v="2250007837"/>
    <x v="1"/>
    <x v="136"/>
    <d v="2019-02-06T00:00:00"/>
    <x v="2"/>
    <n v="1"/>
    <s v="Vinay"/>
    <x v="0"/>
    <s v="Liability"/>
    <s v="Cross Sell"/>
    <n v="1601.5"/>
    <d v="2018-02-07T00:00:00"/>
    <s v="Brokerage"/>
    <x v="3"/>
    <s v="JCOM - Job Completed"/>
    <d v="2020-01-22T00:00:00"/>
    <s v="JCOM - Job Completed"/>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DDD"/>
    <n v="2250007837"/>
    <x v="1"/>
    <x v="136"/>
    <d v="2019-02-06T00:00:00"/>
    <x v="2"/>
    <n v="1"/>
    <s v="Vinay"/>
    <x v="0"/>
    <s v="Liability"/>
    <s v="Cross Sell"/>
    <n v="1601.5"/>
    <d v="2018-02-07T00:00:00"/>
    <s v="Brokerage"/>
    <x v="3"/>
    <s v="JCOM - Job Completed"/>
    <d v="2020-01-22T00:00:00"/>
    <s v="JCOM - Job Completed"/>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DDD"/>
    <s v="'2309003157"/>
    <x v="1"/>
    <x v="215"/>
    <d v="2019-07-02T00:00:00"/>
    <x v="4"/>
    <n v="1"/>
    <s v="Vinay"/>
    <x v="0"/>
    <s v="Liability"/>
    <s v="Renewal"/>
    <n v="37500"/>
    <d v="2018-07-03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DDD"/>
    <s v="'2309003157"/>
    <x v="1"/>
    <x v="215"/>
    <d v="2019-07-02T00:00:00"/>
    <x v="4"/>
    <n v="1"/>
    <s v="Vinay"/>
    <x v="0"/>
    <s v="Liability"/>
    <s v="Renewal"/>
    <n v="37500"/>
    <d v="2018-07-03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DDD"/>
    <s v="'2309003157"/>
    <x v="1"/>
    <x v="215"/>
    <d v="2019-07-02T00:00:00"/>
    <x v="4"/>
    <n v="1"/>
    <s v="Vinay"/>
    <x v="0"/>
    <s v="Liability"/>
    <s v="Renewal"/>
    <n v="37500"/>
    <d v="2018-07-03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DDD"/>
    <s v="'2309003157"/>
    <x v="1"/>
    <x v="215"/>
    <d v="2019-07-02T00:00:00"/>
    <x v="4"/>
    <n v="1"/>
    <s v="Vinay"/>
    <x v="0"/>
    <s v="Liability"/>
    <s v="Renewal"/>
    <n v="37500"/>
    <d v="2018-07-03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DDD"/>
    <s v="'2309003157"/>
    <x v="1"/>
    <x v="215"/>
    <d v="2019-07-02T00:00:00"/>
    <x v="4"/>
    <n v="1"/>
    <s v="Vinay"/>
    <x v="0"/>
    <s v="Liability"/>
    <s v="Renewal"/>
    <n v="37500"/>
    <d v="2018-07-03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DDD"/>
    <s v="'2309003157 01"/>
    <x v="0"/>
    <x v="216"/>
    <d v="2020-07-02T00:00:00"/>
    <x v="4"/>
    <n v="1"/>
    <s v="Vinay"/>
    <x v="0"/>
    <s v="Liability"/>
    <s v="Renewal"/>
    <n v="35000"/>
    <d v="2019-07-03T00:00:00"/>
    <s v="Brokerage"/>
    <x v="1"/>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DDD"/>
    <s v="'2309003157 01"/>
    <x v="0"/>
    <x v="216"/>
    <d v="2020-07-02T00:00:00"/>
    <x v="4"/>
    <n v="1"/>
    <s v="Vinay"/>
    <x v="0"/>
    <s v="Liability"/>
    <s v="Renewal"/>
    <n v="35000"/>
    <d v="2019-07-03T00:00:00"/>
    <s v="Brokerage"/>
    <x v="1"/>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DDD"/>
    <s v="'2309003157 01"/>
    <x v="0"/>
    <x v="216"/>
    <d v="2020-07-02T00:00:00"/>
    <x v="4"/>
    <n v="1"/>
    <s v="Vinay"/>
    <x v="0"/>
    <s v="Liability"/>
    <s v="Renewal"/>
    <n v="35000"/>
    <d v="2019-07-03T00:00:00"/>
    <s v="Brokerage"/>
    <x v="1"/>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DDD"/>
    <s v="'2309003157 01"/>
    <x v="0"/>
    <x v="216"/>
    <d v="2020-07-02T00:00:00"/>
    <x v="4"/>
    <n v="1"/>
    <s v="Vinay"/>
    <x v="0"/>
    <s v="Liability"/>
    <s v="Renewal"/>
    <n v="35000"/>
    <d v="2019-07-03T00:00:00"/>
    <s v="Brokerage"/>
    <x v="1"/>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DDD"/>
    <s v="'2309003157 01"/>
    <x v="0"/>
    <x v="216"/>
    <d v="2020-07-02T00:00:00"/>
    <x v="4"/>
    <n v="1"/>
    <s v="Vinay"/>
    <x v="0"/>
    <s v="Liability"/>
    <s v="Renewal"/>
    <n v="35000"/>
    <d v="2019-07-03T00:00:00"/>
    <s v="Brokerage"/>
    <x v="1"/>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DDD"/>
    <n v="9.9E+19"/>
    <x v="1"/>
    <x v="217"/>
    <d v="2018-02-25T00:00:00"/>
    <x v="1"/>
    <n v="1"/>
    <s v="Vinay"/>
    <x v="0"/>
    <s v="Construction, Power &amp; Infrastructure"/>
    <s v="Cross Sell"/>
    <n v="992.51"/>
    <d v="2018-02-25T00:00:00"/>
    <s v="Brokerage"/>
    <x v="3"/>
    <s v="OTHR - Other"/>
    <d v="2020-01-22T00:00:00"/>
    <s v="Other"/>
    <m/>
    <m/>
    <m/>
    <m/>
    <m/>
    <m/>
    <m/>
    <m/>
    <m/>
    <m/>
    <m/>
    <m/>
    <m/>
    <m/>
    <m/>
    <m/>
    <m/>
    <m/>
    <m/>
    <m/>
  </r>
  <r>
    <s v="DDD"/>
    <n v="9.9E+19"/>
    <x v="0"/>
    <x v="217"/>
    <d v="2018-02-25T00:00:00"/>
    <x v="1"/>
    <n v="1"/>
    <s v="Vinay"/>
    <x v="0"/>
    <s v="Construction, Power &amp; Infrastructure"/>
    <s v="Cross Sell"/>
    <n v="992.51"/>
    <d v="2018-02-25T00:00:00"/>
    <s v="Brokerage"/>
    <x v="0"/>
    <s v="OTHR - Other"/>
    <d v="2020-01-22T00:00:00"/>
    <s v="Other"/>
    <m/>
    <m/>
    <m/>
    <m/>
    <m/>
    <m/>
    <m/>
    <m/>
    <m/>
    <m/>
    <m/>
    <m/>
    <m/>
    <m/>
    <m/>
    <m/>
    <m/>
    <m/>
    <m/>
    <m/>
  </r>
  <r>
    <s v="DDD"/>
    <n v="9.9E+19"/>
    <x v="1"/>
    <x v="218"/>
    <d v="2017-12-30T00:00:00"/>
    <x v="1"/>
    <n v="1"/>
    <s v="Vinay"/>
    <x v="0"/>
    <s v="Construction, Power &amp; Infrastructure"/>
    <s v="Cross Sell"/>
    <n v="377079.15"/>
    <d v="2016-12-31T00:00:00"/>
    <s v="Brokerage"/>
    <x v="3"/>
    <s v="OTHR - Other"/>
    <d v="2020-01-22T00:00:00"/>
    <s v="Other"/>
    <m/>
    <m/>
    <m/>
    <m/>
    <m/>
    <m/>
    <m/>
    <m/>
    <m/>
    <m/>
    <m/>
    <m/>
    <m/>
    <m/>
    <m/>
    <m/>
    <m/>
    <m/>
    <m/>
    <m/>
  </r>
  <r>
    <s v="DDD"/>
    <n v="9.9E+19"/>
    <x v="1"/>
    <x v="219"/>
    <d v="2018-06-27T00:00:00"/>
    <x v="1"/>
    <n v="1"/>
    <s v="Vinay"/>
    <x v="0"/>
    <s v="Construction, Power &amp; Infrastructure"/>
    <s v="Cross Sell"/>
    <n v="61251.58"/>
    <d v="2017-06-28T00:00:00"/>
    <s v="Brokerage"/>
    <x v="0"/>
    <s v="OTHR - Other"/>
    <d v="2020-01-22T00:00:00"/>
    <s v="Other"/>
    <m/>
    <m/>
    <m/>
    <m/>
    <m/>
    <m/>
    <m/>
    <m/>
    <m/>
    <m/>
    <m/>
    <m/>
    <m/>
    <m/>
    <m/>
    <m/>
    <m/>
    <m/>
    <m/>
    <m/>
  </r>
  <r>
    <s v="DDD"/>
    <s v="99000011170100000135'"/>
    <x v="1"/>
    <x v="219"/>
    <d v="2018-06-27T00:00:00"/>
    <x v="1"/>
    <n v="1"/>
    <s v="Vinay"/>
    <x v="0"/>
    <s v="Construction, Power &amp; Infrastructure"/>
    <s v="Cross Sell"/>
    <n v="62070.81"/>
    <d v="2017-06-28T00:00:00"/>
    <s v="Brokerage"/>
    <x v="0"/>
    <s v="OTHR - Other"/>
    <d v="2020-01-22T00:00:00"/>
    <s v="Other"/>
    <m/>
    <m/>
    <m/>
    <m/>
    <m/>
    <m/>
    <m/>
    <m/>
    <m/>
    <m/>
    <m/>
    <m/>
    <m/>
    <m/>
    <m/>
    <m/>
    <m/>
    <m/>
    <m/>
    <m/>
  </r>
  <r>
    <s v="DDD"/>
    <n v="9.9E+19"/>
    <x v="0"/>
    <x v="220"/>
    <d v="2018-07-05T00:00:00"/>
    <x v="1"/>
    <n v="1"/>
    <s v="Vinay"/>
    <x v="0"/>
    <s v="Construction, Power &amp; Infrastructure"/>
    <s v="Cross Sell"/>
    <n v="1261.8399999999999"/>
    <d v="2017-07-06T00:00:00"/>
    <s v="Brokerage"/>
    <x v="0"/>
    <s v="OTHR - Other"/>
    <d v="2020-01-22T00:00:00"/>
    <s v="Other"/>
    <m/>
    <m/>
    <m/>
    <m/>
    <m/>
    <m/>
    <m/>
    <m/>
    <m/>
    <m/>
    <m/>
    <m/>
    <m/>
    <m/>
    <m/>
    <m/>
    <m/>
    <m/>
    <m/>
    <m/>
  </r>
  <r>
    <s v="DDD"/>
    <n v="9.9E+19"/>
    <x v="1"/>
    <x v="49"/>
    <d v="2018-12-31T00:00:00"/>
    <x v="1"/>
    <n v="1"/>
    <s v="Vinay"/>
    <x v="0"/>
    <s v="Construction, Power &amp; Infrastructure"/>
    <s v="Cross Sell"/>
    <n v="349157.16"/>
    <d v="2018-01-01T00:00:00"/>
    <s v="Brokerage"/>
    <x v="3"/>
    <s v="OTHR - Other"/>
    <d v="2020-01-22T00:00:00"/>
    <s v="Other"/>
    <m/>
    <m/>
    <m/>
    <m/>
    <m/>
    <m/>
    <m/>
    <m/>
    <m/>
    <m/>
    <m/>
    <m/>
    <m/>
    <m/>
    <m/>
    <m/>
    <m/>
    <m/>
    <m/>
    <m/>
  </r>
  <r>
    <s v="DDD"/>
    <s v="'99000011170100000412"/>
    <x v="1"/>
    <x v="221"/>
    <d v="2019-02-13T00:00:00"/>
    <x v="1"/>
    <n v="1"/>
    <s v="Vinay"/>
    <x v="0"/>
    <s v="Property / BI"/>
    <s v="Renewal"/>
    <n v="107689.68"/>
    <d v="2018-02-14T00:00:00"/>
    <s v="Brokerage"/>
    <x v="0"/>
    <s v="OTHR - Other"/>
    <d v="2020-01-22T00:00:00"/>
    <s v="Other"/>
    <m/>
    <m/>
    <m/>
    <m/>
    <m/>
    <m/>
    <m/>
    <m/>
    <m/>
    <m/>
    <m/>
    <m/>
    <m/>
    <m/>
    <m/>
    <m/>
    <m/>
    <m/>
    <m/>
    <m/>
  </r>
  <r>
    <s v="DDD"/>
    <s v="99000011180100000149'"/>
    <x v="1"/>
    <x v="138"/>
    <d v="2019-07-19T00:00:00"/>
    <x v="1"/>
    <n v="1"/>
    <s v="Vinay"/>
    <x v="0"/>
    <s v="Property / BI"/>
    <s v="Renewal"/>
    <n v="5417.97"/>
    <d v="2018-07-20T00:00:00"/>
    <s v="Brokerage"/>
    <x v="0"/>
    <s v="OTHR - Other"/>
    <d v="2020-01-22T00:00:00"/>
    <s v="Other"/>
    <m/>
    <m/>
    <m/>
    <m/>
    <m/>
    <m/>
    <m/>
    <m/>
    <m/>
    <m/>
    <m/>
    <m/>
    <m/>
    <m/>
    <m/>
    <m/>
    <m/>
    <m/>
    <m/>
    <m/>
  </r>
  <r>
    <s v="DDD"/>
    <n v="9.9E+19"/>
    <x v="1"/>
    <x v="222"/>
    <d v="2019-06-27T00:00:00"/>
    <x v="1"/>
    <n v="1"/>
    <s v="Vinay"/>
    <x v="0"/>
    <s v="Construction, Power &amp; Infrastructure"/>
    <s v="Cross Sell"/>
    <n v="61936.46"/>
    <d v="2018-06-28T00:00:00"/>
    <s v="Brokerage"/>
    <x v="1"/>
    <s v="OTHR - Other"/>
    <d v="2020-01-22T00:00:00"/>
    <s v="Other"/>
    <m/>
    <m/>
    <m/>
    <m/>
    <m/>
    <m/>
    <m/>
    <m/>
    <m/>
    <m/>
    <m/>
    <m/>
    <m/>
    <m/>
    <m/>
    <m/>
    <m/>
    <m/>
    <m/>
    <m/>
  </r>
  <r>
    <s v="DDD"/>
    <n v="9.9E+19"/>
    <x v="1"/>
    <x v="222"/>
    <d v="2019-06-27T00:00:00"/>
    <x v="1"/>
    <n v="1"/>
    <s v="Vinay"/>
    <x v="0"/>
    <s v="Construction, Power &amp; Infrastructure"/>
    <s v="Cross Sell"/>
    <n v="56276.26"/>
    <d v="2018-06-28T00:00:00"/>
    <s v="Brokerage"/>
    <x v="1"/>
    <s v="OTHR - Other"/>
    <d v="2020-01-22T00:00:00"/>
    <s v="Other"/>
    <m/>
    <m/>
    <m/>
    <m/>
    <m/>
    <m/>
    <m/>
    <m/>
    <m/>
    <m/>
    <m/>
    <m/>
    <m/>
    <m/>
    <m/>
    <m/>
    <m/>
    <m/>
    <m/>
    <m/>
  </r>
  <r>
    <s v="DDD"/>
    <s v="'99000011180100000284"/>
    <x v="0"/>
    <x v="13"/>
    <d v="2019-12-31T00:00:00"/>
    <x v="1"/>
    <n v="1"/>
    <s v="Vinay"/>
    <x v="0"/>
    <s v="Construction, Power &amp; Infrastructure"/>
    <s v="Cross Sell"/>
    <n v="399509.89"/>
    <d v="2019-01-01T00:00:00"/>
    <s v="Brokerage"/>
    <x v="1"/>
    <s v="OTHR - Other"/>
    <d v="2020-01-22T00:00:00"/>
    <s v="Other"/>
    <m/>
    <m/>
    <m/>
    <m/>
    <m/>
    <m/>
    <m/>
    <m/>
    <m/>
    <m/>
    <m/>
    <m/>
    <m/>
    <m/>
    <m/>
    <m/>
    <m/>
    <m/>
    <m/>
    <m/>
  </r>
  <r>
    <s v="DDD"/>
    <s v="'99000011180100000303"/>
    <x v="0"/>
    <x v="223"/>
    <d v="2020-01-15T00:00:00"/>
    <x v="1"/>
    <n v="1"/>
    <s v="Vinay"/>
    <x v="0"/>
    <s v="Property / BI"/>
    <s v="Renewal"/>
    <n v="98931.05"/>
    <d v="2019-01-16T00:00:00"/>
    <s v="Brokerage"/>
    <x v="0"/>
    <s v="OTHR - Other"/>
    <d v="2020-01-22T00:00:00"/>
    <s v="Other"/>
    <m/>
    <m/>
    <m/>
    <m/>
    <m/>
    <m/>
    <m/>
    <m/>
    <m/>
    <m/>
    <m/>
    <m/>
    <m/>
    <m/>
    <m/>
    <m/>
    <m/>
    <m/>
    <m/>
    <m/>
  </r>
  <r>
    <s v="DDD"/>
    <s v="'99000011180100000339"/>
    <x v="0"/>
    <x v="224"/>
    <d v="2020-02-13T00:00:00"/>
    <x v="1"/>
    <n v="1"/>
    <s v="Vinay"/>
    <x v="0"/>
    <s v="Property / BI"/>
    <s v="Renewal"/>
    <n v="1610"/>
    <d v="2019-02-14T00:00:00"/>
    <s v="Brokerage"/>
    <x v="0"/>
    <s v="OTHR - Other"/>
    <d v="2020-01-22T00:00:00"/>
    <s v="Other"/>
    <m/>
    <m/>
    <m/>
    <m/>
    <m/>
    <m/>
    <m/>
    <m/>
    <m/>
    <m/>
    <m/>
    <m/>
    <m/>
    <m/>
    <m/>
    <m/>
    <m/>
    <m/>
    <m/>
    <m/>
  </r>
  <r>
    <s v="DDD"/>
    <s v="'99000011180100000340"/>
    <x v="0"/>
    <x v="224"/>
    <d v="2020-02-13T00:00:00"/>
    <x v="1"/>
    <n v="1"/>
    <s v="Vinay"/>
    <x v="0"/>
    <s v="Property / BI"/>
    <s v="Renewal"/>
    <n v="131090.46"/>
    <d v="2019-02-26T00:00:00"/>
    <s v="Brokerage"/>
    <x v="1"/>
    <s v="OTHR - Other"/>
    <d v="2020-01-22T00:00:00"/>
    <s v="Other"/>
    <m/>
    <m/>
    <m/>
    <m/>
    <m/>
    <m/>
    <m/>
    <m/>
    <m/>
    <m/>
    <m/>
    <m/>
    <m/>
    <m/>
    <m/>
    <m/>
    <m/>
    <m/>
    <m/>
    <m/>
  </r>
  <r>
    <s v="DDD"/>
    <s v="'99000011180100000352"/>
    <x v="0"/>
    <x v="70"/>
    <d v="2020-03-15T00:00:00"/>
    <x v="1"/>
    <n v="1"/>
    <s v="Vinay"/>
    <x v="0"/>
    <s v="Property / BI"/>
    <s v="Renewal"/>
    <n v="2056.4299999999998"/>
    <d v="2019-03-16T00:00:00"/>
    <s v="Brokerage"/>
    <x v="0"/>
    <s v="OTHR - Other"/>
    <d v="2020-01-22T00:00:00"/>
    <s v="Other"/>
    <m/>
    <m/>
    <m/>
    <m/>
    <m/>
    <m/>
    <m/>
    <m/>
    <m/>
    <m/>
    <m/>
    <m/>
    <m/>
    <m/>
    <m/>
    <m/>
    <m/>
    <m/>
    <m/>
    <m/>
  </r>
  <r>
    <s v="DDD"/>
    <s v="'99000011180100000353"/>
    <x v="0"/>
    <x v="114"/>
    <d v="2020-03-11T00:00:00"/>
    <x v="1"/>
    <n v="1"/>
    <s v="Vinay"/>
    <x v="0"/>
    <s v="Property / BI"/>
    <s v="Renewal"/>
    <n v="1194.28"/>
    <d v="2019-03-12T00:00:00"/>
    <s v="Brokerage"/>
    <x v="0"/>
    <s v="OTHR - Other"/>
    <d v="2020-01-22T00:00:00"/>
    <s v="Other"/>
    <m/>
    <m/>
    <m/>
    <m/>
    <m/>
    <m/>
    <m/>
    <m/>
    <m/>
    <m/>
    <m/>
    <m/>
    <m/>
    <m/>
    <m/>
    <m/>
    <m/>
    <m/>
    <m/>
    <m/>
  </r>
  <r>
    <s v="DDD"/>
    <s v="'99000011190100000078"/>
    <x v="0"/>
    <x v="225"/>
    <d v="2020-06-27T00:00:00"/>
    <x v="1"/>
    <n v="1"/>
    <s v="Vinay"/>
    <x v="0"/>
    <s v="Construction, Power &amp; Infrastructure"/>
    <s v="Cross Sell"/>
    <n v="75395.039999999994"/>
    <d v="2019-06-28T00:00:00"/>
    <s v="Brokerage"/>
    <x v="1"/>
    <s v="OTHR - Other"/>
    <d v="2020-01-22T00:00:00"/>
    <s v="Other"/>
    <m/>
    <m/>
    <m/>
    <m/>
    <m/>
    <m/>
    <m/>
    <m/>
    <m/>
    <m/>
    <m/>
    <m/>
    <m/>
    <m/>
    <m/>
    <m/>
    <m/>
    <m/>
    <m/>
    <m/>
  </r>
  <r>
    <s v="DDD"/>
    <s v="'99000011190100000079"/>
    <x v="0"/>
    <x v="225"/>
    <d v="2020-06-27T00:00:00"/>
    <x v="1"/>
    <n v="1"/>
    <s v="Vinay"/>
    <x v="0"/>
    <s v="Construction, Power &amp; Infrastructure"/>
    <s v="Cross Sell"/>
    <n v="53595"/>
    <d v="2019-06-28T00:00:00"/>
    <s v="Brokerage"/>
    <x v="1"/>
    <s v="OTHR - Other"/>
    <d v="2020-01-22T00:00:00"/>
    <s v="Other"/>
    <m/>
    <m/>
    <m/>
    <m/>
    <m/>
    <m/>
    <m/>
    <m/>
    <m/>
    <m/>
    <m/>
    <m/>
    <m/>
    <m/>
    <m/>
    <m/>
    <m/>
    <m/>
    <m/>
    <m/>
  </r>
  <r>
    <s v="DDD"/>
    <s v="'99000011190100000121"/>
    <x v="0"/>
    <x v="226"/>
    <d v="2020-07-19T00:00:00"/>
    <x v="1"/>
    <n v="1"/>
    <s v="Vinay"/>
    <x v="0"/>
    <s v="Property / BI"/>
    <s v="Renewal"/>
    <n v="6595.25"/>
    <d v="2019-07-20T00:00:00"/>
    <s v="Brokerage"/>
    <x v="1"/>
    <s v="OTHR - Other"/>
    <d v="2020-01-22T00:00:00"/>
    <s v="Other"/>
    <m/>
    <m/>
    <m/>
    <m/>
    <m/>
    <m/>
    <m/>
    <m/>
    <m/>
    <m/>
    <m/>
    <m/>
    <m/>
    <m/>
    <m/>
    <m/>
    <m/>
    <m/>
    <m/>
    <m/>
  </r>
  <r>
    <s v="DDD"/>
    <n v="9.9E+19"/>
    <x v="0"/>
    <x v="227"/>
    <d v="2018-06-05T00:00:00"/>
    <x v="0"/>
    <n v="1"/>
    <s v="Vinay"/>
    <x v="0"/>
    <s v="Construction, Power &amp; Infrastructure"/>
    <s v="Cross Sell"/>
    <n v="2887.38"/>
    <d v="2017-07-06T00:00:00"/>
    <s v="Brokerage"/>
    <x v="0"/>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DDD"/>
    <n v="9.9E+19"/>
    <x v="0"/>
    <x v="227"/>
    <d v="2018-06-05T00:00:00"/>
    <x v="0"/>
    <n v="1"/>
    <s v="Vinay"/>
    <x v="0"/>
    <s v="Construction, Power &amp; Infrastructure"/>
    <s v="Cross Sell"/>
    <n v="2887.38"/>
    <d v="2017-07-06T00:00:00"/>
    <s v="Brokerage"/>
    <x v="0"/>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DDD"/>
    <n v="9.9E+19"/>
    <x v="0"/>
    <x v="227"/>
    <d v="2018-06-05T00:00:00"/>
    <x v="0"/>
    <n v="1"/>
    <s v="Vinay"/>
    <x v="0"/>
    <s v="Construction, Power &amp; Infrastructure"/>
    <s v="Cross Sell"/>
    <n v="2887.38"/>
    <d v="2017-07-06T00:00:00"/>
    <s v="Brokerage"/>
    <x v="0"/>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DDD"/>
    <n v="9.9E+19"/>
    <x v="0"/>
    <x v="227"/>
    <d v="2018-06-05T00:00:00"/>
    <x v="0"/>
    <n v="1"/>
    <s v="Vinay"/>
    <x v="0"/>
    <s v="Construction, Power &amp; Infrastructure"/>
    <s v="Cross Sell"/>
    <n v="2887.38"/>
    <d v="2017-07-06T00:00:00"/>
    <s v="Brokerage"/>
    <x v="0"/>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DDD"/>
    <n v="9.9E+19"/>
    <x v="0"/>
    <x v="227"/>
    <d v="2018-06-05T00:00:00"/>
    <x v="0"/>
    <n v="1"/>
    <s v="Vinay"/>
    <x v="0"/>
    <s v="Construction, Power &amp; Infrastructure"/>
    <s v="Cross Sell"/>
    <n v="2887.38"/>
    <d v="2017-07-06T00:00:00"/>
    <s v="Brokerage"/>
    <x v="0"/>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DDD"/>
    <n v="9.9E+19"/>
    <x v="0"/>
    <x v="227"/>
    <d v="2018-06-05T00:00:00"/>
    <x v="0"/>
    <n v="1"/>
    <s v="Vinay"/>
    <x v="0"/>
    <s v="Construction, Power &amp; Infrastructure"/>
    <s v="Cross Sell"/>
    <n v="2887.38"/>
    <d v="2017-07-06T00:00:00"/>
    <s v="Brokerage"/>
    <x v="0"/>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DDD"/>
    <n v="9.9E+19"/>
    <x v="0"/>
    <x v="227"/>
    <d v="2018-06-05T00:00:00"/>
    <x v="0"/>
    <n v="1"/>
    <s v="Vinay"/>
    <x v="0"/>
    <s v="Construction, Power &amp; Infrastructure"/>
    <s v="Cross Sell"/>
    <n v="2887.38"/>
    <d v="2017-07-06T00:00:00"/>
    <s v="Brokerage"/>
    <x v="0"/>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DDD"/>
    <n v="9.9E+19"/>
    <x v="0"/>
    <x v="227"/>
    <d v="2018-06-05T00:00:00"/>
    <x v="0"/>
    <n v="1"/>
    <s v="Vinay"/>
    <x v="0"/>
    <s v="Construction, Power &amp; Infrastructure"/>
    <s v="Cross Sell"/>
    <n v="2887.38"/>
    <d v="2017-07-06T00:00:00"/>
    <s v="Brokerage"/>
    <x v="0"/>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DDD"/>
    <n v="9.9E+19"/>
    <x v="0"/>
    <x v="227"/>
    <d v="2018-06-05T00:00:00"/>
    <x v="0"/>
    <n v="1"/>
    <s v="Vinay"/>
    <x v="0"/>
    <s v="Construction, Power &amp; Infrastructure"/>
    <s v="Cross Sell"/>
    <n v="2887.38"/>
    <d v="2017-07-06T00:00:00"/>
    <s v="Brokerage"/>
    <x v="0"/>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DDD"/>
    <n v="9.9E+19"/>
    <x v="0"/>
    <x v="227"/>
    <d v="2018-06-05T00:00:00"/>
    <x v="0"/>
    <n v="1"/>
    <s v="Vinay"/>
    <x v="0"/>
    <s v="Construction, Power &amp; Infrastructure"/>
    <s v="Cross Sell"/>
    <n v="2887.38"/>
    <d v="2017-07-06T00:00:00"/>
    <s v="Brokerage"/>
    <x v="0"/>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DDD"/>
    <n v="9.9E+19"/>
    <x v="0"/>
    <x v="227"/>
    <d v="2018-06-05T00:00:00"/>
    <x v="0"/>
    <n v="1"/>
    <s v="Vinay"/>
    <x v="0"/>
    <s v="Construction, Power &amp; Infrastructure"/>
    <s v="Cross Sell"/>
    <n v="2887.38"/>
    <d v="2017-07-06T00:00:00"/>
    <s v="Brokerage"/>
    <x v="0"/>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DDD"/>
    <n v="9.9E+19"/>
    <x v="0"/>
    <x v="227"/>
    <d v="2018-06-05T00:00:00"/>
    <x v="0"/>
    <n v="1"/>
    <s v="Vinay"/>
    <x v="0"/>
    <s v="Construction, Power &amp; Infrastructure"/>
    <s v="Cross Sell"/>
    <n v="2887.38"/>
    <d v="2017-07-06T00:00:00"/>
    <s v="Brokerage"/>
    <x v="0"/>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DDD"/>
    <n v="9.9E+19"/>
    <x v="0"/>
    <x v="227"/>
    <d v="2018-06-05T00:00:00"/>
    <x v="0"/>
    <n v="1"/>
    <s v="Vinay"/>
    <x v="0"/>
    <s v="Construction, Power &amp; Infrastructure"/>
    <s v="Cross Sell"/>
    <n v="2887.38"/>
    <d v="2017-07-06T00:00:00"/>
    <s v="Brokerage"/>
    <x v="0"/>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DDD"/>
    <n v="9.9E+19"/>
    <x v="0"/>
    <x v="227"/>
    <d v="2018-06-05T00:00:00"/>
    <x v="0"/>
    <n v="1"/>
    <s v="Vinay"/>
    <x v="0"/>
    <s v="Construction, Power &amp; Infrastructure"/>
    <s v="Cross Sell"/>
    <n v="2887.38"/>
    <d v="2017-07-06T00:00:00"/>
    <s v="Brokerage"/>
    <x v="0"/>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DDD"/>
    <n v="9.9E+19"/>
    <x v="0"/>
    <x v="227"/>
    <d v="2018-06-05T00:00:00"/>
    <x v="0"/>
    <n v="1"/>
    <s v="Vinay"/>
    <x v="0"/>
    <s v="Construction, Power &amp; Infrastructure"/>
    <s v="Cross Sell"/>
    <n v="2887.38"/>
    <d v="2017-07-06T00:00:00"/>
    <s v="Brokerage"/>
    <x v="0"/>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DDD"/>
    <n v="9.9E+19"/>
    <x v="0"/>
    <x v="227"/>
    <d v="2018-06-05T00:00:00"/>
    <x v="0"/>
    <n v="1"/>
    <s v="Vinay"/>
    <x v="0"/>
    <s v="Construction, Power &amp; Infrastructure"/>
    <s v="Cross Sell"/>
    <n v="2887.38"/>
    <d v="2017-07-06T00:00:00"/>
    <s v="Brokerage"/>
    <x v="0"/>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DDD"/>
    <n v="9.9E+19"/>
    <x v="0"/>
    <x v="227"/>
    <d v="2018-06-05T00:00:00"/>
    <x v="0"/>
    <n v="1"/>
    <s v="Vinay"/>
    <x v="0"/>
    <s v="Construction, Power &amp; Infrastructure"/>
    <s v="Cross Sell"/>
    <n v="2887.38"/>
    <d v="2017-07-06T00:00:00"/>
    <s v="Brokerage"/>
    <x v="0"/>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DDD"/>
    <n v="9.9E+19"/>
    <x v="0"/>
    <x v="227"/>
    <d v="2018-06-05T00:00:00"/>
    <x v="0"/>
    <n v="1"/>
    <s v="Vinay"/>
    <x v="0"/>
    <s v="Construction, Power &amp; Infrastructure"/>
    <s v="Cross Sell"/>
    <n v="2887.38"/>
    <d v="2017-07-06T00:00:00"/>
    <s v="Brokerage"/>
    <x v="0"/>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DDD"/>
    <n v="9.9E+19"/>
    <x v="0"/>
    <x v="227"/>
    <d v="2018-06-05T00:00:00"/>
    <x v="0"/>
    <n v="1"/>
    <s v="Vinay"/>
    <x v="0"/>
    <s v="Construction, Power &amp; Infrastructure"/>
    <s v="Cross Sell"/>
    <n v="2887.38"/>
    <d v="2017-07-06T00:00:00"/>
    <s v="Brokerage"/>
    <x v="0"/>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DDD"/>
    <n v="9.9E+19"/>
    <x v="0"/>
    <x v="227"/>
    <d v="2018-06-05T00:00:00"/>
    <x v="0"/>
    <n v="1"/>
    <s v="Vinay"/>
    <x v="0"/>
    <s v="Construction, Power &amp; Infrastructure"/>
    <s v="Cross Sell"/>
    <n v="2887.38"/>
    <d v="2017-07-06T00:00:00"/>
    <s v="Brokerage"/>
    <x v="0"/>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DDD"/>
    <s v="'99000021180100000013"/>
    <x v="0"/>
    <x v="58"/>
    <d v="2020-01-28T00:00:00"/>
    <x v="0"/>
    <n v="1"/>
    <s v="Vinay"/>
    <x v="0"/>
    <s v="Marine"/>
    <s v="Cross Sell"/>
    <n v="11539.77"/>
    <d v="2019-01-29T00:00:00"/>
    <s v="Brokerage"/>
    <x v="0"/>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DDD"/>
    <s v="'99000021180100000013"/>
    <x v="0"/>
    <x v="58"/>
    <d v="2020-01-28T00:00:00"/>
    <x v="0"/>
    <n v="1"/>
    <s v="Vinay"/>
    <x v="0"/>
    <s v="Marine"/>
    <s v="Cross Sell"/>
    <n v="11539.77"/>
    <d v="2019-01-29T00:00:00"/>
    <s v="Brokerage"/>
    <x v="0"/>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DDD"/>
    <s v="'99000021180100000013"/>
    <x v="0"/>
    <x v="58"/>
    <d v="2020-01-28T00:00:00"/>
    <x v="0"/>
    <n v="1"/>
    <s v="Vinay"/>
    <x v="0"/>
    <s v="Marine"/>
    <s v="Cross Sell"/>
    <n v="11539.77"/>
    <d v="2019-01-29T00:00:00"/>
    <s v="Brokerage"/>
    <x v="0"/>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DDD"/>
    <s v="'99000021180100000013"/>
    <x v="0"/>
    <x v="58"/>
    <d v="2020-01-28T00:00:00"/>
    <x v="0"/>
    <n v="1"/>
    <s v="Vinay"/>
    <x v="0"/>
    <s v="Marine"/>
    <s v="Cross Sell"/>
    <n v="11539.77"/>
    <d v="2019-01-29T00:00:00"/>
    <s v="Brokerage"/>
    <x v="0"/>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DDD"/>
    <s v="'99000021180100000013"/>
    <x v="0"/>
    <x v="58"/>
    <d v="2020-01-28T00:00:00"/>
    <x v="0"/>
    <n v="1"/>
    <s v="Vinay"/>
    <x v="0"/>
    <s v="Marine"/>
    <s v="Cross Sell"/>
    <n v="11539.77"/>
    <d v="2019-01-29T00:00:00"/>
    <s v="Brokerage"/>
    <x v="0"/>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DDD"/>
    <s v="'99000021180100000013"/>
    <x v="0"/>
    <x v="58"/>
    <d v="2020-01-28T00:00:00"/>
    <x v="0"/>
    <n v="1"/>
    <s v="Vinay"/>
    <x v="0"/>
    <s v="Marine"/>
    <s v="Cross Sell"/>
    <n v="11539.77"/>
    <d v="2019-01-29T00:00:00"/>
    <s v="Brokerage"/>
    <x v="0"/>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DDD"/>
    <s v="'99000021180100000013"/>
    <x v="0"/>
    <x v="58"/>
    <d v="2020-01-28T00:00:00"/>
    <x v="0"/>
    <n v="1"/>
    <s v="Vinay"/>
    <x v="0"/>
    <s v="Marine"/>
    <s v="Cross Sell"/>
    <n v="11539.77"/>
    <d v="2019-01-29T00:00:00"/>
    <s v="Brokerage"/>
    <x v="0"/>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DDD"/>
    <s v="'99000021180100000013"/>
    <x v="0"/>
    <x v="58"/>
    <d v="2020-01-28T00:00:00"/>
    <x v="0"/>
    <n v="1"/>
    <s v="Vinay"/>
    <x v="0"/>
    <s v="Marine"/>
    <s v="Cross Sell"/>
    <n v="11539.77"/>
    <d v="2019-01-29T00:00:00"/>
    <s v="Brokerage"/>
    <x v="0"/>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DDD"/>
    <s v="'99000021180100000013"/>
    <x v="0"/>
    <x v="58"/>
    <d v="2020-01-28T00:00:00"/>
    <x v="0"/>
    <n v="1"/>
    <s v="Vinay"/>
    <x v="0"/>
    <s v="Marine"/>
    <s v="Cross Sell"/>
    <n v="11539.77"/>
    <d v="2019-01-29T00:00:00"/>
    <s v="Brokerage"/>
    <x v="0"/>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DDD"/>
    <s v="'99000021180100000013"/>
    <x v="0"/>
    <x v="58"/>
    <d v="2020-01-28T00:00:00"/>
    <x v="0"/>
    <n v="1"/>
    <s v="Vinay"/>
    <x v="0"/>
    <s v="Marine"/>
    <s v="Cross Sell"/>
    <n v="11539.77"/>
    <d v="2019-01-29T00:00:00"/>
    <s v="Brokerage"/>
    <x v="0"/>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DDD"/>
    <s v="'99000021180100000013"/>
    <x v="0"/>
    <x v="58"/>
    <d v="2020-01-28T00:00:00"/>
    <x v="0"/>
    <n v="1"/>
    <s v="Vinay"/>
    <x v="0"/>
    <s v="Marine"/>
    <s v="Cross Sell"/>
    <n v="11539.77"/>
    <d v="2019-01-29T00:00:00"/>
    <s v="Brokerage"/>
    <x v="0"/>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DDD"/>
    <s v="'99000021180100000013"/>
    <x v="0"/>
    <x v="58"/>
    <d v="2020-01-28T00:00:00"/>
    <x v="0"/>
    <n v="1"/>
    <s v="Vinay"/>
    <x v="0"/>
    <s v="Marine"/>
    <s v="Cross Sell"/>
    <n v="11539.77"/>
    <d v="2019-01-29T00:00:00"/>
    <s v="Brokerage"/>
    <x v="0"/>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DDD"/>
    <s v="'99000021180100000013"/>
    <x v="0"/>
    <x v="58"/>
    <d v="2020-01-28T00:00:00"/>
    <x v="0"/>
    <n v="1"/>
    <s v="Vinay"/>
    <x v="0"/>
    <s v="Marine"/>
    <s v="Cross Sell"/>
    <n v="11539.77"/>
    <d v="2019-01-29T00:00:00"/>
    <s v="Brokerage"/>
    <x v="0"/>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DDD"/>
    <s v="'99000021180100000013"/>
    <x v="0"/>
    <x v="58"/>
    <d v="2020-01-28T00:00:00"/>
    <x v="0"/>
    <n v="1"/>
    <s v="Vinay"/>
    <x v="0"/>
    <s v="Marine"/>
    <s v="Cross Sell"/>
    <n v="11539.77"/>
    <d v="2019-01-29T00:00:00"/>
    <s v="Brokerage"/>
    <x v="0"/>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DDD"/>
    <s v="'99000021180100000013"/>
    <x v="0"/>
    <x v="58"/>
    <d v="2020-01-28T00:00:00"/>
    <x v="0"/>
    <n v="1"/>
    <s v="Vinay"/>
    <x v="0"/>
    <s v="Marine"/>
    <s v="Cross Sell"/>
    <n v="11539.77"/>
    <d v="2019-01-29T00:00:00"/>
    <s v="Brokerage"/>
    <x v="0"/>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DDD"/>
    <s v="'99000021180100000013"/>
    <x v="0"/>
    <x v="58"/>
    <d v="2020-01-28T00:00:00"/>
    <x v="0"/>
    <n v="1"/>
    <s v="Vinay"/>
    <x v="0"/>
    <s v="Marine"/>
    <s v="Cross Sell"/>
    <n v="11539.77"/>
    <d v="2019-01-29T00:00:00"/>
    <s v="Brokerage"/>
    <x v="0"/>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DDD"/>
    <s v="'99000021180100000013"/>
    <x v="0"/>
    <x v="58"/>
    <d v="2020-01-28T00:00:00"/>
    <x v="0"/>
    <n v="1"/>
    <s v="Vinay"/>
    <x v="0"/>
    <s v="Marine"/>
    <s v="Cross Sell"/>
    <n v="11539.77"/>
    <d v="2019-01-29T00:00:00"/>
    <s v="Brokerage"/>
    <x v="0"/>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DDD"/>
    <s v="'99000021180100000013"/>
    <x v="0"/>
    <x v="58"/>
    <d v="2020-01-28T00:00:00"/>
    <x v="0"/>
    <n v="1"/>
    <s v="Vinay"/>
    <x v="0"/>
    <s v="Marine"/>
    <s v="Cross Sell"/>
    <n v="11539.77"/>
    <d v="2019-01-29T00:00:00"/>
    <s v="Brokerage"/>
    <x v="0"/>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DDD"/>
    <s v="'99000021180100000013"/>
    <x v="0"/>
    <x v="58"/>
    <d v="2020-01-28T00:00:00"/>
    <x v="0"/>
    <n v="1"/>
    <s v="Vinay"/>
    <x v="0"/>
    <s v="Marine"/>
    <s v="Cross Sell"/>
    <n v="11539.77"/>
    <d v="2019-01-29T00:00:00"/>
    <s v="Brokerage"/>
    <x v="0"/>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DDD"/>
    <s v="'99000021180100000013"/>
    <x v="0"/>
    <x v="58"/>
    <d v="2020-01-28T00:00:00"/>
    <x v="0"/>
    <n v="1"/>
    <s v="Vinay"/>
    <x v="0"/>
    <s v="Marine"/>
    <s v="Cross Sell"/>
    <n v="11539.77"/>
    <d v="2019-01-29T00:00:00"/>
    <s v="Brokerage"/>
    <x v="0"/>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DDD"/>
    <s v="'99000036181500000054"/>
    <x v="0"/>
    <x v="5"/>
    <d v="2020-01-31T00:00:00"/>
    <x v="4"/>
    <n v="1"/>
    <s v="Vinay"/>
    <x v="0"/>
    <s v="Liability"/>
    <s v="Cross Sell"/>
    <n v="21875"/>
    <d v="2019-02-01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DDD"/>
    <s v="'99000036181500000054"/>
    <x v="0"/>
    <x v="5"/>
    <d v="2020-01-31T00:00:00"/>
    <x v="4"/>
    <n v="1"/>
    <s v="Vinay"/>
    <x v="0"/>
    <s v="Liability"/>
    <s v="Cross Sell"/>
    <n v="21875"/>
    <d v="2019-02-01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DDD"/>
    <s v="'99000036181500000054"/>
    <x v="0"/>
    <x v="5"/>
    <d v="2020-01-31T00:00:00"/>
    <x v="4"/>
    <n v="1"/>
    <s v="Vinay"/>
    <x v="0"/>
    <s v="Liability"/>
    <s v="Cross Sell"/>
    <n v="21875"/>
    <d v="2019-02-01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DDD"/>
    <s v="'99000036181500000054"/>
    <x v="0"/>
    <x v="5"/>
    <d v="2020-01-31T00:00:00"/>
    <x v="4"/>
    <n v="1"/>
    <s v="Vinay"/>
    <x v="0"/>
    <s v="Liability"/>
    <s v="Cross Sell"/>
    <n v="21875"/>
    <d v="2019-02-01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DDD"/>
    <s v="'99000036181500000054"/>
    <x v="0"/>
    <x v="5"/>
    <d v="2020-01-31T00:00:00"/>
    <x v="4"/>
    <n v="1"/>
    <s v="Vinay"/>
    <x v="0"/>
    <s v="Liability"/>
    <s v="Cross Sell"/>
    <n v="21875"/>
    <d v="2019-02-01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DDD"/>
    <n v="9.9E+19"/>
    <x v="0"/>
    <x v="228"/>
    <d v="2019-01-08T00:00:00"/>
    <x v="5"/>
    <n v="1"/>
    <s v="Vinay"/>
    <x v="0"/>
    <s v="Construction, Power &amp; Infrastructure"/>
    <s v="Cross Sell"/>
    <n v="8588.56"/>
    <d v="2017-04-10T00:00:00"/>
    <s v="Brokerage"/>
    <x v="0"/>
    <s v="OTHR - Other"/>
    <d v="2020-01-22T00:00:00"/>
    <s v="Other"/>
    <m/>
    <m/>
    <m/>
    <m/>
    <m/>
    <m/>
    <m/>
    <m/>
    <m/>
    <m/>
    <m/>
    <m/>
    <m/>
    <m/>
    <m/>
    <m/>
    <m/>
    <m/>
    <m/>
    <m/>
  </r>
  <r>
    <s v="DDD"/>
    <n v="9.9E+19"/>
    <x v="0"/>
    <x v="229"/>
    <d v="2018-08-07T00:00:00"/>
    <x v="5"/>
    <n v="1"/>
    <s v="Vinay"/>
    <x v="0"/>
    <s v="Construction, Power &amp; Infrastructure"/>
    <s v="Cross Sell"/>
    <n v="3050.6"/>
    <d v="2017-02-08T00:00:00"/>
    <s v="Brokerage"/>
    <x v="0"/>
    <s v="OTHR - Other"/>
    <d v="2020-01-22T00:00:00"/>
    <s v="Other"/>
    <m/>
    <m/>
    <m/>
    <m/>
    <m/>
    <m/>
    <m/>
    <m/>
    <m/>
    <m/>
    <m/>
    <m/>
    <m/>
    <m/>
    <m/>
    <m/>
    <m/>
    <m/>
    <m/>
    <m/>
  </r>
  <r>
    <s v="DDD"/>
    <n v="9.9E+19"/>
    <x v="0"/>
    <x v="229"/>
    <d v="2018-08-07T00:00:00"/>
    <x v="5"/>
    <n v="1"/>
    <s v="Vinay"/>
    <x v="0"/>
    <s v="Construction, Power &amp; Infrastructure"/>
    <s v="Cross Sell"/>
    <n v="3050.6"/>
    <d v="2017-08-07T00:00:00"/>
    <s v="Brokerage"/>
    <x v="0"/>
    <s v="OTHR - Other"/>
    <d v="2020-01-22T00:00:00"/>
    <s v="Other"/>
    <m/>
    <m/>
    <m/>
    <m/>
    <m/>
    <m/>
    <m/>
    <m/>
    <m/>
    <m/>
    <m/>
    <m/>
    <m/>
    <m/>
    <m/>
    <m/>
    <m/>
    <m/>
    <m/>
    <m/>
  </r>
  <r>
    <s v="DDD"/>
    <n v="9.9E+19"/>
    <x v="0"/>
    <x v="230"/>
    <d v="2018-04-19T00:00:00"/>
    <x v="5"/>
    <n v="1"/>
    <s v="Vinay"/>
    <x v="0"/>
    <s v="Construction, Power &amp; Infrastructure"/>
    <s v="Cross Sell"/>
    <n v="40309.5"/>
    <d v="2017-12-30T00:00:00"/>
    <s v="Brokerage"/>
    <x v="0"/>
    <s v="OTHR - Other"/>
    <d v="2020-01-22T00:00:00"/>
    <s v="Other"/>
    <m/>
    <m/>
    <m/>
    <m/>
    <m/>
    <m/>
    <m/>
    <m/>
    <m/>
    <m/>
    <m/>
    <m/>
    <m/>
    <m/>
    <m/>
    <m/>
    <m/>
    <m/>
    <m/>
    <m/>
  </r>
  <r>
    <s v="DDD"/>
    <n v="9.9E+19"/>
    <x v="0"/>
    <x v="230"/>
    <d v="2018-04-19T00:00:00"/>
    <x v="5"/>
    <n v="1"/>
    <s v="Vinay"/>
    <x v="0"/>
    <s v="Construction, Power &amp; Infrastructure"/>
    <s v="Cross Sell"/>
    <n v="40309.68"/>
    <d v="2017-02-06T00:00:00"/>
    <s v="Brokerage"/>
    <x v="0"/>
    <s v="OTHR - Other"/>
    <d v="2020-01-22T00:00:00"/>
    <s v="Other"/>
    <m/>
    <m/>
    <m/>
    <m/>
    <m/>
    <m/>
    <m/>
    <m/>
    <m/>
    <m/>
    <m/>
    <m/>
    <m/>
    <m/>
    <m/>
    <m/>
    <m/>
    <m/>
    <m/>
    <m/>
  </r>
  <r>
    <s v="DDD"/>
    <n v="9.9E+19"/>
    <x v="0"/>
    <x v="230"/>
    <d v="2018-04-19T00:00:00"/>
    <x v="5"/>
    <n v="1"/>
    <s v="Vinay"/>
    <x v="0"/>
    <s v="Construction, Power &amp; Infrastructure"/>
    <s v="Cross Sell"/>
    <n v="40309.68"/>
    <d v="2017-05-25T00:00:00"/>
    <s v="Brokerage"/>
    <x v="0"/>
    <s v="OTHR - Other"/>
    <d v="2020-01-22T00:00:00"/>
    <s v="Other"/>
    <m/>
    <m/>
    <m/>
    <m/>
    <m/>
    <m/>
    <m/>
    <m/>
    <m/>
    <m/>
    <m/>
    <m/>
    <m/>
    <m/>
    <m/>
    <m/>
    <m/>
    <m/>
    <m/>
    <m/>
  </r>
  <r>
    <s v="DDD"/>
    <n v="9.9E+19"/>
    <x v="0"/>
    <x v="230"/>
    <d v="2018-04-19T00:00:00"/>
    <x v="5"/>
    <n v="1"/>
    <s v="Vinay"/>
    <x v="0"/>
    <s v="Construction, Power &amp; Infrastructure"/>
    <s v="Cross Sell"/>
    <n v="40309.68"/>
    <d v="2017-09-12T00:00:00"/>
    <s v="Brokerage"/>
    <x v="0"/>
    <s v="OTHR - Other"/>
    <d v="2020-01-22T00:00:00"/>
    <s v="Other"/>
    <m/>
    <m/>
    <m/>
    <m/>
    <m/>
    <m/>
    <m/>
    <m/>
    <m/>
    <m/>
    <m/>
    <m/>
    <m/>
    <m/>
    <m/>
    <m/>
    <m/>
    <m/>
    <m/>
    <m/>
  </r>
  <r>
    <s v="DDD"/>
    <n v="9.9E+19"/>
    <x v="0"/>
    <x v="230"/>
    <d v="2018-04-19T00:00:00"/>
    <x v="5"/>
    <n v="1"/>
    <s v="Vinay"/>
    <x v="0"/>
    <s v="Construction, Power &amp; Infrastructure"/>
    <s v="Cross Sell"/>
    <n v="50909.599999999999"/>
    <d v="2016-10-20T00:00:00"/>
    <s v="Brokerage"/>
    <x v="0"/>
    <s v="OTHR - Other"/>
    <d v="2020-01-22T00:00:00"/>
    <s v="Other"/>
    <m/>
    <m/>
    <m/>
    <m/>
    <m/>
    <m/>
    <m/>
    <m/>
    <m/>
    <m/>
    <m/>
    <m/>
    <m/>
    <m/>
    <m/>
    <m/>
    <m/>
    <m/>
    <m/>
    <m/>
  </r>
  <r>
    <s v="DDD"/>
    <n v="9.9E+19"/>
    <x v="0"/>
    <x v="231"/>
    <d v="2018-07-26T00:00:00"/>
    <x v="5"/>
    <n v="1"/>
    <s v="Vinay"/>
    <x v="0"/>
    <s v="Construction, Power &amp; Infrastructure"/>
    <s v="Cross Sell"/>
    <n v="31079.56"/>
    <d v="2017-03-27T00:00:00"/>
    <s v="Brokerage"/>
    <x v="0"/>
    <s v="OTHR - Other"/>
    <d v="2020-01-22T00:00:00"/>
    <s v="Other"/>
    <m/>
    <m/>
    <m/>
    <m/>
    <m/>
    <m/>
    <m/>
    <m/>
    <m/>
    <m/>
    <m/>
    <m/>
    <m/>
    <m/>
    <m/>
    <m/>
    <m/>
    <m/>
    <m/>
    <m/>
  </r>
  <r>
    <s v="DDD"/>
    <n v="9.9E+19"/>
    <x v="0"/>
    <x v="231"/>
    <d v="2018-07-26T00:00:00"/>
    <x v="5"/>
    <n v="1"/>
    <s v="Vinay"/>
    <x v="0"/>
    <s v="Construction, Power &amp; Infrastructure"/>
    <s v="Cross Sell"/>
    <n v="31079.56"/>
    <d v="2017-06-27T00:00:00"/>
    <s v="Brokerage"/>
    <x v="0"/>
    <s v="OTHR - Other"/>
    <d v="2020-01-22T00:00:00"/>
    <s v="Other"/>
    <m/>
    <m/>
    <m/>
    <m/>
    <m/>
    <m/>
    <m/>
    <m/>
    <m/>
    <m/>
    <m/>
    <m/>
    <m/>
    <m/>
    <m/>
    <m/>
    <m/>
    <m/>
    <m/>
    <m/>
  </r>
  <r>
    <s v="DDD"/>
    <n v="9.9E+19"/>
    <x v="0"/>
    <x v="231"/>
    <d v="2018-07-26T00:00:00"/>
    <x v="5"/>
    <n v="1"/>
    <s v="Vinay"/>
    <x v="0"/>
    <s v="Construction, Power &amp; Infrastructure"/>
    <s v="Cross Sell"/>
    <n v="31079.56"/>
    <d v="2017-09-27T00:00:00"/>
    <s v="Brokerage"/>
    <x v="0"/>
    <s v="OTHR - Other"/>
    <d v="2020-01-22T00:00:00"/>
    <s v="Other"/>
    <m/>
    <m/>
    <m/>
    <m/>
    <m/>
    <m/>
    <m/>
    <m/>
    <m/>
    <m/>
    <m/>
    <m/>
    <m/>
    <m/>
    <m/>
    <m/>
    <m/>
    <m/>
    <m/>
    <m/>
  </r>
  <r>
    <s v="DDD"/>
    <n v="9.9E+19"/>
    <x v="0"/>
    <x v="231"/>
    <d v="2018-07-26T00:00:00"/>
    <x v="5"/>
    <n v="1"/>
    <s v="Vinay"/>
    <x v="0"/>
    <s v="Construction, Power &amp; Infrastructure"/>
    <s v="Cross Sell"/>
    <n v="31088.49"/>
    <d v="2017-12-27T00:00:00"/>
    <s v="Brokerage"/>
    <x v="0"/>
    <s v="OTHR - Other"/>
    <d v="2020-01-22T00:00:00"/>
    <s v="Other"/>
    <m/>
    <m/>
    <m/>
    <m/>
    <m/>
    <m/>
    <m/>
    <m/>
    <m/>
    <m/>
    <m/>
    <m/>
    <m/>
    <m/>
    <m/>
    <m/>
    <m/>
    <m/>
    <m/>
    <m/>
  </r>
  <r>
    <s v="DDD"/>
    <n v="9.9E+19"/>
    <x v="0"/>
    <x v="231"/>
    <d v="2018-07-26T00:00:00"/>
    <x v="5"/>
    <n v="1"/>
    <s v="Vinay"/>
    <x v="0"/>
    <s v="Construction, Power &amp; Infrastructure"/>
    <s v="Cross Sell"/>
    <n v="39249.53"/>
    <d v="2016-12-27T00:00:00"/>
    <s v="Brokerage"/>
    <x v="0"/>
    <s v="OTHR - Other"/>
    <d v="2020-01-22T00:00:00"/>
    <s v="Other"/>
    <m/>
    <m/>
    <m/>
    <m/>
    <m/>
    <m/>
    <m/>
    <m/>
    <m/>
    <m/>
    <m/>
    <m/>
    <m/>
    <m/>
    <m/>
    <m/>
    <m/>
    <m/>
    <m/>
    <m/>
  </r>
  <r>
    <s v="DDD"/>
    <n v="9.9E+19"/>
    <x v="0"/>
    <x v="232"/>
    <d v="2018-03-28T00:00:00"/>
    <x v="2"/>
    <n v="1"/>
    <s v="Vinay"/>
    <x v="0"/>
    <s v="Construction, Power &amp; Infrastructure"/>
    <s v="Cross Sell"/>
    <n v="8961.75"/>
    <d v="2017-03-29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DDD"/>
    <n v="9.9E+19"/>
    <x v="0"/>
    <x v="232"/>
    <d v="2018-03-28T00:00:00"/>
    <x v="2"/>
    <n v="1"/>
    <s v="Vinay"/>
    <x v="0"/>
    <s v="Construction, Power &amp; Infrastructure"/>
    <s v="Cross Sell"/>
    <n v="8961.75"/>
    <d v="2017-03-29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DDD"/>
    <n v="9.9E+19"/>
    <x v="0"/>
    <x v="232"/>
    <d v="2018-03-28T00:00:00"/>
    <x v="2"/>
    <n v="1"/>
    <s v="Vinay"/>
    <x v="0"/>
    <s v="Construction, Power &amp; Infrastructure"/>
    <s v="Cross Sell"/>
    <n v="8961.75"/>
    <d v="2017-03-29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DDD"/>
    <n v="9.9E+19"/>
    <x v="0"/>
    <x v="232"/>
    <d v="2018-03-28T00:00:00"/>
    <x v="2"/>
    <n v="1"/>
    <s v="Vinay"/>
    <x v="0"/>
    <s v="Construction, Power &amp; Infrastructure"/>
    <s v="Cross Sell"/>
    <n v="8961.75"/>
    <d v="2017-03-29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DDD"/>
    <n v="9.9E+19"/>
    <x v="0"/>
    <x v="232"/>
    <d v="2018-03-28T00:00:00"/>
    <x v="2"/>
    <n v="1"/>
    <s v="Vinay"/>
    <x v="0"/>
    <s v="Construction, Power &amp; Infrastructure"/>
    <s v="Cross Sell"/>
    <n v="8961.75"/>
    <d v="2017-03-29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DDD"/>
    <n v="9.9E+19"/>
    <x v="0"/>
    <x v="233"/>
    <d v="2018-08-06T00:00:00"/>
    <x v="5"/>
    <n v="1"/>
    <s v="Vinay"/>
    <x v="0"/>
    <s v="Construction, Power &amp; Infrastructure"/>
    <s v="Cross Sell"/>
    <n v="877.71"/>
    <d v="2018-08-06T00:00:00"/>
    <s v="Brokerage"/>
    <x v="0"/>
    <s v="OTHR - Other"/>
    <d v="2020-01-22T00:00:00"/>
    <s v="Other"/>
    <m/>
    <m/>
    <m/>
    <m/>
    <m/>
    <m/>
    <m/>
    <m/>
    <m/>
    <m/>
    <m/>
    <m/>
    <m/>
    <m/>
    <m/>
    <m/>
    <m/>
    <m/>
    <m/>
    <m/>
  </r>
  <r>
    <s v="DDD"/>
    <n v="9.9E+19"/>
    <x v="1"/>
    <x v="234"/>
    <d v="2018-06-16T00:00:00"/>
    <x v="5"/>
    <n v="1"/>
    <s v="Vinay"/>
    <x v="0"/>
    <s v="Construction, Power &amp; Infrastructure"/>
    <s v="Cross Sell"/>
    <n v="8107.49"/>
    <d v="2018-07-16T00:00:00"/>
    <s v="Brokerage"/>
    <x v="0"/>
    <s v="OTHR - Other"/>
    <d v="2020-01-22T00:00:00"/>
    <s v="Other"/>
    <m/>
    <m/>
    <m/>
    <m/>
    <m/>
    <m/>
    <m/>
    <m/>
    <m/>
    <m/>
    <m/>
    <m/>
    <m/>
    <m/>
    <m/>
    <m/>
    <m/>
    <m/>
    <m/>
    <m/>
  </r>
  <r>
    <s v="DDD"/>
    <n v="9.9E+19"/>
    <x v="0"/>
    <x v="220"/>
    <d v="2018-07-05T00:00:00"/>
    <x v="5"/>
    <n v="1"/>
    <s v="Vinay"/>
    <x v="0"/>
    <s v="Construction, Power &amp; Infrastructure"/>
    <s v="Cross Sell"/>
    <n v="7398.74"/>
    <d v="2018-07-05T00:00:00"/>
    <s v="Brokerage"/>
    <x v="0"/>
    <s v="OTHR - Other"/>
    <d v="2020-01-22T00:00:00"/>
    <s v="Other"/>
    <m/>
    <m/>
    <m/>
    <m/>
    <m/>
    <m/>
    <m/>
    <m/>
    <m/>
    <m/>
    <m/>
    <m/>
    <m/>
    <m/>
    <m/>
    <m/>
    <m/>
    <m/>
    <m/>
    <m/>
  </r>
  <r>
    <s v="DDD"/>
    <n v="9.9E+19"/>
    <x v="0"/>
    <x v="235"/>
    <d v="2018-10-08T00:00:00"/>
    <x v="5"/>
    <n v="1"/>
    <s v="Vinay"/>
    <x v="0"/>
    <s v="Construction, Power &amp; Infrastructure"/>
    <s v="Cross Sell"/>
    <n v="15429.84"/>
    <d v="2017-10-09T00:00:00"/>
    <s v="Brokerage"/>
    <x v="0"/>
    <s v="OTHR - Other"/>
    <d v="2020-01-22T00:00:00"/>
    <s v="Other"/>
    <m/>
    <m/>
    <m/>
    <m/>
    <m/>
    <m/>
    <m/>
    <m/>
    <m/>
    <m/>
    <m/>
    <m/>
    <m/>
    <m/>
    <m/>
    <m/>
    <m/>
    <m/>
    <m/>
    <m/>
  </r>
  <r>
    <s v="DDD"/>
    <s v="'99000044175800000017"/>
    <x v="1"/>
    <x v="221"/>
    <d v="2019-02-13T00:00:00"/>
    <x v="2"/>
    <n v="1"/>
    <s v="Vinay"/>
    <x v="0"/>
    <s v="Construction, Power &amp; Infrastructure"/>
    <s v="Cross Sell"/>
    <n v="3120.25"/>
    <d v="2018-02-14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DDD"/>
    <s v="'99000044175800000017"/>
    <x v="1"/>
    <x v="221"/>
    <d v="2019-02-13T00:00:00"/>
    <x v="2"/>
    <n v="1"/>
    <s v="Vinay"/>
    <x v="0"/>
    <s v="Construction, Power &amp; Infrastructure"/>
    <s v="Cross Sell"/>
    <n v="3120.25"/>
    <d v="2018-02-14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DDD"/>
    <s v="'99000044175800000017"/>
    <x v="1"/>
    <x v="221"/>
    <d v="2019-02-13T00:00:00"/>
    <x v="2"/>
    <n v="1"/>
    <s v="Vinay"/>
    <x v="0"/>
    <s v="Construction, Power &amp; Infrastructure"/>
    <s v="Cross Sell"/>
    <n v="3120.25"/>
    <d v="2018-02-14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DDD"/>
    <s v="'99000044175800000017"/>
    <x v="1"/>
    <x v="221"/>
    <d v="2019-02-13T00:00:00"/>
    <x v="2"/>
    <n v="1"/>
    <s v="Vinay"/>
    <x v="0"/>
    <s v="Construction, Power &amp; Infrastructure"/>
    <s v="Cross Sell"/>
    <n v="3120.25"/>
    <d v="2018-02-14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DDD"/>
    <s v="'99000044175800000017"/>
    <x v="1"/>
    <x v="221"/>
    <d v="2019-02-13T00:00:00"/>
    <x v="2"/>
    <n v="1"/>
    <s v="Vinay"/>
    <x v="0"/>
    <s v="Construction, Power &amp; Infrastructure"/>
    <s v="Cross Sell"/>
    <n v="3120.25"/>
    <d v="2018-02-14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DDD"/>
    <s v="'99000044180300000004"/>
    <x v="1"/>
    <x v="236"/>
    <d v="2019-04-19T00:00:00"/>
    <x v="5"/>
    <n v="1"/>
    <s v="Vinay"/>
    <x v="0"/>
    <s v="Construction, Power &amp; Infrastructure"/>
    <s v="Cross Sell"/>
    <n v="70725.990000000005"/>
    <d v="2018-04-20T00:00:00"/>
    <s v="Brokerage"/>
    <x v="3"/>
    <s v="JCOM - Job Completed"/>
    <d v="2020-01-22T00:00:00"/>
    <s v="JCOM - Job Completed"/>
    <m/>
    <m/>
    <m/>
    <m/>
    <m/>
    <m/>
    <m/>
    <m/>
    <m/>
    <m/>
    <m/>
    <m/>
    <m/>
    <m/>
    <m/>
    <m/>
    <m/>
    <m/>
    <m/>
    <m/>
  </r>
  <r>
    <s v="DDD"/>
    <s v="'99000044180300000009"/>
    <x v="0"/>
    <x v="237"/>
    <d v="2020-10-30T00:00:00"/>
    <x v="5"/>
    <n v="1"/>
    <s v="Vinay"/>
    <x v="0"/>
    <s v="Construction, Power &amp; Infrastructure"/>
    <s v="Cross Sell"/>
    <n v="4278.13"/>
    <d v="2019-12-27T00:00:00"/>
    <s v="Brokerage"/>
    <x v="0"/>
    <s v="OTHR - Other"/>
    <d v="2020-01-22T00:00:00"/>
    <s v="Other"/>
    <m/>
    <m/>
    <m/>
    <m/>
    <m/>
    <m/>
    <m/>
    <m/>
    <m/>
    <m/>
    <m/>
    <m/>
    <m/>
    <m/>
    <m/>
    <m/>
    <m/>
    <m/>
    <m/>
    <m/>
  </r>
  <r>
    <s v="DDD"/>
    <s v="'99000044180300000009"/>
    <x v="0"/>
    <x v="237"/>
    <d v="2020-10-30T00:00:00"/>
    <x v="5"/>
    <n v="1"/>
    <s v="Vinay"/>
    <x v="0"/>
    <s v="Construction, Power &amp; Infrastructure"/>
    <s v="Cross Sell"/>
    <n v="4278.13"/>
    <d v="2020-04-06T00:00:00"/>
    <s v="Brokerage"/>
    <x v="0"/>
    <s v="OTHR - Other"/>
    <d v="2020-01-22T00:00:00"/>
    <s v="Other"/>
    <m/>
    <m/>
    <m/>
    <m/>
    <m/>
    <m/>
    <m/>
    <m/>
    <m/>
    <m/>
    <m/>
    <m/>
    <m/>
    <m/>
    <m/>
    <m/>
    <m/>
    <m/>
    <m/>
    <m/>
  </r>
  <r>
    <s v="DDD"/>
    <s v="'99000044180300000009"/>
    <x v="0"/>
    <x v="237"/>
    <d v="2020-10-30T00:00:00"/>
    <x v="5"/>
    <n v="1"/>
    <s v="Vinay"/>
    <x v="0"/>
    <s v="Construction, Power &amp; Infrastructure"/>
    <s v="Cross Sell"/>
    <n v="4278.25"/>
    <d v="2020-07-16T00:00:00"/>
    <s v="Brokerage"/>
    <x v="0"/>
    <s v="OTHR - Other"/>
    <d v="2020-01-22T00:00:00"/>
    <s v="Other"/>
    <m/>
    <m/>
    <m/>
    <m/>
    <m/>
    <m/>
    <m/>
    <m/>
    <m/>
    <m/>
    <m/>
    <m/>
    <m/>
    <m/>
    <m/>
    <m/>
    <m/>
    <m/>
    <m/>
    <m/>
  </r>
  <r>
    <s v="DDD"/>
    <s v="'99000044180300000009"/>
    <x v="0"/>
    <x v="237"/>
    <d v="2020-10-30T00:00:00"/>
    <x v="5"/>
    <n v="1"/>
    <s v="Vinay"/>
    <x v="0"/>
    <s v="Construction, Power &amp; Infrastructure"/>
    <s v="Cross Sell"/>
    <n v="4705.88"/>
    <d v="2018-08-09T00:00:00"/>
    <s v="Brokerage"/>
    <x v="0"/>
    <s v="OTHR - Other"/>
    <d v="2020-01-22T00:00:00"/>
    <s v="Other"/>
    <m/>
    <m/>
    <m/>
    <m/>
    <m/>
    <m/>
    <m/>
    <m/>
    <m/>
    <m/>
    <m/>
    <m/>
    <m/>
    <m/>
    <m/>
    <m/>
    <m/>
    <m/>
    <m/>
    <m/>
  </r>
  <r>
    <s v="DDD"/>
    <s v="'99000044180300000009"/>
    <x v="0"/>
    <x v="237"/>
    <d v="2020-10-30T00:00:00"/>
    <x v="5"/>
    <n v="1"/>
    <s v="Vinay"/>
    <x v="0"/>
    <s v="Construction, Power &amp; Infrastructure"/>
    <s v="Cross Sell"/>
    <n v="4705.88"/>
    <d v="2018-11-18T00:00:00"/>
    <s v="Brokerage"/>
    <x v="0"/>
    <s v="OTHR - Other"/>
    <d v="2020-01-22T00:00:00"/>
    <s v="Other"/>
    <m/>
    <m/>
    <m/>
    <m/>
    <m/>
    <m/>
    <m/>
    <m/>
    <m/>
    <m/>
    <m/>
    <m/>
    <m/>
    <m/>
    <m/>
    <m/>
    <m/>
    <m/>
    <m/>
    <m/>
  </r>
  <r>
    <s v="DDD"/>
    <s v="'99000044180300000009"/>
    <x v="0"/>
    <x v="237"/>
    <d v="2020-10-30T00:00:00"/>
    <x v="5"/>
    <n v="1"/>
    <s v="Vinay"/>
    <x v="0"/>
    <s v="Construction, Power &amp; Infrastructure"/>
    <s v="Cross Sell"/>
    <n v="4705.88"/>
    <d v="2019-02-27T00:00:00"/>
    <s v="Brokerage"/>
    <x v="0"/>
    <s v="OTHR - Other"/>
    <d v="2020-01-22T00:00:00"/>
    <s v="Other"/>
    <m/>
    <m/>
    <m/>
    <m/>
    <m/>
    <m/>
    <m/>
    <m/>
    <m/>
    <m/>
    <m/>
    <m/>
    <m/>
    <m/>
    <m/>
    <m/>
    <m/>
    <m/>
    <m/>
    <m/>
  </r>
  <r>
    <s v="DDD"/>
    <s v="'99000044180300000009"/>
    <x v="0"/>
    <x v="237"/>
    <d v="2020-10-30T00:00:00"/>
    <x v="5"/>
    <n v="1"/>
    <s v="Vinay"/>
    <x v="0"/>
    <s v="Construction, Power &amp; Infrastructure"/>
    <s v="Cross Sell"/>
    <n v="4705.88"/>
    <d v="2019-06-08T00:00:00"/>
    <s v="Brokerage"/>
    <x v="0"/>
    <s v="OTHR - Other"/>
    <d v="2020-01-22T00:00:00"/>
    <s v="Other"/>
    <m/>
    <m/>
    <m/>
    <m/>
    <m/>
    <m/>
    <m/>
    <m/>
    <m/>
    <m/>
    <m/>
    <m/>
    <m/>
    <m/>
    <m/>
    <m/>
    <m/>
    <m/>
    <m/>
    <m/>
  </r>
  <r>
    <s v="DDD"/>
    <s v="'99000044180300000009"/>
    <x v="0"/>
    <x v="237"/>
    <d v="2020-10-30T00:00:00"/>
    <x v="5"/>
    <n v="1"/>
    <s v="Vinay"/>
    <x v="0"/>
    <s v="Construction, Power &amp; Infrastructure"/>
    <s v="Cross Sell"/>
    <n v="4705.88"/>
    <d v="2019-09-17T00:00:00"/>
    <s v="Brokerage"/>
    <x v="0"/>
    <s v="OTHR - Other"/>
    <d v="2020-01-22T00:00:00"/>
    <s v="Other"/>
    <m/>
    <m/>
    <m/>
    <m/>
    <m/>
    <m/>
    <m/>
    <m/>
    <m/>
    <m/>
    <m/>
    <m/>
    <m/>
    <m/>
    <m/>
    <m/>
    <m/>
    <m/>
    <m/>
    <m/>
  </r>
  <r>
    <s v="DDD"/>
    <s v="'99000044180300000009"/>
    <x v="0"/>
    <x v="237"/>
    <d v="2020-10-30T00:00:00"/>
    <x v="5"/>
    <n v="1"/>
    <s v="Vinay"/>
    <x v="0"/>
    <s v="Construction, Power &amp; Infrastructure"/>
    <s v="Cross Sell"/>
    <n v="6417.13"/>
    <d v="2018-04-30T00:00:00"/>
    <s v="Brokerage"/>
    <x v="0"/>
    <s v="OTHR - Other"/>
    <d v="2020-01-22T00:00:00"/>
    <s v="Other"/>
    <m/>
    <m/>
    <m/>
    <m/>
    <m/>
    <m/>
    <m/>
    <m/>
    <m/>
    <m/>
    <m/>
    <m/>
    <m/>
    <m/>
    <m/>
    <m/>
    <m/>
    <m/>
    <m/>
    <m/>
  </r>
  <r>
    <s v="DDD"/>
    <s v="'99000044180300000022"/>
    <x v="1"/>
    <x v="238"/>
    <d v="2019-06-26T00:00:00"/>
    <x v="5"/>
    <n v="1"/>
    <s v="Vinay"/>
    <x v="0"/>
    <s v="Construction, Power &amp; Infrastructure"/>
    <s v="Cross Sell"/>
    <n v="81783.89"/>
    <d v="2018-06-27T00:00:00"/>
    <s v="Brokerage"/>
    <x v="3"/>
    <s v="OTHR - Other"/>
    <d v="2020-01-22T00:00:00"/>
    <s v="Other"/>
    <m/>
    <m/>
    <m/>
    <m/>
    <m/>
    <m/>
    <m/>
    <m/>
    <m/>
    <m/>
    <m/>
    <m/>
    <m/>
    <m/>
    <m/>
    <m/>
    <m/>
    <m/>
    <m/>
    <m/>
  </r>
  <r>
    <s v="DDD"/>
    <s v="'99000044180300000047"/>
    <x v="0"/>
    <x v="60"/>
    <d v="2020-08-26T00:00:00"/>
    <x v="5"/>
    <n v="1"/>
    <s v="Vinay"/>
    <x v="0"/>
    <s v="Construction, Power &amp; Infrastructure"/>
    <s v="Cross Sell"/>
    <n v="70935.55"/>
    <d v="2020-02-27T00:00:00"/>
    <s v="Brokerage"/>
    <x v="0"/>
    <s v="OTHR - Other"/>
    <d v="2020-01-22T00:00:00"/>
    <s v="Other"/>
    <m/>
    <m/>
    <m/>
    <m/>
    <m/>
    <m/>
    <m/>
    <m/>
    <m/>
    <m/>
    <m/>
    <m/>
    <m/>
    <m/>
    <m/>
    <m/>
    <m/>
    <m/>
    <m/>
    <m/>
  </r>
  <r>
    <s v="DDD"/>
    <s v="'99000044180300000047"/>
    <x v="0"/>
    <x v="60"/>
    <d v="2020-08-26T00:00:00"/>
    <x v="5"/>
    <n v="1"/>
    <s v="Vinay"/>
    <x v="0"/>
    <s v="Construction, Power &amp; Infrastructure"/>
    <s v="Cross Sell"/>
    <n v="90281.89"/>
    <d v="2018-11-27T00:00:00"/>
    <s v="Brokerage"/>
    <x v="0"/>
    <s v="OTHR - Other"/>
    <d v="2020-01-22T00:00:00"/>
    <s v="Other"/>
    <m/>
    <m/>
    <m/>
    <m/>
    <m/>
    <m/>
    <m/>
    <m/>
    <m/>
    <m/>
    <m/>
    <m/>
    <m/>
    <m/>
    <m/>
    <m/>
    <m/>
    <m/>
    <m/>
    <m/>
  </r>
  <r>
    <s v="DDD"/>
    <s v="'99000044180300000047"/>
    <x v="0"/>
    <x v="60"/>
    <d v="2020-08-26T00:00:00"/>
    <x v="5"/>
    <n v="1"/>
    <s v="Vinay"/>
    <x v="0"/>
    <s v="Construction, Power &amp; Infrastructure"/>
    <s v="Cross Sell"/>
    <n v="90281.89"/>
    <d v="2019-02-27T00:00:00"/>
    <s v="Brokerage"/>
    <x v="0"/>
    <s v="OTHR - Other"/>
    <d v="2020-01-22T00:00:00"/>
    <s v="Other"/>
    <m/>
    <m/>
    <m/>
    <m/>
    <m/>
    <m/>
    <m/>
    <m/>
    <m/>
    <m/>
    <m/>
    <m/>
    <m/>
    <m/>
    <m/>
    <m/>
    <m/>
    <m/>
    <m/>
    <m/>
  </r>
  <r>
    <s v="DDD"/>
    <s v="'99000044180300000047"/>
    <x v="0"/>
    <x v="60"/>
    <d v="2020-08-26T00:00:00"/>
    <x v="5"/>
    <n v="1"/>
    <s v="Vinay"/>
    <x v="0"/>
    <s v="Construction, Power &amp; Infrastructure"/>
    <s v="Cross Sell"/>
    <n v="90281.89"/>
    <d v="2019-05-27T00:00:00"/>
    <s v="Brokerage"/>
    <x v="0"/>
    <s v="OTHR - Other"/>
    <d v="2020-01-22T00:00:00"/>
    <s v="Other"/>
    <m/>
    <m/>
    <m/>
    <m/>
    <m/>
    <m/>
    <m/>
    <m/>
    <m/>
    <m/>
    <m/>
    <m/>
    <m/>
    <m/>
    <m/>
    <m/>
    <m/>
    <m/>
    <m/>
    <m/>
  </r>
  <r>
    <s v="DDD"/>
    <s v="'99000044180300000047"/>
    <x v="0"/>
    <x v="60"/>
    <d v="2020-08-26T00:00:00"/>
    <x v="5"/>
    <n v="1"/>
    <s v="Vinay"/>
    <x v="0"/>
    <s v="Construction, Power &amp; Infrastructure"/>
    <s v="Cross Sell"/>
    <n v="90281.89"/>
    <d v="2019-08-27T00:00:00"/>
    <s v="Brokerage"/>
    <x v="0"/>
    <s v="OTHR - Other"/>
    <d v="2020-01-22T00:00:00"/>
    <s v="Other"/>
    <m/>
    <m/>
    <m/>
    <m/>
    <m/>
    <m/>
    <m/>
    <m/>
    <m/>
    <m/>
    <m/>
    <m/>
    <m/>
    <m/>
    <m/>
    <m/>
    <m/>
    <m/>
    <m/>
    <m/>
  </r>
  <r>
    <s v="DDD"/>
    <s v="'99000044180300000047"/>
    <x v="0"/>
    <x v="60"/>
    <d v="2020-08-26T00:00:00"/>
    <x v="5"/>
    <n v="1"/>
    <s v="Vinay"/>
    <x v="0"/>
    <s v="Construction, Power &amp; Infrastructure"/>
    <s v="Cross Sell"/>
    <n v="90281.89"/>
    <d v="2019-11-27T00:00:00"/>
    <s v="Brokerage"/>
    <x v="0"/>
    <s v="OTHR - Other"/>
    <d v="2020-01-22T00:00:00"/>
    <s v="Other"/>
    <m/>
    <m/>
    <m/>
    <m/>
    <m/>
    <m/>
    <m/>
    <m/>
    <m/>
    <m/>
    <m/>
    <m/>
    <m/>
    <m/>
    <m/>
    <m/>
    <m/>
    <m/>
    <m/>
    <m/>
  </r>
  <r>
    <s v="DDD"/>
    <s v="'99000044180300000047"/>
    <x v="0"/>
    <x v="60"/>
    <d v="2020-08-26T00:00:00"/>
    <x v="5"/>
    <n v="1"/>
    <s v="Vinay"/>
    <x v="0"/>
    <s v="Construction, Power &amp; Infrastructure"/>
    <s v="Cross Sell"/>
    <n v="122525.38"/>
    <d v="2018-08-27T00:00:00"/>
    <s v="Brokerage"/>
    <x v="0"/>
    <s v="OTHR - Other"/>
    <d v="2020-01-22T00:00:00"/>
    <s v="Other"/>
    <m/>
    <m/>
    <m/>
    <m/>
    <m/>
    <m/>
    <m/>
    <m/>
    <m/>
    <m/>
    <m/>
    <m/>
    <m/>
    <m/>
    <m/>
    <m/>
    <m/>
    <m/>
    <m/>
    <m/>
  </r>
  <r>
    <s v="DDD"/>
    <s v="'99000044180300000047"/>
    <x v="0"/>
    <x v="60"/>
    <d v="2020-08-26T00:00:00"/>
    <x v="5"/>
    <n v="1"/>
    <s v="Vinay"/>
    <x v="0"/>
    <s v="Construction, Power &amp; Infrastructure"/>
    <s v="Cross Sell"/>
    <n v="0"/>
    <d v="2020-02-27T00:00:00"/>
    <s v="Brokerage"/>
    <x v="0"/>
    <s v="OTHR - Other"/>
    <d v="2020-01-22T00:00:00"/>
    <s v="Other"/>
    <m/>
    <m/>
    <m/>
    <m/>
    <m/>
    <m/>
    <m/>
    <m/>
    <m/>
    <m/>
    <m/>
    <m/>
    <m/>
    <m/>
    <m/>
    <m/>
    <m/>
    <m/>
    <m/>
    <m/>
  </r>
  <r>
    <s v="DDD"/>
    <s v="'99000044180300000047"/>
    <x v="0"/>
    <x v="60"/>
    <d v="2020-08-26T00:00:00"/>
    <x v="5"/>
    <n v="1"/>
    <s v="Vinay"/>
    <x v="0"/>
    <s v="Construction, Power &amp; Infrastructure"/>
    <s v="Cross Sell"/>
    <n v="0"/>
    <d v="2018-11-27T00:00:00"/>
    <s v="Brokerage"/>
    <x v="0"/>
    <s v="OTHR - Other"/>
    <d v="2020-01-22T00:00:00"/>
    <s v="Other"/>
    <m/>
    <m/>
    <m/>
    <m/>
    <m/>
    <m/>
    <m/>
    <m/>
    <m/>
    <m/>
    <m/>
    <m/>
    <m/>
    <m/>
    <m/>
    <m/>
    <m/>
    <m/>
    <m/>
    <m/>
  </r>
  <r>
    <s v="DDD"/>
    <s v="'99000044180300000047"/>
    <x v="0"/>
    <x v="60"/>
    <d v="2020-08-26T00:00:00"/>
    <x v="5"/>
    <n v="1"/>
    <s v="Vinay"/>
    <x v="0"/>
    <s v="Construction, Power &amp; Infrastructure"/>
    <s v="Cross Sell"/>
    <n v="0"/>
    <d v="2019-02-27T00:00:00"/>
    <s v="Brokerage"/>
    <x v="0"/>
    <s v="OTHR - Other"/>
    <d v="2020-01-22T00:00:00"/>
    <s v="Other"/>
    <m/>
    <m/>
    <m/>
    <m/>
    <m/>
    <m/>
    <m/>
    <m/>
    <m/>
    <m/>
    <m/>
    <m/>
    <m/>
    <m/>
    <m/>
    <m/>
    <m/>
    <m/>
    <m/>
    <m/>
  </r>
  <r>
    <s v="DDD"/>
    <s v="'99000044180300000047"/>
    <x v="0"/>
    <x v="60"/>
    <d v="2020-08-26T00:00:00"/>
    <x v="5"/>
    <n v="1"/>
    <s v="Vinay"/>
    <x v="0"/>
    <s v="Construction, Power &amp; Infrastructure"/>
    <s v="Cross Sell"/>
    <n v="0"/>
    <d v="2019-05-27T00:00:00"/>
    <s v="Brokerage"/>
    <x v="0"/>
    <s v="OTHR - Other"/>
    <d v="2020-01-22T00:00:00"/>
    <s v="Other"/>
    <m/>
    <m/>
    <m/>
    <m/>
    <m/>
    <m/>
    <m/>
    <m/>
    <m/>
    <m/>
    <m/>
    <m/>
    <m/>
    <m/>
    <m/>
    <m/>
    <m/>
    <m/>
    <m/>
    <m/>
  </r>
  <r>
    <s v="DDD"/>
    <s v="'99000044180300000047"/>
    <x v="0"/>
    <x v="60"/>
    <d v="2020-08-26T00:00:00"/>
    <x v="5"/>
    <n v="1"/>
    <s v="Vinay"/>
    <x v="0"/>
    <s v="Construction, Power &amp; Infrastructure"/>
    <s v="Cross Sell"/>
    <n v="0"/>
    <d v="2019-08-27T00:00:00"/>
    <s v="Brokerage"/>
    <x v="0"/>
    <s v="OTHR - Other"/>
    <d v="2020-01-22T00:00:00"/>
    <s v="Other"/>
    <m/>
    <m/>
    <m/>
    <m/>
    <m/>
    <m/>
    <m/>
    <m/>
    <m/>
    <m/>
    <m/>
    <m/>
    <m/>
    <m/>
    <m/>
    <m/>
    <m/>
    <m/>
    <m/>
    <m/>
  </r>
  <r>
    <s v="DDD"/>
    <s v="'99000044180300000047"/>
    <x v="0"/>
    <x v="60"/>
    <d v="2020-08-26T00:00:00"/>
    <x v="5"/>
    <n v="1"/>
    <s v="Vinay"/>
    <x v="0"/>
    <s v="Construction, Power &amp; Infrastructure"/>
    <s v="Cross Sell"/>
    <n v="0"/>
    <d v="2019-11-27T00:00:00"/>
    <s v="Brokerage"/>
    <x v="0"/>
    <s v="OTHR - Other"/>
    <d v="2020-01-22T00:00:00"/>
    <s v="Other"/>
    <m/>
    <m/>
    <m/>
    <m/>
    <m/>
    <m/>
    <m/>
    <m/>
    <m/>
    <m/>
    <m/>
    <m/>
    <m/>
    <m/>
    <m/>
    <m/>
    <m/>
    <m/>
    <m/>
    <m/>
  </r>
  <r>
    <s v="DDD"/>
    <s v="'99000044180300000047"/>
    <x v="0"/>
    <x v="60"/>
    <d v="2020-08-26T00:00:00"/>
    <x v="5"/>
    <n v="1"/>
    <s v="Vinay"/>
    <x v="0"/>
    <s v="Construction, Power &amp; Infrastructure"/>
    <s v="Cross Sell"/>
    <n v="0"/>
    <d v="2018-08-27T00:00:00"/>
    <s v="Brokerage"/>
    <x v="0"/>
    <s v="OTHR - Other"/>
    <d v="2020-01-22T00:00:00"/>
    <s v="Other"/>
    <m/>
    <m/>
    <m/>
    <m/>
    <m/>
    <m/>
    <m/>
    <m/>
    <m/>
    <m/>
    <m/>
    <m/>
    <m/>
    <m/>
    <m/>
    <m/>
    <m/>
    <m/>
    <m/>
    <m/>
  </r>
  <r>
    <s v="DDD"/>
    <s v="'99000044180300000048"/>
    <x v="0"/>
    <x v="22"/>
    <d v="2021-02-13T00:00:00"/>
    <x v="5"/>
    <n v="1"/>
    <s v="Vinay"/>
    <x v="0"/>
    <s v="Construction, Power &amp; Infrastructure"/>
    <s v="Cross Sell"/>
    <n v="62399.23"/>
    <d v="2020-08-14T00:00:00"/>
    <s v="Brokerage"/>
    <x v="0"/>
    <s v="OTHR - Other"/>
    <d v="2020-01-22T00:00:00"/>
    <s v="Other"/>
    <m/>
    <m/>
    <m/>
    <m/>
    <m/>
    <m/>
    <m/>
    <m/>
    <m/>
    <m/>
    <m/>
    <m/>
    <m/>
    <m/>
    <m/>
    <m/>
    <m/>
    <m/>
    <m/>
    <m/>
  </r>
  <r>
    <s v="DDD"/>
    <s v="'99000044180300000048"/>
    <x v="0"/>
    <x v="22"/>
    <d v="2021-02-13T00:00:00"/>
    <x v="5"/>
    <n v="1"/>
    <s v="Vinay"/>
    <x v="0"/>
    <s v="Construction, Power &amp; Infrastructure"/>
    <s v="Cross Sell"/>
    <n v="62399.4"/>
    <d v="2020-02-14T00:00:00"/>
    <s v="Brokerage"/>
    <x v="0"/>
    <s v="OTHR - Other"/>
    <d v="2020-01-22T00:00:00"/>
    <s v="Other"/>
    <m/>
    <m/>
    <m/>
    <m/>
    <m/>
    <m/>
    <m/>
    <m/>
    <m/>
    <m/>
    <m/>
    <m/>
    <m/>
    <m/>
    <m/>
    <m/>
    <m/>
    <m/>
    <m/>
    <m/>
  </r>
  <r>
    <s v="DDD"/>
    <s v="'99000044180300000048"/>
    <x v="0"/>
    <x v="22"/>
    <d v="2021-02-13T00:00:00"/>
    <x v="5"/>
    <n v="1"/>
    <s v="Vinay"/>
    <x v="0"/>
    <s v="Construction, Power &amp; Infrastructure"/>
    <s v="Cross Sell"/>
    <n v="62399.4"/>
    <d v="2020-05-14T00:00:00"/>
    <s v="Brokerage"/>
    <x v="0"/>
    <s v="OTHR - Other"/>
    <d v="2020-01-22T00:00:00"/>
    <s v="Other"/>
    <m/>
    <m/>
    <m/>
    <m/>
    <m/>
    <m/>
    <m/>
    <m/>
    <m/>
    <m/>
    <m/>
    <m/>
    <m/>
    <m/>
    <m/>
    <m/>
    <m/>
    <m/>
    <m/>
    <m/>
  </r>
  <r>
    <s v="DDD"/>
    <s v="'99000044180300000048"/>
    <x v="0"/>
    <x v="22"/>
    <d v="2021-02-13T00:00:00"/>
    <x v="5"/>
    <n v="1"/>
    <s v="Vinay"/>
    <x v="0"/>
    <s v="Construction, Power &amp; Infrastructure"/>
    <s v="Cross Sell"/>
    <n v="62399.4"/>
    <d v="2019-11-14T00:00:00"/>
    <s v="Brokerage"/>
    <x v="0"/>
    <s v="OTHR - Other"/>
    <d v="2020-01-22T00:00:00"/>
    <s v="Other"/>
    <m/>
    <m/>
    <m/>
    <m/>
    <m/>
    <m/>
    <m/>
    <m/>
    <m/>
    <m/>
    <m/>
    <m/>
    <m/>
    <m/>
    <m/>
    <m/>
    <m/>
    <m/>
    <m/>
    <m/>
  </r>
  <r>
    <s v="DDD"/>
    <s v="'99000044180300000048"/>
    <x v="0"/>
    <x v="22"/>
    <d v="2021-02-13T00:00:00"/>
    <x v="5"/>
    <n v="1"/>
    <s v="Vinay"/>
    <x v="0"/>
    <s v="Construction, Power &amp; Infrastructure"/>
    <s v="Cross Sell"/>
    <n v="68639.38"/>
    <d v="2018-11-14T00:00:00"/>
    <s v="Brokerage"/>
    <x v="0"/>
    <s v="OTHR - Other"/>
    <d v="2020-01-22T00:00:00"/>
    <s v="Other"/>
    <m/>
    <m/>
    <m/>
    <m/>
    <m/>
    <m/>
    <m/>
    <m/>
    <m/>
    <m/>
    <m/>
    <m/>
    <m/>
    <m/>
    <m/>
    <m/>
    <m/>
    <m/>
    <m/>
    <m/>
  </r>
  <r>
    <s v="DDD"/>
    <s v="'99000044180300000048"/>
    <x v="0"/>
    <x v="22"/>
    <d v="2021-02-13T00:00:00"/>
    <x v="5"/>
    <n v="1"/>
    <s v="Vinay"/>
    <x v="0"/>
    <s v="Construction, Power &amp; Infrastructure"/>
    <s v="Cross Sell"/>
    <n v="68639.38"/>
    <d v="2019-02-14T00:00:00"/>
    <s v="Brokerage"/>
    <x v="0"/>
    <s v="OTHR - Other"/>
    <d v="2020-01-22T00:00:00"/>
    <s v="Other"/>
    <m/>
    <m/>
    <m/>
    <m/>
    <m/>
    <m/>
    <m/>
    <m/>
    <m/>
    <m/>
    <m/>
    <m/>
    <m/>
    <m/>
    <m/>
    <m/>
    <m/>
    <m/>
    <m/>
    <m/>
  </r>
  <r>
    <s v="DDD"/>
    <s v="'99000044180300000048"/>
    <x v="0"/>
    <x v="22"/>
    <d v="2021-02-13T00:00:00"/>
    <x v="5"/>
    <n v="1"/>
    <s v="Vinay"/>
    <x v="0"/>
    <s v="Construction, Power &amp; Infrastructure"/>
    <s v="Cross Sell"/>
    <n v="68639.38"/>
    <d v="2019-05-14T00:00:00"/>
    <s v="Brokerage"/>
    <x v="0"/>
    <s v="OTHR - Other"/>
    <d v="2020-01-22T00:00:00"/>
    <s v="Other"/>
    <m/>
    <m/>
    <m/>
    <m/>
    <m/>
    <m/>
    <m/>
    <m/>
    <m/>
    <m/>
    <m/>
    <m/>
    <m/>
    <m/>
    <m/>
    <m/>
    <m/>
    <m/>
    <m/>
    <m/>
  </r>
  <r>
    <s v="DDD"/>
    <s v="'99000044180300000048"/>
    <x v="0"/>
    <x v="22"/>
    <d v="2021-02-13T00:00:00"/>
    <x v="5"/>
    <n v="1"/>
    <s v="Vinay"/>
    <x v="0"/>
    <s v="Construction, Power &amp; Infrastructure"/>
    <s v="Cross Sell"/>
    <n v="68639.38"/>
    <d v="2019-08-14T00:00:00"/>
    <s v="Brokerage"/>
    <x v="0"/>
    <s v="OTHR - Other"/>
    <d v="2020-01-22T00:00:00"/>
    <s v="Other"/>
    <m/>
    <m/>
    <m/>
    <m/>
    <m/>
    <m/>
    <m/>
    <m/>
    <m/>
    <m/>
    <m/>
    <m/>
    <m/>
    <m/>
    <m/>
    <m/>
    <m/>
    <m/>
    <m/>
    <m/>
  </r>
  <r>
    <s v="DDD"/>
    <s v="'99000044180300000048"/>
    <x v="0"/>
    <x v="22"/>
    <d v="2021-02-13T00:00:00"/>
    <x v="5"/>
    <n v="1"/>
    <s v="Vinay"/>
    <x v="0"/>
    <s v="Construction, Power &amp; Infrastructure"/>
    <s v="Cross Sell"/>
    <n v="99839.08"/>
    <d v="2018-08-14T00:00:00"/>
    <s v="Brokerage"/>
    <x v="0"/>
    <s v="OTHR - Other"/>
    <d v="2020-01-22T00:00:00"/>
    <s v="Other"/>
    <m/>
    <m/>
    <m/>
    <m/>
    <m/>
    <m/>
    <m/>
    <m/>
    <m/>
    <m/>
    <m/>
    <m/>
    <m/>
    <m/>
    <m/>
    <m/>
    <m/>
    <m/>
    <m/>
    <m/>
  </r>
  <r>
    <s v="DDD"/>
    <s v="'99000044180300000048"/>
    <x v="0"/>
    <x v="22"/>
    <d v="2021-02-13T00:00:00"/>
    <x v="5"/>
    <n v="1"/>
    <s v="Vinay"/>
    <x v="0"/>
    <s v="Construction, Power &amp; Infrastructure"/>
    <s v="Cross Sell"/>
    <n v="0"/>
    <d v="2020-08-14T00:00:00"/>
    <s v="Brokerage"/>
    <x v="0"/>
    <s v="OTHR - Other"/>
    <d v="2020-01-22T00:00:00"/>
    <s v="Other"/>
    <m/>
    <m/>
    <m/>
    <m/>
    <m/>
    <m/>
    <m/>
    <m/>
    <m/>
    <m/>
    <m/>
    <m/>
    <m/>
    <m/>
    <m/>
    <m/>
    <m/>
    <m/>
    <m/>
    <m/>
  </r>
  <r>
    <s v="DDD"/>
    <s v="'99000044180300000048"/>
    <x v="0"/>
    <x v="22"/>
    <d v="2021-02-13T00:00:00"/>
    <x v="5"/>
    <n v="1"/>
    <s v="Vinay"/>
    <x v="0"/>
    <s v="Construction, Power &amp; Infrastructure"/>
    <s v="Cross Sell"/>
    <n v="0"/>
    <d v="2020-02-14T00:00:00"/>
    <s v="Brokerage"/>
    <x v="0"/>
    <s v="OTHR - Other"/>
    <d v="2020-01-22T00:00:00"/>
    <s v="Other"/>
    <m/>
    <m/>
    <m/>
    <m/>
    <m/>
    <m/>
    <m/>
    <m/>
    <m/>
    <m/>
    <m/>
    <m/>
    <m/>
    <m/>
    <m/>
    <m/>
    <m/>
    <m/>
    <m/>
    <m/>
  </r>
  <r>
    <s v="DDD"/>
    <s v="'99000044180300000048"/>
    <x v="0"/>
    <x v="22"/>
    <d v="2021-02-13T00:00:00"/>
    <x v="5"/>
    <n v="1"/>
    <s v="Vinay"/>
    <x v="0"/>
    <s v="Construction, Power &amp; Infrastructure"/>
    <s v="Cross Sell"/>
    <n v="0"/>
    <d v="2020-05-14T00:00:00"/>
    <s v="Brokerage"/>
    <x v="0"/>
    <s v="OTHR - Other"/>
    <d v="2020-01-22T00:00:00"/>
    <s v="Other"/>
    <m/>
    <m/>
    <m/>
    <m/>
    <m/>
    <m/>
    <m/>
    <m/>
    <m/>
    <m/>
    <m/>
    <m/>
    <m/>
    <m/>
    <m/>
    <m/>
    <m/>
    <m/>
    <m/>
    <m/>
  </r>
  <r>
    <s v="DDD"/>
    <s v="'99000044180300000048"/>
    <x v="0"/>
    <x v="22"/>
    <d v="2021-02-13T00:00:00"/>
    <x v="5"/>
    <n v="1"/>
    <s v="Vinay"/>
    <x v="0"/>
    <s v="Construction, Power &amp; Infrastructure"/>
    <s v="Cross Sell"/>
    <n v="0"/>
    <d v="2019-11-14T00:00:00"/>
    <s v="Brokerage"/>
    <x v="0"/>
    <s v="OTHR - Other"/>
    <d v="2020-01-22T00:00:00"/>
    <s v="Other"/>
    <m/>
    <m/>
    <m/>
    <m/>
    <m/>
    <m/>
    <m/>
    <m/>
    <m/>
    <m/>
    <m/>
    <m/>
    <m/>
    <m/>
    <m/>
    <m/>
    <m/>
    <m/>
    <m/>
    <m/>
  </r>
  <r>
    <s v="DDD"/>
    <s v="'99000044180300000048"/>
    <x v="0"/>
    <x v="22"/>
    <d v="2021-02-13T00:00:00"/>
    <x v="5"/>
    <n v="1"/>
    <s v="Vinay"/>
    <x v="0"/>
    <s v="Construction, Power &amp; Infrastructure"/>
    <s v="Cross Sell"/>
    <n v="0"/>
    <d v="2018-11-14T00:00:00"/>
    <s v="Brokerage"/>
    <x v="0"/>
    <s v="OTHR - Other"/>
    <d v="2020-01-22T00:00:00"/>
    <s v="Other"/>
    <m/>
    <m/>
    <m/>
    <m/>
    <m/>
    <m/>
    <m/>
    <m/>
    <m/>
    <m/>
    <m/>
    <m/>
    <m/>
    <m/>
    <m/>
    <m/>
    <m/>
    <m/>
    <m/>
    <m/>
  </r>
  <r>
    <s v="DDD"/>
    <s v="'99000044180300000048"/>
    <x v="0"/>
    <x v="22"/>
    <d v="2021-02-13T00:00:00"/>
    <x v="5"/>
    <n v="1"/>
    <s v="Vinay"/>
    <x v="0"/>
    <s v="Construction, Power &amp; Infrastructure"/>
    <s v="Cross Sell"/>
    <n v="0"/>
    <d v="2019-02-14T00:00:00"/>
    <s v="Brokerage"/>
    <x v="0"/>
    <s v="OTHR - Other"/>
    <d v="2020-01-22T00:00:00"/>
    <s v="Other"/>
    <m/>
    <m/>
    <m/>
    <m/>
    <m/>
    <m/>
    <m/>
    <m/>
    <m/>
    <m/>
    <m/>
    <m/>
    <m/>
    <m/>
    <m/>
    <m/>
    <m/>
    <m/>
    <m/>
    <m/>
  </r>
  <r>
    <s v="DDD"/>
    <s v="'99000044180300000048"/>
    <x v="0"/>
    <x v="22"/>
    <d v="2021-02-13T00:00:00"/>
    <x v="5"/>
    <n v="1"/>
    <s v="Vinay"/>
    <x v="0"/>
    <s v="Construction, Power &amp; Infrastructure"/>
    <s v="Cross Sell"/>
    <n v="0"/>
    <d v="2019-05-14T00:00:00"/>
    <s v="Brokerage"/>
    <x v="0"/>
    <s v="OTHR - Other"/>
    <d v="2020-01-22T00:00:00"/>
    <s v="Other"/>
    <m/>
    <m/>
    <m/>
    <m/>
    <m/>
    <m/>
    <m/>
    <m/>
    <m/>
    <m/>
    <m/>
    <m/>
    <m/>
    <m/>
    <m/>
    <m/>
    <m/>
    <m/>
    <m/>
    <m/>
  </r>
  <r>
    <s v="DDD"/>
    <s v="'99000044180300000048"/>
    <x v="0"/>
    <x v="22"/>
    <d v="2021-02-13T00:00:00"/>
    <x v="5"/>
    <n v="1"/>
    <s v="Vinay"/>
    <x v="0"/>
    <s v="Construction, Power &amp; Infrastructure"/>
    <s v="Cross Sell"/>
    <n v="0"/>
    <d v="2019-08-14T00:00:00"/>
    <s v="Brokerage"/>
    <x v="0"/>
    <s v="OTHR - Other"/>
    <d v="2020-01-22T00:00:00"/>
    <s v="Other"/>
    <m/>
    <m/>
    <m/>
    <m/>
    <m/>
    <m/>
    <m/>
    <m/>
    <m/>
    <m/>
    <m/>
    <m/>
    <m/>
    <m/>
    <m/>
    <m/>
    <m/>
    <m/>
    <m/>
    <m/>
  </r>
  <r>
    <s v="DDD"/>
    <s v="'99000044180300000048"/>
    <x v="0"/>
    <x v="22"/>
    <d v="2021-02-13T00:00:00"/>
    <x v="5"/>
    <n v="1"/>
    <s v="Vinay"/>
    <x v="0"/>
    <s v="Construction, Power &amp; Infrastructure"/>
    <s v="Cross Sell"/>
    <n v="0"/>
    <d v="2018-08-14T00:00:00"/>
    <s v="Brokerage"/>
    <x v="0"/>
    <s v="OTHR - Other"/>
    <d v="2020-01-22T00:00:00"/>
    <s v="Other"/>
    <m/>
    <m/>
    <m/>
    <m/>
    <m/>
    <m/>
    <m/>
    <m/>
    <m/>
    <m/>
    <m/>
    <m/>
    <m/>
    <m/>
    <m/>
    <m/>
    <m/>
    <m/>
    <m/>
    <m/>
  </r>
  <r>
    <s v="DDD"/>
    <s v="'99000044180300000053"/>
    <x v="0"/>
    <x v="239"/>
    <d v="2020-09-24T00:00:00"/>
    <x v="5"/>
    <n v="1"/>
    <s v="Vinay"/>
    <x v="0"/>
    <s v="Construction, Power &amp; Infrastructure"/>
    <s v="Cross Sell"/>
    <n v="65412.72"/>
    <d v="2020-03-25T00:00:00"/>
    <s v="Brokerage"/>
    <x v="0"/>
    <s v="OTHR - Other"/>
    <d v="2020-01-22T00:00:00"/>
    <s v="Other"/>
    <m/>
    <m/>
    <m/>
    <m/>
    <m/>
    <m/>
    <m/>
    <m/>
    <m/>
    <m/>
    <m/>
    <m/>
    <m/>
    <m/>
    <m/>
    <m/>
    <m/>
    <m/>
    <m/>
    <m/>
  </r>
  <r>
    <s v="DDD"/>
    <s v="'99000044180300000053"/>
    <x v="0"/>
    <x v="239"/>
    <d v="2020-09-24T00:00:00"/>
    <x v="5"/>
    <n v="1"/>
    <s v="Vinay"/>
    <x v="0"/>
    <s v="Construction, Power &amp; Infrastructure"/>
    <s v="Cross Sell"/>
    <n v="83253.179999999993"/>
    <d v="2018-12-25T00:00:00"/>
    <s v="Brokerage"/>
    <x v="0"/>
    <s v="OTHR - Other"/>
    <d v="2020-01-22T00:00:00"/>
    <s v="Other"/>
    <m/>
    <m/>
    <m/>
    <m/>
    <m/>
    <m/>
    <m/>
    <m/>
    <m/>
    <m/>
    <m/>
    <m/>
    <m/>
    <m/>
    <m/>
    <m/>
    <m/>
    <m/>
    <m/>
    <m/>
  </r>
  <r>
    <s v="DDD"/>
    <s v="'99000044180300000053"/>
    <x v="0"/>
    <x v="239"/>
    <d v="2020-09-24T00:00:00"/>
    <x v="5"/>
    <n v="1"/>
    <s v="Vinay"/>
    <x v="0"/>
    <s v="Construction, Power &amp; Infrastructure"/>
    <s v="Cross Sell"/>
    <n v="83253.179999999993"/>
    <d v="2019-03-25T00:00:00"/>
    <s v="Brokerage"/>
    <x v="0"/>
    <s v="OTHR - Other"/>
    <d v="2020-01-22T00:00:00"/>
    <s v="Other"/>
    <m/>
    <m/>
    <m/>
    <m/>
    <m/>
    <m/>
    <m/>
    <m/>
    <m/>
    <m/>
    <m/>
    <m/>
    <m/>
    <m/>
    <m/>
    <m/>
    <m/>
    <m/>
    <m/>
    <m/>
  </r>
  <r>
    <s v="DDD"/>
    <s v="'99000044180300000053"/>
    <x v="0"/>
    <x v="239"/>
    <d v="2020-09-24T00:00:00"/>
    <x v="5"/>
    <n v="1"/>
    <s v="Vinay"/>
    <x v="0"/>
    <s v="Construction, Power &amp; Infrastructure"/>
    <s v="Cross Sell"/>
    <n v="83253.179999999993"/>
    <d v="2019-06-25T00:00:00"/>
    <s v="Brokerage"/>
    <x v="0"/>
    <s v="OTHR - Other"/>
    <d v="2020-01-22T00:00:00"/>
    <s v="Other"/>
    <m/>
    <m/>
    <m/>
    <m/>
    <m/>
    <m/>
    <m/>
    <m/>
    <m/>
    <m/>
    <m/>
    <m/>
    <m/>
    <m/>
    <m/>
    <m/>
    <m/>
    <m/>
    <m/>
    <m/>
  </r>
  <r>
    <s v="DDD"/>
    <s v="'99000044180300000053"/>
    <x v="0"/>
    <x v="239"/>
    <d v="2020-09-24T00:00:00"/>
    <x v="5"/>
    <n v="1"/>
    <s v="Vinay"/>
    <x v="0"/>
    <s v="Construction, Power &amp; Infrastructure"/>
    <s v="Cross Sell"/>
    <n v="83253.179999999993"/>
    <d v="2019-09-25T00:00:00"/>
    <s v="Brokerage"/>
    <x v="0"/>
    <s v="OTHR - Other"/>
    <d v="2020-01-22T00:00:00"/>
    <s v="Other"/>
    <m/>
    <m/>
    <m/>
    <m/>
    <m/>
    <m/>
    <m/>
    <m/>
    <m/>
    <m/>
    <m/>
    <m/>
    <m/>
    <m/>
    <m/>
    <m/>
    <m/>
    <m/>
    <m/>
    <m/>
  </r>
  <r>
    <s v="DDD"/>
    <s v="'99000044180300000053"/>
    <x v="0"/>
    <x v="239"/>
    <d v="2020-09-24T00:00:00"/>
    <x v="5"/>
    <n v="1"/>
    <s v="Vinay"/>
    <x v="0"/>
    <s v="Construction, Power &amp; Infrastructure"/>
    <s v="Cross Sell"/>
    <n v="83253.179999999993"/>
    <d v="2019-12-25T00:00:00"/>
    <s v="Brokerage"/>
    <x v="0"/>
    <s v="OTHR - Other"/>
    <d v="2020-01-22T00:00:00"/>
    <s v="Other"/>
    <m/>
    <m/>
    <m/>
    <m/>
    <m/>
    <m/>
    <m/>
    <m/>
    <m/>
    <m/>
    <m/>
    <m/>
    <m/>
    <m/>
    <m/>
    <m/>
    <m/>
    <m/>
    <m/>
    <m/>
  </r>
  <r>
    <s v="DDD"/>
    <s v="'99000044180300000053"/>
    <x v="0"/>
    <x v="239"/>
    <d v="2020-09-24T00:00:00"/>
    <x v="5"/>
    <n v="1"/>
    <s v="Vinay"/>
    <x v="0"/>
    <s v="Construction, Power &amp; Infrastructure"/>
    <s v="Cross Sell"/>
    <n v="112986.38"/>
    <d v="2018-09-25T00:00:00"/>
    <s v="Brokerage"/>
    <x v="0"/>
    <s v="OTHR - Other"/>
    <d v="2020-01-22T00:00:00"/>
    <s v="Other"/>
    <m/>
    <m/>
    <m/>
    <m/>
    <m/>
    <m/>
    <m/>
    <m/>
    <m/>
    <m/>
    <m/>
    <m/>
    <m/>
    <m/>
    <m/>
    <m/>
    <m/>
    <m/>
    <m/>
    <m/>
  </r>
  <r>
    <s v="DDD"/>
    <s v="'99000044180300000053"/>
    <x v="0"/>
    <x v="239"/>
    <d v="2020-09-24T00:00:00"/>
    <x v="5"/>
    <n v="1"/>
    <s v="Vinay"/>
    <x v="0"/>
    <s v="Construction, Power &amp; Infrastructure"/>
    <s v="Cross Sell"/>
    <n v="0"/>
    <d v="2020-03-25T00:00:00"/>
    <s v="Brokerage"/>
    <x v="0"/>
    <s v="OTHR - Other"/>
    <d v="2020-01-22T00:00:00"/>
    <s v="Other"/>
    <m/>
    <m/>
    <m/>
    <m/>
    <m/>
    <m/>
    <m/>
    <m/>
    <m/>
    <m/>
    <m/>
    <m/>
    <m/>
    <m/>
    <m/>
    <m/>
    <m/>
    <m/>
    <m/>
    <m/>
  </r>
  <r>
    <s v="DDD"/>
    <s v="'99000044180300000053"/>
    <x v="0"/>
    <x v="239"/>
    <d v="2020-09-24T00:00:00"/>
    <x v="5"/>
    <n v="1"/>
    <s v="Vinay"/>
    <x v="0"/>
    <s v="Construction, Power &amp; Infrastructure"/>
    <s v="Cross Sell"/>
    <n v="0"/>
    <d v="2018-12-25T00:00:00"/>
    <s v="Brokerage"/>
    <x v="0"/>
    <s v="OTHR - Other"/>
    <d v="2020-01-22T00:00:00"/>
    <s v="Other"/>
    <m/>
    <m/>
    <m/>
    <m/>
    <m/>
    <m/>
    <m/>
    <m/>
    <m/>
    <m/>
    <m/>
    <m/>
    <m/>
    <m/>
    <m/>
    <m/>
    <m/>
    <m/>
    <m/>
    <m/>
  </r>
  <r>
    <s v="DDD"/>
    <s v="'99000044180300000053"/>
    <x v="0"/>
    <x v="239"/>
    <d v="2020-09-24T00:00:00"/>
    <x v="5"/>
    <n v="1"/>
    <s v="Vinay"/>
    <x v="0"/>
    <s v="Construction, Power &amp; Infrastructure"/>
    <s v="Cross Sell"/>
    <n v="0"/>
    <d v="2019-03-25T00:00:00"/>
    <s v="Brokerage"/>
    <x v="0"/>
    <s v="OTHR - Other"/>
    <d v="2020-01-22T00:00:00"/>
    <s v="Other"/>
    <m/>
    <m/>
    <m/>
    <m/>
    <m/>
    <m/>
    <m/>
    <m/>
    <m/>
    <m/>
    <m/>
    <m/>
    <m/>
    <m/>
    <m/>
    <m/>
    <m/>
    <m/>
    <m/>
    <m/>
  </r>
  <r>
    <s v="DDD"/>
    <s v="'99000044180300000053"/>
    <x v="0"/>
    <x v="239"/>
    <d v="2020-09-24T00:00:00"/>
    <x v="5"/>
    <n v="1"/>
    <s v="Vinay"/>
    <x v="0"/>
    <s v="Construction, Power &amp; Infrastructure"/>
    <s v="Cross Sell"/>
    <n v="0"/>
    <d v="2019-06-25T00:00:00"/>
    <s v="Brokerage"/>
    <x v="0"/>
    <s v="OTHR - Other"/>
    <d v="2020-01-22T00:00:00"/>
    <s v="Other"/>
    <m/>
    <m/>
    <m/>
    <m/>
    <m/>
    <m/>
    <m/>
    <m/>
    <m/>
    <m/>
    <m/>
    <m/>
    <m/>
    <m/>
    <m/>
    <m/>
    <m/>
    <m/>
    <m/>
    <m/>
  </r>
  <r>
    <s v="DDD"/>
    <s v="'99000044180300000053"/>
    <x v="0"/>
    <x v="239"/>
    <d v="2020-09-24T00:00:00"/>
    <x v="5"/>
    <n v="1"/>
    <s v="Vinay"/>
    <x v="0"/>
    <s v="Construction, Power &amp; Infrastructure"/>
    <s v="Cross Sell"/>
    <n v="0"/>
    <d v="2019-09-25T00:00:00"/>
    <s v="Brokerage"/>
    <x v="0"/>
    <s v="OTHR - Other"/>
    <d v="2020-01-22T00:00:00"/>
    <s v="Other"/>
    <m/>
    <m/>
    <m/>
    <m/>
    <m/>
    <m/>
    <m/>
    <m/>
    <m/>
    <m/>
    <m/>
    <m/>
    <m/>
    <m/>
    <m/>
    <m/>
    <m/>
    <m/>
    <m/>
    <m/>
  </r>
  <r>
    <s v="DDD"/>
    <s v="'99000044180300000053"/>
    <x v="0"/>
    <x v="239"/>
    <d v="2020-09-24T00:00:00"/>
    <x v="5"/>
    <n v="1"/>
    <s v="Vinay"/>
    <x v="0"/>
    <s v="Construction, Power &amp; Infrastructure"/>
    <s v="Cross Sell"/>
    <n v="0"/>
    <d v="2019-12-25T00:00:00"/>
    <s v="Brokerage"/>
    <x v="0"/>
    <s v="OTHR - Other"/>
    <d v="2020-01-22T00:00:00"/>
    <s v="Other"/>
    <m/>
    <m/>
    <m/>
    <m/>
    <m/>
    <m/>
    <m/>
    <m/>
    <m/>
    <m/>
    <m/>
    <m/>
    <m/>
    <m/>
    <m/>
    <m/>
    <m/>
    <m/>
    <m/>
    <m/>
  </r>
  <r>
    <s v="DDD"/>
    <s v="'99000044180300000053"/>
    <x v="0"/>
    <x v="239"/>
    <d v="2020-09-24T00:00:00"/>
    <x v="5"/>
    <n v="1"/>
    <s v="Vinay"/>
    <x v="0"/>
    <s v="Construction, Power &amp; Infrastructure"/>
    <s v="Cross Sell"/>
    <n v="0"/>
    <d v="2018-09-25T00:00:00"/>
    <s v="Brokerage"/>
    <x v="0"/>
    <s v="OTHR - Other"/>
    <d v="2020-01-22T00:00:00"/>
    <s v="Other"/>
    <m/>
    <m/>
    <m/>
    <m/>
    <m/>
    <m/>
    <m/>
    <m/>
    <m/>
    <m/>
    <m/>
    <m/>
    <m/>
    <m/>
    <m/>
    <m/>
    <m/>
    <m/>
    <m/>
    <m/>
  </r>
  <r>
    <s v="DDD"/>
    <s v="'99000044180300000056"/>
    <x v="1"/>
    <x v="240"/>
    <d v="2019-04-19T00:00:00"/>
    <x v="5"/>
    <n v="1"/>
    <s v="Vinay"/>
    <x v="0"/>
    <s v="Construction, Power &amp; Infrastructure"/>
    <s v="Cross Sell"/>
    <n v="101037"/>
    <d v="2018-10-20T00:00:00"/>
    <s v="Brokerage"/>
    <x v="0"/>
    <s v="OTHR - Other"/>
    <d v="2020-01-22T00:00:00"/>
    <s v="Other"/>
    <m/>
    <m/>
    <m/>
    <m/>
    <m/>
    <m/>
    <m/>
    <m/>
    <m/>
    <m/>
    <m/>
    <m/>
    <m/>
    <m/>
    <m/>
    <m/>
    <m/>
    <m/>
    <m/>
    <m/>
  </r>
  <r>
    <s v="DDD"/>
    <s v="'99000044180300000064"/>
    <x v="1"/>
    <x v="191"/>
    <d v="2019-07-08T00:00:00"/>
    <x v="5"/>
    <n v="1"/>
    <s v="Vinay"/>
    <x v="0"/>
    <s v="Construction, Power &amp; Infrastructure"/>
    <s v="Cross Sell"/>
    <n v="16455"/>
    <d v="2019-01-09T00:00:00"/>
    <s v="Brokerage"/>
    <x v="0"/>
    <s v="OTHR - Other"/>
    <d v="2020-01-22T00:00:00"/>
    <s v="Other"/>
    <m/>
    <m/>
    <m/>
    <m/>
    <m/>
    <m/>
    <m/>
    <m/>
    <m/>
    <m/>
    <m/>
    <m/>
    <m/>
    <m/>
    <m/>
    <m/>
    <m/>
    <m/>
    <m/>
    <m/>
  </r>
  <r>
    <s v="DDD"/>
    <s v="'99000044180300000064"/>
    <x v="1"/>
    <x v="191"/>
    <d v="2019-07-08T00:00:00"/>
    <x v="5"/>
    <n v="1"/>
    <s v="Vinay"/>
    <x v="0"/>
    <s v="Construction, Power &amp; Infrastructure"/>
    <s v="Cross Sell"/>
    <n v="0"/>
    <d v="2019-01-09T00:00:00"/>
    <s v="Brokerage"/>
    <x v="0"/>
    <s v="OTHR - Other"/>
    <d v="2020-01-22T00:00:00"/>
    <s v="Other"/>
    <m/>
    <m/>
    <m/>
    <m/>
    <m/>
    <m/>
    <m/>
    <m/>
    <m/>
    <m/>
    <m/>
    <m/>
    <m/>
    <m/>
    <m/>
    <m/>
    <m/>
    <m/>
    <m/>
    <m/>
  </r>
  <r>
    <s v="DDD"/>
    <s v="'99000044180300000074"/>
    <x v="0"/>
    <x v="241"/>
    <d v="2020-06-06T00:00:00"/>
    <x v="5"/>
    <n v="1"/>
    <s v="Vinay"/>
    <x v="0"/>
    <s v="Construction, Power &amp; Infrastructure"/>
    <s v="Cross Sell"/>
    <n v="11360"/>
    <d v="2019-03-07T00:00:00"/>
    <s v="Brokerage"/>
    <x v="0"/>
    <s v="OTHR - Other"/>
    <d v="2020-01-22T00:00:00"/>
    <s v="Other"/>
    <m/>
    <m/>
    <m/>
    <m/>
    <m/>
    <m/>
    <m/>
    <m/>
    <m/>
    <m/>
    <m/>
    <m/>
    <m/>
    <m/>
    <m/>
    <m/>
    <m/>
    <m/>
    <m/>
    <m/>
  </r>
  <r>
    <s v="DDD"/>
    <s v="'99000044180300000076"/>
    <x v="1"/>
    <x v="242"/>
    <d v="2019-09-26T00:00:00"/>
    <x v="5"/>
    <n v="1"/>
    <s v="Vinay"/>
    <x v="0"/>
    <s v="Construction, Power &amp; Infrastructure"/>
    <s v="Cross Sell"/>
    <n v="67102"/>
    <d v="2019-03-27T00:00:00"/>
    <s v="Brokerage"/>
    <x v="0"/>
    <s v="OTHR - Other"/>
    <d v="2020-01-22T00:00:00"/>
    <s v="Other"/>
    <m/>
    <m/>
    <m/>
    <m/>
    <m/>
    <m/>
    <m/>
    <m/>
    <m/>
    <m/>
    <m/>
    <m/>
    <m/>
    <m/>
    <m/>
    <m/>
    <m/>
    <m/>
    <m/>
    <m/>
  </r>
  <r>
    <s v="DDD"/>
    <s v="'99000044180300000076"/>
    <x v="1"/>
    <x v="242"/>
    <d v="2019-09-26T00:00:00"/>
    <x v="5"/>
    <n v="1"/>
    <s v="Vinay"/>
    <x v="0"/>
    <s v="Construction, Power &amp; Infrastructure"/>
    <s v="Cross Sell"/>
    <n v="0"/>
    <d v="2019-03-27T00:00:00"/>
    <s v="Brokerage"/>
    <x v="0"/>
    <s v="OTHR - Other"/>
    <d v="2020-01-22T00:00:00"/>
    <s v="Other"/>
    <m/>
    <m/>
    <m/>
    <m/>
    <m/>
    <m/>
    <m/>
    <m/>
    <m/>
    <m/>
    <m/>
    <m/>
    <m/>
    <m/>
    <m/>
    <m/>
    <m/>
    <m/>
    <m/>
    <m/>
  </r>
  <r>
    <s v="DDD"/>
    <s v="'99000044180300000078"/>
    <x v="0"/>
    <x v="243"/>
    <d v="2021-03-24T00:00:00"/>
    <x v="5"/>
    <n v="1"/>
    <s v="Vinay"/>
    <x v="0"/>
    <s v="Construction, Power &amp; Infrastructure"/>
    <s v="Cross Sell"/>
    <n v="120474.73"/>
    <d v="2020-12-08T00:00:00"/>
    <s v="Brokerage"/>
    <x v="0"/>
    <s v="OTHR - Other"/>
    <d v="2020-01-22T00:00:00"/>
    <s v="Other"/>
    <m/>
    <m/>
    <m/>
    <m/>
    <m/>
    <m/>
    <m/>
    <m/>
    <m/>
    <m/>
    <m/>
    <m/>
    <m/>
    <m/>
    <m/>
    <m/>
    <m/>
    <m/>
    <m/>
    <m/>
  </r>
  <r>
    <s v="DDD"/>
    <s v="'99000044180300000078"/>
    <x v="0"/>
    <x v="243"/>
    <d v="2021-03-24T00:00:00"/>
    <x v="5"/>
    <n v="1"/>
    <s v="Vinay"/>
    <x v="0"/>
    <s v="Construction, Power &amp; Infrastructure"/>
    <s v="Cross Sell"/>
    <n v="153332.03"/>
    <d v="2020-01-31T00:00:00"/>
    <s v="Brokerage"/>
    <x v="0"/>
    <s v="OTHR - Other"/>
    <d v="2020-01-22T00:00:00"/>
    <s v="Other"/>
    <m/>
    <m/>
    <m/>
    <m/>
    <m/>
    <m/>
    <m/>
    <m/>
    <m/>
    <m/>
    <m/>
    <m/>
    <m/>
    <m/>
    <m/>
    <m/>
    <m/>
    <m/>
    <m/>
    <m/>
  </r>
  <r>
    <s v="DDD"/>
    <s v="'99000044180300000078"/>
    <x v="0"/>
    <x v="243"/>
    <d v="2021-03-24T00:00:00"/>
    <x v="5"/>
    <n v="1"/>
    <s v="Vinay"/>
    <x v="0"/>
    <s v="Construction, Power &amp; Infrastructure"/>
    <s v="Cross Sell"/>
    <n v="153332.03"/>
    <d v="2020-05-14T00:00:00"/>
    <s v="Brokerage"/>
    <x v="0"/>
    <s v="OTHR - Other"/>
    <d v="2020-01-22T00:00:00"/>
    <s v="Other"/>
    <m/>
    <m/>
    <m/>
    <m/>
    <m/>
    <m/>
    <m/>
    <m/>
    <m/>
    <m/>
    <m/>
    <m/>
    <m/>
    <m/>
    <m/>
    <m/>
    <m/>
    <m/>
    <m/>
    <m/>
  </r>
  <r>
    <s v="DDD"/>
    <s v="'99000044180300000078"/>
    <x v="0"/>
    <x v="243"/>
    <d v="2021-03-24T00:00:00"/>
    <x v="5"/>
    <n v="1"/>
    <s v="Vinay"/>
    <x v="0"/>
    <s v="Construction, Power &amp; Infrastructure"/>
    <s v="Cross Sell"/>
    <n v="153332.03"/>
    <d v="2020-08-26T00:00:00"/>
    <s v="Brokerage"/>
    <x v="0"/>
    <s v="OTHR - Other"/>
    <d v="2020-01-22T00:00:00"/>
    <s v="Other"/>
    <m/>
    <m/>
    <m/>
    <m/>
    <m/>
    <m/>
    <m/>
    <m/>
    <m/>
    <m/>
    <m/>
    <m/>
    <m/>
    <m/>
    <m/>
    <m/>
    <m/>
    <m/>
    <m/>
    <m/>
  </r>
  <r>
    <s v="DDD"/>
    <s v="'99000044180300000078"/>
    <x v="0"/>
    <x v="243"/>
    <d v="2021-03-24T00:00:00"/>
    <x v="5"/>
    <n v="1"/>
    <s v="Vinay"/>
    <x v="0"/>
    <s v="Construction, Power &amp; Infrastructure"/>
    <s v="Cross Sell"/>
    <n v="153332.03"/>
    <d v="2019-07-07T00:00:00"/>
    <s v="Brokerage"/>
    <x v="0"/>
    <s v="OTHR - Other"/>
    <d v="2020-01-22T00:00:00"/>
    <s v="Other"/>
    <m/>
    <m/>
    <m/>
    <m/>
    <m/>
    <m/>
    <m/>
    <m/>
    <m/>
    <m/>
    <m/>
    <m/>
    <m/>
    <m/>
    <m/>
    <m/>
    <m/>
    <m/>
    <m/>
    <m/>
  </r>
  <r>
    <s v="DDD"/>
    <s v="'99000044180300000078"/>
    <x v="0"/>
    <x v="243"/>
    <d v="2021-03-24T00:00:00"/>
    <x v="5"/>
    <n v="1"/>
    <s v="Vinay"/>
    <x v="0"/>
    <s v="Construction, Power &amp; Infrastructure"/>
    <s v="Cross Sell"/>
    <n v="153332.03"/>
    <d v="2019-10-19T00:00:00"/>
    <s v="Brokerage"/>
    <x v="0"/>
    <s v="OTHR - Other"/>
    <d v="2020-01-22T00:00:00"/>
    <s v="Other"/>
    <m/>
    <m/>
    <m/>
    <m/>
    <m/>
    <m/>
    <m/>
    <m/>
    <m/>
    <m/>
    <m/>
    <m/>
    <m/>
    <m/>
    <m/>
    <m/>
    <m/>
    <m/>
    <m/>
    <m/>
  </r>
  <r>
    <s v="DDD"/>
    <s v="'99000044180300000078"/>
    <x v="0"/>
    <x v="243"/>
    <d v="2021-03-24T00:00:00"/>
    <x v="5"/>
    <n v="1"/>
    <s v="Vinay"/>
    <x v="0"/>
    <s v="Construction, Power &amp; Infrastructure"/>
    <s v="Cross Sell"/>
    <n v="208093.46"/>
    <d v="2019-03-25T00:00:00"/>
    <s v="Brokerage"/>
    <x v="0"/>
    <s v="OTHR - Other"/>
    <d v="2020-01-22T00:00:00"/>
    <s v="Other"/>
    <m/>
    <m/>
    <m/>
    <m/>
    <m/>
    <m/>
    <m/>
    <m/>
    <m/>
    <m/>
    <m/>
    <m/>
    <m/>
    <m/>
    <m/>
    <m/>
    <m/>
    <m/>
    <m/>
    <m/>
  </r>
  <r>
    <s v="DDD"/>
    <s v="'99000044180300000078"/>
    <x v="0"/>
    <x v="243"/>
    <d v="2021-03-24T00:00:00"/>
    <x v="5"/>
    <n v="1"/>
    <s v="Vinay"/>
    <x v="0"/>
    <s v="Construction, Power &amp; Infrastructure"/>
    <s v="Cross Sell"/>
    <n v="0"/>
    <d v="2020-12-08T00:00:00"/>
    <s v="Brokerage"/>
    <x v="0"/>
    <s v="OTHR - Other"/>
    <d v="2020-01-22T00:00:00"/>
    <s v="Other"/>
    <m/>
    <m/>
    <m/>
    <m/>
    <m/>
    <m/>
    <m/>
    <m/>
    <m/>
    <m/>
    <m/>
    <m/>
    <m/>
    <m/>
    <m/>
    <m/>
    <m/>
    <m/>
    <m/>
    <m/>
  </r>
  <r>
    <s v="DDD"/>
    <s v="'99000044180300000078"/>
    <x v="0"/>
    <x v="243"/>
    <d v="2021-03-24T00:00:00"/>
    <x v="5"/>
    <n v="1"/>
    <s v="Vinay"/>
    <x v="0"/>
    <s v="Construction, Power &amp; Infrastructure"/>
    <s v="Cross Sell"/>
    <n v="0"/>
    <d v="2020-01-31T00:00:00"/>
    <s v="Brokerage"/>
    <x v="0"/>
    <s v="OTHR - Other"/>
    <d v="2020-01-22T00:00:00"/>
    <s v="Other"/>
    <m/>
    <m/>
    <m/>
    <m/>
    <m/>
    <m/>
    <m/>
    <m/>
    <m/>
    <m/>
    <m/>
    <m/>
    <m/>
    <m/>
    <m/>
    <m/>
    <m/>
    <m/>
    <m/>
    <m/>
  </r>
  <r>
    <s v="DDD"/>
    <s v="'99000044180300000078"/>
    <x v="0"/>
    <x v="243"/>
    <d v="2021-03-24T00:00:00"/>
    <x v="5"/>
    <n v="1"/>
    <s v="Vinay"/>
    <x v="0"/>
    <s v="Construction, Power &amp; Infrastructure"/>
    <s v="Cross Sell"/>
    <n v="0"/>
    <d v="2020-05-14T00:00:00"/>
    <s v="Brokerage"/>
    <x v="0"/>
    <s v="OTHR - Other"/>
    <d v="2020-01-22T00:00:00"/>
    <s v="Other"/>
    <m/>
    <m/>
    <m/>
    <m/>
    <m/>
    <m/>
    <m/>
    <m/>
    <m/>
    <m/>
    <m/>
    <m/>
    <m/>
    <m/>
    <m/>
    <m/>
    <m/>
    <m/>
    <m/>
    <m/>
  </r>
  <r>
    <s v="DDD"/>
    <s v="'99000044180300000078"/>
    <x v="0"/>
    <x v="243"/>
    <d v="2021-03-24T00:00:00"/>
    <x v="5"/>
    <n v="1"/>
    <s v="Vinay"/>
    <x v="0"/>
    <s v="Construction, Power &amp; Infrastructure"/>
    <s v="Cross Sell"/>
    <n v="0"/>
    <d v="2020-08-26T00:00:00"/>
    <s v="Brokerage"/>
    <x v="0"/>
    <s v="OTHR - Other"/>
    <d v="2020-01-22T00:00:00"/>
    <s v="Other"/>
    <m/>
    <m/>
    <m/>
    <m/>
    <m/>
    <m/>
    <m/>
    <m/>
    <m/>
    <m/>
    <m/>
    <m/>
    <m/>
    <m/>
    <m/>
    <m/>
    <m/>
    <m/>
    <m/>
    <m/>
  </r>
  <r>
    <s v="DDD"/>
    <s v="'99000044180300000078"/>
    <x v="0"/>
    <x v="243"/>
    <d v="2021-03-24T00:00:00"/>
    <x v="5"/>
    <n v="1"/>
    <s v="Vinay"/>
    <x v="0"/>
    <s v="Construction, Power &amp; Infrastructure"/>
    <s v="Cross Sell"/>
    <n v="0"/>
    <d v="2019-07-07T00:00:00"/>
    <s v="Brokerage"/>
    <x v="0"/>
    <s v="OTHR - Other"/>
    <d v="2020-01-22T00:00:00"/>
    <s v="Other"/>
    <m/>
    <m/>
    <m/>
    <m/>
    <m/>
    <m/>
    <m/>
    <m/>
    <m/>
    <m/>
    <m/>
    <m/>
    <m/>
    <m/>
    <m/>
    <m/>
    <m/>
    <m/>
    <m/>
    <m/>
  </r>
  <r>
    <s v="DDD"/>
    <s v="'99000044180300000078"/>
    <x v="0"/>
    <x v="243"/>
    <d v="2021-03-24T00:00:00"/>
    <x v="5"/>
    <n v="1"/>
    <s v="Vinay"/>
    <x v="0"/>
    <s v="Construction, Power &amp; Infrastructure"/>
    <s v="Cross Sell"/>
    <n v="0"/>
    <d v="2019-10-19T00:00:00"/>
    <s v="Brokerage"/>
    <x v="0"/>
    <s v="OTHR - Other"/>
    <d v="2020-01-22T00:00:00"/>
    <s v="Other"/>
    <m/>
    <m/>
    <m/>
    <m/>
    <m/>
    <m/>
    <m/>
    <m/>
    <m/>
    <m/>
    <m/>
    <m/>
    <m/>
    <m/>
    <m/>
    <m/>
    <m/>
    <m/>
    <m/>
    <m/>
  </r>
  <r>
    <s v="DDD"/>
    <s v="'99000044180300000078"/>
    <x v="0"/>
    <x v="243"/>
    <d v="2021-03-24T00:00:00"/>
    <x v="5"/>
    <n v="1"/>
    <s v="Vinay"/>
    <x v="0"/>
    <s v="Construction, Power &amp; Infrastructure"/>
    <s v="Cross Sell"/>
    <n v="0"/>
    <d v="2019-03-25T00:00:00"/>
    <s v="Brokerage"/>
    <x v="0"/>
    <s v="OTHR - Other"/>
    <d v="2020-01-22T00:00:00"/>
    <s v="Other"/>
    <m/>
    <m/>
    <m/>
    <m/>
    <m/>
    <m/>
    <m/>
    <m/>
    <m/>
    <m/>
    <m/>
    <m/>
    <m/>
    <m/>
    <m/>
    <m/>
    <m/>
    <m/>
    <m/>
    <m/>
  </r>
  <r>
    <s v="DDD"/>
    <n v="9.9E+19"/>
    <x v="1"/>
    <x v="244"/>
    <d v="2019-07-17T00:00:00"/>
    <x v="5"/>
    <n v="1"/>
    <s v="Vinay"/>
    <x v="0"/>
    <s v="Property / BI"/>
    <s v="Renewal"/>
    <n v="8107.49"/>
    <d v="2018-07-18T00:00:00"/>
    <s v="Brokerage"/>
    <x v="0"/>
    <s v="OTHR - Other"/>
    <d v="2020-01-22T00:00:00"/>
    <s v="Other"/>
    <m/>
    <m/>
    <m/>
    <m/>
    <m/>
    <m/>
    <m/>
    <m/>
    <m/>
    <m/>
    <m/>
    <m/>
    <m/>
    <m/>
    <m/>
    <m/>
    <m/>
    <m/>
    <m/>
    <m/>
  </r>
  <r>
    <s v="DDD"/>
    <s v="'99000044180700000011"/>
    <x v="0"/>
    <x v="150"/>
    <d v="2020-02-17T00:00:00"/>
    <x v="5"/>
    <n v="1"/>
    <s v="Vinay"/>
    <x v="0"/>
    <s v="Construction, Power &amp; Infrastructure"/>
    <s v="Cross Sell"/>
    <n v="19113.41"/>
    <d v="2019-02-18T00:00:00"/>
    <s v="Brokerage"/>
    <x v="0"/>
    <s v="OTHR - Other"/>
    <d v="2020-01-22T00:00:00"/>
    <s v="Other"/>
    <m/>
    <m/>
    <m/>
    <m/>
    <m/>
    <m/>
    <m/>
    <m/>
    <m/>
    <m/>
    <m/>
    <m/>
    <m/>
    <m/>
    <m/>
    <m/>
    <m/>
    <m/>
    <m/>
    <m/>
  </r>
  <r>
    <s v="DDD"/>
    <s v="'99000044180700000012"/>
    <x v="0"/>
    <x v="224"/>
    <d v="2020-02-13T00:00:00"/>
    <x v="5"/>
    <n v="1"/>
    <s v="Vinay"/>
    <x v="0"/>
    <s v="Construction, Power &amp; Infrastructure"/>
    <s v="Renewal"/>
    <n v="12055.25"/>
    <d v="2019-02-14T00:00:00"/>
    <s v="Brokerage"/>
    <x v="0"/>
    <s v="OTHR - Other"/>
    <d v="2020-01-22T00:00:00"/>
    <s v="Other"/>
    <m/>
    <m/>
    <m/>
    <m/>
    <m/>
    <m/>
    <m/>
    <m/>
    <m/>
    <m/>
    <m/>
    <m/>
    <m/>
    <m/>
    <m/>
    <m/>
    <m/>
    <m/>
    <m/>
    <m/>
  </r>
  <r>
    <s v="DDD"/>
    <n v="9.9E+19"/>
    <x v="0"/>
    <x v="245"/>
    <d v="2019-09-09T00:00:00"/>
    <x v="2"/>
    <n v="1"/>
    <s v="Vinay"/>
    <x v="0"/>
    <s v="Property / BI"/>
    <s v="Renewal"/>
    <n v="484.75"/>
    <d v="2018-09-10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DDD"/>
    <n v="9.9E+19"/>
    <x v="0"/>
    <x v="245"/>
    <d v="2019-09-09T00:00:00"/>
    <x v="2"/>
    <n v="1"/>
    <s v="Vinay"/>
    <x v="0"/>
    <s v="Property / BI"/>
    <s v="Renewal"/>
    <n v="484.75"/>
    <d v="2018-09-10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DDD"/>
    <n v="9.9E+19"/>
    <x v="0"/>
    <x v="245"/>
    <d v="2019-09-09T00:00:00"/>
    <x v="2"/>
    <n v="1"/>
    <s v="Vinay"/>
    <x v="0"/>
    <s v="Property / BI"/>
    <s v="Renewal"/>
    <n v="484.75"/>
    <d v="2018-09-10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DDD"/>
    <n v="9.9E+19"/>
    <x v="0"/>
    <x v="245"/>
    <d v="2019-09-09T00:00:00"/>
    <x v="2"/>
    <n v="1"/>
    <s v="Vinay"/>
    <x v="0"/>
    <s v="Property / BI"/>
    <s v="Renewal"/>
    <n v="484.75"/>
    <d v="2018-09-10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DDD"/>
    <n v="9.9E+19"/>
    <x v="0"/>
    <x v="245"/>
    <d v="2019-09-09T00:00:00"/>
    <x v="2"/>
    <n v="1"/>
    <s v="Vinay"/>
    <x v="0"/>
    <s v="Property / BI"/>
    <s v="Renewal"/>
    <n v="484.75"/>
    <d v="2018-09-10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DDD"/>
    <n v="9.9E+19"/>
    <x v="0"/>
    <x v="245"/>
    <d v="2019-09-09T00:00:00"/>
    <x v="2"/>
    <n v="1"/>
    <s v="Vinay"/>
    <x v="0"/>
    <s v="Construction, Power &amp; Infrastructure"/>
    <s v="Renewal"/>
    <n v="109.88"/>
    <d v="2018-09-10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DDD"/>
    <n v="9.9E+19"/>
    <x v="0"/>
    <x v="245"/>
    <d v="2019-09-09T00:00:00"/>
    <x v="2"/>
    <n v="1"/>
    <s v="Vinay"/>
    <x v="0"/>
    <s v="Construction, Power &amp; Infrastructure"/>
    <s v="Renewal"/>
    <n v="109.88"/>
    <d v="2018-09-10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DDD"/>
    <n v="9.9E+19"/>
    <x v="0"/>
    <x v="245"/>
    <d v="2019-09-09T00:00:00"/>
    <x v="2"/>
    <n v="1"/>
    <s v="Vinay"/>
    <x v="0"/>
    <s v="Construction, Power &amp; Infrastructure"/>
    <s v="Renewal"/>
    <n v="109.88"/>
    <d v="2018-09-10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DDD"/>
    <n v="9.9E+19"/>
    <x v="0"/>
    <x v="245"/>
    <d v="2019-09-09T00:00:00"/>
    <x v="2"/>
    <n v="1"/>
    <s v="Vinay"/>
    <x v="0"/>
    <s v="Construction, Power &amp; Infrastructure"/>
    <s v="Renewal"/>
    <n v="109.88"/>
    <d v="2018-09-10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DDD"/>
    <n v="9.9E+19"/>
    <x v="0"/>
    <x v="245"/>
    <d v="2019-09-09T00:00:00"/>
    <x v="2"/>
    <n v="1"/>
    <s v="Vinay"/>
    <x v="0"/>
    <s v="Construction, Power &amp; Infrastructure"/>
    <s v="Renewal"/>
    <n v="109.88"/>
    <d v="2018-09-10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DDD"/>
    <s v="'99000044185800000014"/>
    <x v="0"/>
    <x v="224"/>
    <d v="2020-02-13T00:00:00"/>
    <x v="2"/>
    <n v="1"/>
    <s v="Vinay"/>
    <x v="0"/>
    <s v="Construction, Power &amp; Infrastructure"/>
    <s v="Renewal"/>
    <n v="27069"/>
    <d v="2019-02-14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DDD"/>
    <s v="'99000044185800000014"/>
    <x v="0"/>
    <x v="224"/>
    <d v="2020-02-13T00:00:00"/>
    <x v="2"/>
    <n v="1"/>
    <s v="Vinay"/>
    <x v="0"/>
    <s v="Construction, Power &amp; Infrastructure"/>
    <s v="Renewal"/>
    <n v="27069"/>
    <d v="2019-02-14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DDD"/>
    <s v="'99000044185800000014"/>
    <x v="0"/>
    <x v="224"/>
    <d v="2020-02-13T00:00:00"/>
    <x v="2"/>
    <n v="1"/>
    <s v="Vinay"/>
    <x v="0"/>
    <s v="Construction, Power &amp; Infrastructure"/>
    <s v="Renewal"/>
    <n v="27069"/>
    <d v="2019-02-14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DDD"/>
    <s v="'99000044185800000014"/>
    <x v="0"/>
    <x v="224"/>
    <d v="2020-02-13T00:00:00"/>
    <x v="2"/>
    <n v="1"/>
    <s v="Vinay"/>
    <x v="0"/>
    <s v="Construction, Power &amp; Infrastructure"/>
    <s v="Renewal"/>
    <n v="27069"/>
    <d v="2019-02-14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DDD"/>
    <s v="'99000044185800000014"/>
    <x v="0"/>
    <x v="224"/>
    <d v="2020-02-13T00:00:00"/>
    <x v="2"/>
    <n v="1"/>
    <s v="Vinay"/>
    <x v="0"/>
    <s v="Construction, Power &amp; Infrastructure"/>
    <s v="Renewal"/>
    <n v="27069"/>
    <d v="2019-02-14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DDD"/>
    <s v="'99000044185900000001"/>
    <x v="0"/>
    <x v="22"/>
    <d v="2021-02-13T00:00:00"/>
    <x v="1"/>
    <n v="1"/>
    <s v="Vinay"/>
    <x v="0"/>
    <s v="Construction, Power &amp; Infrastructure"/>
    <s v="Cross Sell"/>
    <n v="66556.88"/>
    <d v="2018-08-14T00:00:00"/>
    <s v="Brokerage"/>
    <x v="0"/>
    <s v="OTHR - Other"/>
    <d v="2020-01-22T00:00:00"/>
    <s v="Other"/>
    <m/>
    <m/>
    <m/>
    <m/>
    <m/>
    <m/>
    <m/>
    <m/>
    <m/>
    <m/>
    <m/>
    <m/>
    <m/>
    <m/>
    <m/>
    <m/>
    <m/>
    <m/>
    <m/>
    <m/>
  </r>
  <r>
    <s v="DDD"/>
    <s v="'99000044190300000004"/>
    <x v="0"/>
    <x v="246"/>
    <d v="2019-07-19T00:00:00"/>
    <x v="5"/>
    <n v="1"/>
    <s v="Vinay"/>
    <x v="0"/>
    <s v="Construction, Power &amp; Infrastructure"/>
    <s v="Cross Sell"/>
    <n v="40959.629999999997"/>
    <d v="2019-04-20T00:00:00"/>
    <s v="Brokerage"/>
    <x v="1"/>
    <s v="OTHR - Other"/>
    <d v="2020-01-22T00:00:00"/>
    <s v="Other"/>
    <m/>
    <m/>
    <m/>
    <m/>
    <m/>
    <m/>
    <m/>
    <m/>
    <m/>
    <m/>
    <m/>
    <m/>
    <m/>
    <m/>
    <m/>
    <m/>
    <m/>
    <m/>
    <m/>
    <m/>
  </r>
  <r>
    <s v="DDD"/>
    <s v="'99000044190300000023"/>
    <x v="0"/>
    <x v="190"/>
    <d v="2019-10-08T00:00:00"/>
    <x v="5"/>
    <n v="11"/>
    <s v="Raju Kumar"/>
    <x v="0"/>
    <s v="Construction, Power &amp; Infrastructure"/>
    <s v="Cross Sell"/>
    <n v="8263.94"/>
    <d v="2019-07-09T00:00:00"/>
    <s v="Brokerage"/>
    <x v="1"/>
    <s v="OTHR - Other"/>
    <d v="2020-01-22T00:00:00"/>
    <s v="Other"/>
    <m/>
    <m/>
    <m/>
    <m/>
    <m/>
    <m/>
    <m/>
    <m/>
    <m/>
    <m/>
    <m/>
    <m/>
    <m/>
    <m/>
    <m/>
    <m/>
    <m/>
    <m/>
    <m/>
    <m/>
  </r>
  <r>
    <s v="DDD"/>
    <s v="'99000044190300000023"/>
    <x v="0"/>
    <x v="190"/>
    <d v="2019-10-08T00:00:00"/>
    <x v="5"/>
    <n v="11"/>
    <s v="Raju Kumar"/>
    <x v="0"/>
    <s v="Construction, Power &amp; Infrastructure"/>
    <s v="Cross Sell"/>
    <n v="0"/>
    <d v="2019-07-09T00:00:00"/>
    <s v="Brokerage"/>
    <x v="1"/>
    <s v="OTHR - Other"/>
    <d v="2020-01-22T00:00:00"/>
    <s v="Other"/>
    <m/>
    <m/>
    <m/>
    <m/>
    <m/>
    <m/>
    <m/>
    <m/>
    <m/>
    <m/>
    <m/>
    <m/>
    <m/>
    <m/>
    <m/>
    <m/>
    <m/>
    <m/>
    <m/>
    <m/>
  </r>
  <r>
    <s v="DDD"/>
    <s v="'99000044190300000046"/>
    <x v="0"/>
    <x v="247"/>
    <d v="2020-03-26T00:00:00"/>
    <x v="5"/>
    <n v="11"/>
    <s v="Raju Kumar"/>
    <x v="0"/>
    <s v="Construction, Power &amp; Infrastructure"/>
    <s v="Cross Sell"/>
    <n v="67102.13"/>
    <d v="2019-09-27T00:00:00"/>
    <s v="Brokerage"/>
    <x v="1"/>
    <s v="OTHR - Other"/>
    <d v="2020-01-22T00:00:00"/>
    <s v="Other"/>
    <m/>
    <m/>
    <m/>
    <m/>
    <m/>
    <m/>
    <m/>
    <m/>
    <m/>
    <m/>
    <m/>
    <m/>
    <m/>
    <m/>
    <m/>
    <m/>
    <m/>
    <m/>
    <m/>
    <m/>
  </r>
  <r>
    <s v="DDD"/>
    <s v="'99000044190700000001"/>
    <x v="1"/>
    <x v="16"/>
    <d v="2020-03-31T00:00:00"/>
    <x v="5"/>
    <n v="11"/>
    <s v="Raju Kumar"/>
    <x v="0"/>
    <s v="Construction, Power &amp; Infrastructure"/>
    <s v="Renewal"/>
    <n v="90663.25"/>
    <d v="2019-04-01T00:00:00"/>
    <s v="Brokerage"/>
    <x v="3"/>
    <s v="OTHR - Other"/>
    <d v="2020-01-22T00:00:00"/>
    <s v="Other"/>
    <m/>
    <m/>
    <m/>
    <m/>
    <m/>
    <m/>
    <m/>
    <m/>
    <m/>
    <m/>
    <m/>
    <m/>
    <m/>
    <m/>
    <m/>
    <m/>
    <m/>
    <m/>
    <m/>
    <m/>
  </r>
  <r>
    <s v="DDD"/>
    <s v="''99000044190700000001"/>
    <x v="0"/>
    <x v="16"/>
    <d v="2020-03-31T00:00:00"/>
    <x v="5"/>
    <n v="11"/>
    <s v="Raju Kumar"/>
    <x v="0"/>
    <s v="Construction, Power &amp; Infrastructure"/>
    <s v="Cross Sell"/>
    <n v="90663.25"/>
    <d v="2019-04-01T00:00:00"/>
    <s v="Brokerage"/>
    <x v="0"/>
    <s v="OTHR - Other"/>
    <d v="2020-01-22T00:00:00"/>
    <s v="Other"/>
    <m/>
    <m/>
    <m/>
    <m/>
    <m/>
    <m/>
    <m/>
    <m/>
    <m/>
    <m/>
    <m/>
    <m/>
    <m/>
    <m/>
    <m/>
    <m/>
    <m/>
    <m/>
    <m/>
    <m/>
  </r>
  <r>
    <s v="DDD"/>
    <s v="'99000044190700000002"/>
    <x v="0"/>
    <x v="248"/>
    <d v="2020-07-17T00:00:00"/>
    <x v="5"/>
    <n v="1"/>
    <s v="Vinay"/>
    <x v="0"/>
    <s v="Property / BI"/>
    <s v="Renewal"/>
    <n v="8854.8799999999992"/>
    <d v="2019-07-18T00:00:00"/>
    <s v="Brokerage"/>
    <x v="1"/>
    <s v="OTHR - Other"/>
    <d v="2020-01-22T00:00:00"/>
    <s v="Other"/>
    <m/>
    <m/>
    <m/>
    <m/>
    <m/>
    <m/>
    <m/>
    <m/>
    <m/>
    <m/>
    <m/>
    <m/>
    <m/>
    <m/>
    <m/>
    <m/>
    <m/>
    <m/>
    <m/>
    <m/>
  </r>
  <r>
    <s v="DDD"/>
    <s v="'99000044196500000008"/>
    <x v="0"/>
    <x v="16"/>
    <d v="2020-03-31T00:00:00"/>
    <x v="5"/>
    <n v="1"/>
    <s v="Vinay"/>
    <x v="0"/>
    <s v="Construction, Power &amp; Infrastructure"/>
    <s v="Renewal"/>
    <n v="7187.34"/>
    <d v="2019-04-01T00:00:00"/>
    <s v="Brokerage"/>
    <x v="0"/>
    <s v="OTHR - Other"/>
    <d v="2020-01-22T00:00:00"/>
    <s v="Other"/>
    <m/>
    <m/>
    <m/>
    <m/>
    <m/>
    <m/>
    <m/>
    <m/>
    <m/>
    <m/>
    <m/>
    <m/>
    <m/>
    <m/>
    <m/>
    <m/>
    <m/>
    <m/>
    <m/>
    <m/>
  </r>
  <r>
    <s v="DDD"/>
    <s v="'99000044196500000008"/>
    <x v="0"/>
    <x v="16"/>
    <d v="2020-03-31T00:00:00"/>
    <x v="5"/>
    <n v="1"/>
    <s v="Vinay"/>
    <x v="0"/>
    <s v="Construction, Power &amp; Infrastructure"/>
    <s v="Renewal"/>
    <n v="0"/>
    <d v="2019-04-01T00:00:00"/>
    <s v="Brokerage"/>
    <x v="0"/>
    <s v="OTHR - Other"/>
    <d v="2020-01-22T00:00:00"/>
    <s v="Other"/>
    <m/>
    <m/>
    <m/>
    <m/>
    <m/>
    <m/>
    <m/>
    <m/>
    <m/>
    <m/>
    <m/>
    <m/>
    <m/>
    <m/>
    <m/>
    <m/>
    <m/>
    <m/>
    <m/>
    <m/>
  </r>
  <r>
    <s v="DDD"/>
    <n v="9.9E+19"/>
    <x v="1"/>
    <x v="249"/>
    <d v="2018-04-26T00:00:00"/>
    <x v="2"/>
    <n v="1"/>
    <s v="Vinay"/>
    <x v="0"/>
    <s v="Construction, Power &amp; Infrastructure"/>
    <s v="Cross Sell"/>
    <n v="121755.9"/>
    <d v="2017-04-27T00:00:00"/>
    <s v="Brokerage"/>
    <x v="3"/>
    <s v="Policy Renewed"/>
    <d v="2020-01-22T00:00:00"/>
    <s v="Policy Renewed"/>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DDD"/>
    <n v="9.9E+19"/>
    <x v="1"/>
    <x v="249"/>
    <d v="2018-04-26T00:00:00"/>
    <x v="2"/>
    <n v="1"/>
    <s v="Vinay"/>
    <x v="0"/>
    <s v="Construction, Power &amp; Infrastructure"/>
    <s v="Cross Sell"/>
    <n v="121755.9"/>
    <d v="2017-04-27T00:00:00"/>
    <s v="Brokerage"/>
    <x v="3"/>
    <s v="Policy Renewed"/>
    <d v="2020-01-22T00:00:00"/>
    <s v="Policy Renewed"/>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DDD"/>
    <n v="9.9E+19"/>
    <x v="1"/>
    <x v="249"/>
    <d v="2018-04-26T00:00:00"/>
    <x v="2"/>
    <n v="1"/>
    <s v="Vinay"/>
    <x v="0"/>
    <s v="Construction, Power &amp; Infrastructure"/>
    <s v="Cross Sell"/>
    <n v="121755.9"/>
    <d v="2017-04-27T00:00:00"/>
    <s v="Brokerage"/>
    <x v="3"/>
    <s v="Policy Renewed"/>
    <d v="2020-01-22T00:00:00"/>
    <s v="Policy Renewed"/>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DDD"/>
    <n v="9.9E+19"/>
    <x v="1"/>
    <x v="249"/>
    <d v="2018-04-26T00:00:00"/>
    <x v="2"/>
    <n v="1"/>
    <s v="Vinay"/>
    <x v="0"/>
    <s v="Construction, Power &amp; Infrastructure"/>
    <s v="Cross Sell"/>
    <n v="121755.9"/>
    <d v="2017-04-27T00:00:00"/>
    <s v="Brokerage"/>
    <x v="3"/>
    <s v="Policy Renewed"/>
    <d v="2020-01-22T00:00:00"/>
    <s v="Policy Renewed"/>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DDD"/>
    <n v="9.9E+19"/>
    <x v="1"/>
    <x v="249"/>
    <d v="2018-04-26T00:00:00"/>
    <x v="2"/>
    <n v="1"/>
    <s v="Vinay"/>
    <x v="0"/>
    <s v="Construction, Power &amp; Infrastructure"/>
    <s v="Cross Sell"/>
    <n v="121755.9"/>
    <d v="2017-04-27T00:00:00"/>
    <s v="Brokerage"/>
    <x v="3"/>
    <s v="Policy Renewed"/>
    <d v="2020-01-22T00:00:00"/>
    <s v="Policy Renewed"/>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DDD"/>
    <s v="'99000046182400000003"/>
    <x v="1"/>
    <x v="14"/>
    <d v="2019-03-31T00:00:00"/>
    <x v="2"/>
    <n v="1"/>
    <s v="Vinay"/>
    <x v="0"/>
    <s v="Property / BI"/>
    <s v="Cross Sell"/>
    <n v="96758.81"/>
    <d v="2018-04-01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DDD"/>
    <s v="'99000046182400000003"/>
    <x v="1"/>
    <x v="14"/>
    <d v="2019-03-31T00:00:00"/>
    <x v="2"/>
    <n v="1"/>
    <s v="Vinay"/>
    <x v="0"/>
    <s v="Property / BI"/>
    <s v="Cross Sell"/>
    <n v="96758.81"/>
    <d v="2018-04-01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DDD"/>
    <s v="'99000046182400000003"/>
    <x v="1"/>
    <x v="14"/>
    <d v="2019-03-31T00:00:00"/>
    <x v="2"/>
    <n v="1"/>
    <s v="Vinay"/>
    <x v="0"/>
    <s v="Property / BI"/>
    <s v="Cross Sell"/>
    <n v="96758.81"/>
    <d v="2018-04-01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DDD"/>
    <s v="'99000046182400000003"/>
    <x v="1"/>
    <x v="14"/>
    <d v="2019-03-31T00:00:00"/>
    <x v="2"/>
    <n v="1"/>
    <s v="Vinay"/>
    <x v="0"/>
    <s v="Property / BI"/>
    <s v="Cross Sell"/>
    <n v="96758.81"/>
    <d v="2018-04-01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DDD"/>
    <s v="'99000046182400000003"/>
    <x v="1"/>
    <x v="14"/>
    <d v="2019-03-31T00:00:00"/>
    <x v="2"/>
    <n v="1"/>
    <s v="Vinay"/>
    <x v="0"/>
    <s v="Property / BI"/>
    <s v="Cross Sell"/>
    <n v="96758.81"/>
    <d v="2018-04-01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DDD"/>
    <n v="9.9E+19"/>
    <x v="1"/>
    <x v="250"/>
    <d v="2019-04-26T00:00:00"/>
    <x v="2"/>
    <n v="1"/>
    <s v="Vinay"/>
    <x v="0"/>
    <s v="Construction, Power &amp; Infrastructure"/>
    <s v="Renewal"/>
    <n v="149758.53"/>
    <d v="2018-05-27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DDD"/>
    <n v="9.9E+19"/>
    <x v="1"/>
    <x v="250"/>
    <d v="2019-04-26T00:00:00"/>
    <x v="2"/>
    <n v="1"/>
    <s v="Vinay"/>
    <x v="0"/>
    <s v="Construction, Power &amp; Infrastructure"/>
    <s v="Renewal"/>
    <n v="149758.53"/>
    <d v="2018-05-27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DDD"/>
    <n v="9.9E+19"/>
    <x v="1"/>
    <x v="250"/>
    <d v="2019-04-26T00:00:00"/>
    <x v="2"/>
    <n v="1"/>
    <s v="Vinay"/>
    <x v="0"/>
    <s v="Construction, Power &amp; Infrastructure"/>
    <s v="Renewal"/>
    <n v="149758.53"/>
    <d v="2018-05-27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DDD"/>
    <n v="9.9E+19"/>
    <x v="1"/>
    <x v="250"/>
    <d v="2019-04-26T00:00:00"/>
    <x v="2"/>
    <n v="1"/>
    <s v="Vinay"/>
    <x v="0"/>
    <s v="Construction, Power &amp; Infrastructure"/>
    <s v="Renewal"/>
    <n v="149758.53"/>
    <d v="2018-05-27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DDD"/>
    <n v="9.9E+19"/>
    <x v="1"/>
    <x v="250"/>
    <d v="2019-04-26T00:00:00"/>
    <x v="2"/>
    <n v="1"/>
    <s v="Vinay"/>
    <x v="0"/>
    <s v="Construction, Power &amp; Infrastructure"/>
    <s v="Renewal"/>
    <n v="149758.53"/>
    <d v="2018-05-27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DDD"/>
    <s v="'99000046182400000039"/>
    <x v="1"/>
    <x v="251"/>
    <d v="2019-06-06T00:00:00"/>
    <x v="2"/>
    <n v="1"/>
    <s v="Vinay"/>
    <x v="0"/>
    <s v="Property / BI"/>
    <s v="Cross Sell"/>
    <n v="9277.1"/>
    <d v="2018-06-07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DDD"/>
    <s v="'99000046182400000039"/>
    <x v="1"/>
    <x v="251"/>
    <d v="2019-06-06T00:00:00"/>
    <x v="2"/>
    <n v="1"/>
    <s v="Vinay"/>
    <x v="0"/>
    <s v="Property / BI"/>
    <s v="Cross Sell"/>
    <n v="9277.1"/>
    <d v="2018-06-07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DDD"/>
    <s v="'99000046182400000039"/>
    <x v="1"/>
    <x v="251"/>
    <d v="2019-06-06T00:00:00"/>
    <x v="2"/>
    <n v="1"/>
    <s v="Vinay"/>
    <x v="0"/>
    <s v="Property / BI"/>
    <s v="Cross Sell"/>
    <n v="9277.1"/>
    <d v="2018-06-07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DDD"/>
    <s v="'99000046182400000039"/>
    <x v="1"/>
    <x v="251"/>
    <d v="2019-06-06T00:00:00"/>
    <x v="2"/>
    <n v="1"/>
    <s v="Vinay"/>
    <x v="0"/>
    <s v="Property / BI"/>
    <s v="Cross Sell"/>
    <n v="9277.1"/>
    <d v="2018-06-07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DDD"/>
    <s v="'99000046182400000039"/>
    <x v="1"/>
    <x v="251"/>
    <d v="2019-06-06T00:00:00"/>
    <x v="2"/>
    <n v="1"/>
    <s v="Vinay"/>
    <x v="0"/>
    <s v="Property / BI"/>
    <s v="Cross Sell"/>
    <n v="9277.1"/>
    <d v="2018-06-07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DDD"/>
    <s v="'99000046182400000053"/>
    <x v="1"/>
    <x v="252"/>
    <d v="2019-07-15T00:00:00"/>
    <x v="2"/>
    <n v="1"/>
    <s v="Vinay"/>
    <x v="0"/>
    <s v="Construction, Power &amp; Infrastructure"/>
    <s v="Cross Sell"/>
    <n v="16533.25"/>
    <d v="2018-07-1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DDD"/>
    <s v="'99000046182400000053"/>
    <x v="1"/>
    <x v="252"/>
    <d v="2019-07-15T00:00:00"/>
    <x v="2"/>
    <n v="1"/>
    <s v="Vinay"/>
    <x v="0"/>
    <s v="Construction, Power &amp; Infrastructure"/>
    <s v="Cross Sell"/>
    <n v="16533.25"/>
    <d v="2018-07-1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DDD"/>
    <s v="'99000046182400000053"/>
    <x v="1"/>
    <x v="252"/>
    <d v="2019-07-15T00:00:00"/>
    <x v="2"/>
    <n v="1"/>
    <s v="Vinay"/>
    <x v="0"/>
    <s v="Construction, Power &amp; Infrastructure"/>
    <s v="Cross Sell"/>
    <n v="16533.25"/>
    <d v="2018-07-1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DDD"/>
    <s v="'99000046182400000053"/>
    <x v="1"/>
    <x v="252"/>
    <d v="2019-07-15T00:00:00"/>
    <x v="2"/>
    <n v="1"/>
    <s v="Vinay"/>
    <x v="0"/>
    <s v="Construction, Power &amp; Infrastructure"/>
    <s v="Cross Sell"/>
    <n v="16533.25"/>
    <d v="2018-07-1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DDD"/>
    <s v="'99000046182400000053"/>
    <x v="1"/>
    <x v="252"/>
    <d v="2019-07-15T00:00:00"/>
    <x v="2"/>
    <n v="1"/>
    <s v="Vinay"/>
    <x v="0"/>
    <s v="Construction, Power &amp; Infrastructure"/>
    <s v="Cross Sell"/>
    <n v="16533.25"/>
    <d v="2018-07-1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DDD"/>
    <s v="'99000046182400000054"/>
    <x v="1"/>
    <x v="252"/>
    <d v="2019-07-15T00:00:00"/>
    <x v="2"/>
    <n v="1"/>
    <s v="Vinay"/>
    <x v="0"/>
    <s v="Property / BI"/>
    <s v="Cross Sell"/>
    <n v="15408.4"/>
    <d v="2018-07-1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DDD"/>
    <s v="'99000046182400000054"/>
    <x v="1"/>
    <x v="252"/>
    <d v="2019-07-15T00:00:00"/>
    <x v="2"/>
    <n v="1"/>
    <s v="Vinay"/>
    <x v="0"/>
    <s v="Property / BI"/>
    <s v="Cross Sell"/>
    <n v="15408.4"/>
    <d v="2018-07-1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DDD"/>
    <s v="'99000046182400000054"/>
    <x v="1"/>
    <x v="252"/>
    <d v="2019-07-15T00:00:00"/>
    <x v="2"/>
    <n v="1"/>
    <s v="Vinay"/>
    <x v="0"/>
    <s v="Property / BI"/>
    <s v="Cross Sell"/>
    <n v="15408.4"/>
    <d v="2018-07-1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DDD"/>
    <s v="'99000046182400000054"/>
    <x v="1"/>
    <x v="252"/>
    <d v="2019-07-15T00:00:00"/>
    <x v="2"/>
    <n v="1"/>
    <s v="Vinay"/>
    <x v="0"/>
    <s v="Property / BI"/>
    <s v="Cross Sell"/>
    <n v="15408.4"/>
    <d v="2018-07-1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DDD"/>
    <s v="'99000046182400000054"/>
    <x v="1"/>
    <x v="252"/>
    <d v="2019-07-15T00:00:00"/>
    <x v="2"/>
    <n v="1"/>
    <s v="Vinay"/>
    <x v="0"/>
    <s v="Property / BI"/>
    <s v="Cross Sell"/>
    <n v="15408.4"/>
    <d v="2018-07-1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DDD"/>
    <s v="'99000046182400000055"/>
    <x v="1"/>
    <x v="252"/>
    <d v="2019-07-15T00:00:00"/>
    <x v="2"/>
    <n v="1"/>
    <s v="Vinay"/>
    <x v="0"/>
    <s v="Property / BI"/>
    <s v="Cross Sell"/>
    <n v="56757.75"/>
    <d v="2018-07-1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DDD"/>
    <s v="'99000046182400000055"/>
    <x v="1"/>
    <x v="252"/>
    <d v="2019-07-15T00:00:00"/>
    <x v="2"/>
    <n v="1"/>
    <s v="Vinay"/>
    <x v="0"/>
    <s v="Property / BI"/>
    <s v="Cross Sell"/>
    <n v="56757.75"/>
    <d v="2018-07-1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DDD"/>
    <s v="'99000046182400000055"/>
    <x v="1"/>
    <x v="252"/>
    <d v="2019-07-15T00:00:00"/>
    <x v="2"/>
    <n v="1"/>
    <s v="Vinay"/>
    <x v="0"/>
    <s v="Property / BI"/>
    <s v="Cross Sell"/>
    <n v="56757.75"/>
    <d v="2018-07-1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DDD"/>
    <s v="'99000046182400000055"/>
    <x v="1"/>
    <x v="252"/>
    <d v="2019-07-15T00:00:00"/>
    <x v="2"/>
    <n v="1"/>
    <s v="Vinay"/>
    <x v="0"/>
    <s v="Property / BI"/>
    <s v="Cross Sell"/>
    <n v="56757.75"/>
    <d v="2018-07-1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DDD"/>
    <s v="'99000046182400000055"/>
    <x v="1"/>
    <x v="252"/>
    <d v="2019-07-15T00:00:00"/>
    <x v="2"/>
    <n v="1"/>
    <s v="Vinay"/>
    <x v="0"/>
    <s v="Property / BI"/>
    <s v="Cross Sell"/>
    <n v="56757.75"/>
    <d v="2018-07-1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DDD"/>
    <s v="'99000046192400000001"/>
    <x v="0"/>
    <x v="16"/>
    <d v="2020-03-31T00:00:00"/>
    <x v="2"/>
    <n v="1"/>
    <s v="Vinay"/>
    <x v="0"/>
    <s v="Property / BI"/>
    <s v="Renewal"/>
    <n v="60229.25"/>
    <d v="2019-04-01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DDD"/>
    <s v="'99000046192400000001"/>
    <x v="0"/>
    <x v="16"/>
    <d v="2020-03-31T00:00:00"/>
    <x v="2"/>
    <n v="1"/>
    <s v="Vinay"/>
    <x v="0"/>
    <s v="Property / BI"/>
    <s v="Renewal"/>
    <n v="60229.25"/>
    <d v="2019-04-01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DDD"/>
    <s v="'99000046192400000001"/>
    <x v="0"/>
    <x v="16"/>
    <d v="2020-03-31T00:00:00"/>
    <x v="2"/>
    <n v="1"/>
    <s v="Vinay"/>
    <x v="0"/>
    <s v="Property / BI"/>
    <s v="Renewal"/>
    <n v="60229.25"/>
    <d v="2019-04-01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DDD"/>
    <s v="'99000046192400000001"/>
    <x v="0"/>
    <x v="16"/>
    <d v="2020-03-31T00:00:00"/>
    <x v="2"/>
    <n v="1"/>
    <s v="Vinay"/>
    <x v="0"/>
    <s v="Property / BI"/>
    <s v="Renewal"/>
    <n v="60229.25"/>
    <d v="2019-04-01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DDD"/>
    <s v="'99000046192400000001"/>
    <x v="0"/>
    <x v="16"/>
    <d v="2020-03-31T00:00:00"/>
    <x v="2"/>
    <n v="1"/>
    <s v="Vinay"/>
    <x v="0"/>
    <s v="Property / BI"/>
    <s v="Renewal"/>
    <n v="60229.25"/>
    <d v="2019-04-01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DDD"/>
    <s v="'99000046192400000020"/>
    <x v="0"/>
    <x v="253"/>
    <d v="2019-05-26T00:00:00"/>
    <x v="2"/>
    <n v="1"/>
    <s v="Vinay"/>
    <x v="0"/>
    <s v="Construction, Power &amp; Infrastructure"/>
    <s v="Renewal"/>
    <n v="21358.38"/>
    <d v="2019-04-27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DDD"/>
    <s v="'99000046192400000020"/>
    <x v="0"/>
    <x v="253"/>
    <d v="2019-05-26T00:00:00"/>
    <x v="2"/>
    <n v="1"/>
    <s v="Vinay"/>
    <x v="0"/>
    <s v="Construction, Power &amp; Infrastructure"/>
    <s v="Renewal"/>
    <n v="21358.38"/>
    <d v="2019-04-27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DDD"/>
    <s v="'99000046192400000020"/>
    <x v="0"/>
    <x v="253"/>
    <d v="2019-05-26T00:00:00"/>
    <x v="2"/>
    <n v="1"/>
    <s v="Vinay"/>
    <x v="0"/>
    <s v="Construction, Power &amp; Infrastructure"/>
    <s v="Renewal"/>
    <n v="21358.38"/>
    <d v="2019-04-27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DDD"/>
    <s v="'99000046192400000020"/>
    <x v="0"/>
    <x v="253"/>
    <d v="2019-05-26T00:00:00"/>
    <x v="2"/>
    <n v="1"/>
    <s v="Vinay"/>
    <x v="0"/>
    <s v="Construction, Power &amp; Infrastructure"/>
    <s v="Renewal"/>
    <n v="21358.38"/>
    <d v="2019-04-27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DDD"/>
    <s v="'99000046192400000020"/>
    <x v="0"/>
    <x v="253"/>
    <d v="2019-05-26T00:00:00"/>
    <x v="2"/>
    <n v="1"/>
    <s v="Vinay"/>
    <x v="0"/>
    <s v="Construction, Power &amp; Infrastructure"/>
    <s v="Renewal"/>
    <n v="21358.38"/>
    <d v="2019-04-27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DDD"/>
    <s v="'99000046192400000039"/>
    <x v="0"/>
    <x v="254"/>
    <d v="2020-06-11T00:00:00"/>
    <x v="2"/>
    <n v="1"/>
    <s v="Vinay"/>
    <x v="0"/>
    <s v="Property / BI"/>
    <s v="Cross Sell"/>
    <n v="10937.5"/>
    <d v="2019-06-12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DDD"/>
    <s v="'99000046192400000039"/>
    <x v="0"/>
    <x v="254"/>
    <d v="2020-06-11T00:00:00"/>
    <x v="2"/>
    <n v="1"/>
    <s v="Vinay"/>
    <x v="0"/>
    <s v="Property / BI"/>
    <s v="Cross Sell"/>
    <n v="10937.5"/>
    <d v="2019-06-12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DDD"/>
    <s v="'99000046192400000039"/>
    <x v="0"/>
    <x v="254"/>
    <d v="2020-06-11T00:00:00"/>
    <x v="2"/>
    <n v="1"/>
    <s v="Vinay"/>
    <x v="0"/>
    <s v="Property / BI"/>
    <s v="Cross Sell"/>
    <n v="10937.5"/>
    <d v="2019-06-12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DDD"/>
    <s v="'99000046192400000039"/>
    <x v="0"/>
    <x v="254"/>
    <d v="2020-06-11T00:00:00"/>
    <x v="2"/>
    <n v="1"/>
    <s v="Vinay"/>
    <x v="0"/>
    <s v="Property / BI"/>
    <s v="Cross Sell"/>
    <n v="10937.5"/>
    <d v="2019-06-12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DDD"/>
    <s v="'99000046192400000039"/>
    <x v="0"/>
    <x v="254"/>
    <d v="2020-06-11T00:00:00"/>
    <x v="2"/>
    <n v="1"/>
    <s v="Vinay"/>
    <x v="0"/>
    <s v="Property / BI"/>
    <s v="Cross Sell"/>
    <n v="10937.5"/>
    <d v="2019-06-12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DDD"/>
    <s v="'99000046192400000057"/>
    <x v="0"/>
    <x v="255"/>
    <d v="2020-07-15T00:00:00"/>
    <x v="2"/>
    <n v="1"/>
    <s v="Vinay"/>
    <x v="0"/>
    <s v="Property / BI"/>
    <s v="Cross Sell"/>
    <n v="16474.5"/>
    <d v="2019-07-16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DDD"/>
    <s v="'99000046192400000057"/>
    <x v="0"/>
    <x v="255"/>
    <d v="2020-07-15T00:00:00"/>
    <x v="2"/>
    <n v="1"/>
    <s v="Vinay"/>
    <x v="0"/>
    <s v="Property / BI"/>
    <s v="Cross Sell"/>
    <n v="16474.5"/>
    <d v="2019-07-16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DDD"/>
    <s v="'99000046192400000057"/>
    <x v="0"/>
    <x v="255"/>
    <d v="2020-07-15T00:00:00"/>
    <x v="2"/>
    <n v="1"/>
    <s v="Vinay"/>
    <x v="0"/>
    <s v="Property / BI"/>
    <s v="Cross Sell"/>
    <n v="16474.5"/>
    <d v="2019-07-16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DDD"/>
    <s v="'99000046192400000057"/>
    <x v="0"/>
    <x v="255"/>
    <d v="2020-07-15T00:00:00"/>
    <x v="2"/>
    <n v="1"/>
    <s v="Vinay"/>
    <x v="0"/>
    <s v="Property / BI"/>
    <s v="Cross Sell"/>
    <n v="16474.5"/>
    <d v="2019-07-16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DDD"/>
    <s v="'99000046192400000057"/>
    <x v="0"/>
    <x v="255"/>
    <d v="2020-07-15T00:00:00"/>
    <x v="2"/>
    <n v="1"/>
    <s v="Vinay"/>
    <x v="0"/>
    <s v="Property / BI"/>
    <s v="Cross Sell"/>
    <n v="16474.5"/>
    <d v="2019-07-16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DDD"/>
    <s v="'99000046192400000058"/>
    <x v="0"/>
    <x v="255"/>
    <d v="2020-07-15T00:00:00"/>
    <x v="2"/>
    <n v="1"/>
    <s v="Vinay"/>
    <x v="0"/>
    <s v="Construction, Power &amp; Infrastructure"/>
    <s v="Cross Sell"/>
    <n v="10776.25"/>
    <d v="2019-07-16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DDD"/>
    <s v="'99000046192400000058"/>
    <x v="0"/>
    <x v="255"/>
    <d v="2020-07-15T00:00:00"/>
    <x v="2"/>
    <n v="1"/>
    <s v="Vinay"/>
    <x v="0"/>
    <s v="Construction, Power &amp; Infrastructure"/>
    <s v="Cross Sell"/>
    <n v="10776.25"/>
    <d v="2019-07-16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DDD"/>
    <s v="'99000046192400000058"/>
    <x v="0"/>
    <x v="255"/>
    <d v="2020-07-15T00:00:00"/>
    <x v="2"/>
    <n v="1"/>
    <s v="Vinay"/>
    <x v="0"/>
    <s v="Construction, Power &amp; Infrastructure"/>
    <s v="Cross Sell"/>
    <n v="10776.25"/>
    <d v="2019-07-16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DDD"/>
    <s v="'99000046192400000058"/>
    <x v="0"/>
    <x v="255"/>
    <d v="2020-07-15T00:00:00"/>
    <x v="2"/>
    <n v="1"/>
    <s v="Vinay"/>
    <x v="0"/>
    <s v="Construction, Power &amp; Infrastructure"/>
    <s v="Cross Sell"/>
    <n v="10776.25"/>
    <d v="2019-07-16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DDD"/>
    <s v="'99000046192400000058"/>
    <x v="0"/>
    <x v="255"/>
    <d v="2020-07-15T00:00:00"/>
    <x v="2"/>
    <n v="1"/>
    <s v="Vinay"/>
    <x v="0"/>
    <s v="Construction, Power &amp; Infrastructure"/>
    <s v="Cross Sell"/>
    <n v="10776.25"/>
    <d v="2019-07-16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DDD"/>
    <s v="'99000046192400000059"/>
    <x v="0"/>
    <x v="255"/>
    <d v="2020-07-15T00:00:00"/>
    <x v="2"/>
    <n v="1"/>
    <s v="Vinay"/>
    <x v="0"/>
    <s v="Property / BI"/>
    <s v="Cross Sell"/>
    <n v="61042.25"/>
    <d v="2019-07-16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DDD"/>
    <s v="'99000046192400000059"/>
    <x v="0"/>
    <x v="255"/>
    <d v="2020-07-15T00:00:00"/>
    <x v="2"/>
    <n v="1"/>
    <s v="Vinay"/>
    <x v="0"/>
    <s v="Property / BI"/>
    <s v="Cross Sell"/>
    <n v="61042.25"/>
    <d v="2019-07-16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DDD"/>
    <s v="'99000046192400000059"/>
    <x v="0"/>
    <x v="255"/>
    <d v="2020-07-15T00:00:00"/>
    <x v="2"/>
    <n v="1"/>
    <s v="Vinay"/>
    <x v="0"/>
    <s v="Property / BI"/>
    <s v="Cross Sell"/>
    <n v="61042.25"/>
    <d v="2019-07-16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DDD"/>
    <s v="'99000046192400000059"/>
    <x v="0"/>
    <x v="255"/>
    <d v="2020-07-15T00:00:00"/>
    <x v="2"/>
    <n v="1"/>
    <s v="Vinay"/>
    <x v="0"/>
    <s v="Property / BI"/>
    <s v="Cross Sell"/>
    <n v="61042.25"/>
    <d v="2019-07-16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DDD"/>
    <s v="'99000046192400000059"/>
    <x v="0"/>
    <x v="255"/>
    <d v="2020-07-15T00:00:00"/>
    <x v="2"/>
    <n v="1"/>
    <s v="Vinay"/>
    <x v="0"/>
    <s v="Property / BI"/>
    <s v="Cross Sell"/>
    <n v="61042.25"/>
    <d v="2019-07-16T00:00:00"/>
    <s v="Brokerage"/>
    <x v="1"/>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DDD"/>
    <s v="'99000046192400000060"/>
    <x v="0"/>
    <x v="256"/>
    <d v="2020-07-14T00:00:00"/>
    <x v="1"/>
    <n v="11"/>
    <s v="Raju Kumar"/>
    <x v="0"/>
    <s v="Property / BI"/>
    <s v="Cross Sell"/>
    <n v="15601.02"/>
    <d v="2019-07-15T00:00:00"/>
    <s v="Brokerage"/>
    <x v="0"/>
    <s v="OTHR - Other"/>
    <d v="2020-01-22T00:00:00"/>
    <s v="Other"/>
    <m/>
    <m/>
    <m/>
    <m/>
    <m/>
    <m/>
    <m/>
    <m/>
    <m/>
    <m/>
    <m/>
    <m/>
    <m/>
    <m/>
    <m/>
    <m/>
    <m/>
    <m/>
    <m/>
    <m/>
  </r>
  <r>
    <s v="DDD"/>
    <s v="&quot;_x0009_99000048170300000007&quot;"/>
    <x v="0"/>
    <x v="249"/>
    <d v="2018-04-26T00:00:00"/>
    <x v="2"/>
    <n v="1"/>
    <s v="Vinay"/>
    <x v="0"/>
    <s v="Construction, Power &amp; Infrastructure"/>
    <s v="Cross Sell"/>
    <n v="7000"/>
    <d v="2018-04-2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Sophia Garcia"/>
    <d v="2020-01-02T00:00:00"/>
    <s v="Vinay"/>
    <s v="Hunter &amp; Farmer"/>
    <n v="12788092"/>
    <n v="250000"/>
    <n v="1500000"/>
  </r>
  <r>
    <s v="DDD"/>
    <s v="&quot;_x0009_99000048170300000007&quot;"/>
    <x v="0"/>
    <x v="249"/>
    <d v="2018-04-26T00:00:00"/>
    <x v="2"/>
    <n v="1"/>
    <s v="Vinay"/>
    <x v="0"/>
    <s v="Construction, Power &amp; Infrastructure"/>
    <s v="Cross Sell"/>
    <n v="7000"/>
    <d v="2018-04-2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James Miller"/>
    <d v="2020-01-03T00:00:00"/>
    <s v="Vinay"/>
    <s v="Hunter &amp; Farmer"/>
    <n v="12788092"/>
    <n v="250000"/>
    <n v="1500000"/>
  </r>
  <r>
    <s v="DDD"/>
    <s v="&quot;_x0009_99000048170300000007&quot;"/>
    <x v="0"/>
    <x v="249"/>
    <d v="2018-04-26T00:00:00"/>
    <x v="2"/>
    <n v="1"/>
    <s v="Vinay"/>
    <x v="0"/>
    <s v="Construction, Power &amp; Infrastructure"/>
    <s v="Cross Sell"/>
    <n v="7000"/>
    <d v="2018-04-2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Mia Rodriguez"/>
    <d v="2020-01-06T00:00:00"/>
    <s v="Vinay"/>
    <s v="Hunter &amp; Farmer"/>
    <n v="12788092"/>
    <n v="250000"/>
    <n v="1500000"/>
  </r>
  <r>
    <s v="DDD"/>
    <s v="&quot;_x0009_99000048170300000007&quot;"/>
    <x v="0"/>
    <x v="249"/>
    <d v="2018-04-26T00:00:00"/>
    <x v="2"/>
    <n v="1"/>
    <s v="Vinay"/>
    <x v="0"/>
    <s v="Construction, Power &amp; Infrastructure"/>
    <s v="Cross Sell"/>
    <n v="7000"/>
    <d v="2018-04-2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Benjamin Anderson"/>
    <d v="2020-01-07T00:00:00"/>
    <s v="Vinay"/>
    <s v="Hunter &amp; Farmer"/>
    <n v="12788092"/>
    <n v="250000"/>
    <n v="1500000"/>
  </r>
  <r>
    <s v="DDD"/>
    <s v="&quot;_x0009_99000048170300000007&quot;"/>
    <x v="0"/>
    <x v="249"/>
    <d v="2018-04-26T00:00:00"/>
    <x v="2"/>
    <n v="1"/>
    <s v="Vinay"/>
    <x v="0"/>
    <s v="Construction, Power &amp; Infrastructure"/>
    <s v="Cross Sell"/>
    <n v="7000"/>
    <d v="2018-04-26T00:00:00"/>
    <s v="Brokerage"/>
    <x v="0"/>
    <s v="OTHR - Other"/>
    <d v="2020-01-22T00:00:00"/>
    <s v="Other"/>
    <s v="PIL-Credit Insurance"/>
    <s v="OPP1900001051"/>
    <s v="Vinay"/>
    <n v="1200000"/>
    <n v="100000"/>
    <d v="2020-03-31T00:00:00"/>
    <s v="Qualify Opportunity"/>
    <s v="Ahmedabad"/>
    <s v="Trade Credit &amp;amp; Political Risk"/>
    <s v="Miscellaneous"/>
    <s v="Trade Credit Insurance"/>
    <m/>
    <m/>
    <s v="Charlotte Taylor"/>
    <d v="2020-01-08T00:00:00"/>
    <s v="Vinay"/>
    <s v="Hunter &amp; Farmer"/>
    <n v="12788092"/>
    <n v="250000"/>
    <n v="1500000"/>
  </r>
  <r>
    <s v="DDD"/>
    <n v="1.60232E+17"/>
    <x v="1"/>
    <x v="257"/>
    <d v="2019-08-05T00:00:00"/>
    <x v="3"/>
    <n v="13"/>
    <s v="Vididt Saha"/>
    <x v="0"/>
    <s v="Employee Benefits (EB)"/>
    <s v="Renewal"/>
    <n v="21000"/>
    <d v="2018-08-06T00:00:00"/>
    <s v="Brokerage"/>
    <x v="3"/>
    <s v="OTHR - Other"/>
    <d v="2020-01-22T00:00:00"/>
    <s v="Other"/>
    <m/>
    <m/>
    <m/>
    <m/>
    <m/>
    <m/>
    <m/>
    <m/>
    <m/>
    <m/>
    <m/>
    <m/>
    <m/>
    <m/>
    <m/>
    <m/>
    <m/>
    <m/>
    <m/>
    <m/>
  </r>
  <r>
    <s v="DDD"/>
    <s v="HG00003377000100"/>
    <x v="0"/>
    <x v="52"/>
    <d v="2020-08-09T00:00:00"/>
    <x v="3"/>
    <n v="13"/>
    <s v="Vididt Saha"/>
    <x v="0"/>
    <s v="Employee Benefits (EB)"/>
    <s v="Cross Sell"/>
    <n v="28069.13"/>
    <d v="2019-08-10T00:00:00"/>
    <s v="Brokerage"/>
    <x v="0"/>
    <s v="OTHR - Other"/>
    <d v="2020-01-22T00:00:00"/>
    <s v="Other"/>
    <m/>
    <m/>
    <m/>
    <m/>
    <m/>
    <m/>
    <m/>
    <m/>
    <m/>
    <m/>
    <m/>
    <m/>
    <m/>
    <m/>
    <m/>
    <m/>
    <m/>
    <m/>
    <m/>
    <m/>
  </r>
  <r>
    <s v="Sanjay Trivedi"/>
    <n v="41047870"/>
    <x v="0"/>
    <x v="258"/>
    <d v="2020-07-04T00:00:00"/>
    <x v="4"/>
    <n v="2"/>
    <s v="Abhinav Shivam"/>
    <x v="0"/>
    <s v="Liability"/>
    <s v="New"/>
    <n v="72675"/>
    <d v="2019-07-05T00:00:00"/>
    <s v="Brokerage"/>
    <x v="0"/>
    <s v="OTHR - Other"/>
    <d v="2020-01-22T00:00:00"/>
    <s v="Other"/>
    <m/>
    <m/>
    <m/>
    <m/>
    <m/>
    <m/>
    <m/>
    <m/>
    <m/>
    <m/>
    <m/>
    <m/>
    <m/>
    <m/>
    <m/>
    <m/>
    <m/>
    <m/>
    <m/>
    <m/>
  </r>
  <r>
    <s v="Anita Sethi"/>
    <n v="41047870"/>
    <x v="0"/>
    <x v="258"/>
    <d v="2020-07-04T00:00:00"/>
    <x v="4"/>
    <n v="2"/>
    <s v="Abhinav Shivam"/>
    <x v="0"/>
    <s v="Liability"/>
    <s v="New"/>
    <n v="72675"/>
    <d v="2019-07-05T00:00:00"/>
    <s v="Brokerage"/>
    <x v="0"/>
    <s v="OTHR - Other"/>
    <d v="2020-01-22T00:00:00"/>
    <s v="Other"/>
    <m/>
    <m/>
    <m/>
    <m/>
    <m/>
    <m/>
    <m/>
    <m/>
    <m/>
    <m/>
    <m/>
    <m/>
    <m/>
    <m/>
    <m/>
    <m/>
    <m/>
    <m/>
    <m/>
    <m/>
  </r>
  <r>
    <s v="Ashok Chatterjee"/>
    <s v="0865000748 01"/>
    <x v="1"/>
    <x v="14"/>
    <d v="2019-03-31T00:00:00"/>
    <x v="0"/>
    <n v="6"/>
    <s v="Ketan Jain"/>
    <x v="0"/>
    <s v="Marine"/>
    <s v="Renewal"/>
    <n v="23771.05"/>
    <d v="2018-04-01T00:00:00"/>
    <s v="Brokerage"/>
    <x v="0"/>
    <s v="OTHR - Other"/>
    <d v="2020-01-22T00:00:00"/>
    <s v="Other"/>
    <m/>
    <m/>
    <m/>
    <m/>
    <m/>
    <m/>
    <m/>
    <m/>
    <m/>
    <m/>
    <m/>
    <m/>
    <m/>
    <m/>
    <m/>
    <m/>
    <m/>
    <m/>
    <m/>
    <m/>
  </r>
  <r>
    <s v="Rani Agarwal"/>
    <s v="0865000748 02"/>
    <x v="0"/>
    <x v="16"/>
    <d v="2020-03-31T00:00:00"/>
    <x v="0"/>
    <n v="6"/>
    <s v="Ketan Jain"/>
    <x v="0"/>
    <s v="Marine"/>
    <s v="Renewal"/>
    <n v="21399.439999999999"/>
    <d v="2019-05-31T00:00:00"/>
    <s v="Brokerage"/>
    <x v="1"/>
    <s v="OTHR - Other"/>
    <d v="2020-01-22T00:00:00"/>
    <s v="Other"/>
    <m/>
    <m/>
    <m/>
    <m/>
    <m/>
    <m/>
    <m/>
    <m/>
    <m/>
    <m/>
    <m/>
    <m/>
    <m/>
    <m/>
    <m/>
    <m/>
    <m/>
    <m/>
    <m/>
    <m/>
  </r>
  <r>
    <s v="Arjun Rao"/>
    <n v="22364363"/>
    <x v="0"/>
    <x v="33"/>
    <d v="2019-10-31T00:00:00"/>
    <x v="0"/>
    <n v="1"/>
    <s v="Vinay"/>
    <x v="0"/>
    <s v="Affinity"/>
    <s v="Renewal"/>
    <n v="23100.17"/>
    <d v="2019-10-31T00:00:00"/>
    <s v="Brokerage"/>
    <x v="0"/>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Arjun Rao"/>
    <n v="22364363"/>
    <x v="0"/>
    <x v="33"/>
    <d v="2019-10-31T00:00:00"/>
    <x v="0"/>
    <n v="1"/>
    <s v="Vinay"/>
    <x v="0"/>
    <s v="Affinity"/>
    <s v="Renewal"/>
    <n v="23100.17"/>
    <d v="2019-10-31T00:00:00"/>
    <s v="Brokerage"/>
    <x v="0"/>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Arjun Rao"/>
    <n v="22364363"/>
    <x v="0"/>
    <x v="33"/>
    <d v="2019-10-31T00:00:00"/>
    <x v="0"/>
    <n v="1"/>
    <s v="Vinay"/>
    <x v="0"/>
    <s v="Affinity"/>
    <s v="Renewal"/>
    <n v="23100.17"/>
    <d v="2019-10-31T00:00:00"/>
    <s v="Brokerage"/>
    <x v="0"/>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Arjun Rao"/>
    <n v="22364363"/>
    <x v="0"/>
    <x v="33"/>
    <d v="2019-10-31T00:00:00"/>
    <x v="0"/>
    <n v="1"/>
    <s v="Vinay"/>
    <x v="0"/>
    <s v="Affinity"/>
    <s v="Renewal"/>
    <n v="23100.17"/>
    <d v="2019-10-31T00:00:00"/>
    <s v="Brokerage"/>
    <x v="0"/>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Arjun Rao"/>
    <n v="22364363"/>
    <x v="0"/>
    <x v="33"/>
    <d v="2019-10-31T00:00:00"/>
    <x v="0"/>
    <n v="1"/>
    <s v="Vinay"/>
    <x v="0"/>
    <s v="Affinity"/>
    <s v="Renewal"/>
    <n v="23100.17"/>
    <d v="2019-10-31T00:00:00"/>
    <s v="Brokerage"/>
    <x v="0"/>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Arjun Rao"/>
    <n v="22364363"/>
    <x v="0"/>
    <x v="33"/>
    <d v="2019-10-31T00:00:00"/>
    <x v="0"/>
    <n v="1"/>
    <s v="Vinay"/>
    <x v="0"/>
    <s v="Affinity"/>
    <s v="Renewal"/>
    <n v="23100.17"/>
    <d v="2019-10-31T00:00:00"/>
    <s v="Brokerage"/>
    <x v="0"/>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Arjun Rao"/>
    <n v="22364363"/>
    <x v="0"/>
    <x v="33"/>
    <d v="2019-10-31T00:00:00"/>
    <x v="0"/>
    <n v="1"/>
    <s v="Vinay"/>
    <x v="0"/>
    <s v="Affinity"/>
    <s v="Renewal"/>
    <n v="23100.17"/>
    <d v="2019-10-31T00:00:00"/>
    <s v="Brokerage"/>
    <x v="0"/>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Arjun Rao"/>
    <n v="22364363"/>
    <x v="0"/>
    <x v="33"/>
    <d v="2019-10-31T00:00:00"/>
    <x v="0"/>
    <n v="1"/>
    <s v="Vinay"/>
    <x v="0"/>
    <s v="Affinity"/>
    <s v="Renewal"/>
    <n v="23100.17"/>
    <d v="2019-10-31T00:00:00"/>
    <s v="Brokerage"/>
    <x v="0"/>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Arjun Rao"/>
    <n v="22364363"/>
    <x v="0"/>
    <x v="33"/>
    <d v="2019-10-31T00:00:00"/>
    <x v="0"/>
    <n v="1"/>
    <s v="Vinay"/>
    <x v="0"/>
    <s v="Affinity"/>
    <s v="Renewal"/>
    <n v="23100.17"/>
    <d v="2019-10-31T00:00:00"/>
    <s v="Brokerage"/>
    <x v="0"/>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Arjun Rao"/>
    <n v="22364363"/>
    <x v="0"/>
    <x v="33"/>
    <d v="2019-10-31T00:00:00"/>
    <x v="0"/>
    <n v="1"/>
    <s v="Vinay"/>
    <x v="0"/>
    <s v="Affinity"/>
    <s v="Renewal"/>
    <n v="23100.17"/>
    <d v="2019-10-31T00:00:00"/>
    <s v="Brokerage"/>
    <x v="0"/>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Arjun Rao"/>
    <n v="22364363"/>
    <x v="0"/>
    <x v="33"/>
    <d v="2019-10-31T00:00:00"/>
    <x v="0"/>
    <n v="1"/>
    <s v="Vinay"/>
    <x v="0"/>
    <s v="Affinity"/>
    <s v="Renewal"/>
    <n v="23100.17"/>
    <d v="2019-10-31T00:00:00"/>
    <s v="Brokerage"/>
    <x v="0"/>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Arjun Rao"/>
    <n v="22364363"/>
    <x v="0"/>
    <x v="33"/>
    <d v="2019-10-31T00:00:00"/>
    <x v="0"/>
    <n v="1"/>
    <s v="Vinay"/>
    <x v="0"/>
    <s v="Affinity"/>
    <s v="Renewal"/>
    <n v="23100.17"/>
    <d v="2019-10-31T00:00:00"/>
    <s v="Brokerage"/>
    <x v="0"/>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Arjun Rao"/>
    <n v="22364363"/>
    <x v="0"/>
    <x v="33"/>
    <d v="2019-10-31T00:00:00"/>
    <x v="0"/>
    <n v="1"/>
    <s v="Vinay"/>
    <x v="0"/>
    <s v="Affinity"/>
    <s v="Renewal"/>
    <n v="23100.17"/>
    <d v="2019-10-31T00:00:00"/>
    <s v="Brokerage"/>
    <x v="0"/>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Arjun Rao"/>
    <n v="22364363"/>
    <x v="0"/>
    <x v="33"/>
    <d v="2019-10-31T00:00:00"/>
    <x v="0"/>
    <n v="1"/>
    <s v="Vinay"/>
    <x v="0"/>
    <s v="Affinity"/>
    <s v="Renewal"/>
    <n v="23100.17"/>
    <d v="2019-10-31T00:00:00"/>
    <s v="Brokerage"/>
    <x v="0"/>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Arjun Rao"/>
    <n v="22364363"/>
    <x v="0"/>
    <x v="33"/>
    <d v="2019-10-31T00:00:00"/>
    <x v="0"/>
    <n v="1"/>
    <s v="Vinay"/>
    <x v="0"/>
    <s v="Affinity"/>
    <s v="Renewal"/>
    <n v="23100.17"/>
    <d v="2019-10-31T00:00:00"/>
    <s v="Brokerage"/>
    <x v="0"/>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Arjun Rao"/>
    <n v="22364363"/>
    <x v="0"/>
    <x v="33"/>
    <d v="2019-10-31T00:00:00"/>
    <x v="0"/>
    <n v="1"/>
    <s v="Vinay"/>
    <x v="0"/>
    <s v="Affinity"/>
    <s v="Renewal"/>
    <n v="23100.17"/>
    <d v="2019-10-31T00:00:00"/>
    <s v="Brokerage"/>
    <x v="0"/>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Arjun Rao"/>
    <n v="22364363"/>
    <x v="0"/>
    <x v="33"/>
    <d v="2019-10-31T00:00:00"/>
    <x v="0"/>
    <n v="1"/>
    <s v="Vinay"/>
    <x v="0"/>
    <s v="Affinity"/>
    <s v="Renewal"/>
    <n v="23100.17"/>
    <d v="2019-10-31T00:00:00"/>
    <s v="Brokerage"/>
    <x v="0"/>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Arjun Rao"/>
    <n v="22364363"/>
    <x v="0"/>
    <x v="33"/>
    <d v="2019-10-31T00:00:00"/>
    <x v="0"/>
    <n v="1"/>
    <s v="Vinay"/>
    <x v="0"/>
    <s v="Affinity"/>
    <s v="Renewal"/>
    <n v="23100.17"/>
    <d v="2019-10-31T00:00:00"/>
    <s v="Brokerage"/>
    <x v="0"/>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Arjun Rao"/>
    <n v="22364363"/>
    <x v="0"/>
    <x v="33"/>
    <d v="2019-10-31T00:00:00"/>
    <x v="0"/>
    <n v="1"/>
    <s v="Vinay"/>
    <x v="0"/>
    <s v="Affinity"/>
    <s v="Renewal"/>
    <n v="23100.17"/>
    <d v="2019-10-31T00:00:00"/>
    <s v="Brokerage"/>
    <x v="0"/>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Arjun Rao"/>
    <n v="22364363"/>
    <x v="0"/>
    <x v="33"/>
    <d v="2019-10-31T00:00:00"/>
    <x v="0"/>
    <n v="1"/>
    <s v="Vinay"/>
    <x v="0"/>
    <s v="Affinity"/>
    <s v="Renewal"/>
    <n v="23100.17"/>
    <d v="2019-10-31T00:00:00"/>
    <s v="Brokerage"/>
    <x v="0"/>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Anil Naik"/>
    <n v="22387698"/>
    <x v="0"/>
    <x v="259"/>
    <d v="2019-12-23T00:00:00"/>
    <x v="0"/>
    <n v="1"/>
    <s v="Vinay"/>
    <x v="0"/>
    <s v="Marine"/>
    <s v="Renewal"/>
    <n v="1113.92"/>
    <d v="2018-12-24T00:00:00"/>
    <s v="Brokerage"/>
    <x v="0"/>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Anil Naik"/>
    <n v="22387698"/>
    <x v="0"/>
    <x v="259"/>
    <d v="2019-12-23T00:00:00"/>
    <x v="0"/>
    <n v="1"/>
    <s v="Vinay"/>
    <x v="0"/>
    <s v="Marine"/>
    <s v="Renewal"/>
    <n v="1113.92"/>
    <d v="2018-12-24T00:00:00"/>
    <s v="Brokerage"/>
    <x v="0"/>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Anil Naik"/>
    <n v="22387698"/>
    <x v="0"/>
    <x v="259"/>
    <d v="2019-12-23T00:00:00"/>
    <x v="0"/>
    <n v="1"/>
    <s v="Vinay"/>
    <x v="0"/>
    <s v="Marine"/>
    <s v="Renewal"/>
    <n v="1113.92"/>
    <d v="2018-12-24T00:00:00"/>
    <s v="Brokerage"/>
    <x v="0"/>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Anil Naik"/>
    <n v="22387698"/>
    <x v="0"/>
    <x v="259"/>
    <d v="2019-12-23T00:00:00"/>
    <x v="0"/>
    <n v="1"/>
    <s v="Vinay"/>
    <x v="0"/>
    <s v="Marine"/>
    <s v="Renewal"/>
    <n v="1113.92"/>
    <d v="2018-12-24T00:00:00"/>
    <s v="Brokerage"/>
    <x v="0"/>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Anil Naik"/>
    <n v="22387698"/>
    <x v="0"/>
    <x v="259"/>
    <d v="2019-12-23T00:00:00"/>
    <x v="0"/>
    <n v="1"/>
    <s v="Vinay"/>
    <x v="0"/>
    <s v="Marine"/>
    <s v="Renewal"/>
    <n v="1113.92"/>
    <d v="2018-12-24T00:00:00"/>
    <s v="Brokerage"/>
    <x v="0"/>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Anil Naik"/>
    <n v="22387698"/>
    <x v="0"/>
    <x v="259"/>
    <d v="2019-12-23T00:00:00"/>
    <x v="0"/>
    <n v="1"/>
    <s v="Vinay"/>
    <x v="0"/>
    <s v="Marine"/>
    <s v="Renewal"/>
    <n v="1113.92"/>
    <d v="2018-12-24T00:00:00"/>
    <s v="Brokerage"/>
    <x v="0"/>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Anil Naik"/>
    <n v="22387698"/>
    <x v="0"/>
    <x v="259"/>
    <d v="2019-12-23T00:00:00"/>
    <x v="0"/>
    <n v="1"/>
    <s v="Vinay"/>
    <x v="0"/>
    <s v="Marine"/>
    <s v="Renewal"/>
    <n v="1113.92"/>
    <d v="2018-12-24T00:00:00"/>
    <s v="Brokerage"/>
    <x v="0"/>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Anil Naik"/>
    <n v="22387698"/>
    <x v="0"/>
    <x v="259"/>
    <d v="2019-12-23T00:00:00"/>
    <x v="0"/>
    <n v="1"/>
    <s v="Vinay"/>
    <x v="0"/>
    <s v="Marine"/>
    <s v="Renewal"/>
    <n v="1113.92"/>
    <d v="2018-12-24T00:00:00"/>
    <s v="Brokerage"/>
    <x v="0"/>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Anil Naik"/>
    <n v="22387698"/>
    <x v="0"/>
    <x v="259"/>
    <d v="2019-12-23T00:00:00"/>
    <x v="0"/>
    <n v="1"/>
    <s v="Vinay"/>
    <x v="0"/>
    <s v="Marine"/>
    <s v="Renewal"/>
    <n v="1113.92"/>
    <d v="2018-12-24T00:00:00"/>
    <s v="Brokerage"/>
    <x v="0"/>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Anil Naik"/>
    <n v="22387698"/>
    <x v="0"/>
    <x v="259"/>
    <d v="2019-12-23T00:00:00"/>
    <x v="0"/>
    <n v="1"/>
    <s v="Vinay"/>
    <x v="0"/>
    <s v="Marine"/>
    <s v="Renewal"/>
    <n v="1113.92"/>
    <d v="2018-12-24T00:00:00"/>
    <s v="Brokerage"/>
    <x v="0"/>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Anil Naik"/>
    <n v="22387698"/>
    <x v="0"/>
    <x v="259"/>
    <d v="2019-12-23T00:00:00"/>
    <x v="0"/>
    <n v="1"/>
    <s v="Vinay"/>
    <x v="0"/>
    <s v="Marine"/>
    <s v="Renewal"/>
    <n v="1113.92"/>
    <d v="2018-12-24T00:00:00"/>
    <s v="Brokerage"/>
    <x v="0"/>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Anil Naik"/>
    <n v="22387698"/>
    <x v="0"/>
    <x v="259"/>
    <d v="2019-12-23T00:00:00"/>
    <x v="0"/>
    <n v="1"/>
    <s v="Vinay"/>
    <x v="0"/>
    <s v="Marine"/>
    <s v="Renewal"/>
    <n v="1113.92"/>
    <d v="2018-12-24T00:00:00"/>
    <s v="Brokerage"/>
    <x v="0"/>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Anil Naik"/>
    <n v="22387698"/>
    <x v="0"/>
    <x v="259"/>
    <d v="2019-12-23T00:00:00"/>
    <x v="0"/>
    <n v="1"/>
    <s v="Vinay"/>
    <x v="0"/>
    <s v="Marine"/>
    <s v="Renewal"/>
    <n v="1113.92"/>
    <d v="2018-12-24T00:00:00"/>
    <s v="Brokerage"/>
    <x v="0"/>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Anil Naik"/>
    <n v="22387698"/>
    <x v="0"/>
    <x v="259"/>
    <d v="2019-12-23T00:00:00"/>
    <x v="0"/>
    <n v="1"/>
    <s v="Vinay"/>
    <x v="0"/>
    <s v="Marine"/>
    <s v="Renewal"/>
    <n v="1113.92"/>
    <d v="2018-12-24T00:00:00"/>
    <s v="Brokerage"/>
    <x v="0"/>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Anil Naik"/>
    <n v="22387698"/>
    <x v="0"/>
    <x v="259"/>
    <d v="2019-12-23T00:00:00"/>
    <x v="0"/>
    <n v="1"/>
    <s v="Vinay"/>
    <x v="0"/>
    <s v="Marine"/>
    <s v="Renewal"/>
    <n v="1113.92"/>
    <d v="2018-12-24T00:00:00"/>
    <s v="Brokerage"/>
    <x v="0"/>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Anil Naik"/>
    <n v="22387698"/>
    <x v="0"/>
    <x v="259"/>
    <d v="2019-12-23T00:00:00"/>
    <x v="0"/>
    <n v="1"/>
    <s v="Vinay"/>
    <x v="0"/>
    <s v="Marine"/>
    <s v="Renewal"/>
    <n v="1113.92"/>
    <d v="2018-12-24T00:00:00"/>
    <s v="Brokerage"/>
    <x v="0"/>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Anil Naik"/>
    <n v="22387698"/>
    <x v="0"/>
    <x v="259"/>
    <d v="2019-12-23T00:00:00"/>
    <x v="0"/>
    <n v="1"/>
    <s v="Vinay"/>
    <x v="0"/>
    <s v="Marine"/>
    <s v="Renewal"/>
    <n v="1113.92"/>
    <d v="2018-12-24T00:00:00"/>
    <s v="Brokerage"/>
    <x v="0"/>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Anil Naik"/>
    <n v="22387698"/>
    <x v="0"/>
    <x v="259"/>
    <d v="2019-12-23T00:00:00"/>
    <x v="0"/>
    <n v="1"/>
    <s v="Vinay"/>
    <x v="0"/>
    <s v="Marine"/>
    <s v="Renewal"/>
    <n v="1113.92"/>
    <d v="2018-12-24T00:00:00"/>
    <s v="Brokerage"/>
    <x v="0"/>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Anil Naik"/>
    <n v="22387698"/>
    <x v="0"/>
    <x v="259"/>
    <d v="2019-12-23T00:00:00"/>
    <x v="0"/>
    <n v="1"/>
    <s v="Vinay"/>
    <x v="0"/>
    <s v="Marine"/>
    <s v="Renewal"/>
    <n v="1113.92"/>
    <d v="2018-12-24T00:00:00"/>
    <s v="Brokerage"/>
    <x v="0"/>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Anil Naik"/>
    <n v="22387698"/>
    <x v="0"/>
    <x v="259"/>
    <d v="2019-12-23T00:00:00"/>
    <x v="0"/>
    <n v="1"/>
    <s v="Vinay"/>
    <x v="0"/>
    <s v="Marine"/>
    <s v="Renewal"/>
    <n v="1113.92"/>
    <d v="2018-12-24T00:00:00"/>
    <s v="Brokerage"/>
    <x v="0"/>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Simran Trivedi"/>
    <n v="9.9E+19"/>
    <x v="0"/>
    <x v="260"/>
    <d v="2019-09-05T00:00:00"/>
    <x v="4"/>
    <n v="13"/>
    <s v="Vididt Saha"/>
    <x v="0"/>
    <s v="Liability"/>
    <s v="Cross Sell"/>
    <n v="65000"/>
    <d v="2018-09-06T00:00:00"/>
    <s v="Brokerage"/>
    <x v="0"/>
    <s v="OTHR - Other"/>
    <d v="2020-01-22T00:00:00"/>
    <s v="Other"/>
    <m/>
    <m/>
    <m/>
    <m/>
    <m/>
    <m/>
    <m/>
    <m/>
    <m/>
    <m/>
    <m/>
    <m/>
    <m/>
    <m/>
    <m/>
    <m/>
    <m/>
    <m/>
    <m/>
    <m/>
  </r>
  <r>
    <s v="Dhruv Chopra"/>
    <n v="32117648"/>
    <x v="0"/>
    <x v="111"/>
    <d v="2020-02-25T00:00:00"/>
    <x v="5"/>
    <n v="13"/>
    <s v="Vididt Saha"/>
    <x v="0"/>
    <s v="Construction, Power &amp; Infrastructure"/>
    <s v="Cross Sell"/>
    <n v="2077.5"/>
    <d v="2019-02-26T00:00:00"/>
    <s v="Brokerage"/>
    <x v="0"/>
    <s v="OTHR - Other"/>
    <d v="2020-01-22T00:00:00"/>
    <s v="Other"/>
    <m/>
    <m/>
    <m/>
    <m/>
    <m/>
    <m/>
    <m/>
    <m/>
    <m/>
    <m/>
    <m/>
    <m/>
    <m/>
    <m/>
    <m/>
    <m/>
    <m/>
    <m/>
    <m/>
    <m/>
  </r>
  <r>
    <s v="Jaya Chopra"/>
    <n v="43152633"/>
    <x v="1"/>
    <x v="261"/>
    <d v="2018-05-09T00:00:00"/>
    <x v="2"/>
    <n v="13"/>
    <s v="Vididt Saha"/>
    <x v="0"/>
    <s v="Liability"/>
    <s v="Cross Sell"/>
    <n v="1566.2"/>
    <d v="2017-11-10T00:00:00"/>
    <s v="Brokerage"/>
    <x v="3"/>
    <s v="NOLN - No Longer Needed"/>
    <d v="2020-01-22T00:00:00"/>
    <s v="NOLN - No Longer Needed"/>
    <m/>
    <m/>
    <m/>
    <m/>
    <m/>
    <m/>
    <m/>
    <m/>
    <m/>
    <m/>
    <m/>
    <m/>
    <m/>
    <m/>
    <m/>
    <m/>
    <m/>
    <m/>
    <m/>
    <m/>
  </r>
  <r>
    <s v="Kiran Goyal"/>
    <n v="43167538"/>
    <x v="1"/>
    <x v="262"/>
    <d v="2018-07-14T00:00:00"/>
    <x v="2"/>
    <n v="13"/>
    <s v="Vididt Saha"/>
    <x v="0"/>
    <s v="Liability"/>
    <s v="Cross Sell"/>
    <n v="639.25"/>
    <d v="2018-06-15T00:00:00"/>
    <s v="Brokerage"/>
    <x v="3"/>
    <s v="NOLN - No Longer Needed"/>
    <d v="2020-01-22T00:00:00"/>
    <s v="NOLN - No Longer Needed"/>
    <m/>
    <m/>
    <m/>
    <m/>
    <m/>
    <m/>
    <m/>
    <m/>
    <m/>
    <m/>
    <m/>
    <m/>
    <m/>
    <m/>
    <m/>
    <m/>
    <m/>
    <m/>
    <m/>
    <m/>
  </r>
  <r>
    <s v="Pravin Sengupta"/>
    <n v="43167694"/>
    <x v="1"/>
    <x v="263"/>
    <d v="2019-06-05T00:00:00"/>
    <x v="2"/>
    <n v="13"/>
    <s v="Vididt Saha"/>
    <x v="0"/>
    <s v="Liability"/>
    <s v="Cross Sell"/>
    <n v="1180.8800000000001"/>
    <d v="2018-06-06T00:00:00"/>
    <s v="Brokerage"/>
    <x v="3"/>
    <s v="NOLN - No Longer Needed"/>
    <d v="2020-01-22T00:00:00"/>
    <s v="NOLN - No Longer Needed"/>
    <m/>
    <m/>
    <m/>
    <m/>
    <m/>
    <m/>
    <m/>
    <m/>
    <m/>
    <m/>
    <m/>
    <m/>
    <m/>
    <m/>
    <m/>
    <m/>
    <m/>
    <m/>
    <m/>
    <m/>
  </r>
  <r>
    <s v="Snehal Das"/>
    <n v="43191701"/>
    <x v="0"/>
    <x v="264"/>
    <d v="2020-01-01T00:00:00"/>
    <x v="2"/>
    <n v="13"/>
    <s v="Vididt Saha"/>
    <x v="0"/>
    <s v="Liability"/>
    <s v="Cross Sell"/>
    <n v="1558.76"/>
    <d v="2019-07-02T00:00:00"/>
    <s v="Brokerage"/>
    <x v="0"/>
    <s v="OTHR - Other"/>
    <d v="2020-01-22T00:00:00"/>
    <s v="Other"/>
    <m/>
    <m/>
    <m/>
    <m/>
    <m/>
    <m/>
    <m/>
    <m/>
    <m/>
    <m/>
    <m/>
    <m/>
    <m/>
    <m/>
    <m/>
    <m/>
    <m/>
    <m/>
    <m/>
    <m/>
  </r>
  <r>
    <s v="Rajesh Malhotra"/>
    <n v="9.9E+19"/>
    <x v="0"/>
    <x v="260"/>
    <d v="2024-03-05T00:00:00"/>
    <x v="4"/>
    <n v="13"/>
    <s v="Vididt Saha"/>
    <x v="0"/>
    <s v="Liability"/>
    <s v="Cross Sell"/>
    <n v="59375"/>
    <d v="2018-09-06T00:00:00"/>
    <s v="Brokerage"/>
    <x v="0"/>
    <s v="OTHR - Other"/>
    <d v="2020-01-22T00:00:00"/>
    <s v="Other"/>
    <m/>
    <m/>
    <m/>
    <m/>
    <m/>
    <m/>
    <m/>
    <m/>
    <m/>
    <m/>
    <m/>
    <m/>
    <m/>
    <m/>
    <m/>
    <m/>
    <m/>
    <m/>
    <m/>
    <m/>
  </r>
  <r>
    <s v="Archana Bhatia"/>
    <n v="9.9E+19"/>
    <x v="1"/>
    <x v="228"/>
    <d v="2018-04-08T00:00:00"/>
    <x v="5"/>
    <n v="13"/>
    <s v="Vididt Saha"/>
    <x v="0"/>
    <s v="Construction, Power &amp; Infrastructure"/>
    <s v="Cross Sell"/>
    <n v="56150.75"/>
    <d v="2017-01-09T00:00:00"/>
    <s v="Brokerage"/>
    <x v="3"/>
    <s v="NOLN - No Longer Needed"/>
    <d v="2020-01-22T00:00:00"/>
    <s v="NOLN - No Longer Needed"/>
    <m/>
    <m/>
    <m/>
    <m/>
    <m/>
    <m/>
    <m/>
    <m/>
    <m/>
    <m/>
    <m/>
    <m/>
    <m/>
    <m/>
    <m/>
    <m/>
    <m/>
    <m/>
    <m/>
    <m/>
  </r>
  <r>
    <s v="Ashok Reddy"/>
    <n v="9.9E+19"/>
    <x v="1"/>
    <x v="261"/>
    <d v="2018-11-09T00:00:00"/>
    <x v="2"/>
    <n v="13"/>
    <s v="Vididt Saha"/>
    <x v="0"/>
    <s v="Construction, Power &amp; Infrastructure"/>
    <s v="Cross Sell"/>
    <n v="3132.5"/>
    <d v="2017-11-10T00:00:00"/>
    <s v="Brokerage"/>
    <x v="3"/>
    <s v="NOLN - No Longer Needed"/>
    <d v="2020-01-22T00:00:00"/>
    <s v="NOLN - No Longer Needed"/>
    <m/>
    <m/>
    <m/>
    <m/>
    <m/>
    <m/>
    <m/>
    <m/>
    <m/>
    <m/>
    <m/>
    <m/>
    <m/>
    <m/>
    <m/>
    <m/>
    <m/>
    <m/>
    <m/>
    <m/>
  </r>
  <r>
    <s v="Madhuri Bhatia"/>
    <n v="9.9E+19"/>
    <x v="0"/>
    <x v="261"/>
    <d v="2019-11-09T00:00:00"/>
    <x v="5"/>
    <n v="13"/>
    <s v="Vididt Saha"/>
    <x v="0"/>
    <s v="Construction, Power &amp; Infrastructure"/>
    <s v="Cross Sell"/>
    <n v="30978.63"/>
    <d v="2017-11-10T00:00:00"/>
    <s v="Brokerage"/>
    <x v="0"/>
    <s v="OTHR - Other"/>
    <d v="2020-01-22T00:00:00"/>
    <s v="Other"/>
    <m/>
    <m/>
    <m/>
    <m/>
    <m/>
    <m/>
    <m/>
    <m/>
    <m/>
    <m/>
    <m/>
    <m/>
    <m/>
    <m/>
    <m/>
    <m/>
    <m/>
    <m/>
    <m/>
    <m/>
  </r>
  <r>
    <s v="Pranav Mishra"/>
    <n v="9.9E+19"/>
    <x v="0"/>
    <x v="265"/>
    <d v="2020-02-01T00:00:00"/>
    <x v="5"/>
    <n v="13"/>
    <s v="Vididt Saha"/>
    <x v="0"/>
    <s v="Liability"/>
    <s v="Cross Sell"/>
    <n v="17934.88"/>
    <d v="2018-02-02T00:00:00"/>
    <s v="Brokerage"/>
    <x v="0"/>
    <s v="OTHR - Other"/>
    <d v="2020-01-22T00:00:00"/>
    <s v="Other"/>
    <m/>
    <m/>
    <m/>
    <m/>
    <m/>
    <m/>
    <m/>
    <m/>
    <m/>
    <m/>
    <m/>
    <m/>
    <m/>
    <m/>
    <m/>
    <m/>
    <m/>
    <m/>
    <m/>
    <m/>
  </r>
  <r>
    <s v="Rina Goyal"/>
    <n v="9.9E+19"/>
    <x v="0"/>
    <x v="266"/>
    <d v="2020-02-20T00:00:00"/>
    <x v="5"/>
    <n v="13"/>
    <s v="Vididt Saha"/>
    <x v="0"/>
    <s v="Construction, Power &amp; Infrastructure"/>
    <s v="Cross Sell"/>
    <n v="15668.25"/>
    <d v="2018-02-21T00:00:00"/>
    <s v="Brokerage"/>
    <x v="0"/>
    <s v="OTHR - Other"/>
    <d v="2020-01-22T00:00:00"/>
    <s v="Other"/>
    <m/>
    <m/>
    <m/>
    <m/>
    <m/>
    <m/>
    <m/>
    <m/>
    <m/>
    <m/>
    <m/>
    <m/>
    <m/>
    <m/>
    <m/>
    <m/>
    <m/>
    <m/>
    <m/>
    <m/>
  </r>
  <r>
    <s v="Geeta Gupta"/>
    <n v="9.9E+19"/>
    <x v="0"/>
    <x v="145"/>
    <d v="2019-07-08T00:00:00"/>
    <x v="5"/>
    <n v="13"/>
    <s v="Vididt Saha"/>
    <x v="0"/>
    <s v="Construction, Power &amp; Infrastructure"/>
    <s v="Cross Sell"/>
    <n v="11239.38"/>
    <d v="2018-04-09T00:00:00"/>
    <s v="Brokerage"/>
    <x v="0"/>
    <s v="OTHR - Other"/>
    <d v="2020-01-22T00:00:00"/>
    <s v="Other"/>
    <m/>
    <m/>
    <m/>
    <m/>
    <m/>
    <m/>
    <m/>
    <m/>
    <m/>
    <m/>
    <m/>
    <m/>
    <m/>
    <m/>
    <m/>
    <m/>
    <m/>
    <m/>
    <m/>
    <m/>
  </r>
  <r>
    <s v="Sudhir Roy"/>
    <n v="9.9E+19"/>
    <x v="1"/>
    <x v="267"/>
    <d v="2018-10-08T00:00:00"/>
    <x v="5"/>
    <n v="13"/>
    <s v="Vididt Saha"/>
    <x v="0"/>
    <s v="Construction, Power &amp; Infrastructure"/>
    <s v="Renewal"/>
    <n v="11239.38"/>
    <d v="2018-07-09T00:00:00"/>
    <s v="Brokerage"/>
    <x v="3"/>
    <s v="NOLN - No Longer Needed"/>
    <d v="2020-01-22T00:00:00"/>
    <s v="NOLN - No Longer Needed"/>
    <m/>
    <m/>
    <m/>
    <m/>
    <m/>
    <m/>
    <m/>
    <m/>
    <m/>
    <m/>
    <m/>
    <m/>
    <m/>
    <m/>
    <m/>
    <m/>
    <m/>
    <m/>
    <m/>
    <m/>
  </r>
  <r>
    <s v="Rani Kaul"/>
    <n v="9.9E+19"/>
    <x v="0"/>
    <x v="51"/>
    <d v="2020-02-09T00:00:00"/>
    <x v="5"/>
    <n v="13"/>
    <s v="Vididt Saha"/>
    <x v="0"/>
    <s v="Construction, Power &amp; Infrastructure"/>
    <s v="Cross Sell"/>
    <n v="21442.38"/>
    <d v="2019-10-20T00:00:00"/>
    <s v="Brokerage"/>
    <x v="0"/>
    <s v="OTHR - Other"/>
    <d v="2020-01-22T00:00:00"/>
    <s v="Other"/>
    <m/>
    <m/>
    <m/>
    <m/>
    <m/>
    <m/>
    <m/>
    <m/>
    <m/>
    <m/>
    <m/>
    <m/>
    <m/>
    <m/>
    <m/>
    <m/>
    <m/>
    <m/>
    <m/>
    <m/>
  </r>
  <r>
    <s v="Kavita Sharma"/>
    <n v="9.9E+19"/>
    <x v="0"/>
    <x v="51"/>
    <d v="2020-02-09T00:00:00"/>
    <x v="5"/>
    <n v="13"/>
    <s v="Vididt Saha"/>
    <x v="0"/>
    <s v="Construction, Power &amp; Infrastructure"/>
    <s v="Cross Sell"/>
    <n v="21442.75"/>
    <d v="2018-11-27T00:00:00"/>
    <s v="Brokerage"/>
    <x v="0"/>
    <s v="OTHR - Other"/>
    <d v="2020-01-22T00:00:00"/>
    <s v="Other"/>
    <m/>
    <m/>
    <m/>
    <m/>
    <m/>
    <m/>
    <m/>
    <m/>
    <m/>
    <m/>
    <m/>
    <m/>
    <m/>
    <m/>
    <m/>
    <m/>
    <m/>
    <m/>
    <m/>
    <m/>
  </r>
  <r>
    <s v="Shikha Sethi"/>
    <n v="9.9E+19"/>
    <x v="0"/>
    <x v="51"/>
    <d v="2020-02-09T00:00:00"/>
    <x v="5"/>
    <n v="13"/>
    <s v="Vididt Saha"/>
    <x v="0"/>
    <s v="Construction, Power &amp; Infrastructure"/>
    <s v="Cross Sell"/>
    <n v="21442.75"/>
    <d v="2019-03-16T00:00:00"/>
    <s v="Brokerage"/>
    <x v="0"/>
    <s v="OTHR - Other"/>
    <d v="2020-01-22T00:00:00"/>
    <s v="Other"/>
    <m/>
    <m/>
    <m/>
    <m/>
    <m/>
    <m/>
    <m/>
    <m/>
    <m/>
    <m/>
    <m/>
    <m/>
    <m/>
    <m/>
    <m/>
    <m/>
    <m/>
    <m/>
    <m/>
    <m/>
  </r>
  <r>
    <s v="Amit Bhargava"/>
    <n v="9.9E+19"/>
    <x v="0"/>
    <x v="51"/>
    <d v="2020-02-09T00:00:00"/>
    <x v="5"/>
    <n v="13"/>
    <s v="Vididt Saha"/>
    <x v="0"/>
    <s v="Construction, Power &amp; Infrastructure"/>
    <s v="Cross Sell"/>
    <n v="21442.75"/>
    <d v="2019-07-03T00:00:00"/>
    <s v="Brokerage"/>
    <x v="0"/>
    <s v="OTHR - Other"/>
    <d v="2020-01-22T00:00:00"/>
    <s v="Other"/>
    <m/>
    <m/>
    <m/>
    <m/>
    <m/>
    <m/>
    <m/>
    <m/>
    <m/>
    <m/>
    <m/>
    <m/>
    <m/>
    <m/>
    <m/>
    <m/>
    <m/>
    <m/>
    <m/>
    <m/>
  </r>
  <r>
    <s v="Alka Goel"/>
    <n v="9.9E+19"/>
    <x v="0"/>
    <x v="51"/>
    <d v="2020-02-09T00:00:00"/>
    <x v="5"/>
    <n v="13"/>
    <s v="Vididt Saha"/>
    <x v="0"/>
    <s v="Construction, Power &amp; Infrastructure"/>
    <s v="Cross Sell"/>
    <n v="27085.5"/>
    <d v="2018-08-10T00:00:00"/>
    <s v="Brokerage"/>
    <x v="0"/>
    <s v="OTHR - Other"/>
    <d v="2020-01-22T00:00:00"/>
    <s v="Other"/>
    <m/>
    <m/>
    <m/>
    <m/>
    <m/>
    <m/>
    <m/>
    <m/>
    <m/>
    <m/>
    <m/>
    <m/>
    <m/>
    <m/>
    <m/>
    <m/>
    <m/>
    <m/>
    <m/>
    <m/>
  </r>
  <r>
    <s v="Harish Sharma"/>
    <n v="9.9E+19"/>
    <x v="0"/>
    <x v="51"/>
    <d v="2020-02-09T00:00:00"/>
    <x v="5"/>
    <n v="13"/>
    <s v="Vididt Saha"/>
    <x v="0"/>
    <s v="Construction, Power &amp; Infrastructure"/>
    <s v="Cross Sell"/>
    <n v="17949.04"/>
    <d v="2018-11-27T00:00:00"/>
    <s v="Brokerage"/>
    <x v="0"/>
    <s v="OTHR - Other"/>
    <d v="2020-01-22T00:00:00"/>
    <s v="Other"/>
    <m/>
    <m/>
    <m/>
    <m/>
    <m/>
    <m/>
    <m/>
    <m/>
    <m/>
    <m/>
    <m/>
    <m/>
    <m/>
    <m/>
    <m/>
    <m/>
    <m/>
    <m/>
    <m/>
    <m/>
  </r>
  <r>
    <s v="Gaurav Goel"/>
    <n v="9.9E+19"/>
    <x v="0"/>
    <x v="51"/>
    <d v="2020-02-09T00:00:00"/>
    <x v="5"/>
    <n v="13"/>
    <s v="Vididt Saha"/>
    <x v="0"/>
    <s v="Construction, Power &amp; Infrastructure"/>
    <s v="Cross Sell"/>
    <n v="17949.04"/>
    <d v="2019-03-16T00:00:00"/>
    <s v="Brokerage"/>
    <x v="0"/>
    <s v="OTHR - Other"/>
    <d v="2020-01-22T00:00:00"/>
    <s v="Other"/>
    <m/>
    <m/>
    <m/>
    <m/>
    <m/>
    <m/>
    <m/>
    <m/>
    <m/>
    <m/>
    <m/>
    <m/>
    <m/>
    <m/>
    <m/>
    <m/>
    <m/>
    <m/>
    <m/>
    <m/>
  </r>
  <r>
    <s v="Ravi Naik"/>
    <n v="9.9E+19"/>
    <x v="0"/>
    <x v="51"/>
    <d v="2020-02-09T00:00:00"/>
    <x v="5"/>
    <n v="13"/>
    <s v="Vididt Saha"/>
    <x v="0"/>
    <s v="Construction, Power &amp; Infrastructure"/>
    <s v="Cross Sell"/>
    <n v="17949.04"/>
    <d v="2019-07-03T00:00:00"/>
    <s v="Brokerage"/>
    <x v="0"/>
    <s v="OTHR - Other"/>
    <d v="2020-01-22T00:00:00"/>
    <s v="Other"/>
    <m/>
    <m/>
    <m/>
    <m/>
    <m/>
    <m/>
    <m/>
    <m/>
    <m/>
    <m/>
    <m/>
    <m/>
    <m/>
    <m/>
    <m/>
    <m/>
    <m/>
    <m/>
    <m/>
    <m/>
  </r>
  <r>
    <s v="Kamlesh Prasad"/>
    <n v="9.9E+19"/>
    <x v="0"/>
    <x v="51"/>
    <d v="2020-02-09T00:00:00"/>
    <x v="5"/>
    <n v="13"/>
    <s v="Vididt Saha"/>
    <x v="0"/>
    <s v="Construction, Power &amp; Infrastructure"/>
    <s v="Cross Sell"/>
    <n v="17949.04"/>
    <d v="2019-10-20T00:00:00"/>
    <s v="Brokerage"/>
    <x v="0"/>
    <s v="OTHR - Other"/>
    <d v="2020-01-22T00:00:00"/>
    <s v="Other"/>
    <m/>
    <m/>
    <m/>
    <m/>
    <m/>
    <m/>
    <m/>
    <m/>
    <m/>
    <m/>
    <m/>
    <m/>
    <m/>
    <m/>
    <m/>
    <m/>
    <m/>
    <m/>
    <m/>
    <m/>
  </r>
  <r>
    <s v="Nikhil Verma"/>
    <n v="9.9E+19"/>
    <x v="0"/>
    <x v="51"/>
    <d v="2020-02-09T00:00:00"/>
    <x v="5"/>
    <n v="13"/>
    <s v="Vididt Saha"/>
    <x v="0"/>
    <s v="Construction, Power &amp; Infrastructure"/>
    <s v="Cross Sell"/>
    <n v="22672.47"/>
    <d v="2018-08-10T00:00:00"/>
    <s v="Brokerage"/>
    <x v="0"/>
    <s v="OTHR - Other"/>
    <d v="2020-01-22T00:00:00"/>
    <s v="Other"/>
    <m/>
    <m/>
    <m/>
    <m/>
    <m/>
    <m/>
    <m/>
    <m/>
    <m/>
    <m/>
    <m/>
    <m/>
    <m/>
    <m/>
    <m/>
    <m/>
    <m/>
    <m/>
    <m/>
    <m/>
  </r>
  <r>
    <s v="Vaishali Desai"/>
    <n v="9.9E+19"/>
    <x v="0"/>
    <x v="268"/>
    <d v="2019-10-08T00:00:00"/>
    <x v="5"/>
    <n v="13"/>
    <s v="Vididt Saha"/>
    <x v="0"/>
    <s v="Construction, Power &amp; Infrastructure"/>
    <s v="Cross Sell"/>
    <n v="11239.38"/>
    <d v="2018-10-09T00:00:00"/>
    <s v="Brokerage"/>
    <x v="0"/>
    <s v="OTHR - Other"/>
    <d v="2020-01-22T00:00:00"/>
    <s v="Other"/>
    <m/>
    <m/>
    <m/>
    <m/>
    <m/>
    <m/>
    <m/>
    <m/>
    <m/>
    <m/>
    <m/>
    <m/>
    <m/>
    <m/>
    <m/>
    <m/>
    <m/>
    <m/>
    <m/>
    <m/>
  </r>
  <r>
    <s v="Atul Naik"/>
    <n v="9.9E+17"/>
    <x v="0"/>
    <x v="269"/>
    <d v="2019-06-09T00:00:00"/>
    <x v="5"/>
    <n v="13"/>
    <s v="Vididt Saha"/>
    <x v="0"/>
    <s v="Construction, Power &amp; Infrastructure"/>
    <s v="Cross Sell"/>
    <n v="2212.38"/>
    <d v="2019-04-10T00:00:00"/>
    <s v="Brokerage"/>
    <x v="0"/>
    <s v="OTHR - Other"/>
    <d v="2020-01-22T00:00:00"/>
    <s v="Other"/>
    <m/>
    <m/>
    <m/>
    <m/>
    <m/>
    <m/>
    <m/>
    <m/>
    <m/>
    <m/>
    <m/>
    <m/>
    <m/>
    <m/>
    <m/>
    <m/>
    <m/>
    <m/>
    <m/>
    <m/>
  </r>
  <r>
    <s v="Meena Bhargava"/>
    <s v="LWC/I2688106/71/10/006144"/>
    <x v="1"/>
    <x v="135"/>
    <d v="2018-10-09T00:00:00"/>
    <x v="2"/>
    <n v="13"/>
    <s v="Vididt Saha"/>
    <x v="0"/>
    <s v="Liability"/>
    <s v="Cross Sell"/>
    <n v="1363"/>
    <d v="2018-07-10T00:00:00"/>
    <s v="Brokerage"/>
    <x v="3"/>
    <s v="NOLN - No Longer Needed"/>
    <d v="2020-01-22T00:00:00"/>
    <s v="NOLN - No Longer Needed"/>
    <m/>
    <m/>
    <m/>
    <m/>
    <m/>
    <m/>
    <m/>
    <m/>
    <m/>
    <m/>
    <m/>
    <m/>
    <m/>
    <m/>
    <m/>
    <m/>
    <m/>
    <m/>
    <m/>
    <m/>
  </r>
  <r>
    <s v="Mona Chopra"/>
    <s v="M6867997"/>
    <x v="0"/>
    <x v="243"/>
    <d v="2020-03-24T00:00:00"/>
    <x v="6"/>
    <n v="13"/>
    <s v="Vididt Saha"/>
    <x v="0"/>
    <s v="Motor"/>
    <s v="Cross Sell"/>
    <n v="157.5"/>
    <d v="2019-03-25T00:00:00"/>
    <s v="Brokerage"/>
    <x v="0"/>
    <s v="OTHR - Other"/>
    <d v="2020-01-22T00:00:00"/>
    <s v="Other"/>
    <m/>
    <m/>
    <m/>
    <m/>
    <m/>
    <m/>
    <m/>
    <m/>
    <m/>
    <m/>
    <m/>
    <m/>
    <m/>
    <m/>
    <m/>
    <m/>
    <m/>
    <m/>
    <m/>
    <m/>
  </r>
  <r>
    <s v="Mohit Tiwari"/>
    <s v="M7016785"/>
    <x v="0"/>
    <x v="270"/>
    <d v="2020-03-28T00:00:00"/>
    <x v="6"/>
    <n v="13"/>
    <s v="Vididt Saha"/>
    <x v="0"/>
    <s v="Motor"/>
    <s v="Cross Sell"/>
    <n v="1749.45"/>
    <d v="2019-03-29T00:00:00"/>
    <s v="Brokerage"/>
    <x v="0"/>
    <s v="OTHR - Other"/>
    <d v="2020-01-22T00:00:00"/>
    <s v="Other"/>
    <m/>
    <m/>
    <m/>
    <m/>
    <m/>
    <m/>
    <m/>
    <m/>
    <m/>
    <m/>
    <m/>
    <m/>
    <m/>
    <m/>
    <m/>
    <m/>
    <m/>
    <m/>
    <m/>
    <m/>
  </r>
  <r>
    <s v="Tina Dutta"/>
    <s v="'310304491710000022"/>
    <x v="0"/>
    <x v="271"/>
    <d v="2019-03-24T00:00:00"/>
    <x v="4"/>
    <n v="1"/>
    <s v="Vinay"/>
    <x v="0"/>
    <s v="Liability"/>
    <s v="Renewal"/>
    <n v="6250"/>
    <d v="2018-03-25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Tina Dutta"/>
    <s v="'310304491710000022"/>
    <x v="0"/>
    <x v="271"/>
    <d v="2019-03-24T00:00:00"/>
    <x v="4"/>
    <n v="1"/>
    <s v="Vinay"/>
    <x v="0"/>
    <s v="Liability"/>
    <s v="Renewal"/>
    <n v="6250"/>
    <d v="2018-03-25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Tina Dutta"/>
    <s v="'310304491710000022"/>
    <x v="0"/>
    <x v="271"/>
    <d v="2019-03-24T00:00:00"/>
    <x v="4"/>
    <n v="1"/>
    <s v="Vinay"/>
    <x v="0"/>
    <s v="Liability"/>
    <s v="Renewal"/>
    <n v="6250"/>
    <d v="2018-03-25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Tina Dutta"/>
    <s v="'310304491710000022"/>
    <x v="0"/>
    <x v="271"/>
    <d v="2019-03-24T00:00:00"/>
    <x v="4"/>
    <n v="1"/>
    <s v="Vinay"/>
    <x v="0"/>
    <s v="Liability"/>
    <s v="Renewal"/>
    <n v="6250"/>
    <d v="2018-03-25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Tina Dutta"/>
    <s v="'310304491710000022"/>
    <x v="0"/>
    <x v="271"/>
    <d v="2019-03-24T00:00:00"/>
    <x v="4"/>
    <n v="1"/>
    <s v="Vinay"/>
    <x v="0"/>
    <s v="Liability"/>
    <s v="Renewal"/>
    <n v="6250"/>
    <d v="2018-03-25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Hemant Das"/>
    <s v="OG-20-2202-3305-00000123"/>
    <x v="0"/>
    <x v="243"/>
    <d v="2020-03-24T00:00:00"/>
    <x v="4"/>
    <n v="9"/>
    <s v="Manish Sharma"/>
    <x v="0"/>
    <s v="Liability"/>
    <s v="Renewal"/>
    <n v="8125"/>
    <d v="2019-03-25T00:00:00"/>
    <s v="Brokerage"/>
    <x v="0"/>
    <s v="OTHR - Other"/>
    <d v="2020-01-22T00:00:00"/>
    <s v="Other"/>
    <m/>
    <m/>
    <m/>
    <m/>
    <m/>
    <m/>
    <m/>
    <m/>
    <m/>
    <m/>
    <m/>
    <m/>
    <m/>
    <m/>
    <m/>
    <m/>
    <m/>
    <m/>
    <m/>
    <m/>
  </r>
  <r>
    <s v="Sanjana Bhargava"/>
    <n v="2280038722"/>
    <x v="0"/>
    <x v="256"/>
    <d v="2020-01-14T00:00:00"/>
    <x v="2"/>
    <n v="13"/>
    <s v="Vididt Saha"/>
    <x v="0"/>
    <s v="Emerging Corporates Group (ECG)"/>
    <s v="Cross Sell"/>
    <n v="2788.75"/>
    <d v="2019-07-15T00:00:00"/>
    <s v="Brokerage"/>
    <x v="0"/>
    <s v="OTHR - Other"/>
    <d v="2020-01-22T00:00:00"/>
    <s v="Other"/>
    <m/>
    <m/>
    <m/>
    <m/>
    <m/>
    <m/>
    <m/>
    <m/>
    <m/>
    <m/>
    <m/>
    <m/>
    <m/>
    <m/>
    <m/>
    <m/>
    <m/>
    <m/>
    <m/>
    <m/>
  </r>
  <r>
    <s v="Kamlesh Trivedi"/>
    <n v="43170791"/>
    <x v="0"/>
    <x v="51"/>
    <d v="2019-06-09T00:00:00"/>
    <x v="2"/>
    <n v="13"/>
    <s v="Vididt Saha"/>
    <x v="0"/>
    <s v="Liability"/>
    <s v="New"/>
    <n v="7827.77"/>
    <d v="2018-08-10T00:00:00"/>
    <s v="Brokerage"/>
    <x v="2"/>
    <s v="OTHR - Other"/>
    <d v="2020-01-22T00:00:00"/>
    <s v="Other"/>
    <m/>
    <m/>
    <m/>
    <m/>
    <m/>
    <m/>
    <m/>
    <m/>
    <m/>
    <m/>
    <m/>
    <m/>
    <m/>
    <m/>
    <m/>
    <m/>
    <m/>
    <m/>
    <m/>
    <m/>
  </r>
  <r>
    <s v="Nikita Tiwari"/>
    <n v="43170791"/>
    <x v="0"/>
    <x v="51"/>
    <d v="2019-06-09T00:00:00"/>
    <x v="2"/>
    <n v="13"/>
    <s v="Vididt Saha"/>
    <x v="0"/>
    <s v="Liability"/>
    <s v="New"/>
    <n v="0"/>
    <d v="2018-10-25T00:00:00"/>
    <s v="Brokerage "/>
    <x v="2"/>
    <s v="OTHR - Other"/>
    <d v="2020-01-22T00:00:00"/>
    <s v="Other"/>
    <m/>
    <m/>
    <m/>
    <m/>
    <m/>
    <m/>
    <m/>
    <m/>
    <m/>
    <m/>
    <m/>
    <m/>
    <m/>
    <m/>
    <m/>
    <m/>
    <m/>
    <m/>
    <m/>
    <m/>
  </r>
  <r>
    <s v="Kapil Kapoor"/>
    <n v="43170791"/>
    <x v="0"/>
    <x v="51"/>
    <d v="2019-06-09T00:00:00"/>
    <x v="2"/>
    <n v="13"/>
    <s v="Vididt Saha"/>
    <x v="0"/>
    <s v="Liability"/>
    <s v="New"/>
    <n v="4194.8"/>
    <d v="2019-01-22T00:00:00"/>
    <s v="Brokerage "/>
    <x v="2"/>
    <s v="OTHR - Other"/>
    <d v="2020-01-22T00:00:00"/>
    <s v="Other"/>
    <m/>
    <m/>
    <m/>
    <m/>
    <m/>
    <m/>
    <m/>
    <m/>
    <m/>
    <m/>
    <m/>
    <m/>
    <m/>
    <m/>
    <m/>
    <m/>
    <m/>
    <m/>
    <m/>
    <m/>
  </r>
  <r>
    <s v="Harish Rana"/>
    <n v="43182398"/>
    <x v="1"/>
    <x v="272"/>
    <d v="2020-05-18T00:00:00"/>
    <x v="2"/>
    <n v="13"/>
    <s v="Vididt Saha"/>
    <x v="0"/>
    <s v="Liability"/>
    <s v="Cross Sell"/>
    <n v="1390.13"/>
    <d v="2019-02-19T00:00:00"/>
    <s v="Brokerage"/>
    <x v="0"/>
    <s v="OTHR - Other"/>
    <d v="2020-01-22T00:00:00"/>
    <s v="Other"/>
    <m/>
    <m/>
    <m/>
    <m/>
    <m/>
    <m/>
    <m/>
    <m/>
    <m/>
    <m/>
    <m/>
    <m/>
    <m/>
    <m/>
    <m/>
    <m/>
    <m/>
    <m/>
    <m/>
    <m/>
  </r>
  <r>
    <s v="Nikhil Pandit"/>
    <n v="4318240000000"/>
    <x v="0"/>
    <x v="273"/>
    <d v="2020-08-18T00:00:00"/>
    <x v="2"/>
    <n v="13"/>
    <s v="Vididt Saha"/>
    <x v="0"/>
    <s v="Liability"/>
    <s v="Cross Sell"/>
    <n v="1390.13"/>
    <d v="2020-05-18T00:00:00"/>
    <s v="Brokerage"/>
    <x v="1"/>
    <s v="OTHR - Other"/>
    <d v="2020-01-22T00:00:00"/>
    <s v="Other"/>
    <m/>
    <m/>
    <m/>
    <m/>
    <m/>
    <m/>
    <m/>
    <m/>
    <m/>
    <m/>
    <m/>
    <m/>
    <m/>
    <m/>
    <m/>
    <m/>
    <m/>
    <m/>
    <m/>
    <m/>
  </r>
  <r>
    <s v="Vivek Rana"/>
    <n v="43189992"/>
    <x v="0"/>
    <x v="274"/>
    <d v="2019-12-09T00:00:00"/>
    <x v="2"/>
    <n v="13"/>
    <s v="Vididt Saha"/>
    <x v="0"/>
    <s v="Liability"/>
    <s v="Cross Sell"/>
    <n v="7835.19"/>
    <d v="2019-06-10T00:00:00"/>
    <s v="Brokerage"/>
    <x v="0"/>
    <s v="OTHR - Other"/>
    <d v="2020-01-22T00:00:00"/>
    <s v="Other"/>
    <m/>
    <m/>
    <m/>
    <m/>
    <m/>
    <m/>
    <m/>
    <m/>
    <m/>
    <m/>
    <m/>
    <m/>
    <m/>
    <m/>
    <m/>
    <m/>
    <m/>
    <m/>
    <m/>
    <m/>
  </r>
  <r>
    <s v="Hemant Nair"/>
    <n v="43190133"/>
    <x v="0"/>
    <x v="275"/>
    <d v="2019-12-10T00:00:00"/>
    <x v="2"/>
    <n v="13"/>
    <s v="Vididt Saha"/>
    <x v="0"/>
    <s v="Liability"/>
    <s v="Cross Sell"/>
    <n v="7782.56"/>
    <d v="2019-06-11T00:00:00"/>
    <s v="Brokerage"/>
    <x v="0"/>
    <s v="OTHR - Other"/>
    <d v="2020-01-22T00:00:00"/>
    <s v="Other"/>
    <m/>
    <m/>
    <m/>
    <m/>
    <m/>
    <m/>
    <m/>
    <m/>
    <m/>
    <m/>
    <m/>
    <m/>
    <m/>
    <m/>
    <m/>
    <m/>
    <m/>
    <m/>
    <m/>
    <m/>
  </r>
  <r>
    <s v="Veena Bhargava"/>
    <n v="43191701"/>
    <x v="0"/>
    <x v="264"/>
    <d v="2020-07-01T00:00:00"/>
    <x v="2"/>
    <n v="13"/>
    <s v="Vididt Saha"/>
    <x v="0"/>
    <s v="Liability"/>
    <s v="Renewal"/>
    <n v="1558.76"/>
    <d v="2019-07-02T00:00:00"/>
    <s v="Brokerage"/>
    <x v="0"/>
    <s v="OTHR - Other"/>
    <d v="2020-01-22T00:00:00"/>
    <s v="Other"/>
    <m/>
    <m/>
    <m/>
    <m/>
    <m/>
    <m/>
    <m/>
    <m/>
    <m/>
    <m/>
    <m/>
    <m/>
    <m/>
    <m/>
    <m/>
    <m/>
    <m/>
    <m/>
    <m/>
    <m/>
  </r>
  <r>
    <s v="Shivam Shah"/>
    <n v="9.9E+19"/>
    <x v="0"/>
    <x v="38"/>
    <d v="2019-10-11T00:00:00"/>
    <x v="5"/>
    <n v="13"/>
    <s v="Vididt Saha"/>
    <x v="0"/>
    <s v="Construction, Power &amp; Infrastructure"/>
    <s v="Cross Sell"/>
    <n v="3007.5"/>
    <d v="2019-04-12T00:00:00"/>
    <s v="Brokerage"/>
    <x v="0"/>
    <s v="OTHR - Other"/>
    <d v="2020-01-22T00:00:00"/>
    <s v="Other"/>
    <m/>
    <m/>
    <m/>
    <m/>
    <m/>
    <m/>
    <m/>
    <m/>
    <m/>
    <m/>
    <m/>
    <m/>
    <m/>
    <m/>
    <m/>
    <m/>
    <m/>
    <m/>
    <m/>
    <m/>
  </r>
  <r>
    <s v="Bhavna Bhandari"/>
    <n v="9.9E+19"/>
    <x v="0"/>
    <x v="276"/>
    <d v="2020-11-18T00:00:00"/>
    <x v="5"/>
    <n v="13"/>
    <s v="Vididt Saha"/>
    <x v="0"/>
    <s v="Construction, Power &amp; Infrastructure"/>
    <s v="Cross Sell"/>
    <n v="26804.5"/>
    <d v="2019-11-19T00:00:00"/>
    <s v="Brokerage"/>
    <x v="0"/>
    <s v="OTHR - Other"/>
    <d v="2020-01-22T00:00:00"/>
    <s v="Other"/>
    <m/>
    <m/>
    <m/>
    <m/>
    <m/>
    <m/>
    <m/>
    <m/>
    <m/>
    <m/>
    <m/>
    <m/>
    <m/>
    <m/>
    <m/>
    <m/>
    <m/>
    <m/>
    <m/>
    <m/>
  </r>
  <r>
    <s v="Tarun Shah"/>
    <s v="OG-19-2201-0420-00000001"/>
    <x v="1"/>
    <x v="14"/>
    <d v="2019-03-31T00:00:00"/>
    <x v="2"/>
    <n v="3"/>
    <s v="Animesh Rawat"/>
    <x v="0"/>
    <s v="Global Client Network (GNB Inward)"/>
    <s v="Renewal"/>
    <n v="1771.98"/>
    <d v="2018-04-01T00:00:00"/>
    <s v="Brokerage"/>
    <x v="0"/>
    <s v="OTHR - Other"/>
    <d v="2020-01-22T00:00:00"/>
    <s v="Other"/>
    <m/>
    <m/>
    <m/>
    <m/>
    <m/>
    <m/>
    <m/>
    <m/>
    <m/>
    <m/>
    <m/>
    <m/>
    <m/>
    <m/>
    <m/>
    <m/>
    <m/>
    <m/>
    <m/>
    <m/>
  </r>
  <r>
    <s v="Hemant Chauhan"/>
    <s v="OG-19-2201-0420-00000001"/>
    <x v="1"/>
    <x v="14"/>
    <d v="2019-03-31T00:00:00"/>
    <x v="2"/>
    <n v="3"/>
    <s v="Animesh Rawat"/>
    <x v="0"/>
    <s v="Global Client Network (GNB Inward)"/>
    <s v="Renewal"/>
    <n v="681.53"/>
    <d v="2018-04-01T00:00:00"/>
    <s v="Brokerage"/>
    <x v="0"/>
    <s v="OTHR - Other"/>
    <d v="2020-01-22T00:00:00"/>
    <s v="Other"/>
    <m/>
    <m/>
    <m/>
    <m/>
    <m/>
    <m/>
    <m/>
    <m/>
    <m/>
    <m/>
    <m/>
    <m/>
    <m/>
    <m/>
    <m/>
    <m/>
    <m/>
    <m/>
    <m/>
    <m/>
  </r>
  <r>
    <s v="Geeta Verma"/>
    <s v="OG-19-2201-0420-00000001"/>
    <x v="1"/>
    <x v="14"/>
    <d v="2019-03-31T00:00:00"/>
    <x v="2"/>
    <n v="3"/>
    <s v="Animesh Rawat"/>
    <x v="0"/>
    <s v="Global Client Network (GNB Inward)"/>
    <s v="Renewal"/>
    <n v="272.61"/>
    <d v="2018-04-01T00:00:00"/>
    <s v="Brokerage"/>
    <x v="0"/>
    <s v="OTHR - Other"/>
    <d v="2020-01-22T00:00:00"/>
    <s v="Other"/>
    <m/>
    <m/>
    <m/>
    <m/>
    <m/>
    <m/>
    <m/>
    <m/>
    <m/>
    <m/>
    <m/>
    <m/>
    <m/>
    <m/>
    <m/>
    <m/>
    <m/>
    <m/>
    <m/>
    <m/>
  </r>
  <r>
    <s v="Ashok Patel"/>
    <s v="OG-19-2201-0425-00000001"/>
    <x v="1"/>
    <x v="14"/>
    <d v="2019-03-31T00:00:00"/>
    <x v="2"/>
    <n v="3"/>
    <s v="Animesh Rawat"/>
    <x v="0"/>
    <s v="Global Client Network (GNB Inward)"/>
    <s v="Renewal"/>
    <n v="4175.3599999999997"/>
    <d v="2018-04-01T00:00:00"/>
    <s v="Brokerage"/>
    <x v="0"/>
    <s v="OTHR - Other"/>
    <d v="2020-01-22T00:00:00"/>
    <s v="Other"/>
    <m/>
    <m/>
    <m/>
    <m/>
    <m/>
    <m/>
    <m/>
    <m/>
    <m/>
    <m/>
    <m/>
    <m/>
    <m/>
    <m/>
    <m/>
    <m/>
    <m/>
    <m/>
    <m/>
    <m/>
  </r>
  <r>
    <s v="Gayatri Reddy"/>
    <s v="OG-19-2201-0425-00000001"/>
    <x v="1"/>
    <x v="14"/>
    <d v="2019-03-31T00:00:00"/>
    <x v="2"/>
    <n v="3"/>
    <s v="Animesh Rawat"/>
    <x v="0"/>
    <s v="Global Client Network (GNB Inward)"/>
    <s v="Renewal"/>
    <n v="1605.91"/>
    <d v="2018-04-01T00:00:00"/>
    <s v="Brokerage"/>
    <x v="0"/>
    <s v="OTHR - Other"/>
    <d v="2020-01-22T00:00:00"/>
    <s v="Other"/>
    <m/>
    <m/>
    <m/>
    <m/>
    <m/>
    <m/>
    <m/>
    <m/>
    <m/>
    <m/>
    <m/>
    <m/>
    <m/>
    <m/>
    <m/>
    <m/>
    <m/>
    <m/>
    <m/>
    <m/>
  </r>
  <r>
    <s v="Snehal Patel"/>
    <s v="OG-19-2201-0425-00000001"/>
    <x v="1"/>
    <x v="14"/>
    <d v="2019-03-31T00:00:00"/>
    <x v="2"/>
    <n v="3"/>
    <s v="Animesh Rawat"/>
    <x v="0"/>
    <s v="Global Client Network (GNB Inward)"/>
    <s v="Renewal"/>
    <n v="642.36"/>
    <d v="2018-04-01T00:00:00"/>
    <s v="Brokerage"/>
    <x v="0"/>
    <s v="OTHR - Other"/>
    <d v="2020-01-22T00:00:00"/>
    <s v="Other"/>
    <m/>
    <m/>
    <m/>
    <m/>
    <m/>
    <m/>
    <m/>
    <m/>
    <m/>
    <m/>
    <m/>
    <m/>
    <m/>
    <m/>
    <m/>
    <m/>
    <m/>
    <m/>
    <m/>
    <m/>
  </r>
  <r>
    <s v="Vivek Yadav"/>
    <s v="OG-19-2201-4001-00000061"/>
    <x v="1"/>
    <x v="14"/>
    <d v="2019-03-31T00:00:00"/>
    <x v="1"/>
    <n v="3"/>
    <s v="Animesh Rawat"/>
    <x v="0"/>
    <s v="Global Client Network (GNB Inward)"/>
    <s v="Renewal"/>
    <n v="23863.13"/>
    <d v="2108-03-31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Vivek Yadav"/>
    <s v="OG-19-2201-4001-00000061"/>
    <x v="1"/>
    <x v="14"/>
    <d v="2019-03-31T00:00:00"/>
    <x v="1"/>
    <n v="3"/>
    <s v="Animesh Rawat"/>
    <x v="0"/>
    <s v="Global Client Network (GNB Inward)"/>
    <s v="Renewal"/>
    <n v="23863.13"/>
    <d v="2108-03-31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Vivek Yadav"/>
    <s v="OG-19-2201-4001-00000061"/>
    <x v="1"/>
    <x v="14"/>
    <d v="2019-03-31T00:00:00"/>
    <x v="1"/>
    <n v="3"/>
    <s v="Animesh Rawat"/>
    <x v="0"/>
    <s v="Global Client Network (GNB Inward)"/>
    <s v="Renewal"/>
    <n v="23863.13"/>
    <d v="2108-03-3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Vivek Yadav"/>
    <s v="OG-19-2201-4001-00000061"/>
    <x v="1"/>
    <x v="14"/>
    <d v="2019-03-31T00:00:00"/>
    <x v="1"/>
    <n v="3"/>
    <s v="Animesh Rawat"/>
    <x v="0"/>
    <s v="Global Client Network (GNB Inward)"/>
    <s v="Renewal"/>
    <n v="23863.13"/>
    <d v="2108-03-3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Vivek Yadav"/>
    <s v="OG-19-2201-4001-00000061"/>
    <x v="1"/>
    <x v="14"/>
    <d v="2019-03-31T00:00:00"/>
    <x v="1"/>
    <n v="3"/>
    <s v="Animesh Rawat"/>
    <x v="0"/>
    <s v="Global Client Network (GNB Inward)"/>
    <s v="Renewal"/>
    <n v="23863.13"/>
    <d v="2108-03-31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Vivek Yadav"/>
    <s v="OG-19-2201-4001-00000061"/>
    <x v="1"/>
    <x v="14"/>
    <d v="2019-03-31T00:00:00"/>
    <x v="1"/>
    <n v="3"/>
    <s v="Animesh Rawat"/>
    <x v="0"/>
    <s v="Global Client Network (GNB Inward)"/>
    <s v="Renewal"/>
    <n v="23863.13"/>
    <d v="2108-03-31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Vivek Yadav"/>
    <s v="OG-19-2201-4001-00000061"/>
    <x v="1"/>
    <x v="14"/>
    <d v="2019-03-31T00:00:00"/>
    <x v="1"/>
    <n v="3"/>
    <s v="Animesh Rawat"/>
    <x v="0"/>
    <s v="Global Client Network (GNB Inward)"/>
    <s v="Renewal"/>
    <n v="23863.13"/>
    <d v="2108-03-31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Vivek Yadav"/>
    <s v="OG-19-2201-4001-00000061"/>
    <x v="1"/>
    <x v="14"/>
    <d v="2019-03-31T00:00:00"/>
    <x v="1"/>
    <n v="3"/>
    <s v="Animesh Rawat"/>
    <x v="0"/>
    <s v="Global Client Network (GNB Inward)"/>
    <s v="Renewal"/>
    <n v="23863.13"/>
    <d v="2108-03-31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Vivek Yadav"/>
    <s v="OG-19-2201-4001-00000061"/>
    <x v="1"/>
    <x v="14"/>
    <d v="2019-03-31T00:00:00"/>
    <x v="1"/>
    <n v="3"/>
    <s v="Animesh Rawat"/>
    <x v="0"/>
    <s v="Global Client Network (GNB Inward)"/>
    <s v="Renewal"/>
    <n v="23863.13"/>
    <d v="2108-03-31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Vivek Yadav"/>
    <s v="OG-19-2201-4001-00000061"/>
    <x v="1"/>
    <x v="14"/>
    <d v="2019-03-31T00:00:00"/>
    <x v="1"/>
    <n v="3"/>
    <s v="Animesh Rawat"/>
    <x v="0"/>
    <s v="Global Client Network (GNB Inward)"/>
    <s v="Renewal"/>
    <n v="23863.13"/>
    <d v="2108-03-31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Vivek Yadav"/>
    <s v="OG-19-2201-4001-00000061"/>
    <x v="1"/>
    <x v="14"/>
    <d v="2019-03-31T00:00:00"/>
    <x v="1"/>
    <n v="3"/>
    <s v="Animesh Rawat"/>
    <x v="0"/>
    <s v="Global Client Network (GNB Inward)"/>
    <s v="Renewal"/>
    <n v="23863.13"/>
    <d v="2108-03-31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Vivek Yadav"/>
    <s v="OG-19-2201-4001-00000061"/>
    <x v="1"/>
    <x v="14"/>
    <d v="2019-03-31T00:00:00"/>
    <x v="1"/>
    <n v="3"/>
    <s v="Animesh Rawat"/>
    <x v="0"/>
    <s v="Global Client Network (GNB Inward)"/>
    <s v="Renewal"/>
    <n v="23863.13"/>
    <d v="2108-03-31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Kiran Saxena"/>
    <s v="OG-19-2201-4001-00000061"/>
    <x v="1"/>
    <x v="14"/>
    <d v="2019-03-31T00:00:00"/>
    <x v="1"/>
    <n v="3"/>
    <s v="Animesh Rawat"/>
    <x v="0"/>
    <s v="Global Client Network (GNB Inward)"/>
    <s v="Renewal"/>
    <n v="9178.1299999999992"/>
    <d v="2108-03-31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Kiran Saxena"/>
    <s v="OG-19-2201-4001-00000061"/>
    <x v="1"/>
    <x v="14"/>
    <d v="2019-03-31T00:00:00"/>
    <x v="1"/>
    <n v="3"/>
    <s v="Animesh Rawat"/>
    <x v="0"/>
    <s v="Global Client Network (GNB Inward)"/>
    <s v="Renewal"/>
    <n v="9178.1299999999992"/>
    <d v="2108-03-31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Kiran Saxena"/>
    <s v="OG-19-2201-4001-00000061"/>
    <x v="1"/>
    <x v="14"/>
    <d v="2019-03-31T00:00:00"/>
    <x v="1"/>
    <n v="3"/>
    <s v="Animesh Rawat"/>
    <x v="0"/>
    <s v="Global Client Network (GNB Inward)"/>
    <s v="Renewal"/>
    <n v="9178.1299999999992"/>
    <d v="2108-03-3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Kiran Saxena"/>
    <s v="OG-19-2201-4001-00000061"/>
    <x v="1"/>
    <x v="14"/>
    <d v="2019-03-31T00:00:00"/>
    <x v="1"/>
    <n v="3"/>
    <s v="Animesh Rawat"/>
    <x v="0"/>
    <s v="Global Client Network (GNB Inward)"/>
    <s v="Renewal"/>
    <n v="9178.1299999999992"/>
    <d v="2108-03-3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Kiran Saxena"/>
    <s v="OG-19-2201-4001-00000061"/>
    <x v="1"/>
    <x v="14"/>
    <d v="2019-03-31T00:00:00"/>
    <x v="1"/>
    <n v="3"/>
    <s v="Animesh Rawat"/>
    <x v="0"/>
    <s v="Global Client Network (GNB Inward)"/>
    <s v="Renewal"/>
    <n v="9178.1299999999992"/>
    <d v="2108-03-31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Kiran Saxena"/>
    <s v="OG-19-2201-4001-00000061"/>
    <x v="1"/>
    <x v="14"/>
    <d v="2019-03-31T00:00:00"/>
    <x v="1"/>
    <n v="3"/>
    <s v="Animesh Rawat"/>
    <x v="0"/>
    <s v="Global Client Network (GNB Inward)"/>
    <s v="Renewal"/>
    <n v="9178.1299999999992"/>
    <d v="2108-03-31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Kiran Saxena"/>
    <s v="OG-19-2201-4001-00000061"/>
    <x v="1"/>
    <x v="14"/>
    <d v="2019-03-31T00:00:00"/>
    <x v="1"/>
    <n v="3"/>
    <s v="Animesh Rawat"/>
    <x v="0"/>
    <s v="Global Client Network (GNB Inward)"/>
    <s v="Renewal"/>
    <n v="9178.1299999999992"/>
    <d v="2108-03-31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Kiran Saxena"/>
    <s v="OG-19-2201-4001-00000061"/>
    <x v="1"/>
    <x v="14"/>
    <d v="2019-03-31T00:00:00"/>
    <x v="1"/>
    <n v="3"/>
    <s v="Animesh Rawat"/>
    <x v="0"/>
    <s v="Global Client Network (GNB Inward)"/>
    <s v="Renewal"/>
    <n v="9178.1299999999992"/>
    <d v="2108-03-31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Kiran Saxena"/>
    <s v="OG-19-2201-4001-00000061"/>
    <x v="1"/>
    <x v="14"/>
    <d v="2019-03-31T00:00:00"/>
    <x v="1"/>
    <n v="3"/>
    <s v="Animesh Rawat"/>
    <x v="0"/>
    <s v="Global Client Network (GNB Inward)"/>
    <s v="Renewal"/>
    <n v="9178.1299999999992"/>
    <d v="2108-03-31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Kiran Saxena"/>
    <s v="OG-19-2201-4001-00000061"/>
    <x v="1"/>
    <x v="14"/>
    <d v="2019-03-31T00:00:00"/>
    <x v="1"/>
    <n v="3"/>
    <s v="Animesh Rawat"/>
    <x v="0"/>
    <s v="Global Client Network (GNB Inward)"/>
    <s v="Renewal"/>
    <n v="9178.1299999999992"/>
    <d v="2108-03-31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Kiran Saxena"/>
    <s v="OG-19-2201-4001-00000061"/>
    <x v="1"/>
    <x v="14"/>
    <d v="2019-03-31T00:00:00"/>
    <x v="1"/>
    <n v="3"/>
    <s v="Animesh Rawat"/>
    <x v="0"/>
    <s v="Global Client Network (GNB Inward)"/>
    <s v="Renewal"/>
    <n v="9178.1299999999992"/>
    <d v="2108-03-31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Kiran Saxena"/>
    <s v="OG-19-2201-4001-00000061"/>
    <x v="1"/>
    <x v="14"/>
    <d v="2019-03-31T00:00:00"/>
    <x v="1"/>
    <n v="3"/>
    <s v="Animesh Rawat"/>
    <x v="0"/>
    <s v="Global Client Network (GNB Inward)"/>
    <s v="Renewal"/>
    <n v="9178.1299999999992"/>
    <d v="2108-03-31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Uday Reddy"/>
    <s v="OG-19-2201-4001-00000061"/>
    <x v="1"/>
    <x v="14"/>
    <d v="2019-03-31T00:00:00"/>
    <x v="1"/>
    <n v="3"/>
    <s v="Animesh Rawat"/>
    <x v="0"/>
    <s v="Global Client Network (GNB Inward)"/>
    <s v="Renewal"/>
    <n v="3671.25"/>
    <d v="2108-03-31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Uday Reddy"/>
    <s v="OG-19-2201-4001-00000061"/>
    <x v="1"/>
    <x v="14"/>
    <d v="2019-03-31T00:00:00"/>
    <x v="1"/>
    <n v="3"/>
    <s v="Animesh Rawat"/>
    <x v="0"/>
    <s v="Global Client Network (GNB Inward)"/>
    <s v="Renewal"/>
    <n v="3671.25"/>
    <d v="2108-03-31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Uday Reddy"/>
    <s v="OG-19-2201-4001-00000061"/>
    <x v="1"/>
    <x v="14"/>
    <d v="2019-03-31T00:00:00"/>
    <x v="1"/>
    <n v="3"/>
    <s v="Animesh Rawat"/>
    <x v="0"/>
    <s v="Global Client Network (GNB Inward)"/>
    <s v="Renewal"/>
    <n v="3671.25"/>
    <d v="2108-03-3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Uday Reddy"/>
    <s v="OG-19-2201-4001-00000061"/>
    <x v="1"/>
    <x v="14"/>
    <d v="2019-03-31T00:00:00"/>
    <x v="1"/>
    <n v="3"/>
    <s v="Animesh Rawat"/>
    <x v="0"/>
    <s v="Global Client Network (GNB Inward)"/>
    <s v="Renewal"/>
    <n v="3671.25"/>
    <d v="2108-03-3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Uday Reddy"/>
    <s v="OG-19-2201-4001-00000061"/>
    <x v="1"/>
    <x v="14"/>
    <d v="2019-03-31T00:00:00"/>
    <x v="1"/>
    <n v="3"/>
    <s v="Animesh Rawat"/>
    <x v="0"/>
    <s v="Global Client Network (GNB Inward)"/>
    <s v="Renewal"/>
    <n v="3671.25"/>
    <d v="2108-03-31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Uday Reddy"/>
    <s v="OG-19-2201-4001-00000061"/>
    <x v="1"/>
    <x v="14"/>
    <d v="2019-03-31T00:00:00"/>
    <x v="1"/>
    <n v="3"/>
    <s v="Animesh Rawat"/>
    <x v="0"/>
    <s v="Global Client Network (GNB Inward)"/>
    <s v="Renewal"/>
    <n v="3671.25"/>
    <d v="2108-03-31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Uday Reddy"/>
    <s v="OG-19-2201-4001-00000061"/>
    <x v="1"/>
    <x v="14"/>
    <d v="2019-03-31T00:00:00"/>
    <x v="1"/>
    <n v="3"/>
    <s v="Animesh Rawat"/>
    <x v="0"/>
    <s v="Global Client Network (GNB Inward)"/>
    <s v="Renewal"/>
    <n v="3671.25"/>
    <d v="2108-03-31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Uday Reddy"/>
    <s v="OG-19-2201-4001-00000061"/>
    <x v="1"/>
    <x v="14"/>
    <d v="2019-03-31T00:00:00"/>
    <x v="1"/>
    <n v="3"/>
    <s v="Animesh Rawat"/>
    <x v="0"/>
    <s v="Global Client Network (GNB Inward)"/>
    <s v="Renewal"/>
    <n v="3671.25"/>
    <d v="2108-03-31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Uday Reddy"/>
    <s v="OG-19-2201-4001-00000061"/>
    <x v="1"/>
    <x v="14"/>
    <d v="2019-03-31T00:00:00"/>
    <x v="1"/>
    <n v="3"/>
    <s v="Animesh Rawat"/>
    <x v="0"/>
    <s v="Global Client Network (GNB Inward)"/>
    <s v="Renewal"/>
    <n v="3671.25"/>
    <d v="2108-03-31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Uday Reddy"/>
    <s v="OG-19-2201-4001-00000061"/>
    <x v="1"/>
    <x v="14"/>
    <d v="2019-03-31T00:00:00"/>
    <x v="1"/>
    <n v="3"/>
    <s v="Animesh Rawat"/>
    <x v="0"/>
    <s v="Global Client Network (GNB Inward)"/>
    <s v="Renewal"/>
    <n v="3671.25"/>
    <d v="2108-03-31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Uday Reddy"/>
    <s v="OG-19-2201-4001-00000061"/>
    <x v="1"/>
    <x v="14"/>
    <d v="2019-03-31T00:00:00"/>
    <x v="1"/>
    <n v="3"/>
    <s v="Animesh Rawat"/>
    <x v="0"/>
    <s v="Global Client Network (GNB Inward)"/>
    <s v="Renewal"/>
    <n v="3671.25"/>
    <d v="2108-03-31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Uday Reddy"/>
    <s v="OG-19-2201-4001-00000061"/>
    <x v="1"/>
    <x v="14"/>
    <d v="2019-03-31T00:00:00"/>
    <x v="1"/>
    <n v="3"/>
    <s v="Animesh Rawat"/>
    <x v="0"/>
    <s v="Global Client Network (GNB Inward)"/>
    <s v="Renewal"/>
    <n v="3671.25"/>
    <d v="2108-03-31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Anita Pandit"/>
    <s v="OG-19-2201-4001-00000063"/>
    <x v="1"/>
    <x v="14"/>
    <d v="2019-03-31T00:00:00"/>
    <x v="1"/>
    <n v="3"/>
    <s v="Animesh Rawat"/>
    <x v="0"/>
    <s v="Global Client Network (GNB Inward)"/>
    <s v="Renewal"/>
    <n v="157.13999999999999"/>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Anita Pandit"/>
    <s v="OG-19-2201-4001-00000063"/>
    <x v="1"/>
    <x v="14"/>
    <d v="2019-03-31T00:00:00"/>
    <x v="1"/>
    <n v="3"/>
    <s v="Animesh Rawat"/>
    <x v="0"/>
    <s v="Global Client Network (GNB Inward)"/>
    <s v="Renewal"/>
    <n v="157.13999999999999"/>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Anita Pandit"/>
    <s v="OG-19-2201-4001-00000063"/>
    <x v="1"/>
    <x v="14"/>
    <d v="2019-03-31T00:00:00"/>
    <x v="1"/>
    <n v="3"/>
    <s v="Animesh Rawat"/>
    <x v="0"/>
    <s v="Global Client Network (GNB Inward)"/>
    <s v="Renewal"/>
    <n v="157.13999999999999"/>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Anita Pandit"/>
    <s v="OG-19-2201-4001-00000063"/>
    <x v="1"/>
    <x v="14"/>
    <d v="2019-03-31T00:00:00"/>
    <x v="1"/>
    <n v="3"/>
    <s v="Animesh Rawat"/>
    <x v="0"/>
    <s v="Global Client Network (GNB Inward)"/>
    <s v="Renewal"/>
    <n v="157.13999999999999"/>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Anita Pandit"/>
    <s v="OG-19-2201-4001-00000063"/>
    <x v="1"/>
    <x v="14"/>
    <d v="2019-03-31T00:00:00"/>
    <x v="1"/>
    <n v="3"/>
    <s v="Animesh Rawat"/>
    <x v="0"/>
    <s v="Global Client Network (GNB Inward)"/>
    <s v="Renewal"/>
    <n v="157.13999999999999"/>
    <d v="2018-04-01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Anita Pandit"/>
    <s v="OG-19-2201-4001-00000063"/>
    <x v="1"/>
    <x v="14"/>
    <d v="2019-03-31T00:00:00"/>
    <x v="1"/>
    <n v="3"/>
    <s v="Animesh Rawat"/>
    <x v="0"/>
    <s v="Global Client Network (GNB Inward)"/>
    <s v="Renewal"/>
    <n v="157.13999999999999"/>
    <d v="2018-04-01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Anita Pandit"/>
    <s v="OG-19-2201-4001-00000063"/>
    <x v="1"/>
    <x v="14"/>
    <d v="2019-03-31T00:00:00"/>
    <x v="1"/>
    <n v="3"/>
    <s v="Animesh Rawat"/>
    <x v="0"/>
    <s v="Global Client Network (GNB Inward)"/>
    <s v="Renewal"/>
    <n v="157.13999999999999"/>
    <d v="2018-04-01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Anita Pandit"/>
    <s v="OG-19-2201-4001-00000063"/>
    <x v="1"/>
    <x v="14"/>
    <d v="2019-03-31T00:00:00"/>
    <x v="1"/>
    <n v="3"/>
    <s v="Animesh Rawat"/>
    <x v="0"/>
    <s v="Global Client Network (GNB Inward)"/>
    <s v="Renewal"/>
    <n v="157.13999999999999"/>
    <d v="2018-04-01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Anita Pandit"/>
    <s v="OG-19-2201-4001-00000063"/>
    <x v="1"/>
    <x v="14"/>
    <d v="2019-03-31T00:00:00"/>
    <x v="1"/>
    <n v="3"/>
    <s v="Animesh Rawat"/>
    <x v="0"/>
    <s v="Global Client Network (GNB Inward)"/>
    <s v="Renewal"/>
    <n v="157.13999999999999"/>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Anita Pandit"/>
    <s v="OG-19-2201-4001-00000063"/>
    <x v="1"/>
    <x v="14"/>
    <d v="2019-03-31T00:00:00"/>
    <x v="1"/>
    <n v="3"/>
    <s v="Animesh Rawat"/>
    <x v="0"/>
    <s v="Global Client Network (GNB Inward)"/>
    <s v="Renewal"/>
    <n v="157.13999999999999"/>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Anita Pandit"/>
    <s v="OG-19-2201-4001-00000063"/>
    <x v="1"/>
    <x v="14"/>
    <d v="2019-03-31T00:00:00"/>
    <x v="1"/>
    <n v="3"/>
    <s v="Animesh Rawat"/>
    <x v="0"/>
    <s v="Global Client Network (GNB Inward)"/>
    <s v="Renewal"/>
    <n v="157.13999999999999"/>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Anita Pandit"/>
    <s v="OG-19-2201-4001-00000063"/>
    <x v="1"/>
    <x v="14"/>
    <d v="2019-03-31T00:00:00"/>
    <x v="1"/>
    <n v="3"/>
    <s v="Animesh Rawat"/>
    <x v="0"/>
    <s v="Global Client Network (GNB Inward)"/>
    <s v="Renewal"/>
    <n v="157.13999999999999"/>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Hina Malhotra"/>
    <s v="OG-19-2201-4001-00000063"/>
    <x v="1"/>
    <x v="14"/>
    <d v="2019-03-31T00:00:00"/>
    <x v="1"/>
    <n v="3"/>
    <s v="Animesh Rawat"/>
    <x v="0"/>
    <s v="Global Client Network (GNB Inward)"/>
    <s v="Renewal"/>
    <n v="60.44"/>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Hina Malhotra"/>
    <s v="OG-19-2201-4001-00000063"/>
    <x v="1"/>
    <x v="14"/>
    <d v="2019-03-31T00:00:00"/>
    <x v="1"/>
    <n v="3"/>
    <s v="Animesh Rawat"/>
    <x v="0"/>
    <s v="Global Client Network (GNB Inward)"/>
    <s v="Renewal"/>
    <n v="60.44"/>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Hina Malhotra"/>
    <s v="OG-19-2201-4001-00000063"/>
    <x v="1"/>
    <x v="14"/>
    <d v="2019-03-31T00:00:00"/>
    <x v="1"/>
    <n v="3"/>
    <s v="Animesh Rawat"/>
    <x v="0"/>
    <s v="Global Client Network (GNB Inward)"/>
    <s v="Renewal"/>
    <n v="60.44"/>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Hina Malhotra"/>
    <s v="OG-19-2201-4001-00000063"/>
    <x v="1"/>
    <x v="14"/>
    <d v="2019-03-31T00:00:00"/>
    <x v="1"/>
    <n v="3"/>
    <s v="Animesh Rawat"/>
    <x v="0"/>
    <s v="Global Client Network (GNB Inward)"/>
    <s v="Renewal"/>
    <n v="60.44"/>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Hina Malhotra"/>
    <s v="OG-19-2201-4001-00000063"/>
    <x v="1"/>
    <x v="14"/>
    <d v="2019-03-31T00:00:00"/>
    <x v="1"/>
    <n v="3"/>
    <s v="Animesh Rawat"/>
    <x v="0"/>
    <s v="Global Client Network (GNB Inward)"/>
    <s v="Renewal"/>
    <n v="60.44"/>
    <d v="2018-04-01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Hina Malhotra"/>
    <s v="OG-19-2201-4001-00000063"/>
    <x v="1"/>
    <x v="14"/>
    <d v="2019-03-31T00:00:00"/>
    <x v="1"/>
    <n v="3"/>
    <s v="Animesh Rawat"/>
    <x v="0"/>
    <s v="Global Client Network (GNB Inward)"/>
    <s v="Renewal"/>
    <n v="60.44"/>
    <d v="2018-04-01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Hina Malhotra"/>
    <s v="OG-19-2201-4001-00000063"/>
    <x v="1"/>
    <x v="14"/>
    <d v="2019-03-31T00:00:00"/>
    <x v="1"/>
    <n v="3"/>
    <s v="Animesh Rawat"/>
    <x v="0"/>
    <s v="Global Client Network (GNB Inward)"/>
    <s v="Renewal"/>
    <n v="60.44"/>
    <d v="2018-04-01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Hina Malhotra"/>
    <s v="OG-19-2201-4001-00000063"/>
    <x v="1"/>
    <x v="14"/>
    <d v="2019-03-31T00:00:00"/>
    <x v="1"/>
    <n v="3"/>
    <s v="Animesh Rawat"/>
    <x v="0"/>
    <s v="Global Client Network (GNB Inward)"/>
    <s v="Renewal"/>
    <n v="60.44"/>
    <d v="2018-04-01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Hina Malhotra"/>
    <s v="OG-19-2201-4001-00000063"/>
    <x v="1"/>
    <x v="14"/>
    <d v="2019-03-31T00:00:00"/>
    <x v="1"/>
    <n v="3"/>
    <s v="Animesh Rawat"/>
    <x v="0"/>
    <s v="Global Client Network (GNB Inward)"/>
    <s v="Renewal"/>
    <n v="60.44"/>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Hina Malhotra"/>
    <s v="OG-19-2201-4001-00000063"/>
    <x v="1"/>
    <x v="14"/>
    <d v="2019-03-31T00:00:00"/>
    <x v="1"/>
    <n v="3"/>
    <s v="Animesh Rawat"/>
    <x v="0"/>
    <s v="Global Client Network (GNB Inward)"/>
    <s v="Renewal"/>
    <n v="60.44"/>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Hina Malhotra"/>
    <s v="OG-19-2201-4001-00000063"/>
    <x v="1"/>
    <x v="14"/>
    <d v="2019-03-31T00:00:00"/>
    <x v="1"/>
    <n v="3"/>
    <s v="Animesh Rawat"/>
    <x v="0"/>
    <s v="Global Client Network (GNB Inward)"/>
    <s v="Renewal"/>
    <n v="60.44"/>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Hina Malhotra"/>
    <s v="OG-19-2201-4001-00000063"/>
    <x v="1"/>
    <x v="14"/>
    <d v="2019-03-31T00:00:00"/>
    <x v="1"/>
    <n v="3"/>
    <s v="Animesh Rawat"/>
    <x v="0"/>
    <s v="Global Client Network (GNB Inward)"/>
    <s v="Renewal"/>
    <n v="60.44"/>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Alka Patel"/>
    <s v="OG-19-2201-4001-00000063"/>
    <x v="1"/>
    <x v="14"/>
    <d v="2019-03-31T00:00:00"/>
    <x v="1"/>
    <n v="3"/>
    <s v="Animesh Rawat"/>
    <x v="0"/>
    <s v="Global Client Network (GNB Inward)"/>
    <s v="Renewal"/>
    <n v="24.17"/>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Alka Patel"/>
    <s v="OG-19-2201-4001-00000063"/>
    <x v="1"/>
    <x v="14"/>
    <d v="2019-03-31T00:00:00"/>
    <x v="1"/>
    <n v="3"/>
    <s v="Animesh Rawat"/>
    <x v="0"/>
    <s v="Global Client Network (GNB Inward)"/>
    <s v="Renewal"/>
    <n v="24.17"/>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Alka Patel"/>
    <s v="OG-19-2201-4001-00000063"/>
    <x v="1"/>
    <x v="14"/>
    <d v="2019-03-31T00:00:00"/>
    <x v="1"/>
    <n v="3"/>
    <s v="Animesh Rawat"/>
    <x v="0"/>
    <s v="Global Client Network (GNB Inward)"/>
    <s v="Renewal"/>
    <n v="24.17"/>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Alka Patel"/>
    <s v="OG-19-2201-4001-00000063"/>
    <x v="1"/>
    <x v="14"/>
    <d v="2019-03-31T00:00:00"/>
    <x v="1"/>
    <n v="3"/>
    <s v="Animesh Rawat"/>
    <x v="0"/>
    <s v="Global Client Network (GNB Inward)"/>
    <s v="Renewal"/>
    <n v="24.17"/>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Alka Patel"/>
    <s v="OG-19-2201-4001-00000063"/>
    <x v="1"/>
    <x v="14"/>
    <d v="2019-03-31T00:00:00"/>
    <x v="1"/>
    <n v="3"/>
    <s v="Animesh Rawat"/>
    <x v="0"/>
    <s v="Global Client Network (GNB Inward)"/>
    <s v="Renewal"/>
    <n v="24.17"/>
    <d v="2018-04-01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Alka Patel"/>
    <s v="OG-19-2201-4001-00000063"/>
    <x v="1"/>
    <x v="14"/>
    <d v="2019-03-31T00:00:00"/>
    <x v="1"/>
    <n v="3"/>
    <s v="Animesh Rawat"/>
    <x v="0"/>
    <s v="Global Client Network (GNB Inward)"/>
    <s v="Renewal"/>
    <n v="24.17"/>
    <d v="2018-04-01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Alka Patel"/>
    <s v="OG-19-2201-4001-00000063"/>
    <x v="1"/>
    <x v="14"/>
    <d v="2019-03-31T00:00:00"/>
    <x v="1"/>
    <n v="3"/>
    <s v="Animesh Rawat"/>
    <x v="0"/>
    <s v="Global Client Network (GNB Inward)"/>
    <s v="Renewal"/>
    <n v="24.17"/>
    <d v="2018-04-01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Alka Patel"/>
    <s v="OG-19-2201-4001-00000063"/>
    <x v="1"/>
    <x v="14"/>
    <d v="2019-03-31T00:00:00"/>
    <x v="1"/>
    <n v="3"/>
    <s v="Animesh Rawat"/>
    <x v="0"/>
    <s v="Global Client Network (GNB Inward)"/>
    <s v="Renewal"/>
    <n v="24.17"/>
    <d v="2018-04-01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Alka Patel"/>
    <s v="OG-19-2201-4001-00000063"/>
    <x v="1"/>
    <x v="14"/>
    <d v="2019-03-31T00:00:00"/>
    <x v="1"/>
    <n v="3"/>
    <s v="Animesh Rawat"/>
    <x v="0"/>
    <s v="Global Client Network (GNB Inward)"/>
    <s v="Renewal"/>
    <n v="24.17"/>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Alka Patel"/>
    <s v="OG-19-2201-4001-00000063"/>
    <x v="1"/>
    <x v="14"/>
    <d v="2019-03-31T00:00:00"/>
    <x v="1"/>
    <n v="3"/>
    <s v="Animesh Rawat"/>
    <x v="0"/>
    <s v="Global Client Network (GNB Inward)"/>
    <s v="Renewal"/>
    <n v="24.17"/>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Alka Patel"/>
    <s v="OG-19-2201-4001-00000063"/>
    <x v="1"/>
    <x v="14"/>
    <d v="2019-03-31T00:00:00"/>
    <x v="1"/>
    <n v="3"/>
    <s v="Animesh Rawat"/>
    <x v="0"/>
    <s v="Global Client Network (GNB Inward)"/>
    <s v="Renewal"/>
    <n v="24.17"/>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Alka Patel"/>
    <s v="OG-19-2201-4001-00000063"/>
    <x v="1"/>
    <x v="14"/>
    <d v="2019-03-31T00:00:00"/>
    <x v="1"/>
    <n v="3"/>
    <s v="Animesh Rawat"/>
    <x v="0"/>
    <s v="Global Client Network (GNB Inward)"/>
    <s v="Renewal"/>
    <n v="24.17"/>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Shruti Roy"/>
    <s v="OG-19-2201-4005-00000001"/>
    <x v="0"/>
    <x v="14"/>
    <d v="2019-03-31T00:00:00"/>
    <x v="1"/>
    <n v="3"/>
    <s v="Animesh Rawat"/>
    <x v="0"/>
    <s v="Global Client Network (GNB Inward)"/>
    <s v="Renewal"/>
    <n v="23753.439999999999"/>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Shruti Roy"/>
    <s v="OG-19-2201-4005-00000001"/>
    <x v="0"/>
    <x v="14"/>
    <d v="2019-03-31T00:00:00"/>
    <x v="1"/>
    <n v="3"/>
    <s v="Animesh Rawat"/>
    <x v="0"/>
    <s v="Global Client Network (GNB Inward)"/>
    <s v="Renewal"/>
    <n v="23753.439999999999"/>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Shruti Roy"/>
    <s v="OG-19-2201-4005-00000001"/>
    <x v="0"/>
    <x v="14"/>
    <d v="2019-03-31T00:00:00"/>
    <x v="1"/>
    <n v="3"/>
    <s v="Animesh Rawat"/>
    <x v="0"/>
    <s v="Global Client Network (GNB Inward)"/>
    <s v="Renewal"/>
    <n v="23753.439999999999"/>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Shruti Roy"/>
    <s v="OG-19-2201-4005-00000001"/>
    <x v="0"/>
    <x v="14"/>
    <d v="2019-03-31T00:00:00"/>
    <x v="1"/>
    <n v="3"/>
    <s v="Animesh Rawat"/>
    <x v="0"/>
    <s v="Global Client Network (GNB Inward)"/>
    <s v="Renewal"/>
    <n v="23753.439999999999"/>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Shruti Roy"/>
    <s v="OG-19-2201-4005-00000001"/>
    <x v="0"/>
    <x v="14"/>
    <d v="2019-03-31T00:00:00"/>
    <x v="1"/>
    <n v="3"/>
    <s v="Animesh Rawat"/>
    <x v="0"/>
    <s v="Global Client Network (GNB Inward)"/>
    <s v="Renewal"/>
    <n v="23753.439999999999"/>
    <d v="2018-04-01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Shruti Roy"/>
    <s v="OG-19-2201-4005-00000001"/>
    <x v="0"/>
    <x v="14"/>
    <d v="2019-03-31T00:00:00"/>
    <x v="1"/>
    <n v="3"/>
    <s v="Animesh Rawat"/>
    <x v="0"/>
    <s v="Global Client Network (GNB Inward)"/>
    <s v="Renewal"/>
    <n v="23753.439999999999"/>
    <d v="2018-04-01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Shruti Roy"/>
    <s v="OG-19-2201-4005-00000001"/>
    <x v="0"/>
    <x v="14"/>
    <d v="2019-03-31T00:00:00"/>
    <x v="1"/>
    <n v="3"/>
    <s v="Animesh Rawat"/>
    <x v="0"/>
    <s v="Global Client Network (GNB Inward)"/>
    <s v="Renewal"/>
    <n v="23753.439999999999"/>
    <d v="2018-04-01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Shruti Roy"/>
    <s v="OG-19-2201-4005-00000001"/>
    <x v="0"/>
    <x v="14"/>
    <d v="2019-03-31T00:00:00"/>
    <x v="1"/>
    <n v="3"/>
    <s v="Animesh Rawat"/>
    <x v="0"/>
    <s v="Global Client Network (GNB Inward)"/>
    <s v="Renewal"/>
    <n v="23753.439999999999"/>
    <d v="2018-04-01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Shruti Roy"/>
    <s v="OG-19-2201-4005-00000001"/>
    <x v="0"/>
    <x v="14"/>
    <d v="2019-03-31T00:00:00"/>
    <x v="1"/>
    <n v="3"/>
    <s v="Animesh Rawat"/>
    <x v="0"/>
    <s v="Global Client Network (GNB Inward)"/>
    <s v="Renewal"/>
    <n v="23753.439999999999"/>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Shruti Roy"/>
    <s v="OG-19-2201-4005-00000001"/>
    <x v="0"/>
    <x v="14"/>
    <d v="2019-03-31T00:00:00"/>
    <x v="1"/>
    <n v="3"/>
    <s v="Animesh Rawat"/>
    <x v="0"/>
    <s v="Global Client Network (GNB Inward)"/>
    <s v="Renewal"/>
    <n v="23753.439999999999"/>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Shruti Roy"/>
    <s v="OG-19-2201-4005-00000001"/>
    <x v="0"/>
    <x v="14"/>
    <d v="2019-03-31T00:00:00"/>
    <x v="1"/>
    <n v="3"/>
    <s v="Animesh Rawat"/>
    <x v="0"/>
    <s v="Global Client Network (GNB Inward)"/>
    <s v="Renewal"/>
    <n v="23753.439999999999"/>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Shruti Roy"/>
    <s v="OG-19-2201-4005-00000001"/>
    <x v="0"/>
    <x v="14"/>
    <d v="2019-03-31T00:00:00"/>
    <x v="1"/>
    <n v="3"/>
    <s v="Animesh Rawat"/>
    <x v="0"/>
    <s v="Global Client Network (GNB Inward)"/>
    <s v="Renewal"/>
    <n v="23753.439999999999"/>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Archana Singh"/>
    <s v="OG-19-2201-4005-00000001"/>
    <x v="0"/>
    <x v="14"/>
    <d v="2019-03-31T00:00:00"/>
    <x v="1"/>
    <n v="3"/>
    <s v="Animesh Rawat"/>
    <x v="0"/>
    <s v="Global Client Network (GNB Inward)"/>
    <s v="Renewal"/>
    <n v="9135.94"/>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Archana Singh"/>
    <s v="OG-19-2201-4005-00000001"/>
    <x v="0"/>
    <x v="14"/>
    <d v="2019-03-31T00:00:00"/>
    <x v="1"/>
    <n v="3"/>
    <s v="Animesh Rawat"/>
    <x v="0"/>
    <s v="Global Client Network (GNB Inward)"/>
    <s v="Renewal"/>
    <n v="9135.94"/>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Archana Singh"/>
    <s v="OG-19-2201-4005-00000001"/>
    <x v="0"/>
    <x v="14"/>
    <d v="2019-03-31T00:00:00"/>
    <x v="1"/>
    <n v="3"/>
    <s v="Animesh Rawat"/>
    <x v="0"/>
    <s v="Global Client Network (GNB Inward)"/>
    <s v="Renewal"/>
    <n v="9135.94"/>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Archana Singh"/>
    <s v="OG-19-2201-4005-00000001"/>
    <x v="0"/>
    <x v="14"/>
    <d v="2019-03-31T00:00:00"/>
    <x v="1"/>
    <n v="3"/>
    <s v="Animesh Rawat"/>
    <x v="0"/>
    <s v="Global Client Network (GNB Inward)"/>
    <s v="Renewal"/>
    <n v="9135.94"/>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Archana Singh"/>
    <s v="OG-19-2201-4005-00000001"/>
    <x v="0"/>
    <x v="14"/>
    <d v="2019-03-31T00:00:00"/>
    <x v="1"/>
    <n v="3"/>
    <s v="Animesh Rawat"/>
    <x v="0"/>
    <s v="Global Client Network (GNB Inward)"/>
    <s v="Renewal"/>
    <n v="9135.94"/>
    <d v="2018-04-01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Archana Singh"/>
    <s v="OG-19-2201-4005-00000001"/>
    <x v="0"/>
    <x v="14"/>
    <d v="2019-03-31T00:00:00"/>
    <x v="1"/>
    <n v="3"/>
    <s v="Animesh Rawat"/>
    <x v="0"/>
    <s v="Global Client Network (GNB Inward)"/>
    <s v="Renewal"/>
    <n v="9135.94"/>
    <d v="2018-04-01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Archana Singh"/>
    <s v="OG-19-2201-4005-00000001"/>
    <x v="0"/>
    <x v="14"/>
    <d v="2019-03-31T00:00:00"/>
    <x v="1"/>
    <n v="3"/>
    <s v="Animesh Rawat"/>
    <x v="0"/>
    <s v="Global Client Network (GNB Inward)"/>
    <s v="Renewal"/>
    <n v="9135.94"/>
    <d v="2018-04-01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Archana Singh"/>
    <s v="OG-19-2201-4005-00000001"/>
    <x v="0"/>
    <x v="14"/>
    <d v="2019-03-31T00:00:00"/>
    <x v="1"/>
    <n v="3"/>
    <s v="Animesh Rawat"/>
    <x v="0"/>
    <s v="Global Client Network (GNB Inward)"/>
    <s v="Renewal"/>
    <n v="9135.94"/>
    <d v="2018-04-01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Archana Singh"/>
    <s v="OG-19-2201-4005-00000001"/>
    <x v="0"/>
    <x v="14"/>
    <d v="2019-03-31T00:00:00"/>
    <x v="1"/>
    <n v="3"/>
    <s v="Animesh Rawat"/>
    <x v="0"/>
    <s v="Global Client Network (GNB Inward)"/>
    <s v="Renewal"/>
    <n v="9135.94"/>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Archana Singh"/>
    <s v="OG-19-2201-4005-00000001"/>
    <x v="0"/>
    <x v="14"/>
    <d v="2019-03-31T00:00:00"/>
    <x v="1"/>
    <n v="3"/>
    <s v="Animesh Rawat"/>
    <x v="0"/>
    <s v="Global Client Network (GNB Inward)"/>
    <s v="Renewal"/>
    <n v="9135.94"/>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Archana Singh"/>
    <s v="OG-19-2201-4005-00000001"/>
    <x v="0"/>
    <x v="14"/>
    <d v="2019-03-31T00:00:00"/>
    <x v="1"/>
    <n v="3"/>
    <s v="Animesh Rawat"/>
    <x v="0"/>
    <s v="Global Client Network (GNB Inward)"/>
    <s v="Renewal"/>
    <n v="9135.94"/>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Archana Singh"/>
    <s v="OG-19-2201-4005-00000001"/>
    <x v="0"/>
    <x v="14"/>
    <d v="2019-03-31T00:00:00"/>
    <x v="1"/>
    <n v="3"/>
    <s v="Animesh Rawat"/>
    <x v="0"/>
    <s v="Global Client Network (GNB Inward)"/>
    <s v="Renewal"/>
    <n v="9135.94"/>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Mukul Goyal"/>
    <s v="OG-19-2201-4005-00000001"/>
    <x v="0"/>
    <x v="14"/>
    <d v="2019-03-31T00:00:00"/>
    <x v="1"/>
    <n v="3"/>
    <s v="Animesh Rawat"/>
    <x v="0"/>
    <s v="Global Client Network (GNB Inward)"/>
    <s v="Renewal"/>
    <n v="3654.37"/>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Mukul Goyal"/>
    <s v="OG-19-2201-4005-00000001"/>
    <x v="0"/>
    <x v="14"/>
    <d v="2019-03-31T00:00:00"/>
    <x v="1"/>
    <n v="3"/>
    <s v="Animesh Rawat"/>
    <x v="0"/>
    <s v="Global Client Network (GNB Inward)"/>
    <s v="Renewal"/>
    <n v="3654.37"/>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Mukul Goyal"/>
    <s v="OG-19-2201-4005-00000001"/>
    <x v="0"/>
    <x v="14"/>
    <d v="2019-03-31T00:00:00"/>
    <x v="1"/>
    <n v="3"/>
    <s v="Animesh Rawat"/>
    <x v="0"/>
    <s v="Global Client Network (GNB Inward)"/>
    <s v="Renewal"/>
    <n v="3654.37"/>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Mukul Goyal"/>
    <s v="OG-19-2201-4005-00000001"/>
    <x v="0"/>
    <x v="14"/>
    <d v="2019-03-31T00:00:00"/>
    <x v="1"/>
    <n v="3"/>
    <s v="Animesh Rawat"/>
    <x v="0"/>
    <s v="Global Client Network (GNB Inward)"/>
    <s v="Renewal"/>
    <n v="3654.37"/>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Mukul Goyal"/>
    <s v="OG-19-2201-4005-00000001"/>
    <x v="0"/>
    <x v="14"/>
    <d v="2019-03-31T00:00:00"/>
    <x v="1"/>
    <n v="3"/>
    <s v="Animesh Rawat"/>
    <x v="0"/>
    <s v="Global Client Network (GNB Inward)"/>
    <s v="Renewal"/>
    <n v="3654.37"/>
    <d v="2018-04-01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Mukul Goyal"/>
    <s v="OG-19-2201-4005-00000001"/>
    <x v="0"/>
    <x v="14"/>
    <d v="2019-03-31T00:00:00"/>
    <x v="1"/>
    <n v="3"/>
    <s v="Animesh Rawat"/>
    <x v="0"/>
    <s v="Global Client Network (GNB Inward)"/>
    <s v="Renewal"/>
    <n v="3654.37"/>
    <d v="2018-04-01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Mukul Goyal"/>
    <s v="OG-19-2201-4005-00000001"/>
    <x v="0"/>
    <x v="14"/>
    <d v="2019-03-31T00:00:00"/>
    <x v="1"/>
    <n v="3"/>
    <s v="Animesh Rawat"/>
    <x v="0"/>
    <s v="Global Client Network (GNB Inward)"/>
    <s v="Renewal"/>
    <n v="3654.37"/>
    <d v="2018-04-01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Mukul Goyal"/>
    <s v="OG-19-2201-4005-00000001"/>
    <x v="0"/>
    <x v="14"/>
    <d v="2019-03-31T00:00:00"/>
    <x v="1"/>
    <n v="3"/>
    <s v="Animesh Rawat"/>
    <x v="0"/>
    <s v="Global Client Network (GNB Inward)"/>
    <s v="Renewal"/>
    <n v="3654.37"/>
    <d v="2018-04-01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Mukul Goyal"/>
    <s v="OG-19-2201-4005-00000001"/>
    <x v="0"/>
    <x v="14"/>
    <d v="2019-03-31T00:00:00"/>
    <x v="1"/>
    <n v="3"/>
    <s v="Animesh Rawat"/>
    <x v="0"/>
    <s v="Global Client Network (GNB Inward)"/>
    <s v="Renewal"/>
    <n v="3654.37"/>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Mukul Goyal"/>
    <s v="OG-19-2201-4005-00000001"/>
    <x v="0"/>
    <x v="14"/>
    <d v="2019-03-31T00:00:00"/>
    <x v="1"/>
    <n v="3"/>
    <s v="Animesh Rawat"/>
    <x v="0"/>
    <s v="Global Client Network (GNB Inward)"/>
    <s v="Renewal"/>
    <n v="3654.37"/>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Mukul Goyal"/>
    <s v="OG-19-2201-4005-00000001"/>
    <x v="0"/>
    <x v="14"/>
    <d v="2019-03-31T00:00:00"/>
    <x v="1"/>
    <n v="3"/>
    <s v="Animesh Rawat"/>
    <x v="0"/>
    <s v="Global Client Network (GNB Inward)"/>
    <s v="Renewal"/>
    <n v="3654.37"/>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Mukul Goyal"/>
    <s v="OG-19-2201-4005-00000001"/>
    <x v="0"/>
    <x v="14"/>
    <d v="2019-03-31T00:00:00"/>
    <x v="1"/>
    <n v="3"/>
    <s v="Animesh Rawat"/>
    <x v="0"/>
    <s v="Global Client Network (GNB Inward)"/>
    <s v="Renewal"/>
    <n v="3654.37"/>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Namita Bajaj"/>
    <s v="OG-20-2201-9931-00000664"/>
    <x v="0"/>
    <x v="16"/>
    <d v="2020-03-31T00:00:00"/>
    <x v="2"/>
    <n v="3"/>
    <s v="Animesh Rawat"/>
    <x v="0"/>
    <s v="Global Client Network (GNB Inward)"/>
    <s v="Renewal"/>
    <n v="445.18"/>
    <d v="2019-04-01T00:00:00"/>
    <s v="Brokerage"/>
    <x v="0"/>
    <s v="OTHR - Other"/>
    <d v="2020-01-22T00:00:00"/>
    <s v="Other"/>
    <m/>
    <m/>
    <m/>
    <m/>
    <m/>
    <m/>
    <m/>
    <m/>
    <m/>
    <m/>
    <m/>
    <m/>
    <m/>
    <m/>
    <m/>
    <m/>
    <m/>
    <m/>
    <m/>
    <m/>
  </r>
  <r>
    <s v="Nikita Joshi"/>
    <s v="OG-19-2201-4011-00000002"/>
    <x v="1"/>
    <x v="14"/>
    <d v="2019-03-31T00:00:00"/>
    <x v="2"/>
    <n v="3"/>
    <s v="Animesh Rawat"/>
    <x v="0"/>
    <s v="Global Client Network (GNB Inward)"/>
    <s v="Renewal"/>
    <n v="1598.68"/>
    <d v="2018-04-01T00:00:00"/>
    <s v="Brokerage"/>
    <x v="0"/>
    <s v="OTHR - Other"/>
    <d v="2020-01-22T00:00:00"/>
    <s v="Other"/>
    <m/>
    <m/>
    <m/>
    <m/>
    <m/>
    <m/>
    <m/>
    <m/>
    <m/>
    <m/>
    <m/>
    <m/>
    <m/>
    <m/>
    <m/>
    <m/>
    <m/>
    <m/>
    <m/>
    <m/>
  </r>
  <r>
    <s v="Tejas Shah"/>
    <s v="OG-19-2201-4011-00000002"/>
    <x v="1"/>
    <x v="14"/>
    <d v="2019-03-31T00:00:00"/>
    <x v="2"/>
    <n v="3"/>
    <s v="Animesh Rawat"/>
    <x v="0"/>
    <s v="Global Client Network (GNB Inward)"/>
    <s v="Renewal"/>
    <n v="614.88"/>
    <d v="2018-04-01T00:00:00"/>
    <s v="Brokerage"/>
    <x v="0"/>
    <s v="OTHR - Other"/>
    <d v="2020-01-22T00:00:00"/>
    <s v="Other"/>
    <m/>
    <m/>
    <m/>
    <m/>
    <m/>
    <m/>
    <m/>
    <m/>
    <m/>
    <m/>
    <m/>
    <m/>
    <m/>
    <m/>
    <m/>
    <m/>
    <m/>
    <m/>
    <m/>
    <m/>
  </r>
  <r>
    <s v="Kavita Rao"/>
    <s v="OG-19-2201-4011-00000002"/>
    <x v="1"/>
    <x v="14"/>
    <d v="2019-03-31T00:00:00"/>
    <x v="2"/>
    <n v="3"/>
    <s v="Animesh Rawat"/>
    <x v="0"/>
    <s v="Global Client Network (GNB Inward)"/>
    <s v="Renewal"/>
    <n v="245.95"/>
    <d v="2018-04-01T00:00:00"/>
    <s v="Brokerage"/>
    <x v="0"/>
    <s v="OTHR - Other"/>
    <d v="2020-01-22T00:00:00"/>
    <s v="Other"/>
    <m/>
    <m/>
    <m/>
    <m/>
    <m/>
    <m/>
    <m/>
    <m/>
    <m/>
    <m/>
    <m/>
    <m/>
    <m/>
    <m/>
    <m/>
    <m/>
    <m/>
    <m/>
    <m/>
    <m/>
  </r>
  <r>
    <s v="Hemant Shah"/>
    <s v="OG-20-2201-9931-00000664"/>
    <x v="0"/>
    <x v="16"/>
    <d v="2020-03-31T00:00:00"/>
    <x v="2"/>
    <n v="3"/>
    <s v="Animesh Rawat"/>
    <x v="0"/>
    <s v="Global Client Network (GNB Inward)"/>
    <s v="Renewal"/>
    <n v="2077.5100000000002"/>
    <d v="2019-04-01T00:00:00"/>
    <s v="Brokerage"/>
    <x v="0"/>
    <s v="OTHR - Other"/>
    <d v="2020-01-22T00:00:00"/>
    <s v="Other"/>
    <m/>
    <m/>
    <m/>
    <m/>
    <m/>
    <m/>
    <m/>
    <m/>
    <m/>
    <m/>
    <m/>
    <m/>
    <m/>
    <m/>
    <m/>
    <m/>
    <m/>
    <m/>
    <m/>
    <m/>
  </r>
  <r>
    <s v="Prabhat Naik"/>
    <s v="OG-20-2201-9931-00000664"/>
    <x v="0"/>
    <x v="16"/>
    <d v="2020-03-31T00:00:00"/>
    <x v="2"/>
    <n v="3"/>
    <s v="Animesh Rawat"/>
    <x v="0"/>
    <s v="Global Client Network (GNB Inward)"/>
    <s v="Renewal"/>
    <n v="445.18"/>
    <d v="2019-04-01T00:00:00"/>
    <s v="Brokerage"/>
    <x v="0"/>
    <s v="OTHR - Other"/>
    <d v="2020-01-22T00:00:00"/>
    <s v="Other"/>
    <m/>
    <m/>
    <m/>
    <m/>
    <m/>
    <m/>
    <m/>
    <m/>
    <m/>
    <m/>
    <m/>
    <m/>
    <m/>
    <m/>
    <m/>
    <m/>
    <m/>
    <m/>
    <m/>
    <m/>
  </r>
  <r>
    <s v="Nikhil Tiwari"/>
    <s v="0000000007817932-01"/>
    <x v="0"/>
    <x v="277"/>
    <d v="2019-12-15T00:00:00"/>
    <x v="1"/>
    <n v="1"/>
    <s v="Vinay"/>
    <x v="0"/>
    <s v="Property / BI"/>
    <s v="Renewal"/>
    <n v="33484.339999999997"/>
    <d v="2018-12-16T00:00:00"/>
    <s v="Brokerage"/>
    <x v="0"/>
    <s v="OTHR - Other"/>
    <d v="2020-01-22T00:00:00"/>
    <s v="Other"/>
    <m/>
    <m/>
    <m/>
    <m/>
    <m/>
    <m/>
    <m/>
    <m/>
    <m/>
    <m/>
    <m/>
    <m/>
    <m/>
    <m/>
    <m/>
    <m/>
    <m/>
    <m/>
    <m/>
    <m/>
  </r>
  <r>
    <s v="Neha Trivedi"/>
    <s v="0000000007817932-02"/>
    <x v="0"/>
    <x v="278"/>
    <d v="2020-12-15T00:00:00"/>
    <x v="1"/>
    <n v="2"/>
    <s v="Abhinav Shivam"/>
    <x v="0"/>
    <s v="Small Medium Enterpries (SME)"/>
    <s v="Renewal"/>
    <n v="109812.12"/>
    <d v="2019-12-16T00:00:00"/>
    <s v="Brokerage"/>
    <x v="0"/>
    <s v="OTHR - Other"/>
    <d v="2020-01-22T00:00:00"/>
    <s v="Other"/>
    <m/>
    <m/>
    <m/>
    <m/>
    <m/>
    <m/>
    <m/>
    <m/>
    <m/>
    <m/>
    <m/>
    <m/>
    <m/>
    <m/>
    <m/>
    <m/>
    <m/>
    <m/>
    <m/>
    <m/>
  </r>
  <r>
    <s v="Shruti Agarwal"/>
    <n v="3.1242E+18"/>
    <x v="0"/>
    <x v="279"/>
    <d v="2018-05-31T00:00:00"/>
    <x v="4"/>
    <n v="12"/>
    <s v="Shivani Sharma"/>
    <x v="0"/>
    <s v="Global Client Network (GNB Inward)"/>
    <s v="Renewal"/>
    <n v="12084.5"/>
    <d v="2018-01-10T00:00:00"/>
    <s v="Brokerage"/>
    <x v="0"/>
    <s v="OTHR - Other"/>
    <d v="2020-01-22T00:00:00"/>
    <s v="Other"/>
    <s v="DB- Cyber Liability"/>
    <s v="OPP1900001138"/>
    <s v="Shivani Sharma"/>
    <n v="500000"/>
    <n v="75000"/>
    <d v="2020-05-31T00:00:00"/>
    <s v="Qualify Opportunity"/>
    <s v="Ahmedabad"/>
    <s v="Liability"/>
    <s v="Financial Lines"/>
    <s v="Cyber Liability Insurance"/>
    <m/>
    <m/>
    <s v="Madison Robinson"/>
    <d v="2020-01-21T00:00:00"/>
    <m/>
    <m/>
    <m/>
    <m/>
    <m/>
  </r>
  <r>
    <s v="Shruti Agarwal"/>
    <n v="3.1242E+18"/>
    <x v="0"/>
    <x v="279"/>
    <d v="2018-05-31T00:00:00"/>
    <x v="4"/>
    <n v="12"/>
    <s v="Shivani Sharma"/>
    <x v="0"/>
    <s v="Global Client Network (GNB Inward)"/>
    <s v="Renewal"/>
    <n v="12084.5"/>
    <d v="2018-01-10T00:00:00"/>
    <s v="Brokerage"/>
    <x v="0"/>
    <s v="OTHR - Other"/>
    <d v="2020-01-22T00:00:00"/>
    <s v="Other"/>
    <s v="DB- Cyber Liability"/>
    <s v="OPP1900001138"/>
    <s v="Shivani Sharma"/>
    <n v="500000"/>
    <n v="75000"/>
    <d v="2020-05-31T00:00:00"/>
    <s v="Qualify Opportunity"/>
    <s v="Ahmedabad"/>
    <s v="Liability"/>
    <s v="Financial Lines"/>
    <s v="Cyber Liability Insurance"/>
    <m/>
    <m/>
    <s v="David Hall"/>
    <d v="2020-01-21T00:00:00"/>
    <m/>
    <m/>
    <m/>
    <m/>
    <m/>
  </r>
  <r>
    <s v="Shruti Agarwal"/>
    <n v="3.1242E+18"/>
    <x v="0"/>
    <x v="279"/>
    <d v="2018-05-31T00:00:00"/>
    <x v="4"/>
    <n v="12"/>
    <s v="Shivani Sharma"/>
    <x v="0"/>
    <s v="Global Client Network (GNB Inward)"/>
    <s v="Renewal"/>
    <n v="12084.5"/>
    <d v="2018-01-10T00:00:00"/>
    <s v="Brokerage"/>
    <x v="0"/>
    <s v="OTHR - Other"/>
    <d v="2020-01-22T00:00:00"/>
    <s v="Other"/>
    <s v="DB- Cyber Liability"/>
    <s v="OPP1900001138"/>
    <s v="Shivani Sharma"/>
    <n v="500000"/>
    <n v="75000"/>
    <d v="2020-05-31T00:00:00"/>
    <s v="Qualify Opportunity"/>
    <s v="Ahmedabad"/>
    <s v="Liability"/>
    <s v="Financial Lines"/>
    <s v="Cyber Liability Insurance"/>
    <m/>
    <m/>
    <s v="Lily Young"/>
    <d v="2020-01-21T00:00:00"/>
    <m/>
    <m/>
    <m/>
    <m/>
    <m/>
  </r>
  <r>
    <s v="Shruti Agarwal"/>
    <n v="3.1242E+18"/>
    <x v="0"/>
    <x v="279"/>
    <d v="2018-05-31T00:00:00"/>
    <x v="4"/>
    <n v="12"/>
    <s v="Shivani Sharma"/>
    <x v="0"/>
    <s v="Global Client Network (GNB Inward)"/>
    <s v="Renewal"/>
    <n v="12084.5"/>
    <d v="2018-01-10T00:00:00"/>
    <s v="Brokerage"/>
    <x v="0"/>
    <s v="OTHR - Other"/>
    <d v="2020-01-22T00:00:00"/>
    <s v="Other"/>
    <s v="DB- Cyber Liability"/>
    <s v="OPP1900001138"/>
    <s v="Shivani Sharma"/>
    <n v="500000"/>
    <n v="75000"/>
    <d v="2020-05-31T00:00:00"/>
    <s v="Qualify Opportunity"/>
    <s v="Ahmedabad"/>
    <s v="Liability"/>
    <s v="Financial Lines"/>
    <s v="Cyber Liability Insurance"/>
    <m/>
    <m/>
    <s v="Samuel Allen"/>
    <d v="2020-01-22T00:00:00"/>
    <m/>
    <m/>
    <m/>
    <m/>
    <m/>
  </r>
  <r>
    <s v="Shruti Agarwal"/>
    <n v="3.1242E+18"/>
    <x v="0"/>
    <x v="279"/>
    <d v="2018-05-31T00:00:00"/>
    <x v="4"/>
    <n v="12"/>
    <s v="Shivani Sharma"/>
    <x v="0"/>
    <s v="Global Client Network (GNB Inward)"/>
    <s v="Renewal"/>
    <n v="12084.5"/>
    <d v="2018-01-10T00:00:00"/>
    <s v="Brokerage"/>
    <x v="0"/>
    <s v="OTHR - Other"/>
    <d v="2020-01-22T00:00:00"/>
    <s v="Other"/>
    <s v="VS.-D &amp; O"/>
    <s v="OPP1900002104"/>
    <s v="Shivani Sharma"/>
    <n v="0"/>
    <n v="50000"/>
    <d v="2020-03-31T00:00:00"/>
    <s v="Qualify Opportunity"/>
    <s v="Ahmedabad"/>
    <s v="Liability"/>
    <s v="Financial Lines"/>
    <s v="Director &amp;amp; Officers / Management  Liability"/>
    <m/>
    <m/>
    <s v="Madison Robinson"/>
    <d v="2020-01-21T00:00:00"/>
    <m/>
    <m/>
    <m/>
    <m/>
    <m/>
  </r>
  <r>
    <s v="Shruti Agarwal"/>
    <n v="3.1242E+18"/>
    <x v="0"/>
    <x v="279"/>
    <d v="2018-05-31T00:00:00"/>
    <x v="4"/>
    <n v="12"/>
    <s v="Shivani Sharma"/>
    <x v="0"/>
    <s v="Global Client Network (GNB Inward)"/>
    <s v="Renewal"/>
    <n v="12084.5"/>
    <d v="2018-01-10T00:00:00"/>
    <s v="Brokerage"/>
    <x v="0"/>
    <s v="OTHR - Other"/>
    <d v="2020-01-22T00:00:00"/>
    <s v="Other"/>
    <s v="VS.-D &amp; O"/>
    <s v="OPP1900002104"/>
    <s v="Shivani Sharma"/>
    <n v="0"/>
    <n v="50000"/>
    <d v="2020-03-31T00:00:00"/>
    <s v="Qualify Opportunity"/>
    <s v="Ahmedabad"/>
    <s v="Liability"/>
    <s v="Financial Lines"/>
    <s v="Director &amp;amp; Officers / Management  Liability"/>
    <m/>
    <m/>
    <s v="David Hall"/>
    <d v="2020-01-21T00:00:00"/>
    <m/>
    <m/>
    <m/>
    <m/>
    <m/>
  </r>
  <r>
    <s v="Shruti Agarwal"/>
    <n v="3.1242E+18"/>
    <x v="0"/>
    <x v="279"/>
    <d v="2018-05-31T00:00:00"/>
    <x v="4"/>
    <n v="12"/>
    <s v="Shivani Sharma"/>
    <x v="0"/>
    <s v="Global Client Network (GNB Inward)"/>
    <s v="Renewal"/>
    <n v="12084.5"/>
    <d v="2018-01-10T00:00:00"/>
    <s v="Brokerage"/>
    <x v="0"/>
    <s v="OTHR - Other"/>
    <d v="2020-01-22T00:00:00"/>
    <s v="Other"/>
    <s v="VS.-D &amp; O"/>
    <s v="OPP1900002104"/>
    <s v="Shivani Sharma"/>
    <n v="0"/>
    <n v="50000"/>
    <d v="2020-03-31T00:00:00"/>
    <s v="Qualify Opportunity"/>
    <s v="Ahmedabad"/>
    <s v="Liability"/>
    <s v="Financial Lines"/>
    <s v="Director &amp;amp; Officers / Management  Liability"/>
    <m/>
    <m/>
    <s v="Lily Young"/>
    <d v="2020-01-21T00:00:00"/>
    <m/>
    <m/>
    <m/>
    <m/>
    <m/>
  </r>
  <r>
    <s v="Shruti Agarwal"/>
    <n v="3.1242E+18"/>
    <x v="0"/>
    <x v="279"/>
    <d v="2018-05-31T00:00:00"/>
    <x v="4"/>
    <n v="12"/>
    <s v="Shivani Sharma"/>
    <x v="0"/>
    <s v="Global Client Network (GNB Inward)"/>
    <s v="Renewal"/>
    <n v="12084.5"/>
    <d v="2018-01-10T00:00:00"/>
    <s v="Brokerage"/>
    <x v="0"/>
    <s v="OTHR - Other"/>
    <d v="2020-01-22T00:00:00"/>
    <s v="Other"/>
    <s v="VS.-D &amp; O"/>
    <s v="OPP1900002104"/>
    <s v="Shivani Sharma"/>
    <n v="0"/>
    <n v="50000"/>
    <d v="2020-03-31T00:00:00"/>
    <s v="Qualify Opportunity"/>
    <s v="Ahmedabad"/>
    <s v="Liability"/>
    <s v="Financial Lines"/>
    <s v="Director &amp;amp; Officers / Management  Liability"/>
    <m/>
    <m/>
    <s v="Samuel Allen"/>
    <d v="2020-01-22T00:00:00"/>
    <m/>
    <m/>
    <m/>
    <m/>
    <m/>
  </r>
  <r>
    <s v="Kiran Desai"/>
    <n v="9.9E+19"/>
    <x v="1"/>
    <x v="280"/>
    <d v="2019-06-25T00:00:00"/>
    <x v="5"/>
    <n v="13"/>
    <s v="Vididt Saha"/>
    <x v="0"/>
    <s v="Construction, Power &amp; Infrastructure"/>
    <s v="New"/>
    <n v="51965.88"/>
    <d v="2018-03-26T00:00:00"/>
    <s v="Brokerage"/>
    <x v="3"/>
    <s v="OTHR - Other"/>
    <d v="2020-01-22T00:00:00"/>
    <s v="Other"/>
    <m/>
    <m/>
    <m/>
    <m/>
    <m/>
    <m/>
    <m/>
    <m/>
    <m/>
    <m/>
    <m/>
    <m/>
    <m/>
    <m/>
    <m/>
    <m/>
    <m/>
    <m/>
    <m/>
    <m/>
  </r>
  <r>
    <s v="Kanchan Iyer"/>
    <n v="9.9E+19"/>
    <x v="1"/>
    <x v="251"/>
    <d v="2019-06-06T00:00:00"/>
    <x v="5"/>
    <n v="13"/>
    <s v="Vididt Saha"/>
    <x v="0"/>
    <s v="Construction, Power &amp; Infrastructure"/>
    <s v="Cross Sell"/>
    <n v="25619.25"/>
    <d v="2018-06-07T00:00:00"/>
    <s v="Brokerage"/>
    <x v="3"/>
    <s v="OTHR - Other"/>
    <d v="2020-01-22T00:00:00"/>
    <s v="Other"/>
    <m/>
    <m/>
    <m/>
    <m/>
    <m/>
    <m/>
    <m/>
    <m/>
    <m/>
    <m/>
    <m/>
    <m/>
    <m/>
    <m/>
    <m/>
    <m/>
    <m/>
    <m/>
    <m/>
    <m/>
  </r>
  <r>
    <s v="Bhavna Kapoor"/>
    <n v="9.9E+19"/>
    <x v="0"/>
    <x v="160"/>
    <d v="2019-12-25T00:00:00"/>
    <x v="5"/>
    <n v="13"/>
    <s v="Vididt Saha"/>
    <x v="0"/>
    <s v="Construction, Power &amp; Infrastructure"/>
    <s v="Cross Sell"/>
    <n v="25598"/>
    <d v="2019-06-26T00:00:00"/>
    <s v="Brokerage"/>
    <x v="0"/>
    <s v="OTHR - Other"/>
    <d v="2020-01-22T00:00:00"/>
    <s v="Other"/>
    <m/>
    <m/>
    <m/>
    <m/>
    <m/>
    <m/>
    <m/>
    <m/>
    <m/>
    <m/>
    <m/>
    <m/>
    <m/>
    <m/>
    <m/>
    <m/>
    <m/>
    <m/>
    <m/>
    <m/>
  </r>
  <r>
    <s v="Ritika Reddy"/>
    <n v="9.9E+19"/>
    <x v="0"/>
    <x v="160"/>
    <d v="2019-12-25T00:00:00"/>
    <x v="5"/>
    <n v="13"/>
    <s v="Vididt Saha"/>
    <x v="0"/>
    <s v="Construction, Power &amp; Infrastructure"/>
    <s v="Cross Sell"/>
    <n v="25598"/>
    <d v="2019-06-26T00:00:00"/>
    <s v="Brokerage"/>
    <x v="0"/>
    <s v="OTHR - Other"/>
    <d v="2020-01-22T00:00:00"/>
    <s v="Other"/>
    <m/>
    <m/>
    <m/>
    <m/>
    <m/>
    <m/>
    <m/>
    <m/>
    <m/>
    <m/>
    <m/>
    <m/>
    <m/>
    <m/>
    <m/>
    <m/>
    <m/>
    <m/>
    <m/>
    <m/>
  </r>
  <r>
    <s v="Suresh Das"/>
    <n v="9.9E+19"/>
    <x v="0"/>
    <x v="281"/>
    <d v="2020-03-21T00:00:00"/>
    <x v="5"/>
    <n v="13"/>
    <s v="Vididt Saha"/>
    <x v="0"/>
    <s v="Construction, Power &amp; Infrastructure"/>
    <s v="New"/>
    <n v="12643.38"/>
    <d v="2019-11-22T00:00:00"/>
    <s v="Brokerage"/>
    <x v="0"/>
    <s v="OTHR - Other"/>
    <d v="2020-01-22T00:00:00"/>
    <s v="Other"/>
    <m/>
    <m/>
    <m/>
    <m/>
    <m/>
    <m/>
    <m/>
    <m/>
    <m/>
    <m/>
    <m/>
    <m/>
    <m/>
    <m/>
    <m/>
    <m/>
    <m/>
    <m/>
    <m/>
    <m/>
  </r>
  <r>
    <s v="Shikha Chauhan"/>
    <n v="9.9E+19"/>
    <x v="0"/>
    <x v="282"/>
    <d v="2020-06-25T00:00:00"/>
    <x v="5"/>
    <n v="13"/>
    <s v="Vididt Saha"/>
    <x v="0"/>
    <s v="Construction, Power &amp; Infrastructure"/>
    <s v="Cross Sell"/>
    <n v="25598"/>
    <d v="2019-12-26T00:00:00"/>
    <s v="Brokerage"/>
    <x v="0"/>
    <s v="OTHR - Other"/>
    <d v="2020-01-22T00:00:00"/>
    <s v="Other"/>
    <m/>
    <m/>
    <m/>
    <m/>
    <m/>
    <m/>
    <m/>
    <m/>
    <m/>
    <m/>
    <m/>
    <m/>
    <m/>
    <m/>
    <m/>
    <m/>
    <m/>
    <m/>
    <m/>
    <m/>
  </r>
  <r>
    <s v="Hemant Dutta"/>
    <s v="0526002817P114267969/0"/>
    <x v="1"/>
    <x v="49"/>
    <d v="2018-12-31T00:00:00"/>
    <x v="3"/>
    <n v="10"/>
    <s v="Mark"/>
    <x v="0"/>
    <s v="Employee Benefits (EB)"/>
    <s v="Renewal"/>
    <n v="1474120.36"/>
    <d v="2018-01-01T00:00:00"/>
    <s v="Brokerage"/>
    <x v="3"/>
    <s v="GMAN - Global Mandate"/>
    <d v="2020-01-22T00:00:00"/>
    <s v="GMAN - Global Mandate"/>
    <s v="EI- GMC"/>
    <s v="OPP1900001364"/>
    <s v="Mark"/>
    <n v="1400000"/>
    <n v="100000"/>
    <d v="2019-12-09T00:00:00"/>
    <s v="Qualify Opportunity"/>
    <s v="Ahmedabad"/>
    <s v="Employee Benefits (EB)"/>
    <s v="Mediclaim"/>
    <s v="Group Medical"/>
    <m/>
    <m/>
    <s v="Christopher Campbell"/>
    <d v="2020-01-22T00:00:00"/>
    <s v="Mark"/>
    <s v="Servicer"/>
    <n v="19888"/>
    <n v="128777"/>
    <n v="198882"/>
  </r>
  <r>
    <s v="Hemant Dutta"/>
    <s v="0526002817P114267969/0"/>
    <x v="1"/>
    <x v="49"/>
    <d v="2018-12-31T00:00:00"/>
    <x v="3"/>
    <n v="10"/>
    <s v="Mark"/>
    <x v="0"/>
    <s v="Employee Benefits (EB)"/>
    <s v="Renewal"/>
    <n v="1474120.36"/>
    <d v="2018-01-01T00:00:00"/>
    <s v="Brokerage"/>
    <x v="3"/>
    <s v="GMAN - Global Mandate"/>
    <d v="2020-01-22T00:00:00"/>
    <s v="GMAN - Global Mandate"/>
    <s v="EI- GMC"/>
    <s v="OPP1900001364"/>
    <s v="Mark"/>
    <n v="1400000"/>
    <n v="100000"/>
    <d v="2019-12-09T00:00:00"/>
    <s v="Qualify Opportunity"/>
    <s v="Ahmedabad"/>
    <s v="Employee Benefits (EB)"/>
    <s v="Mediclaim"/>
    <s v="Group Medical"/>
    <m/>
    <m/>
    <s v="Zoe Rivera"/>
    <d v="2020-01-13T00:00:00"/>
    <s v="Mark"/>
    <s v="Servicer"/>
    <n v="19888"/>
    <n v="128777"/>
    <n v="198882"/>
  </r>
  <r>
    <s v="Hemant Dutta"/>
    <s v="0526002817P114267969/0"/>
    <x v="1"/>
    <x v="49"/>
    <d v="2018-12-31T00:00:00"/>
    <x v="3"/>
    <n v="10"/>
    <s v="Mark"/>
    <x v="0"/>
    <s v="Employee Benefits (EB)"/>
    <s v="Renewal"/>
    <n v="1474120.36"/>
    <d v="2018-01-01T00:00:00"/>
    <s v="Brokerage"/>
    <x v="3"/>
    <s v="GMAN - Global Mandate"/>
    <d v="2020-01-22T00:00:00"/>
    <s v="GMAN - Global Mandate"/>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Hemant Dutta"/>
    <s v="0526002817P114267969/0"/>
    <x v="1"/>
    <x v="49"/>
    <d v="2018-12-31T00:00:00"/>
    <x v="3"/>
    <n v="10"/>
    <s v="Mark"/>
    <x v="0"/>
    <s v="Employee Benefits (EB)"/>
    <s v="Renewal"/>
    <n v="1474120.36"/>
    <d v="2018-01-01T00:00:00"/>
    <s v="Brokerage"/>
    <x v="3"/>
    <s v="GMAN - Global Mandate"/>
    <d v="2020-01-22T00:00:00"/>
    <s v="GMAN - Global Mandate"/>
    <s v="FM-Group Mediclaim"/>
    <s v="OPP1900001390"/>
    <s v="Mark"/>
    <n v="4500000"/>
    <n v="300000"/>
    <d v="2019-10-29T00:00:00"/>
    <s v="Qualify Opportunity"/>
    <s v="Ahmedabad"/>
    <s v="Employee Benefits (EB)"/>
    <s v="Mediclaim"/>
    <s v="Group Medical"/>
    <m/>
    <m/>
    <s v="Zoe Rivera"/>
    <d v="2020-01-13T00:00:00"/>
    <s v="Mark"/>
    <s v="Servicer"/>
    <n v="19888"/>
    <n v="128777"/>
    <n v="198882"/>
  </r>
  <r>
    <s v="Hemant Dutta"/>
    <s v="0526002817P114267969/0"/>
    <x v="1"/>
    <x v="49"/>
    <d v="2018-12-31T00:00:00"/>
    <x v="3"/>
    <n v="10"/>
    <s v="Mark"/>
    <x v="0"/>
    <s v="Employee Benefits (EB)"/>
    <s v="Renewal"/>
    <n v="1474120.36"/>
    <d v="2018-01-01T00:00:00"/>
    <s v="Brokerage"/>
    <x v="3"/>
    <s v="GMAN - Global Mandate"/>
    <d v="2020-01-22T00:00:00"/>
    <s v="GMAN - Global Mandate"/>
    <s v="BVGMC"/>
    <s v="OPP1900001393"/>
    <s v="Mark"/>
    <n v="600000"/>
    <n v="100000"/>
    <d v="2019-11-30T00:00:00"/>
    <s v="Qualify Opportunity"/>
    <s v="Ahmedabad"/>
    <s v="Emerging Corporates Group (ECG)"/>
    <s v="Mediclaim"/>
    <s v="Group Medical"/>
    <m/>
    <m/>
    <s v="Christopher Campbell"/>
    <d v="2020-01-22T00:00:00"/>
    <s v="Mark"/>
    <s v="Servicer"/>
    <n v="19888"/>
    <n v="128777"/>
    <n v="198882"/>
  </r>
  <r>
    <s v="Hemant Dutta"/>
    <s v="0526002817P114267969/0"/>
    <x v="1"/>
    <x v="49"/>
    <d v="2018-12-31T00:00:00"/>
    <x v="3"/>
    <n v="10"/>
    <s v="Mark"/>
    <x v="0"/>
    <s v="Employee Benefits (EB)"/>
    <s v="Renewal"/>
    <n v="1474120.36"/>
    <d v="2018-01-01T00:00:00"/>
    <s v="Brokerage"/>
    <x v="3"/>
    <s v="GMAN - Global Mandate"/>
    <d v="2020-01-22T00:00:00"/>
    <s v="GMAN - Global Mandate"/>
    <s v="BVGMC"/>
    <s v="OPP1900001393"/>
    <s v="Mark"/>
    <n v="600000"/>
    <n v="100000"/>
    <d v="2019-11-30T00:00:00"/>
    <s v="Qualify Opportunity"/>
    <s v="Ahmedabad"/>
    <s v="Emerging Corporates Group (ECG)"/>
    <s v="Mediclaim"/>
    <s v="Group Medical"/>
    <m/>
    <m/>
    <s v="Zoe Rivera"/>
    <d v="2020-01-13T00:00:00"/>
    <s v="Mark"/>
    <s v="Servicer"/>
    <n v="19888"/>
    <n v="128777"/>
    <n v="198882"/>
  </r>
  <r>
    <s v="Hemant Dutta"/>
    <s v="0526002817P114267969/0"/>
    <x v="1"/>
    <x v="49"/>
    <d v="2018-12-31T00:00:00"/>
    <x v="3"/>
    <n v="10"/>
    <s v="Mark"/>
    <x v="0"/>
    <s v="Employee Benefits (EB)"/>
    <s v="Renewal"/>
    <n v="1474120.36"/>
    <d v="2018-01-01T00:00:00"/>
    <s v="Brokerage"/>
    <x v="3"/>
    <s v="GMAN - Global Mandate"/>
    <d v="2020-01-22T00:00:00"/>
    <s v="GMAN - Global Mandate"/>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Hemant Dutta"/>
    <s v="0526002817P114267969/0"/>
    <x v="1"/>
    <x v="49"/>
    <d v="2018-12-31T00:00:00"/>
    <x v="3"/>
    <n v="10"/>
    <s v="Mark"/>
    <x v="0"/>
    <s v="Employee Benefits (EB)"/>
    <s v="Renewal"/>
    <n v="1474120.36"/>
    <d v="2018-01-01T00:00:00"/>
    <s v="Brokerage"/>
    <x v="3"/>
    <s v="GMAN - Global Mandate"/>
    <d v="2020-01-22T00:00:00"/>
    <s v="GMAN - Global Mandate"/>
    <s v="BV GPA"/>
    <s v="OPP1900001394"/>
    <s v="Mark"/>
    <n v="210000"/>
    <n v="35000"/>
    <d v="2019-11-30T00:00:00"/>
    <s v="Qualify Opportunity"/>
    <s v="Ahmedabad"/>
    <s v="Emerging Corporates Group (ECG)"/>
    <s v="Mediclaim"/>
    <s v="Group Personal Accident"/>
    <m/>
    <m/>
    <s v="Zoe Rivera"/>
    <d v="2020-01-13T00:00:00"/>
    <s v="Mark"/>
    <s v="Servicer"/>
    <n v="19888"/>
    <n v="128777"/>
    <n v="198882"/>
  </r>
  <r>
    <s v="Hemant Dutta"/>
    <s v="0526002817P114267969/0"/>
    <x v="1"/>
    <x v="49"/>
    <d v="2018-12-31T00:00:00"/>
    <x v="3"/>
    <n v="10"/>
    <s v="Mark"/>
    <x v="0"/>
    <s v="Employee Benefits (EB)"/>
    <s v="Renewal"/>
    <n v="1474120.36"/>
    <d v="2018-01-01T00:00:00"/>
    <s v="Brokerage"/>
    <x v="3"/>
    <s v="GMAN - Global Mandate"/>
    <d v="2020-01-22T00:00:00"/>
    <s v="GMAN - Global Mandate"/>
    <s v="OP-GMC"/>
    <s v="OPP1900001803"/>
    <s v="Mark"/>
    <n v="5000000"/>
    <n v="250000"/>
    <d v="2019-11-30T00:00:00"/>
    <s v="Qualify Opportunity"/>
    <s v="Ahmedabad"/>
    <s v="Employee Benefits (EB)"/>
    <s v="Mediclaim"/>
    <s v="Group Medical"/>
    <m/>
    <m/>
    <s v="Christopher Campbell"/>
    <d v="2020-01-22T00:00:00"/>
    <s v="Mark"/>
    <s v="Servicer"/>
    <n v="19888"/>
    <n v="128777"/>
    <n v="198882"/>
  </r>
  <r>
    <s v="Hemant Dutta"/>
    <s v="0526002817P114267969/0"/>
    <x v="1"/>
    <x v="49"/>
    <d v="2018-12-31T00:00:00"/>
    <x v="3"/>
    <n v="10"/>
    <s v="Mark"/>
    <x v="0"/>
    <s v="Employee Benefits (EB)"/>
    <s v="Renewal"/>
    <n v="1474120.36"/>
    <d v="2018-01-01T00:00:00"/>
    <s v="Brokerage"/>
    <x v="3"/>
    <s v="GMAN - Global Mandate"/>
    <d v="2020-01-22T00:00:00"/>
    <s v="GMAN - Global Mandate"/>
    <s v="OP-GMC"/>
    <s v="OPP1900001803"/>
    <s v="Mark"/>
    <n v="5000000"/>
    <n v="250000"/>
    <d v="2019-11-30T00:00:00"/>
    <s v="Qualify Opportunity"/>
    <s v="Ahmedabad"/>
    <s v="Employee Benefits (EB)"/>
    <s v="Mediclaim"/>
    <s v="Group Medical"/>
    <m/>
    <m/>
    <s v="Zoe Rivera"/>
    <d v="2020-01-13T00:00:00"/>
    <s v="Mark"/>
    <s v="Servicer"/>
    <n v="19888"/>
    <n v="128777"/>
    <n v="198882"/>
  </r>
  <r>
    <s v="Dinesh Pandey"/>
    <s v="0526002817P114267969/0"/>
    <x v="1"/>
    <x v="49"/>
    <d v="2018-12-31T00:00:00"/>
    <x v="3"/>
    <n v="10"/>
    <s v="Mark"/>
    <x v="0"/>
    <s v="Employee Benefits (EB)"/>
    <s v="Renewal"/>
    <n v="13134.29"/>
    <d v="2018-09-28T00:00:00"/>
    <s v="Brokerage "/>
    <x v="3"/>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Dinesh Pandey"/>
    <s v="0526002817P114267969/0"/>
    <x v="1"/>
    <x v="49"/>
    <d v="2018-12-31T00:00:00"/>
    <x v="3"/>
    <n v="10"/>
    <s v="Mark"/>
    <x v="0"/>
    <s v="Employee Benefits (EB)"/>
    <s v="Renewal"/>
    <n v="13134.29"/>
    <d v="2018-09-28T00:00:00"/>
    <s v="Brokerage "/>
    <x v="3"/>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Dinesh Pandey"/>
    <s v="0526002817P114267969/0"/>
    <x v="1"/>
    <x v="49"/>
    <d v="2018-12-31T00:00:00"/>
    <x v="3"/>
    <n v="10"/>
    <s v="Mark"/>
    <x v="0"/>
    <s v="Employee Benefits (EB)"/>
    <s v="Renewal"/>
    <n v="13134.29"/>
    <d v="2018-09-28T00:00:00"/>
    <s v="Brokerage "/>
    <x v="3"/>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Dinesh Pandey"/>
    <s v="0526002817P114267969/0"/>
    <x v="1"/>
    <x v="49"/>
    <d v="2018-12-31T00:00:00"/>
    <x v="3"/>
    <n v="10"/>
    <s v="Mark"/>
    <x v="0"/>
    <s v="Employee Benefits (EB)"/>
    <s v="Renewal"/>
    <n v="13134.29"/>
    <d v="2018-09-28T00:00:00"/>
    <s v="Brokerage "/>
    <x v="3"/>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Dinesh Pandey"/>
    <s v="0526002817P114267969/0"/>
    <x v="1"/>
    <x v="49"/>
    <d v="2018-12-31T00:00:00"/>
    <x v="3"/>
    <n v="10"/>
    <s v="Mark"/>
    <x v="0"/>
    <s v="Employee Benefits (EB)"/>
    <s v="Renewal"/>
    <n v="13134.29"/>
    <d v="2018-09-28T00:00:00"/>
    <s v="Brokerage "/>
    <x v="3"/>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Dinesh Pandey"/>
    <s v="0526002817P114267969/0"/>
    <x v="1"/>
    <x v="49"/>
    <d v="2018-12-31T00:00:00"/>
    <x v="3"/>
    <n v="10"/>
    <s v="Mark"/>
    <x v="0"/>
    <s v="Employee Benefits (EB)"/>
    <s v="Renewal"/>
    <n v="13134.29"/>
    <d v="2018-09-28T00:00:00"/>
    <s v="Brokerage "/>
    <x v="3"/>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Dinesh Pandey"/>
    <s v="0526002817P114267969/0"/>
    <x v="1"/>
    <x v="49"/>
    <d v="2018-12-31T00:00:00"/>
    <x v="3"/>
    <n v="10"/>
    <s v="Mark"/>
    <x v="0"/>
    <s v="Employee Benefits (EB)"/>
    <s v="Renewal"/>
    <n v="13134.29"/>
    <d v="2018-09-28T00:00:00"/>
    <s v="Brokerage "/>
    <x v="3"/>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Dinesh Pandey"/>
    <s v="0526002817P114267969/0"/>
    <x v="1"/>
    <x v="49"/>
    <d v="2018-12-31T00:00:00"/>
    <x v="3"/>
    <n v="10"/>
    <s v="Mark"/>
    <x v="0"/>
    <s v="Employee Benefits (EB)"/>
    <s v="Renewal"/>
    <n v="13134.29"/>
    <d v="2018-09-28T00:00:00"/>
    <s v="Brokerage "/>
    <x v="3"/>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Dinesh Pandey"/>
    <s v="0526002817P114267969/0"/>
    <x v="1"/>
    <x v="49"/>
    <d v="2018-12-31T00:00:00"/>
    <x v="3"/>
    <n v="10"/>
    <s v="Mark"/>
    <x v="0"/>
    <s v="Employee Benefits (EB)"/>
    <s v="Renewal"/>
    <n v="13134.29"/>
    <d v="2018-09-28T00:00:00"/>
    <s v="Brokerage "/>
    <x v="3"/>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Dinesh Pandey"/>
    <s v="0526002817P114267969/0"/>
    <x v="1"/>
    <x v="49"/>
    <d v="2018-12-31T00:00:00"/>
    <x v="3"/>
    <n v="10"/>
    <s v="Mark"/>
    <x v="0"/>
    <s v="Employee Benefits (EB)"/>
    <s v="Renewal"/>
    <n v="13134.29"/>
    <d v="2018-09-28T00:00:00"/>
    <s v="Brokerage "/>
    <x v="3"/>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Archana Iyer"/>
    <s v="0526004217P114582552/0"/>
    <x v="1"/>
    <x v="49"/>
    <d v="2018-12-31T00:00:00"/>
    <x v="3"/>
    <n v="10"/>
    <s v="Mark"/>
    <x v="0"/>
    <s v="Employee Benefits (EB)"/>
    <s v="Renewal"/>
    <n v="34349.81"/>
    <d v="2018-01-01T00:00:00"/>
    <s v="Brokerage"/>
    <x v="3"/>
    <s v="GMAN - Global Mandate"/>
    <d v="2020-01-22T00:00:00"/>
    <s v="GMAN - Global Mandate"/>
    <s v="EI- GMC"/>
    <s v="OPP1900001364"/>
    <s v="Mark"/>
    <n v="1400000"/>
    <n v="100000"/>
    <d v="2019-12-09T00:00:00"/>
    <s v="Qualify Opportunity"/>
    <s v="Ahmedabad"/>
    <s v="Employee Benefits (EB)"/>
    <s v="Mediclaim"/>
    <s v="Group Medical"/>
    <m/>
    <m/>
    <s v="Christopher Campbell"/>
    <d v="2020-01-22T00:00:00"/>
    <s v="Mark"/>
    <s v="Servicer"/>
    <n v="19888"/>
    <n v="128777"/>
    <n v="198882"/>
  </r>
  <r>
    <s v="Archana Iyer"/>
    <s v="0526004217P114582552/0"/>
    <x v="1"/>
    <x v="49"/>
    <d v="2018-12-31T00:00:00"/>
    <x v="3"/>
    <n v="10"/>
    <s v="Mark"/>
    <x v="0"/>
    <s v="Employee Benefits (EB)"/>
    <s v="Renewal"/>
    <n v="34349.81"/>
    <d v="2018-01-01T00:00:00"/>
    <s v="Brokerage"/>
    <x v="3"/>
    <s v="GMAN - Global Mandate"/>
    <d v="2020-01-22T00:00:00"/>
    <s v="GMAN - Global Mandate"/>
    <s v="EI- GMC"/>
    <s v="OPP1900001364"/>
    <s v="Mark"/>
    <n v="1400000"/>
    <n v="100000"/>
    <d v="2019-12-09T00:00:00"/>
    <s v="Qualify Opportunity"/>
    <s v="Ahmedabad"/>
    <s v="Employee Benefits (EB)"/>
    <s v="Mediclaim"/>
    <s v="Group Medical"/>
    <m/>
    <m/>
    <s v="Zoe Rivera"/>
    <d v="2020-01-13T00:00:00"/>
    <s v="Mark"/>
    <s v="Servicer"/>
    <n v="19888"/>
    <n v="128777"/>
    <n v="198882"/>
  </r>
  <r>
    <s v="Archana Iyer"/>
    <s v="0526004217P114582552/0"/>
    <x v="1"/>
    <x v="49"/>
    <d v="2018-12-31T00:00:00"/>
    <x v="3"/>
    <n v="10"/>
    <s v="Mark"/>
    <x v="0"/>
    <s v="Employee Benefits (EB)"/>
    <s v="Renewal"/>
    <n v="34349.81"/>
    <d v="2018-01-01T00:00:00"/>
    <s v="Brokerage"/>
    <x v="3"/>
    <s v="GMAN - Global Mandate"/>
    <d v="2020-01-22T00:00:00"/>
    <s v="GMAN - Global Mandate"/>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Archana Iyer"/>
    <s v="0526004217P114582552/0"/>
    <x v="1"/>
    <x v="49"/>
    <d v="2018-12-31T00:00:00"/>
    <x v="3"/>
    <n v="10"/>
    <s v="Mark"/>
    <x v="0"/>
    <s v="Employee Benefits (EB)"/>
    <s v="Renewal"/>
    <n v="34349.81"/>
    <d v="2018-01-01T00:00:00"/>
    <s v="Brokerage"/>
    <x v="3"/>
    <s v="GMAN - Global Mandate"/>
    <d v="2020-01-22T00:00:00"/>
    <s v="GMAN - Global Mandate"/>
    <s v="FM-Group Mediclaim"/>
    <s v="OPP1900001390"/>
    <s v="Mark"/>
    <n v="4500000"/>
    <n v="300000"/>
    <d v="2019-10-29T00:00:00"/>
    <s v="Qualify Opportunity"/>
    <s v="Ahmedabad"/>
    <s v="Employee Benefits (EB)"/>
    <s v="Mediclaim"/>
    <s v="Group Medical"/>
    <m/>
    <m/>
    <s v="Zoe Rivera"/>
    <d v="2020-01-13T00:00:00"/>
    <s v="Mark"/>
    <s v="Servicer"/>
    <n v="19888"/>
    <n v="128777"/>
    <n v="198882"/>
  </r>
  <r>
    <s v="Archana Iyer"/>
    <s v="0526004217P114582552/0"/>
    <x v="1"/>
    <x v="49"/>
    <d v="2018-12-31T00:00:00"/>
    <x v="3"/>
    <n v="10"/>
    <s v="Mark"/>
    <x v="0"/>
    <s v="Employee Benefits (EB)"/>
    <s v="Renewal"/>
    <n v="34349.81"/>
    <d v="2018-01-01T00:00:00"/>
    <s v="Brokerage"/>
    <x v="3"/>
    <s v="GMAN - Global Mandate"/>
    <d v="2020-01-22T00:00:00"/>
    <s v="GMAN - Global Mandate"/>
    <s v="BVGMC"/>
    <s v="OPP1900001393"/>
    <s v="Mark"/>
    <n v="600000"/>
    <n v="100000"/>
    <d v="2019-11-30T00:00:00"/>
    <s v="Qualify Opportunity"/>
    <s v="Ahmedabad"/>
    <s v="Emerging Corporates Group (ECG)"/>
    <s v="Mediclaim"/>
    <s v="Group Medical"/>
    <m/>
    <m/>
    <s v="Christopher Campbell"/>
    <d v="2020-01-22T00:00:00"/>
    <s v="Mark"/>
    <s v="Servicer"/>
    <n v="19888"/>
    <n v="128777"/>
    <n v="198882"/>
  </r>
  <r>
    <s v="Archana Iyer"/>
    <s v="0526004217P114582552/0"/>
    <x v="1"/>
    <x v="49"/>
    <d v="2018-12-31T00:00:00"/>
    <x v="3"/>
    <n v="10"/>
    <s v="Mark"/>
    <x v="0"/>
    <s v="Employee Benefits (EB)"/>
    <s v="Renewal"/>
    <n v="34349.81"/>
    <d v="2018-01-01T00:00:00"/>
    <s v="Brokerage"/>
    <x v="3"/>
    <s v="GMAN - Global Mandate"/>
    <d v="2020-01-22T00:00:00"/>
    <s v="GMAN - Global Mandate"/>
    <s v="BVGMC"/>
    <s v="OPP1900001393"/>
    <s v="Mark"/>
    <n v="600000"/>
    <n v="100000"/>
    <d v="2019-11-30T00:00:00"/>
    <s v="Qualify Opportunity"/>
    <s v="Ahmedabad"/>
    <s v="Emerging Corporates Group (ECG)"/>
    <s v="Mediclaim"/>
    <s v="Group Medical"/>
    <m/>
    <m/>
    <s v="Zoe Rivera"/>
    <d v="2020-01-13T00:00:00"/>
    <s v="Mark"/>
    <s v="Servicer"/>
    <n v="19888"/>
    <n v="128777"/>
    <n v="198882"/>
  </r>
  <r>
    <s v="Archana Iyer"/>
    <s v="0526004217P114582552/0"/>
    <x v="1"/>
    <x v="49"/>
    <d v="2018-12-31T00:00:00"/>
    <x v="3"/>
    <n v="10"/>
    <s v="Mark"/>
    <x v="0"/>
    <s v="Employee Benefits (EB)"/>
    <s v="Renewal"/>
    <n v="34349.81"/>
    <d v="2018-01-01T00:00:00"/>
    <s v="Brokerage"/>
    <x v="3"/>
    <s v="GMAN - Global Mandate"/>
    <d v="2020-01-22T00:00:00"/>
    <s v="GMAN - Global Mandate"/>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Archana Iyer"/>
    <s v="0526004217P114582552/0"/>
    <x v="1"/>
    <x v="49"/>
    <d v="2018-12-31T00:00:00"/>
    <x v="3"/>
    <n v="10"/>
    <s v="Mark"/>
    <x v="0"/>
    <s v="Employee Benefits (EB)"/>
    <s v="Renewal"/>
    <n v="34349.81"/>
    <d v="2018-01-01T00:00:00"/>
    <s v="Brokerage"/>
    <x v="3"/>
    <s v="GMAN - Global Mandate"/>
    <d v="2020-01-22T00:00:00"/>
    <s v="GMAN - Global Mandate"/>
    <s v="BV GPA"/>
    <s v="OPP1900001394"/>
    <s v="Mark"/>
    <n v="210000"/>
    <n v="35000"/>
    <d v="2019-11-30T00:00:00"/>
    <s v="Qualify Opportunity"/>
    <s v="Ahmedabad"/>
    <s v="Emerging Corporates Group (ECG)"/>
    <s v="Mediclaim"/>
    <s v="Group Personal Accident"/>
    <m/>
    <m/>
    <s v="Zoe Rivera"/>
    <d v="2020-01-13T00:00:00"/>
    <s v="Mark"/>
    <s v="Servicer"/>
    <n v="19888"/>
    <n v="128777"/>
    <n v="198882"/>
  </r>
  <r>
    <s v="Archana Iyer"/>
    <s v="0526004217P114582552/0"/>
    <x v="1"/>
    <x v="49"/>
    <d v="2018-12-31T00:00:00"/>
    <x v="3"/>
    <n v="10"/>
    <s v="Mark"/>
    <x v="0"/>
    <s v="Employee Benefits (EB)"/>
    <s v="Renewal"/>
    <n v="34349.81"/>
    <d v="2018-01-01T00:00:00"/>
    <s v="Brokerage"/>
    <x v="3"/>
    <s v="GMAN - Global Mandate"/>
    <d v="2020-01-22T00:00:00"/>
    <s v="GMAN - Global Mandate"/>
    <s v="OP-GMC"/>
    <s v="OPP1900001803"/>
    <s v="Mark"/>
    <n v="5000000"/>
    <n v="250000"/>
    <d v="2019-11-30T00:00:00"/>
    <s v="Qualify Opportunity"/>
    <s v="Ahmedabad"/>
    <s v="Employee Benefits (EB)"/>
    <s v="Mediclaim"/>
    <s v="Group Medical"/>
    <m/>
    <m/>
    <s v="Christopher Campbell"/>
    <d v="2020-01-22T00:00:00"/>
    <s v="Mark"/>
    <s v="Servicer"/>
    <n v="19888"/>
    <n v="128777"/>
    <n v="198882"/>
  </r>
  <r>
    <s v="Archana Iyer"/>
    <s v="0526004217P114582552/0"/>
    <x v="1"/>
    <x v="49"/>
    <d v="2018-12-31T00:00:00"/>
    <x v="3"/>
    <n v="10"/>
    <s v="Mark"/>
    <x v="0"/>
    <s v="Employee Benefits (EB)"/>
    <s v="Renewal"/>
    <n v="34349.81"/>
    <d v="2018-01-01T00:00:00"/>
    <s v="Brokerage"/>
    <x v="3"/>
    <s v="GMAN - Global Mandate"/>
    <d v="2020-01-22T00:00:00"/>
    <s v="GMAN - Global Mandate"/>
    <s v="OP-GMC"/>
    <s v="OPP1900001803"/>
    <s v="Mark"/>
    <n v="5000000"/>
    <n v="250000"/>
    <d v="2019-11-30T00:00:00"/>
    <s v="Qualify Opportunity"/>
    <s v="Ahmedabad"/>
    <s v="Employee Benefits (EB)"/>
    <s v="Mediclaim"/>
    <s v="Group Medical"/>
    <m/>
    <m/>
    <s v="Zoe Rivera"/>
    <d v="2020-01-13T00:00:00"/>
    <s v="Mark"/>
    <s v="Servicer"/>
    <n v="19888"/>
    <n v="128777"/>
    <n v="198882"/>
  </r>
  <r>
    <s v="Deepak Menon"/>
    <n v="5051621"/>
    <x v="1"/>
    <x v="49"/>
    <d v="2018-12-31T00:00:00"/>
    <x v="3"/>
    <n v="10"/>
    <s v="Mark"/>
    <x v="0"/>
    <s v="Employee Benefits (EB)"/>
    <s v="Renewal"/>
    <n v="51883.58"/>
    <d v="2018-01-01T00:00:00"/>
    <s v="Brokerage"/>
    <x v="3"/>
    <s v="GMAN - Global Mandate"/>
    <d v="2020-01-22T00:00:00"/>
    <s v="GMAN - Global Mandate"/>
    <s v="EI- GMC"/>
    <s v="OPP1900001364"/>
    <s v="Mark"/>
    <n v="1400000"/>
    <n v="100000"/>
    <d v="2019-12-09T00:00:00"/>
    <s v="Qualify Opportunity"/>
    <s v="Ahmedabad"/>
    <s v="Employee Benefits (EB)"/>
    <s v="Mediclaim"/>
    <s v="Group Medical"/>
    <m/>
    <m/>
    <s v="Christopher Campbell"/>
    <d v="2020-01-22T00:00:00"/>
    <s v="Mark"/>
    <s v="Servicer"/>
    <n v="19888"/>
    <n v="128777"/>
    <n v="198882"/>
  </r>
  <r>
    <s v="Deepak Menon"/>
    <n v="5051621"/>
    <x v="1"/>
    <x v="49"/>
    <d v="2018-12-31T00:00:00"/>
    <x v="3"/>
    <n v="10"/>
    <s v="Mark"/>
    <x v="0"/>
    <s v="Employee Benefits (EB)"/>
    <s v="Renewal"/>
    <n v="51883.58"/>
    <d v="2018-01-01T00:00:00"/>
    <s v="Brokerage"/>
    <x v="3"/>
    <s v="GMAN - Global Mandate"/>
    <d v="2020-01-22T00:00:00"/>
    <s v="GMAN - Global Mandate"/>
    <s v="EI- GMC"/>
    <s v="OPP1900001364"/>
    <s v="Mark"/>
    <n v="1400000"/>
    <n v="100000"/>
    <d v="2019-12-09T00:00:00"/>
    <s v="Qualify Opportunity"/>
    <s v="Ahmedabad"/>
    <s v="Employee Benefits (EB)"/>
    <s v="Mediclaim"/>
    <s v="Group Medical"/>
    <m/>
    <m/>
    <s v="Zoe Rivera"/>
    <d v="2020-01-13T00:00:00"/>
    <s v="Mark"/>
    <s v="Servicer"/>
    <n v="19888"/>
    <n v="128777"/>
    <n v="198882"/>
  </r>
  <r>
    <s v="Deepak Menon"/>
    <n v="5051621"/>
    <x v="1"/>
    <x v="49"/>
    <d v="2018-12-31T00:00:00"/>
    <x v="3"/>
    <n v="10"/>
    <s v="Mark"/>
    <x v="0"/>
    <s v="Employee Benefits (EB)"/>
    <s v="Renewal"/>
    <n v="51883.58"/>
    <d v="2018-01-01T00:00:00"/>
    <s v="Brokerage"/>
    <x v="3"/>
    <s v="GMAN - Global Mandate"/>
    <d v="2020-01-22T00:00:00"/>
    <s v="GMAN - Global Mandate"/>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Deepak Menon"/>
    <n v="5051621"/>
    <x v="1"/>
    <x v="49"/>
    <d v="2018-12-31T00:00:00"/>
    <x v="3"/>
    <n v="10"/>
    <s v="Mark"/>
    <x v="0"/>
    <s v="Employee Benefits (EB)"/>
    <s v="Renewal"/>
    <n v="51883.58"/>
    <d v="2018-01-01T00:00:00"/>
    <s v="Brokerage"/>
    <x v="3"/>
    <s v="GMAN - Global Mandate"/>
    <d v="2020-01-22T00:00:00"/>
    <s v="GMAN - Global Mandate"/>
    <s v="FM-Group Mediclaim"/>
    <s v="OPP1900001390"/>
    <s v="Mark"/>
    <n v="4500000"/>
    <n v="300000"/>
    <d v="2019-10-29T00:00:00"/>
    <s v="Qualify Opportunity"/>
    <s v="Ahmedabad"/>
    <s v="Employee Benefits (EB)"/>
    <s v="Mediclaim"/>
    <s v="Group Medical"/>
    <m/>
    <m/>
    <s v="Zoe Rivera"/>
    <d v="2020-01-13T00:00:00"/>
    <s v="Mark"/>
    <s v="Servicer"/>
    <n v="19888"/>
    <n v="128777"/>
    <n v="198882"/>
  </r>
  <r>
    <s v="Deepak Menon"/>
    <n v="5051621"/>
    <x v="1"/>
    <x v="49"/>
    <d v="2018-12-31T00:00:00"/>
    <x v="3"/>
    <n v="10"/>
    <s v="Mark"/>
    <x v="0"/>
    <s v="Employee Benefits (EB)"/>
    <s v="Renewal"/>
    <n v="51883.58"/>
    <d v="2018-01-01T00:00:00"/>
    <s v="Brokerage"/>
    <x v="3"/>
    <s v="GMAN - Global Mandate"/>
    <d v="2020-01-22T00:00:00"/>
    <s v="GMAN - Global Mandate"/>
    <s v="BVGMC"/>
    <s v="OPP1900001393"/>
    <s v="Mark"/>
    <n v="600000"/>
    <n v="100000"/>
    <d v="2019-11-30T00:00:00"/>
    <s v="Qualify Opportunity"/>
    <s v="Ahmedabad"/>
    <s v="Emerging Corporates Group (ECG)"/>
    <s v="Mediclaim"/>
    <s v="Group Medical"/>
    <m/>
    <m/>
    <s v="Christopher Campbell"/>
    <d v="2020-01-22T00:00:00"/>
    <s v="Mark"/>
    <s v="Servicer"/>
    <n v="19888"/>
    <n v="128777"/>
    <n v="198882"/>
  </r>
  <r>
    <s v="Deepak Menon"/>
    <n v="5051621"/>
    <x v="1"/>
    <x v="49"/>
    <d v="2018-12-31T00:00:00"/>
    <x v="3"/>
    <n v="10"/>
    <s v="Mark"/>
    <x v="0"/>
    <s v="Employee Benefits (EB)"/>
    <s v="Renewal"/>
    <n v="51883.58"/>
    <d v="2018-01-01T00:00:00"/>
    <s v="Brokerage"/>
    <x v="3"/>
    <s v="GMAN - Global Mandate"/>
    <d v="2020-01-22T00:00:00"/>
    <s v="GMAN - Global Mandate"/>
    <s v="BVGMC"/>
    <s v="OPP1900001393"/>
    <s v="Mark"/>
    <n v="600000"/>
    <n v="100000"/>
    <d v="2019-11-30T00:00:00"/>
    <s v="Qualify Opportunity"/>
    <s v="Ahmedabad"/>
    <s v="Emerging Corporates Group (ECG)"/>
    <s v="Mediclaim"/>
    <s v="Group Medical"/>
    <m/>
    <m/>
    <s v="Zoe Rivera"/>
    <d v="2020-01-13T00:00:00"/>
    <s v="Mark"/>
    <s v="Servicer"/>
    <n v="19888"/>
    <n v="128777"/>
    <n v="198882"/>
  </r>
  <r>
    <s v="Deepak Menon"/>
    <n v="5051621"/>
    <x v="1"/>
    <x v="49"/>
    <d v="2018-12-31T00:00:00"/>
    <x v="3"/>
    <n v="10"/>
    <s v="Mark"/>
    <x v="0"/>
    <s v="Employee Benefits (EB)"/>
    <s v="Renewal"/>
    <n v="51883.58"/>
    <d v="2018-01-01T00:00:00"/>
    <s v="Brokerage"/>
    <x v="3"/>
    <s v="GMAN - Global Mandate"/>
    <d v="2020-01-22T00:00:00"/>
    <s v="GMAN - Global Mandate"/>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Deepak Menon"/>
    <n v="5051621"/>
    <x v="1"/>
    <x v="49"/>
    <d v="2018-12-31T00:00:00"/>
    <x v="3"/>
    <n v="10"/>
    <s v="Mark"/>
    <x v="0"/>
    <s v="Employee Benefits (EB)"/>
    <s v="Renewal"/>
    <n v="51883.58"/>
    <d v="2018-01-01T00:00:00"/>
    <s v="Brokerage"/>
    <x v="3"/>
    <s v="GMAN - Global Mandate"/>
    <d v="2020-01-22T00:00:00"/>
    <s v="GMAN - Global Mandate"/>
    <s v="BV GPA"/>
    <s v="OPP1900001394"/>
    <s v="Mark"/>
    <n v="210000"/>
    <n v="35000"/>
    <d v="2019-11-30T00:00:00"/>
    <s v="Qualify Opportunity"/>
    <s v="Ahmedabad"/>
    <s v="Emerging Corporates Group (ECG)"/>
    <s v="Mediclaim"/>
    <s v="Group Personal Accident"/>
    <m/>
    <m/>
    <s v="Zoe Rivera"/>
    <d v="2020-01-13T00:00:00"/>
    <s v="Mark"/>
    <s v="Servicer"/>
    <n v="19888"/>
    <n v="128777"/>
    <n v="198882"/>
  </r>
  <r>
    <s v="Deepak Menon"/>
    <n v="5051621"/>
    <x v="1"/>
    <x v="49"/>
    <d v="2018-12-31T00:00:00"/>
    <x v="3"/>
    <n v="10"/>
    <s v="Mark"/>
    <x v="0"/>
    <s v="Employee Benefits (EB)"/>
    <s v="Renewal"/>
    <n v="51883.58"/>
    <d v="2018-01-01T00:00:00"/>
    <s v="Brokerage"/>
    <x v="3"/>
    <s v="GMAN - Global Mandate"/>
    <d v="2020-01-22T00:00:00"/>
    <s v="GMAN - Global Mandate"/>
    <s v="OP-GMC"/>
    <s v="OPP1900001803"/>
    <s v="Mark"/>
    <n v="5000000"/>
    <n v="250000"/>
    <d v="2019-11-30T00:00:00"/>
    <s v="Qualify Opportunity"/>
    <s v="Ahmedabad"/>
    <s v="Employee Benefits (EB)"/>
    <s v="Mediclaim"/>
    <s v="Group Medical"/>
    <m/>
    <m/>
    <s v="Christopher Campbell"/>
    <d v="2020-01-22T00:00:00"/>
    <s v="Mark"/>
    <s v="Servicer"/>
    <n v="19888"/>
    <n v="128777"/>
    <n v="198882"/>
  </r>
  <r>
    <s v="Deepak Menon"/>
    <n v="5051621"/>
    <x v="1"/>
    <x v="49"/>
    <d v="2018-12-31T00:00:00"/>
    <x v="3"/>
    <n v="10"/>
    <s v="Mark"/>
    <x v="0"/>
    <s v="Employee Benefits (EB)"/>
    <s v="Renewal"/>
    <n v="51883.58"/>
    <d v="2018-01-01T00:00:00"/>
    <s v="Brokerage"/>
    <x v="3"/>
    <s v="GMAN - Global Mandate"/>
    <d v="2020-01-22T00:00:00"/>
    <s v="GMAN - Global Mandate"/>
    <s v="OP-GMC"/>
    <s v="OPP1900001803"/>
    <s v="Mark"/>
    <n v="5000000"/>
    <n v="250000"/>
    <d v="2019-11-30T00:00:00"/>
    <s v="Qualify Opportunity"/>
    <s v="Ahmedabad"/>
    <s v="Employee Benefits (EB)"/>
    <s v="Mediclaim"/>
    <s v="Group Medical"/>
    <m/>
    <m/>
    <s v="Zoe Rivera"/>
    <d v="2020-01-13T00:00:00"/>
    <s v="Mark"/>
    <s v="Servicer"/>
    <n v="19888"/>
    <n v="128777"/>
    <n v="198882"/>
  </r>
  <r>
    <s v="Vivek Gupta"/>
    <n v="43145480"/>
    <x v="1"/>
    <x v="283"/>
    <d v="2018-07-02T00:00:00"/>
    <x v="2"/>
    <n v="13"/>
    <s v="Vididt Saha"/>
    <x v="0"/>
    <s v="Employee Benefits (EB)"/>
    <s v="Renewal"/>
    <n v="15963.92"/>
    <d v="2017-07-03T00:00:00"/>
    <s v="Brokerage"/>
    <x v="0"/>
    <s v="OTHR - Other"/>
    <d v="2020-01-22T00:00:00"/>
    <s v="Other"/>
    <m/>
    <m/>
    <m/>
    <m/>
    <m/>
    <m/>
    <m/>
    <m/>
    <m/>
    <m/>
    <m/>
    <m/>
    <m/>
    <m/>
    <m/>
    <m/>
    <m/>
    <m/>
    <m/>
    <m/>
  </r>
  <r>
    <s v="Rina Shah"/>
    <n v="43168449"/>
    <x v="1"/>
    <x v="215"/>
    <d v="2019-07-02T00:00:00"/>
    <x v="2"/>
    <n v="13"/>
    <s v="Vididt Saha"/>
    <x v="0"/>
    <s v="Employee Benefits (EB)"/>
    <s v="Renewal"/>
    <n v="0"/>
    <d v="2018-07-03T00:00:00"/>
    <s v="Brokerage"/>
    <x v="1"/>
    <s v="OTHR - Other"/>
    <d v="2020-01-22T00:00:00"/>
    <s v="Other"/>
    <m/>
    <m/>
    <m/>
    <m/>
    <m/>
    <m/>
    <m/>
    <m/>
    <m/>
    <m/>
    <m/>
    <m/>
    <m/>
    <m/>
    <m/>
    <m/>
    <m/>
    <m/>
    <m/>
    <m/>
  </r>
  <r>
    <s v="Uday Prasad"/>
    <n v="43191791"/>
    <x v="0"/>
    <x v="216"/>
    <d v="2019-10-02T00:00:00"/>
    <x v="2"/>
    <n v="13"/>
    <s v="Vididt Saha"/>
    <x v="0"/>
    <s v="Employee Benefits (EB)"/>
    <s v="Renewal"/>
    <n v="956.34"/>
    <d v="2019-07-03T00:00:00"/>
    <s v="Brokerage"/>
    <x v="1"/>
    <s v="OTHR - Other"/>
    <d v="2020-01-22T00:00:00"/>
    <s v="Other"/>
    <m/>
    <m/>
    <m/>
    <m/>
    <m/>
    <m/>
    <m/>
    <m/>
    <m/>
    <m/>
    <m/>
    <m/>
    <m/>
    <m/>
    <m/>
    <m/>
    <m/>
    <m/>
    <m/>
    <m/>
  </r>
  <r>
    <s v="Nitin Kapoor"/>
    <n v="2.221E+19"/>
    <x v="1"/>
    <x v="176"/>
    <d v="2019-01-11T00:00:00"/>
    <x v="1"/>
    <n v="13"/>
    <s v="Vididt Saha"/>
    <x v="0"/>
    <s v="Property / BI"/>
    <s v="New"/>
    <n v="5416.62"/>
    <d v="2018-01-12T00:00:00"/>
    <s v="Brokerage"/>
    <x v="0"/>
    <s v="OTHR - Other"/>
    <d v="2020-01-22T00:00:00"/>
    <s v="Other"/>
    <m/>
    <m/>
    <m/>
    <m/>
    <m/>
    <m/>
    <m/>
    <m/>
    <m/>
    <m/>
    <m/>
    <m/>
    <m/>
    <m/>
    <m/>
    <m/>
    <m/>
    <m/>
    <m/>
    <m/>
  </r>
  <r>
    <s v="Harish Kaul"/>
    <n v="2.221E+19"/>
    <x v="1"/>
    <x v="176"/>
    <d v="2019-01-11T00:00:00"/>
    <x v="0"/>
    <n v="13"/>
    <s v="Vididt Saha"/>
    <x v="0"/>
    <s v="Marine"/>
    <s v="New"/>
    <n v="6195.75"/>
    <d v="2018-01-12T00:00:00"/>
    <s v="Brokerage"/>
    <x v="0"/>
    <s v="OTHR - Other"/>
    <d v="2020-01-22T00:00:00"/>
    <s v="Other"/>
    <m/>
    <m/>
    <m/>
    <m/>
    <m/>
    <m/>
    <m/>
    <m/>
    <m/>
    <m/>
    <m/>
    <m/>
    <m/>
    <m/>
    <m/>
    <m/>
    <m/>
    <m/>
    <m/>
    <m/>
  </r>
  <r>
    <s v="Neeraj Arora"/>
    <n v="2.221E+19"/>
    <x v="1"/>
    <x v="176"/>
    <d v="2019-01-11T00:00:00"/>
    <x v="2"/>
    <n v="13"/>
    <s v="Vididt Saha"/>
    <x v="0"/>
    <s v="Property / BI"/>
    <s v="Cross Sell"/>
    <n v="518.13"/>
    <d v="2018-01-12T00:00:00"/>
    <s v="Brokerage"/>
    <x v="0"/>
    <s v="OTHR - Other"/>
    <d v="2020-01-22T00:00:00"/>
    <s v="Other"/>
    <m/>
    <m/>
    <m/>
    <m/>
    <m/>
    <m/>
    <m/>
    <m/>
    <m/>
    <m/>
    <m/>
    <m/>
    <m/>
    <m/>
    <m/>
    <m/>
    <m/>
    <m/>
    <m/>
    <m/>
  </r>
  <r>
    <s v="Mukul Kumar"/>
    <n v="3.1142E+18"/>
    <x v="1"/>
    <x v="284"/>
    <d v="2019-10-18T00:00:00"/>
    <x v="2"/>
    <n v="13"/>
    <s v="Vididt Saha"/>
    <x v="0"/>
    <s v="Liability"/>
    <s v="Cross Sell"/>
    <n v="2767.5"/>
    <d v="2018-10-19T00:00:00"/>
    <s v="Brokerage"/>
    <x v="3"/>
    <s v="NOLN - No Longer Needed"/>
    <d v="2020-01-22T00:00:00"/>
    <s v="NOLN - No Longer Needed"/>
    <m/>
    <m/>
    <m/>
    <m/>
    <m/>
    <m/>
    <m/>
    <m/>
    <m/>
    <m/>
    <m/>
    <m/>
    <m/>
    <m/>
    <m/>
    <m/>
    <m/>
    <m/>
    <m/>
    <m/>
  </r>
  <r>
    <s v="Gauri Naik"/>
    <n v="3.1142E+18"/>
    <x v="0"/>
    <x v="203"/>
    <d v="2020-10-24T00:00:00"/>
    <x v="2"/>
    <n v="13"/>
    <s v="Vididt Saha"/>
    <x v="0"/>
    <s v="Liability"/>
    <s v="Cross Sell"/>
    <n v="8198.25"/>
    <d v="2019-10-25T00:00:00"/>
    <s v="Brokerage"/>
    <x v="0"/>
    <s v="OTHR - Other"/>
    <d v="2020-01-22T00:00:00"/>
    <s v="Other"/>
    <m/>
    <m/>
    <m/>
    <m/>
    <m/>
    <m/>
    <m/>
    <m/>
    <m/>
    <m/>
    <m/>
    <m/>
    <m/>
    <m/>
    <m/>
    <m/>
    <m/>
    <m/>
    <m/>
    <m/>
  </r>
  <r>
    <s v="Harish Menon"/>
    <s v="MCO/I3350570/71/01/006343"/>
    <x v="0"/>
    <x v="177"/>
    <d v="2020-01-11T00:00:00"/>
    <x v="0"/>
    <n v="13"/>
    <s v="Vididt Saha"/>
    <x v="0"/>
    <s v="Marine"/>
    <s v="New"/>
    <n v="9075"/>
    <d v="2019-01-12T00:00:00"/>
    <s v="Brokerage"/>
    <x v="1"/>
    <s v="OTHR - Other"/>
    <d v="2020-01-22T00:00:00"/>
    <s v="Other"/>
    <m/>
    <m/>
    <m/>
    <m/>
    <m/>
    <m/>
    <m/>
    <m/>
    <m/>
    <m/>
    <m/>
    <m/>
    <m/>
    <m/>
    <m/>
    <m/>
    <m/>
    <m/>
    <m/>
    <m/>
  </r>
  <r>
    <s v="Mohit Gupta"/>
    <s v="MCO/I3350570/71/01/006343"/>
    <x v="0"/>
    <x v="177"/>
    <d v="2020-01-11T00:00:00"/>
    <x v="0"/>
    <n v="13"/>
    <s v="Vididt Saha"/>
    <x v="0"/>
    <s v="Marine"/>
    <s v="New"/>
    <n v="9075"/>
    <d v="2019-01-12T00:00:00"/>
    <s v="Brokerage"/>
    <x v="1"/>
    <s v="OTHR - Other"/>
    <d v="2020-01-22T00:00:00"/>
    <s v="Other"/>
    <m/>
    <m/>
    <m/>
    <m/>
    <m/>
    <m/>
    <m/>
    <m/>
    <m/>
    <m/>
    <m/>
    <m/>
    <m/>
    <m/>
    <m/>
    <m/>
    <m/>
    <m/>
    <m/>
    <m/>
  </r>
  <r>
    <s v="Amit Arora"/>
    <s v="PBI/I3352741/71/01/006343"/>
    <x v="0"/>
    <x v="177"/>
    <d v="2020-01-11T00:00:00"/>
    <x v="2"/>
    <n v="13"/>
    <s v="Vididt Saha"/>
    <x v="0"/>
    <s v="Property / BI"/>
    <s v="Cross Sell"/>
    <n v="521.25"/>
    <d v="2019-01-12T00:00:00"/>
    <s v="Brokerage"/>
    <x v="1"/>
    <s v="OTHR - Other"/>
    <d v="2020-01-22T00:00:00"/>
    <s v="Other"/>
    <m/>
    <m/>
    <m/>
    <m/>
    <m/>
    <m/>
    <m/>
    <m/>
    <m/>
    <m/>
    <m/>
    <m/>
    <m/>
    <m/>
    <m/>
    <m/>
    <m/>
    <m/>
    <m/>
    <m/>
  </r>
  <r>
    <s v="Nikita Pandit"/>
    <s v="PFS/I3353707/71/01/006343"/>
    <x v="0"/>
    <x v="177"/>
    <d v="2020-01-11T00:00:00"/>
    <x v="1"/>
    <n v="13"/>
    <s v="Vididt Saha"/>
    <x v="0"/>
    <s v="Property / BI"/>
    <s v="New"/>
    <n v="7889.31"/>
    <d v="2019-01-12T00:00:00"/>
    <s v="Brokerage"/>
    <x v="1"/>
    <s v="OTHR - Other"/>
    <d v="2020-01-22T00:00:00"/>
    <s v="Other"/>
    <m/>
    <m/>
    <m/>
    <m/>
    <m/>
    <m/>
    <m/>
    <m/>
    <m/>
    <m/>
    <m/>
    <m/>
    <m/>
    <m/>
    <m/>
    <m/>
    <m/>
    <m/>
    <m/>
    <m/>
  </r>
  <r>
    <s v="Vikas Gupta"/>
    <n v="33393"/>
    <x v="1"/>
    <x v="33"/>
    <d v="2019-10-31T00:00:00"/>
    <x v="3"/>
    <n v="10"/>
    <s v="Mark"/>
    <x v="0"/>
    <s v="Employee Benefits (EB)"/>
    <s v="Renewal"/>
    <n v="90307.75"/>
    <d v="2018-11-01T00:00:00"/>
    <s v="Brokerage"/>
    <x v="0"/>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Vikas Gupta"/>
    <n v="33393"/>
    <x v="1"/>
    <x v="33"/>
    <d v="2019-10-31T00:00:00"/>
    <x v="3"/>
    <n v="10"/>
    <s v="Mark"/>
    <x v="0"/>
    <s v="Employee Benefits (EB)"/>
    <s v="Renewal"/>
    <n v="90307.75"/>
    <d v="2018-11-01T00:00:00"/>
    <s v="Brokerage"/>
    <x v="0"/>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Vikas Gupta"/>
    <n v="33393"/>
    <x v="1"/>
    <x v="33"/>
    <d v="2019-10-31T00:00:00"/>
    <x v="3"/>
    <n v="10"/>
    <s v="Mark"/>
    <x v="0"/>
    <s v="Employee Benefits (EB)"/>
    <s v="Renewal"/>
    <n v="90307.75"/>
    <d v="2018-11-01T00:00:00"/>
    <s v="Brokerage"/>
    <x v="0"/>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Vikas Gupta"/>
    <n v="33393"/>
    <x v="1"/>
    <x v="33"/>
    <d v="2019-10-31T00:00:00"/>
    <x v="3"/>
    <n v="10"/>
    <s v="Mark"/>
    <x v="0"/>
    <s v="Employee Benefits (EB)"/>
    <s v="Renewal"/>
    <n v="90307.75"/>
    <d v="2018-11-01T00:00:00"/>
    <s v="Brokerage"/>
    <x v="0"/>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Vikas Gupta"/>
    <n v="33393"/>
    <x v="1"/>
    <x v="33"/>
    <d v="2019-10-31T00:00:00"/>
    <x v="3"/>
    <n v="10"/>
    <s v="Mark"/>
    <x v="0"/>
    <s v="Employee Benefits (EB)"/>
    <s v="Renewal"/>
    <n v="90307.75"/>
    <d v="2018-11-01T00:00:00"/>
    <s v="Brokerage"/>
    <x v="0"/>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Vikas Gupta"/>
    <n v="33393"/>
    <x v="1"/>
    <x v="33"/>
    <d v="2019-10-31T00:00:00"/>
    <x v="3"/>
    <n v="10"/>
    <s v="Mark"/>
    <x v="0"/>
    <s v="Employee Benefits (EB)"/>
    <s v="Renewal"/>
    <n v="90307.75"/>
    <d v="2018-11-01T00:00:00"/>
    <s v="Brokerage"/>
    <x v="0"/>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Vikas Gupta"/>
    <n v="33393"/>
    <x v="1"/>
    <x v="33"/>
    <d v="2019-10-31T00:00:00"/>
    <x v="3"/>
    <n v="10"/>
    <s v="Mark"/>
    <x v="0"/>
    <s v="Employee Benefits (EB)"/>
    <s v="Renewal"/>
    <n v="90307.75"/>
    <d v="2018-11-01T00:00:00"/>
    <s v="Brokerage"/>
    <x v="0"/>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Vikas Gupta"/>
    <n v="33393"/>
    <x v="1"/>
    <x v="33"/>
    <d v="2019-10-31T00:00:00"/>
    <x v="3"/>
    <n v="10"/>
    <s v="Mark"/>
    <x v="0"/>
    <s v="Employee Benefits (EB)"/>
    <s v="Renewal"/>
    <n v="90307.75"/>
    <d v="2018-11-01T00:00:00"/>
    <s v="Brokerage"/>
    <x v="0"/>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Vikas Gupta"/>
    <n v="33393"/>
    <x v="1"/>
    <x v="33"/>
    <d v="2019-10-31T00:00:00"/>
    <x v="3"/>
    <n v="10"/>
    <s v="Mark"/>
    <x v="0"/>
    <s v="Employee Benefits (EB)"/>
    <s v="Renewal"/>
    <n v="90307.75"/>
    <d v="2018-11-01T00:00:00"/>
    <s v="Brokerage"/>
    <x v="0"/>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Vikas Gupta"/>
    <n v="33393"/>
    <x v="1"/>
    <x v="33"/>
    <d v="2019-10-31T00:00:00"/>
    <x v="3"/>
    <n v="10"/>
    <s v="Mark"/>
    <x v="0"/>
    <s v="Employee Benefits (EB)"/>
    <s v="Renewal"/>
    <n v="90307.75"/>
    <d v="2018-11-01T00:00:00"/>
    <s v="Brokerage"/>
    <x v="0"/>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Kamlesh Pillai"/>
    <n v="3393"/>
    <x v="0"/>
    <x v="62"/>
    <d v="2020-10-31T00:00:00"/>
    <x v="3"/>
    <n v="10"/>
    <s v="Mark"/>
    <x v="0"/>
    <s v="Employee Benefits (EB)"/>
    <s v="Renewal"/>
    <n v="114751.5"/>
    <d v="2019-11-01T00:00:00"/>
    <s v="Brokerage"/>
    <x v="1"/>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Kamlesh Pillai"/>
    <n v="3393"/>
    <x v="0"/>
    <x v="62"/>
    <d v="2020-10-31T00:00:00"/>
    <x v="3"/>
    <n v="10"/>
    <s v="Mark"/>
    <x v="0"/>
    <s v="Employee Benefits (EB)"/>
    <s v="Renewal"/>
    <n v="114751.5"/>
    <d v="2019-11-01T00:00:00"/>
    <s v="Brokerage"/>
    <x v="1"/>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Kamlesh Pillai"/>
    <n v="3393"/>
    <x v="0"/>
    <x v="62"/>
    <d v="2020-10-31T00:00:00"/>
    <x v="3"/>
    <n v="10"/>
    <s v="Mark"/>
    <x v="0"/>
    <s v="Employee Benefits (EB)"/>
    <s v="Renewal"/>
    <n v="114751.5"/>
    <d v="2019-11-01T00:00:00"/>
    <s v="Brokerage"/>
    <x v="1"/>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Kamlesh Pillai"/>
    <n v="3393"/>
    <x v="0"/>
    <x v="62"/>
    <d v="2020-10-31T00:00:00"/>
    <x v="3"/>
    <n v="10"/>
    <s v="Mark"/>
    <x v="0"/>
    <s v="Employee Benefits (EB)"/>
    <s v="Renewal"/>
    <n v="114751.5"/>
    <d v="2019-11-01T00:00:00"/>
    <s v="Brokerage"/>
    <x v="1"/>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Kamlesh Pillai"/>
    <n v="3393"/>
    <x v="0"/>
    <x v="62"/>
    <d v="2020-10-31T00:00:00"/>
    <x v="3"/>
    <n v="10"/>
    <s v="Mark"/>
    <x v="0"/>
    <s v="Employee Benefits (EB)"/>
    <s v="Renewal"/>
    <n v="114751.5"/>
    <d v="2019-11-01T00:00:00"/>
    <s v="Brokerage"/>
    <x v="1"/>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Kamlesh Pillai"/>
    <n v="3393"/>
    <x v="0"/>
    <x v="62"/>
    <d v="2020-10-31T00:00:00"/>
    <x v="3"/>
    <n v="10"/>
    <s v="Mark"/>
    <x v="0"/>
    <s v="Employee Benefits (EB)"/>
    <s v="Renewal"/>
    <n v="114751.5"/>
    <d v="2019-11-01T00:00:00"/>
    <s v="Brokerage"/>
    <x v="1"/>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Kamlesh Pillai"/>
    <n v="3393"/>
    <x v="0"/>
    <x v="62"/>
    <d v="2020-10-31T00:00:00"/>
    <x v="3"/>
    <n v="10"/>
    <s v="Mark"/>
    <x v="0"/>
    <s v="Employee Benefits (EB)"/>
    <s v="Renewal"/>
    <n v="114751.5"/>
    <d v="2019-11-01T00:00:00"/>
    <s v="Brokerage"/>
    <x v="1"/>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Kamlesh Pillai"/>
    <n v="3393"/>
    <x v="0"/>
    <x v="62"/>
    <d v="2020-10-31T00:00:00"/>
    <x v="3"/>
    <n v="10"/>
    <s v="Mark"/>
    <x v="0"/>
    <s v="Employee Benefits (EB)"/>
    <s v="Renewal"/>
    <n v="114751.5"/>
    <d v="2019-11-01T00:00:00"/>
    <s v="Brokerage"/>
    <x v="1"/>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Kamlesh Pillai"/>
    <n v="3393"/>
    <x v="0"/>
    <x v="62"/>
    <d v="2020-10-31T00:00:00"/>
    <x v="3"/>
    <n v="10"/>
    <s v="Mark"/>
    <x v="0"/>
    <s v="Employee Benefits (EB)"/>
    <s v="Renewal"/>
    <n v="114751.5"/>
    <d v="2019-11-01T00:00:00"/>
    <s v="Brokerage"/>
    <x v="1"/>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Kamlesh Pillai"/>
    <n v="3393"/>
    <x v="0"/>
    <x v="62"/>
    <d v="2020-10-31T00:00:00"/>
    <x v="3"/>
    <n v="10"/>
    <s v="Mark"/>
    <x v="0"/>
    <s v="Employee Benefits (EB)"/>
    <s v="Renewal"/>
    <n v="114751.5"/>
    <d v="2019-11-01T00:00:00"/>
    <s v="Brokerage"/>
    <x v="1"/>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Umesh Agarwal"/>
    <n v="2301001342"/>
    <x v="0"/>
    <x v="33"/>
    <d v="2019-10-31T00:00:00"/>
    <x v="4"/>
    <n v="3"/>
    <s v="Animesh Rawat"/>
    <x v="0"/>
    <s v="Global Client Network (GNB Inward)"/>
    <s v="Renewal"/>
    <n v="52751.13"/>
    <d v="2018-11-01T00:00:00"/>
    <s v="Brokerage"/>
    <x v="0"/>
    <s v="OTHR - Other"/>
    <d v="2020-01-22T00:00:00"/>
    <s v="Other"/>
    <m/>
    <m/>
    <m/>
    <m/>
    <m/>
    <m/>
    <m/>
    <m/>
    <m/>
    <m/>
    <m/>
    <m/>
    <m/>
    <m/>
    <m/>
    <m/>
    <m/>
    <m/>
    <m/>
    <m/>
  </r>
  <r>
    <s v="Ankur Gandhi"/>
    <n v="2302002435"/>
    <x v="0"/>
    <x v="33"/>
    <d v="2019-10-31T00:00:00"/>
    <x v="4"/>
    <n v="3"/>
    <s v="Animesh Rawat"/>
    <x v="0"/>
    <s v="Global Client Network (GNB Inward)"/>
    <s v="Renewal"/>
    <n v="53125"/>
    <d v="2018-11-01T00:00:00"/>
    <s v="Brokerage"/>
    <x v="0"/>
    <s v="OTHR - Other"/>
    <d v="2020-01-22T00:00:00"/>
    <s v="Other"/>
    <m/>
    <m/>
    <m/>
    <m/>
    <m/>
    <m/>
    <m/>
    <m/>
    <m/>
    <m/>
    <m/>
    <m/>
    <m/>
    <m/>
    <m/>
    <m/>
    <m/>
    <m/>
    <m/>
    <m/>
  </r>
  <r>
    <s v="Dinesh Kaul"/>
    <s v="4006/79486382/05/000"/>
    <x v="0"/>
    <x v="33"/>
    <d v="2019-10-31T00:00:00"/>
    <x v="2"/>
    <n v="3"/>
    <s v="Animesh Rawat"/>
    <x v="0"/>
    <s v="Global Client Network (GNB Inward)"/>
    <s v="Renewal"/>
    <n v="359.13"/>
    <d v="2018-11-01T00:00:00"/>
    <s v="Brokerage"/>
    <x v="0"/>
    <s v="OTHR - Other"/>
    <d v="2020-01-22T00:00:00"/>
    <s v="Other"/>
    <m/>
    <m/>
    <m/>
    <m/>
    <m/>
    <m/>
    <m/>
    <m/>
    <m/>
    <m/>
    <m/>
    <m/>
    <m/>
    <m/>
    <m/>
    <m/>
    <m/>
    <m/>
    <m/>
    <m/>
  </r>
  <r>
    <s v="Ankur Naik"/>
    <s v="4010/141353816/01/000"/>
    <x v="0"/>
    <x v="33"/>
    <d v="2019-10-31T00:00:00"/>
    <x v="2"/>
    <n v="3"/>
    <s v="Animesh Rawat"/>
    <x v="0"/>
    <s v="Global Client Network (GNB Inward)"/>
    <s v="Renewal"/>
    <n v="0"/>
    <d v="2018-11-01T00:00:00"/>
    <s v="Brokerage"/>
    <x v="0"/>
    <s v="OTHR - Other"/>
    <d v="2020-01-22T00:00:00"/>
    <s v="Other"/>
    <m/>
    <m/>
    <m/>
    <m/>
    <m/>
    <m/>
    <m/>
    <m/>
    <m/>
    <m/>
    <m/>
    <m/>
    <m/>
    <m/>
    <m/>
    <m/>
    <m/>
    <m/>
    <m/>
    <m/>
  </r>
  <r>
    <s v="LAP"/>
    <s v="4066/140501600/01/000"/>
    <x v="0"/>
    <x v="33"/>
    <d v="2019-10-31T00:00:00"/>
    <x v="4"/>
    <n v="3"/>
    <s v="Animesh Rawat"/>
    <x v="0"/>
    <s v="Global Client Network (GNB Inward)"/>
    <s v="Renewal"/>
    <n v="0"/>
    <d v="2018-11-01T00:00:00"/>
    <s v="Brokerage"/>
    <x v="0"/>
    <s v="OTHR - Other"/>
    <d v="2020-01-22T00:00:00"/>
    <s v="Other"/>
    <m/>
    <m/>
    <m/>
    <m/>
    <m/>
    <m/>
    <m/>
    <m/>
    <m/>
    <m/>
    <m/>
    <m/>
    <m/>
    <m/>
    <m/>
    <m/>
    <m/>
    <m/>
    <m/>
    <m/>
  </r>
  <r>
    <s v="LAP"/>
    <s v="4086/160357783/00/000"/>
    <x v="0"/>
    <x v="33"/>
    <d v="2019-10-31T00:00:00"/>
    <x v="1"/>
    <n v="3"/>
    <s v="Animesh Rawat"/>
    <x v="0"/>
    <s v="Global Client Network (GNB Inward)"/>
    <s v="Renewal"/>
    <n v="0"/>
    <d v="2018-11-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LAP"/>
    <s v="4086/160357783/00/000"/>
    <x v="0"/>
    <x v="33"/>
    <d v="2019-10-31T00:00:00"/>
    <x v="1"/>
    <n v="3"/>
    <s v="Animesh Rawat"/>
    <x v="0"/>
    <s v="Global Client Network (GNB Inward)"/>
    <s v="Renewal"/>
    <n v="0"/>
    <d v="2018-11-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LAP"/>
    <s v="4086/160357783/00/000"/>
    <x v="0"/>
    <x v="33"/>
    <d v="2019-10-31T00:00:00"/>
    <x v="1"/>
    <n v="3"/>
    <s v="Animesh Rawat"/>
    <x v="0"/>
    <s v="Global Client Network (GNB Inward)"/>
    <s v="Renewal"/>
    <n v="0"/>
    <d v="2018-11-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LAP"/>
    <s v="4086/160357783/00/000"/>
    <x v="0"/>
    <x v="33"/>
    <d v="2019-10-31T00:00:00"/>
    <x v="1"/>
    <n v="3"/>
    <s v="Animesh Rawat"/>
    <x v="0"/>
    <s v="Global Client Network (GNB Inward)"/>
    <s v="Renewal"/>
    <n v="0"/>
    <d v="2018-11-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LAP"/>
    <s v="4086/160357783/00/000"/>
    <x v="0"/>
    <x v="33"/>
    <d v="2019-10-31T00:00:00"/>
    <x v="1"/>
    <n v="3"/>
    <s v="Animesh Rawat"/>
    <x v="0"/>
    <s v="Global Client Network (GNB Inward)"/>
    <s v="Renewal"/>
    <n v="0"/>
    <d v="2018-11-01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LAP"/>
    <s v="4086/160357783/00/000"/>
    <x v="0"/>
    <x v="33"/>
    <d v="2019-10-31T00:00:00"/>
    <x v="1"/>
    <n v="3"/>
    <s v="Animesh Rawat"/>
    <x v="0"/>
    <s v="Global Client Network (GNB Inward)"/>
    <s v="Renewal"/>
    <n v="0"/>
    <d v="2018-11-01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LAP"/>
    <s v="4086/160357783/00/000"/>
    <x v="0"/>
    <x v="33"/>
    <d v="2019-10-31T00:00:00"/>
    <x v="1"/>
    <n v="3"/>
    <s v="Animesh Rawat"/>
    <x v="0"/>
    <s v="Global Client Network (GNB Inward)"/>
    <s v="Renewal"/>
    <n v="0"/>
    <d v="2018-11-01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LAP"/>
    <s v="4086/160357783/00/000"/>
    <x v="0"/>
    <x v="33"/>
    <d v="2019-10-31T00:00:00"/>
    <x v="1"/>
    <n v="3"/>
    <s v="Animesh Rawat"/>
    <x v="0"/>
    <s v="Global Client Network (GNB Inward)"/>
    <s v="Renewal"/>
    <n v="0"/>
    <d v="2018-11-01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LAP"/>
    <s v="4086/160357783/00/000"/>
    <x v="0"/>
    <x v="33"/>
    <d v="2019-10-31T00:00:00"/>
    <x v="1"/>
    <n v="3"/>
    <s v="Animesh Rawat"/>
    <x v="0"/>
    <s v="Global Client Network (GNB Inward)"/>
    <s v="Renewal"/>
    <n v="0"/>
    <d v="2018-11-01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LAP"/>
    <s v="4086/160357783/00/000"/>
    <x v="0"/>
    <x v="33"/>
    <d v="2019-10-31T00:00:00"/>
    <x v="1"/>
    <n v="3"/>
    <s v="Animesh Rawat"/>
    <x v="0"/>
    <s v="Global Client Network (GNB Inward)"/>
    <s v="Renewal"/>
    <n v="0"/>
    <d v="2018-11-01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LAP"/>
    <s v="4086/160357783/00/000"/>
    <x v="0"/>
    <x v="33"/>
    <d v="2019-10-31T00:00:00"/>
    <x v="1"/>
    <n v="3"/>
    <s v="Animesh Rawat"/>
    <x v="0"/>
    <s v="Global Client Network (GNB Inward)"/>
    <s v="Renewal"/>
    <n v="0"/>
    <d v="2018-11-01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LAP"/>
    <s v="4086/160357783/00/000"/>
    <x v="0"/>
    <x v="33"/>
    <d v="2019-10-31T00:00:00"/>
    <x v="1"/>
    <n v="3"/>
    <s v="Animesh Rawat"/>
    <x v="0"/>
    <s v="Global Client Network (GNB Inward)"/>
    <s v="Renewal"/>
    <n v="0"/>
    <d v="2018-11-01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LAP"/>
    <n v="54407334"/>
    <x v="0"/>
    <x v="13"/>
    <d v="2019-12-31T00:00:00"/>
    <x v="3"/>
    <n v="10"/>
    <s v="Mark"/>
    <x v="0"/>
    <s v="Employee Benefits (EB)"/>
    <s v="Renewal"/>
    <n v="23387.4"/>
    <d v="2019-01-01T00:00:00"/>
    <s v="Brokerage"/>
    <x v="0"/>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LAP"/>
    <n v="54407334"/>
    <x v="0"/>
    <x v="13"/>
    <d v="2019-12-31T00:00:00"/>
    <x v="3"/>
    <n v="10"/>
    <s v="Mark"/>
    <x v="0"/>
    <s v="Employee Benefits (EB)"/>
    <s v="Renewal"/>
    <n v="23387.4"/>
    <d v="2019-01-01T00:00:00"/>
    <s v="Brokerage"/>
    <x v="0"/>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LAP"/>
    <n v="54407334"/>
    <x v="0"/>
    <x v="13"/>
    <d v="2019-12-31T00:00:00"/>
    <x v="3"/>
    <n v="10"/>
    <s v="Mark"/>
    <x v="0"/>
    <s v="Employee Benefits (EB)"/>
    <s v="Renewal"/>
    <n v="23387.4"/>
    <d v="2019-01-01T00:00:00"/>
    <s v="Brokerage"/>
    <x v="0"/>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LAP"/>
    <n v="54407334"/>
    <x v="0"/>
    <x v="13"/>
    <d v="2019-12-31T00:00:00"/>
    <x v="3"/>
    <n v="10"/>
    <s v="Mark"/>
    <x v="0"/>
    <s v="Employee Benefits (EB)"/>
    <s v="Renewal"/>
    <n v="23387.4"/>
    <d v="2019-01-01T00:00:00"/>
    <s v="Brokerage"/>
    <x v="0"/>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LAP"/>
    <n v="54407334"/>
    <x v="0"/>
    <x v="13"/>
    <d v="2019-12-31T00:00:00"/>
    <x v="3"/>
    <n v="10"/>
    <s v="Mark"/>
    <x v="0"/>
    <s v="Employee Benefits (EB)"/>
    <s v="Renewal"/>
    <n v="23387.4"/>
    <d v="2019-01-01T00:00:00"/>
    <s v="Brokerage"/>
    <x v="0"/>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LAP"/>
    <n v="54407334"/>
    <x v="0"/>
    <x v="13"/>
    <d v="2019-12-31T00:00:00"/>
    <x v="3"/>
    <n v="10"/>
    <s v="Mark"/>
    <x v="0"/>
    <s v="Employee Benefits (EB)"/>
    <s v="Renewal"/>
    <n v="23387.4"/>
    <d v="2019-01-01T00:00:00"/>
    <s v="Brokerage"/>
    <x v="0"/>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LAP"/>
    <n v="54407334"/>
    <x v="0"/>
    <x v="13"/>
    <d v="2019-12-31T00:00:00"/>
    <x v="3"/>
    <n v="10"/>
    <s v="Mark"/>
    <x v="0"/>
    <s v="Employee Benefits (EB)"/>
    <s v="Renewal"/>
    <n v="23387.4"/>
    <d v="2019-01-01T00:00:00"/>
    <s v="Brokerage"/>
    <x v="0"/>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LAP"/>
    <n v="54407334"/>
    <x v="0"/>
    <x v="13"/>
    <d v="2019-12-31T00:00:00"/>
    <x v="3"/>
    <n v="10"/>
    <s v="Mark"/>
    <x v="0"/>
    <s v="Employee Benefits (EB)"/>
    <s v="Renewal"/>
    <n v="23387.4"/>
    <d v="2019-01-01T00:00:00"/>
    <s v="Brokerage"/>
    <x v="0"/>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LAP"/>
    <n v="54407334"/>
    <x v="0"/>
    <x v="13"/>
    <d v="2019-12-31T00:00:00"/>
    <x v="3"/>
    <n v="10"/>
    <s v="Mark"/>
    <x v="0"/>
    <s v="Employee Benefits (EB)"/>
    <s v="Renewal"/>
    <n v="23387.4"/>
    <d v="2019-01-01T00:00:00"/>
    <s v="Brokerage"/>
    <x v="0"/>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LAP"/>
    <n v="54407334"/>
    <x v="0"/>
    <x v="13"/>
    <d v="2019-12-31T00:00:00"/>
    <x v="3"/>
    <n v="10"/>
    <s v="Mark"/>
    <x v="0"/>
    <s v="Employee Benefits (EB)"/>
    <s v="Renewal"/>
    <n v="23387.4"/>
    <d v="2019-01-01T00:00:00"/>
    <s v="Brokerage"/>
    <x v="0"/>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914998.58"/>
    <d v="2019-01-01T00:00:00"/>
    <s v="Brokerage"/>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914998.58"/>
    <d v="2019-01-01T00:00:00"/>
    <s v="Brokerage"/>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914998.58"/>
    <d v="2019-01-01T00:00:00"/>
    <s v="Brokerage"/>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914998.58"/>
    <d v="2019-01-01T00:00:00"/>
    <s v="Brokerage"/>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914998.58"/>
    <d v="2019-01-01T00:00:00"/>
    <s v="Brokerage"/>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LAP"/>
    <s v="H0048996"/>
    <x v="0"/>
    <x v="13"/>
    <d v="2019-12-31T00:00:00"/>
    <x v="3"/>
    <n v="10"/>
    <s v="Mark"/>
    <x v="0"/>
    <s v="Employee Benefits (EB)"/>
    <s v="Renewal"/>
    <n v="914998.58"/>
    <d v="2019-01-01T00:00:00"/>
    <s v="Brokerage"/>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LAP"/>
    <s v="H0048996"/>
    <x v="0"/>
    <x v="13"/>
    <d v="2019-12-31T00:00:00"/>
    <x v="3"/>
    <n v="10"/>
    <s v="Mark"/>
    <x v="0"/>
    <s v="Employee Benefits (EB)"/>
    <s v="Renewal"/>
    <n v="914998.58"/>
    <d v="2019-01-01T00:00:00"/>
    <s v="Brokerage"/>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LAP"/>
    <s v="H0048996"/>
    <x v="0"/>
    <x v="13"/>
    <d v="2019-12-31T00:00:00"/>
    <x v="3"/>
    <n v="10"/>
    <s v="Mark"/>
    <x v="0"/>
    <s v="Employee Benefits (EB)"/>
    <s v="Renewal"/>
    <n v="914998.58"/>
    <d v="2019-01-01T00:00:00"/>
    <s v="Brokerage"/>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LAP"/>
    <s v="H0048996"/>
    <x v="0"/>
    <x v="13"/>
    <d v="2019-12-31T00:00:00"/>
    <x v="3"/>
    <n v="10"/>
    <s v="Mark"/>
    <x v="0"/>
    <s v="Employee Benefits (EB)"/>
    <s v="Renewal"/>
    <n v="914998.58"/>
    <d v="2019-01-01T00:00:00"/>
    <s v="Brokerage"/>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914998.58"/>
    <d v="2019-01-01T00:00:00"/>
    <s v="Brokerage"/>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93906.08"/>
    <d v="2019-03-07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93906.08"/>
    <d v="2019-03-07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93906.08"/>
    <d v="2019-03-07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93906.08"/>
    <d v="2019-03-07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93906.08"/>
    <d v="2019-03-07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LAP"/>
    <s v="H0048996"/>
    <x v="0"/>
    <x v="13"/>
    <d v="2019-12-31T00:00:00"/>
    <x v="3"/>
    <n v="10"/>
    <s v="Mark"/>
    <x v="0"/>
    <s v="Employee Benefits (EB)"/>
    <s v="Renewal"/>
    <n v="93906.08"/>
    <d v="2019-03-07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LAP"/>
    <s v="H0048996"/>
    <x v="0"/>
    <x v="13"/>
    <d v="2019-12-31T00:00:00"/>
    <x v="3"/>
    <n v="10"/>
    <s v="Mark"/>
    <x v="0"/>
    <s v="Employee Benefits (EB)"/>
    <s v="Renewal"/>
    <n v="93906.08"/>
    <d v="2019-03-07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LAP"/>
    <s v="H0048996"/>
    <x v="0"/>
    <x v="13"/>
    <d v="2019-12-31T00:00:00"/>
    <x v="3"/>
    <n v="10"/>
    <s v="Mark"/>
    <x v="0"/>
    <s v="Employee Benefits (EB)"/>
    <s v="Renewal"/>
    <n v="93906.08"/>
    <d v="2019-03-07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LAP"/>
    <s v="H0048996"/>
    <x v="0"/>
    <x v="13"/>
    <d v="2019-12-31T00:00:00"/>
    <x v="3"/>
    <n v="10"/>
    <s v="Mark"/>
    <x v="0"/>
    <s v="Employee Benefits (EB)"/>
    <s v="Renewal"/>
    <n v="93906.08"/>
    <d v="2019-03-07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93906.08"/>
    <d v="2019-03-07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27435"/>
    <d v="2019-01-23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27435"/>
    <d v="2019-01-23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27435"/>
    <d v="2019-01-23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27435"/>
    <d v="2019-01-23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27435"/>
    <d v="2019-01-23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LAP"/>
    <s v="H0048996"/>
    <x v="0"/>
    <x v="13"/>
    <d v="2019-12-31T00:00:00"/>
    <x v="3"/>
    <n v="10"/>
    <s v="Mark"/>
    <x v="0"/>
    <s v="Employee Benefits (EB)"/>
    <s v="Renewal"/>
    <n v="27435"/>
    <d v="2019-01-23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LAP"/>
    <s v="H0048996"/>
    <x v="0"/>
    <x v="13"/>
    <d v="2019-12-31T00:00:00"/>
    <x v="3"/>
    <n v="10"/>
    <s v="Mark"/>
    <x v="0"/>
    <s v="Employee Benefits (EB)"/>
    <s v="Renewal"/>
    <n v="27435"/>
    <d v="2019-01-23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LAP"/>
    <s v="H0048996"/>
    <x v="0"/>
    <x v="13"/>
    <d v="2019-12-31T00:00:00"/>
    <x v="3"/>
    <n v="10"/>
    <s v="Mark"/>
    <x v="0"/>
    <s v="Employee Benefits (EB)"/>
    <s v="Renewal"/>
    <n v="27435"/>
    <d v="2019-01-23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LAP"/>
    <s v="H0048996"/>
    <x v="0"/>
    <x v="13"/>
    <d v="2019-12-31T00:00:00"/>
    <x v="3"/>
    <n v="10"/>
    <s v="Mark"/>
    <x v="0"/>
    <s v="Employee Benefits (EB)"/>
    <s v="Renewal"/>
    <n v="27435"/>
    <d v="2019-01-23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27435"/>
    <d v="2019-01-23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32391.85"/>
    <d v="2019-05-10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32391.85"/>
    <d v="2019-05-10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32391.85"/>
    <d v="2019-05-10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32391.85"/>
    <d v="2019-05-10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32391.85"/>
    <d v="2019-05-10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LAP"/>
    <s v="H0048996"/>
    <x v="0"/>
    <x v="13"/>
    <d v="2019-12-31T00:00:00"/>
    <x v="3"/>
    <n v="10"/>
    <s v="Mark"/>
    <x v="0"/>
    <s v="Employee Benefits (EB)"/>
    <s v="Renewal"/>
    <n v="32391.85"/>
    <d v="2019-05-10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LAP"/>
    <s v="H0048996"/>
    <x v="0"/>
    <x v="13"/>
    <d v="2019-12-31T00:00:00"/>
    <x v="3"/>
    <n v="10"/>
    <s v="Mark"/>
    <x v="0"/>
    <s v="Employee Benefits (EB)"/>
    <s v="Renewal"/>
    <n v="32391.85"/>
    <d v="2019-05-10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LAP"/>
    <s v="H0048996"/>
    <x v="0"/>
    <x v="13"/>
    <d v="2019-12-31T00:00:00"/>
    <x v="3"/>
    <n v="10"/>
    <s v="Mark"/>
    <x v="0"/>
    <s v="Employee Benefits (EB)"/>
    <s v="Renewal"/>
    <n v="32391.85"/>
    <d v="2019-05-10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LAP"/>
    <s v="H0048996"/>
    <x v="0"/>
    <x v="13"/>
    <d v="2019-12-31T00:00:00"/>
    <x v="3"/>
    <n v="10"/>
    <s v="Mark"/>
    <x v="0"/>
    <s v="Employee Benefits (EB)"/>
    <s v="Renewal"/>
    <n v="32391.85"/>
    <d v="2019-05-10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32391.85"/>
    <d v="2019-05-10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9941.16"/>
    <d v="2019-07-10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9941.16"/>
    <d v="2019-07-10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9941.16"/>
    <d v="2019-07-10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9941.16"/>
    <d v="2019-07-10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9941.16"/>
    <d v="2019-07-10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LAP"/>
    <s v="H0048996"/>
    <x v="0"/>
    <x v="13"/>
    <d v="2019-12-31T00:00:00"/>
    <x v="3"/>
    <n v="10"/>
    <s v="Mark"/>
    <x v="0"/>
    <s v="Employee Benefits (EB)"/>
    <s v="Renewal"/>
    <n v="9941.16"/>
    <d v="2019-07-10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LAP"/>
    <s v="H0048996"/>
    <x v="0"/>
    <x v="13"/>
    <d v="2019-12-31T00:00:00"/>
    <x v="3"/>
    <n v="10"/>
    <s v="Mark"/>
    <x v="0"/>
    <s v="Employee Benefits (EB)"/>
    <s v="Renewal"/>
    <n v="9941.16"/>
    <d v="2019-07-10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LAP"/>
    <s v="H0048996"/>
    <x v="0"/>
    <x v="13"/>
    <d v="2019-12-31T00:00:00"/>
    <x v="3"/>
    <n v="10"/>
    <s v="Mark"/>
    <x v="0"/>
    <s v="Employee Benefits (EB)"/>
    <s v="Renewal"/>
    <n v="9941.16"/>
    <d v="2019-07-10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LAP"/>
    <s v="H0048996"/>
    <x v="0"/>
    <x v="13"/>
    <d v="2019-12-31T00:00:00"/>
    <x v="3"/>
    <n v="10"/>
    <s v="Mark"/>
    <x v="0"/>
    <s v="Employee Benefits (EB)"/>
    <s v="Renewal"/>
    <n v="9941.16"/>
    <d v="2019-07-10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9941.16"/>
    <d v="2019-07-10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27681.48"/>
    <d v="2019-08-14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27681.48"/>
    <d v="2019-08-14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27681.48"/>
    <d v="2019-08-14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27681.48"/>
    <d v="2019-08-14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27681.48"/>
    <d v="2019-08-14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LAP"/>
    <s v="H0048996"/>
    <x v="0"/>
    <x v="13"/>
    <d v="2019-12-31T00:00:00"/>
    <x v="3"/>
    <n v="10"/>
    <s v="Mark"/>
    <x v="0"/>
    <s v="Employee Benefits (EB)"/>
    <s v="Renewal"/>
    <n v="27681.48"/>
    <d v="2019-08-14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LAP"/>
    <s v="H0048996"/>
    <x v="0"/>
    <x v="13"/>
    <d v="2019-12-31T00:00:00"/>
    <x v="3"/>
    <n v="10"/>
    <s v="Mark"/>
    <x v="0"/>
    <s v="Employee Benefits (EB)"/>
    <s v="Renewal"/>
    <n v="27681.48"/>
    <d v="2019-08-14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LAP"/>
    <s v="H0048996"/>
    <x v="0"/>
    <x v="13"/>
    <d v="2019-12-31T00:00:00"/>
    <x v="3"/>
    <n v="10"/>
    <s v="Mark"/>
    <x v="0"/>
    <s v="Employee Benefits (EB)"/>
    <s v="Renewal"/>
    <n v="27681.48"/>
    <d v="2019-08-14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LAP"/>
    <s v="H0048996"/>
    <x v="0"/>
    <x v="13"/>
    <d v="2019-12-31T00:00:00"/>
    <x v="3"/>
    <n v="10"/>
    <s v="Mark"/>
    <x v="0"/>
    <s v="Employee Benefits (EB)"/>
    <s v="Renewal"/>
    <n v="27681.48"/>
    <d v="2019-08-14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27681.48"/>
    <d v="2019-08-14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18901.02"/>
    <d v="2019-09-14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18901.02"/>
    <d v="2019-09-14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18901.02"/>
    <d v="2019-09-14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18901.02"/>
    <d v="2019-09-14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18901.02"/>
    <d v="2019-09-14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LAP"/>
    <s v="H0048996"/>
    <x v="0"/>
    <x v="13"/>
    <d v="2019-12-31T00:00:00"/>
    <x v="3"/>
    <n v="10"/>
    <s v="Mark"/>
    <x v="0"/>
    <s v="Employee Benefits (EB)"/>
    <s v="Renewal"/>
    <n v="18901.02"/>
    <d v="2019-09-14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LAP"/>
    <s v="H0048996"/>
    <x v="0"/>
    <x v="13"/>
    <d v="2019-12-31T00:00:00"/>
    <x v="3"/>
    <n v="10"/>
    <s v="Mark"/>
    <x v="0"/>
    <s v="Employee Benefits (EB)"/>
    <s v="Renewal"/>
    <n v="18901.02"/>
    <d v="2019-09-14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LAP"/>
    <s v="H0048996"/>
    <x v="0"/>
    <x v="13"/>
    <d v="2019-12-31T00:00:00"/>
    <x v="3"/>
    <n v="10"/>
    <s v="Mark"/>
    <x v="0"/>
    <s v="Employee Benefits (EB)"/>
    <s v="Renewal"/>
    <n v="18901.02"/>
    <d v="2019-09-14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LAP"/>
    <s v="H0048996"/>
    <x v="0"/>
    <x v="13"/>
    <d v="2019-12-31T00:00:00"/>
    <x v="3"/>
    <n v="10"/>
    <s v="Mark"/>
    <x v="0"/>
    <s v="Employee Benefits (EB)"/>
    <s v="Renewal"/>
    <n v="18901.02"/>
    <d v="2019-09-14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18901.02"/>
    <d v="2019-09-14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46994.85"/>
    <d v="2019-01-29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46994.85"/>
    <d v="2019-01-29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46994.85"/>
    <d v="2019-01-29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46994.85"/>
    <d v="2019-01-29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46994.85"/>
    <d v="2019-01-29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LAP"/>
    <s v="H0048996"/>
    <x v="0"/>
    <x v="13"/>
    <d v="2019-12-31T00:00:00"/>
    <x v="3"/>
    <n v="10"/>
    <s v="Mark"/>
    <x v="0"/>
    <s v="Employee Benefits (EB)"/>
    <s v="Renewal"/>
    <n v="46994.85"/>
    <d v="2019-01-29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LAP"/>
    <s v="H0048996"/>
    <x v="0"/>
    <x v="13"/>
    <d v="2019-12-31T00:00:00"/>
    <x v="3"/>
    <n v="10"/>
    <s v="Mark"/>
    <x v="0"/>
    <s v="Employee Benefits (EB)"/>
    <s v="Renewal"/>
    <n v="46994.85"/>
    <d v="2019-01-29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LAP"/>
    <s v="H0048996"/>
    <x v="0"/>
    <x v="13"/>
    <d v="2019-12-31T00:00:00"/>
    <x v="3"/>
    <n v="10"/>
    <s v="Mark"/>
    <x v="0"/>
    <s v="Employee Benefits (EB)"/>
    <s v="Renewal"/>
    <n v="46994.85"/>
    <d v="2019-01-29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LAP"/>
    <s v="H0048996"/>
    <x v="0"/>
    <x v="13"/>
    <d v="2019-12-31T00:00:00"/>
    <x v="3"/>
    <n v="10"/>
    <s v="Mark"/>
    <x v="0"/>
    <s v="Employee Benefits (EB)"/>
    <s v="Renewal"/>
    <n v="46994.85"/>
    <d v="2019-01-29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46994.85"/>
    <d v="2019-01-29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17139.5"/>
    <d v="2019-10-11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17139.5"/>
    <d v="2019-10-11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17139.5"/>
    <d v="2019-10-11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17139.5"/>
    <d v="2019-10-11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17139.5"/>
    <d v="2019-10-11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LAP"/>
    <s v="H0048996"/>
    <x v="0"/>
    <x v="13"/>
    <d v="2019-12-31T00:00:00"/>
    <x v="3"/>
    <n v="10"/>
    <s v="Mark"/>
    <x v="0"/>
    <s v="Employee Benefits (EB)"/>
    <s v="Renewal"/>
    <n v="17139.5"/>
    <d v="2019-10-11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LAP"/>
    <s v="H0048996"/>
    <x v="0"/>
    <x v="13"/>
    <d v="2019-12-31T00:00:00"/>
    <x v="3"/>
    <n v="10"/>
    <s v="Mark"/>
    <x v="0"/>
    <s v="Employee Benefits (EB)"/>
    <s v="Renewal"/>
    <n v="17139.5"/>
    <d v="2019-10-11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LAP"/>
    <s v="H0048996"/>
    <x v="0"/>
    <x v="13"/>
    <d v="2019-12-31T00:00:00"/>
    <x v="3"/>
    <n v="10"/>
    <s v="Mark"/>
    <x v="0"/>
    <s v="Employee Benefits (EB)"/>
    <s v="Renewal"/>
    <n v="17139.5"/>
    <d v="2019-10-11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LAP"/>
    <s v="H0048996"/>
    <x v="0"/>
    <x v="13"/>
    <d v="2019-12-31T00:00:00"/>
    <x v="3"/>
    <n v="10"/>
    <s v="Mark"/>
    <x v="0"/>
    <s v="Employee Benefits (EB)"/>
    <s v="Renewal"/>
    <n v="17139.5"/>
    <d v="2019-10-11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17139.5"/>
    <d v="2019-10-11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8560.86"/>
    <d v="2019-11-14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8560.86"/>
    <d v="2019-11-14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8560.86"/>
    <d v="2019-11-14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8560.86"/>
    <d v="2019-11-14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8560.86"/>
    <d v="2019-11-14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LAP"/>
    <s v="H0048996"/>
    <x v="0"/>
    <x v="13"/>
    <d v="2019-12-31T00:00:00"/>
    <x v="3"/>
    <n v="10"/>
    <s v="Mark"/>
    <x v="0"/>
    <s v="Employee Benefits (EB)"/>
    <s v="Renewal"/>
    <n v="8560.86"/>
    <d v="2019-11-14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LAP"/>
    <s v="H0048996"/>
    <x v="0"/>
    <x v="13"/>
    <d v="2019-12-31T00:00:00"/>
    <x v="3"/>
    <n v="10"/>
    <s v="Mark"/>
    <x v="0"/>
    <s v="Employee Benefits (EB)"/>
    <s v="Renewal"/>
    <n v="8560.86"/>
    <d v="2019-11-14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LAP"/>
    <s v="H0048996"/>
    <x v="0"/>
    <x v="13"/>
    <d v="2019-12-31T00:00:00"/>
    <x v="3"/>
    <n v="10"/>
    <s v="Mark"/>
    <x v="0"/>
    <s v="Employee Benefits (EB)"/>
    <s v="Renewal"/>
    <n v="8560.86"/>
    <d v="2019-11-14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LAP"/>
    <s v="H0048996"/>
    <x v="0"/>
    <x v="13"/>
    <d v="2019-12-31T00:00:00"/>
    <x v="3"/>
    <n v="10"/>
    <s v="Mark"/>
    <x v="0"/>
    <s v="Employee Benefits (EB)"/>
    <s v="Renewal"/>
    <n v="8560.86"/>
    <d v="2019-11-14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8560.86"/>
    <d v="2019-11-14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1288.6600000000001"/>
    <d v="2019-12-03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1288.6600000000001"/>
    <d v="2019-12-03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1288.6600000000001"/>
    <d v="2019-12-03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1288.6600000000001"/>
    <d v="2019-12-03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1288.6600000000001"/>
    <d v="2019-12-03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LAP"/>
    <s v="H0048996"/>
    <x v="0"/>
    <x v="13"/>
    <d v="2019-12-31T00:00:00"/>
    <x v="3"/>
    <n v="10"/>
    <s v="Mark"/>
    <x v="0"/>
    <s v="Employee Benefits (EB)"/>
    <s v="Renewal"/>
    <n v="1288.6600000000001"/>
    <d v="2019-12-03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LAP"/>
    <s v="H0048996"/>
    <x v="0"/>
    <x v="13"/>
    <d v="2019-12-31T00:00:00"/>
    <x v="3"/>
    <n v="10"/>
    <s v="Mark"/>
    <x v="0"/>
    <s v="Employee Benefits (EB)"/>
    <s v="Renewal"/>
    <n v="1288.6600000000001"/>
    <d v="2019-12-03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LAP"/>
    <s v="H0048996"/>
    <x v="0"/>
    <x v="13"/>
    <d v="2019-12-31T00:00:00"/>
    <x v="3"/>
    <n v="10"/>
    <s v="Mark"/>
    <x v="0"/>
    <s v="Employee Benefits (EB)"/>
    <s v="Renewal"/>
    <n v="1288.6600000000001"/>
    <d v="2019-12-03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LAP"/>
    <s v="H0048996"/>
    <x v="0"/>
    <x v="13"/>
    <d v="2019-12-31T00:00:00"/>
    <x v="3"/>
    <n v="10"/>
    <s v="Mark"/>
    <x v="0"/>
    <s v="Employee Benefits (EB)"/>
    <s v="Renewal"/>
    <n v="1288.6600000000001"/>
    <d v="2019-12-03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1288.6600000000001"/>
    <d v="2019-12-03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1208.3800000000001"/>
    <d v="2019-12-19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1208.3800000000001"/>
    <d v="2019-12-19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1208.3800000000001"/>
    <d v="2019-12-19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1208.3800000000001"/>
    <d v="2019-12-19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1208.3800000000001"/>
    <d v="2019-12-19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LAP"/>
    <s v="H0048996"/>
    <x v="0"/>
    <x v="13"/>
    <d v="2019-12-31T00:00:00"/>
    <x v="3"/>
    <n v="10"/>
    <s v="Mark"/>
    <x v="0"/>
    <s v="Employee Benefits (EB)"/>
    <s v="Renewal"/>
    <n v="1208.3800000000001"/>
    <d v="2019-12-19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LAP"/>
    <s v="H0048996"/>
    <x v="0"/>
    <x v="13"/>
    <d v="2019-12-31T00:00:00"/>
    <x v="3"/>
    <n v="10"/>
    <s v="Mark"/>
    <x v="0"/>
    <s v="Employee Benefits (EB)"/>
    <s v="Renewal"/>
    <n v="1208.3800000000001"/>
    <d v="2019-12-19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LAP"/>
    <s v="H0048996"/>
    <x v="0"/>
    <x v="13"/>
    <d v="2019-12-31T00:00:00"/>
    <x v="3"/>
    <n v="10"/>
    <s v="Mark"/>
    <x v="0"/>
    <s v="Employee Benefits (EB)"/>
    <s v="Renewal"/>
    <n v="1208.3800000000001"/>
    <d v="2019-12-19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LAP"/>
    <s v="H0048996"/>
    <x v="0"/>
    <x v="13"/>
    <d v="2019-12-31T00:00:00"/>
    <x v="3"/>
    <n v="10"/>
    <s v="Mark"/>
    <x v="0"/>
    <s v="Employee Benefits (EB)"/>
    <s v="Renewal"/>
    <n v="1208.3800000000001"/>
    <d v="2019-12-19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1208.3800000000001"/>
    <d v="2019-12-19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18696.68"/>
    <d v="2019-03-11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18696.68"/>
    <d v="2019-03-11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18696.68"/>
    <d v="2019-03-11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18696.68"/>
    <d v="2019-03-11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LAP"/>
    <s v="H0048996"/>
    <x v="0"/>
    <x v="13"/>
    <d v="2019-12-31T00:00:00"/>
    <x v="3"/>
    <n v="10"/>
    <s v="Mark"/>
    <x v="0"/>
    <s v="Employee Benefits (EB)"/>
    <s v="Renewal"/>
    <n v="18696.68"/>
    <d v="2019-03-11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LAP"/>
    <s v="H0048996"/>
    <x v="0"/>
    <x v="13"/>
    <d v="2019-12-31T00:00:00"/>
    <x v="3"/>
    <n v="10"/>
    <s v="Mark"/>
    <x v="0"/>
    <s v="Employee Benefits (EB)"/>
    <s v="Renewal"/>
    <n v="18696.68"/>
    <d v="2019-03-11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LAP"/>
    <s v="H0048996"/>
    <x v="0"/>
    <x v="13"/>
    <d v="2019-12-31T00:00:00"/>
    <x v="3"/>
    <n v="10"/>
    <s v="Mark"/>
    <x v="0"/>
    <s v="Employee Benefits (EB)"/>
    <s v="Renewal"/>
    <n v="18696.68"/>
    <d v="2019-03-11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LAP"/>
    <s v="H0048996"/>
    <x v="0"/>
    <x v="13"/>
    <d v="2019-12-31T00:00:00"/>
    <x v="3"/>
    <n v="10"/>
    <s v="Mark"/>
    <x v="0"/>
    <s v="Employee Benefits (EB)"/>
    <s v="Renewal"/>
    <n v="18696.68"/>
    <d v="2019-03-11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LAP"/>
    <s v="H0048996"/>
    <x v="0"/>
    <x v="13"/>
    <d v="2019-12-31T00:00:00"/>
    <x v="3"/>
    <n v="10"/>
    <s v="Mark"/>
    <x v="0"/>
    <s v="Employee Benefits (EB)"/>
    <s v="Renewal"/>
    <n v="18696.68"/>
    <d v="2019-03-11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LAP"/>
    <s v="H0048996"/>
    <x v="0"/>
    <x v="13"/>
    <d v="2019-12-31T00:00:00"/>
    <x v="3"/>
    <n v="10"/>
    <s v="Mark"/>
    <x v="0"/>
    <s v="Employee Benefits (EB)"/>
    <s v="Renewal"/>
    <n v="18696.68"/>
    <d v="2019-03-11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LAP"/>
    <s v="H0056637"/>
    <x v="0"/>
    <x v="13"/>
    <d v="2019-12-31T00:00:00"/>
    <x v="3"/>
    <n v="10"/>
    <s v="Mark"/>
    <x v="0"/>
    <s v="Employee Benefits (EB)"/>
    <s v="Renewal"/>
    <n v="49788.75"/>
    <d v="2019-01-01T00:00:00"/>
    <s v="Brokerage"/>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LAP"/>
    <s v="H0056637"/>
    <x v="0"/>
    <x v="13"/>
    <d v="2019-12-31T00:00:00"/>
    <x v="3"/>
    <n v="10"/>
    <s v="Mark"/>
    <x v="0"/>
    <s v="Employee Benefits (EB)"/>
    <s v="Renewal"/>
    <n v="49788.75"/>
    <d v="2019-01-01T00:00:00"/>
    <s v="Brokerage"/>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LAP"/>
    <s v="H0056637"/>
    <x v="0"/>
    <x v="13"/>
    <d v="2019-12-31T00:00:00"/>
    <x v="3"/>
    <n v="10"/>
    <s v="Mark"/>
    <x v="0"/>
    <s v="Employee Benefits (EB)"/>
    <s v="Renewal"/>
    <n v="49788.75"/>
    <d v="2019-01-01T00:00:00"/>
    <s v="Brokerage"/>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LAP"/>
    <s v="H0056637"/>
    <x v="0"/>
    <x v="13"/>
    <d v="2019-12-31T00:00:00"/>
    <x v="3"/>
    <n v="10"/>
    <s v="Mark"/>
    <x v="0"/>
    <s v="Employee Benefits (EB)"/>
    <s v="Renewal"/>
    <n v="49788.75"/>
    <d v="2019-01-01T00:00:00"/>
    <s v="Brokerage"/>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LAP"/>
    <s v="H0056637"/>
    <x v="0"/>
    <x v="13"/>
    <d v="2019-12-31T00:00:00"/>
    <x v="3"/>
    <n v="10"/>
    <s v="Mark"/>
    <x v="0"/>
    <s v="Employee Benefits (EB)"/>
    <s v="Renewal"/>
    <n v="49788.75"/>
    <d v="2019-01-01T00:00:00"/>
    <s v="Brokerage"/>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LAP"/>
    <s v="H0056637"/>
    <x v="0"/>
    <x v="13"/>
    <d v="2019-12-31T00:00:00"/>
    <x v="3"/>
    <n v="10"/>
    <s v="Mark"/>
    <x v="0"/>
    <s v="Employee Benefits (EB)"/>
    <s v="Renewal"/>
    <n v="49788.75"/>
    <d v="2019-01-01T00:00:00"/>
    <s v="Brokerage"/>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LAP"/>
    <s v="H0056637"/>
    <x v="0"/>
    <x v="13"/>
    <d v="2019-12-31T00:00:00"/>
    <x v="3"/>
    <n v="10"/>
    <s v="Mark"/>
    <x v="0"/>
    <s v="Employee Benefits (EB)"/>
    <s v="Renewal"/>
    <n v="49788.75"/>
    <d v="2019-01-01T00:00:00"/>
    <s v="Brokerage"/>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LAP"/>
    <s v="H0056637"/>
    <x v="0"/>
    <x v="13"/>
    <d v="2019-12-31T00:00:00"/>
    <x v="3"/>
    <n v="10"/>
    <s v="Mark"/>
    <x v="0"/>
    <s v="Employee Benefits (EB)"/>
    <s v="Renewal"/>
    <n v="49788.75"/>
    <d v="2019-01-01T00:00:00"/>
    <s v="Brokerage"/>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LAP"/>
    <s v="H0056637"/>
    <x v="0"/>
    <x v="13"/>
    <d v="2019-12-31T00:00:00"/>
    <x v="3"/>
    <n v="10"/>
    <s v="Mark"/>
    <x v="0"/>
    <s v="Employee Benefits (EB)"/>
    <s v="Renewal"/>
    <n v="49788.75"/>
    <d v="2019-01-01T00:00:00"/>
    <s v="Brokerage"/>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LAP"/>
    <s v="H0056637"/>
    <x v="0"/>
    <x v="13"/>
    <d v="2019-12-31T00:00:00"/>
    <x v="3"/>
    <n v="10"/>
    <s v="Mark"/>
    <x v="0"/>
    <s v="Employee Benefits (EB)"/>
    <s v="Renewal"/>
    <n v="49788.75"/>
    <d v="2019-01-01T00:00:00"/>
    <s v="Brokerage"/>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LAP"/>
    <s v="H0056637"/>
    <x v="0"/>
    <x v="13"/>
    <d v="2019-12-31T00:00:00"/>
    <x v="3"/>
    <n v="10"/>
    <s v="Mark"/>
    <x v="0"/>
    <s v="Employee Benefits (EB)"/>
    <s v="Renewal"/>
    <n v="49026.75"/>
    <d v="2019-01-29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LAP"/>
    <s v="H0056637"/>
    <x v="0"/>
    <x v="13"/>
    <d v="2019-12-31T00:00:00"/>
    <x v="3"/>
    <n v="10"/>
    <s v="Mark"/>
    <x v="0"/>
    <s v="Employee Benefits (EB)"/>
    <s v="Renewal"/>
    <n v="49026.75"/>
    <d v="2019-01-29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LAP"/>
    <s v="H0056637"/>
    <x v="0"/>
    <x v="13"/>
    <d v="2019-12-31T00:00:00"/>
    <x v="3"/>
    <n v="10"/>
    <s v="Mark"/>
    <x v="0"/>
    <s v="Employee Benefits (EB)"/>
    <s v="Renewal"/>
    <n v="49026.75"/>
    <d v="2019-01-29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LAP"/>
    <s v="H0056637"/>
    <x v="0"/>
    <x v="13"/>
    <d v="2019-12-31T00:00:00"/>
    <x v="3"/>
    <n v="10"/>
    <s v="Mark"/>
    <x v="0"/>
    <s v="Employee Benefits (EB)"/>
    <s v="Renewal"/>
    <n v="49026.75"/>
    <d v="2019-01-29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LAP"/>
    <s v="H0056637"/>
    <x v="0"/>
    <x v="13"/>
    <d v="2019-12-31T00:00:00"/>
    <x v="3"/>
    <n v="10"/>
    <s v="Mark"/>
    <x v="0"/>
    <s v="Employee Benefits (EB)"/>
    <s v="Renewal"/>
    <n v="49026.75"/>
    <d v="2019-01-29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LAP"/>
    <s v="H0056637"/>
    <x v="0"/>
    <x v="13"/>
    <d v="2019-12-31T00:00:00"/>
    <x v="3"/>
    <n v="10"/>
    <s v="Mark"/>
    <x v="0"/>
    <s v="Employee Benefits (EB)"/>
    <s v="Renewal"/>
    <n v="49026.75"/>
    <d v="2019-01-29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LAP"/>
    <s v="H0056637"/>
    <x v="0"/>
    <x v="13"/>
    <d v="2019-12-31T00:00:00"/>
    <x v="3"/>
    <n v="10"/>
    <s v="Mark"/>
    <x v="0"/>
    <s v="Employee Benefits (EB)"/>
    <s v="Renewal"/>
    <n v="49026.75"/>
    <d v="2019-01-29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LAP"/>
    <s v="H0056637"/>
    <x v="0"/>
    <x v="13"/>
    <d v="2019-12-31T00:00:00"/>
    <x v="3"/>
    <n v="10"/>
    <s v="Mark"/>
    <x v="0"/>
    <s v="Employee Benefits (EB)"/>
    <s v="Renewal"/>
    <n v="49026.75"/>
    <d v="2019-01-29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LAP"/>
    <s v="H0056637"/>
    <x v="0"/>
    <x v="13"/>
    <d v="2019-12-31T00:00:00"/>
    <x v="3"/>
    <n v="10"/>
    <s v="Mark"/>
    <x v="0"/>
    <s v="Employee Benefits (EB)"/>
    <s v="Renewal"/>
    <n v="49026.75"/>
    <d v="2019-01-29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LAP"/>
    <s v="H0056637"/>
    <x v="0"/>
    <x v="13"/>
    <d v="2019-12-31T00:00:00"/>
    <x v="3"/>
    <n v="10"/>
    <s v="Mark"/>
    <x v="0"/>
    <s v="Employee Benefits (EB)"/>
    <s v="Renewal"/>
    <n v="49026.75"/>
    <d v="2019-01-29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LAP"/>
    <s v="H0056637"/>
    <x v="0"/>
    <x v="13"/>
    <d v="2019-12-31T00:00:00"/>
    <x v="3"/>
    <n v="10"/>
    <s v="Mark"/>
    <x v="0"/>
    <s v="Employee Benefits (EB)"/>
    <s v="Renewal"/>
    <n v="1613.78"/>
    <d v="2019-03-11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LAP"/>
    <s v="H0056637"/>
    <x v="0"/>
    <x v="13"/>
    <d v="2019-12-31T00:00:00"/>
    <x v="3"/>
    <n v="10"/>
    <s v="Mark"/>
    <x v="0"/>
    <s v="Employee Benefits (EB)"/>
    <s v="Renewal"/>
    <n v="1613.78"/>
    <d v="2019-03-11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LAP"/>
    <s v="H0056637"/>
    <x v="0"/>
    <x v="13"/>
    <d v="2019-12-31T00:00:00"/>
    <x v="3"/>
    <n v="10"/>
    <s v="Mark"/>
    <x v="0"/>
    <s v="Employee Benefits (EB)"/>
    <s v="Renewal"/>
    <n v="1613.78"/>
    <d v="2019-03-11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LAP"/>
    <s v="H0056637"/>
    <x v="0"/>
    <x v="13"/>
    <d v="2019-12-31T00:00:00"/>
    <x v="3"/>
    <n v="10"/>
    <s v="Mark"/>
    <x v="0"/>
    <s v="Employee Benefits (EB)"/>
    <s v="Renewal"/>
    <n v="1613.78"/>
    <d v="2019-03-11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LAP"/>
    <s v="H0056637"/>
    <x v="0"/>
    <x v="13"/>
    <d v="2019-12-31T00:00:00"/>
    <x v="3"/>
    <n v="10"/>
    <s v="Mark"/>
    <x v="0"/>
    <s v="Employee Benefits (EB)"/>
    <s v="Renewal"/>
    <n v="1613.78"/>
    <d v="2019-03-11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LAP"/>
    <s v="H0056637"/>
    <x v="0"/>
    <x v="13"/>
    <d v="2019-12-31T00:00:00"/>
    <x v="3"/>
    <n v="10"/>
    <s v="Mark"/>
    <x v="0"/>
    <s v="Employee Benefits (EB)"/>
    <s v="Renewal"/>
    <n v="1613.78"/>
    <d v="2019-03-11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LAP"/>
    <s v="H0056637"/>
    <x v="0"/>
    <x v="13"/>
    <d v="2019-12-31T00:00:00"/>
    <x v="3"/>
    <n v="10"/>
    <s v="Mark"/>
    <x v="0"/>
    <s v="Employee Benefits (EB)"/>
    <s v="Renewal"/>
    <n v="1613.78"/>
    <d v="2019-03-11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LAP"/>
    <s v="H0056637"/>
    <x v="0"/>
    <x v="13"/>
    <d v="2019-12-31T00:00:00"/>
    <x v="3"/>
    <n v="10"/>
    <s v="Mark"/>
    <x v="0"/>
    <s v="Employee Benefits (EB)"/>
    <s v="Renewal"/>
    <n v="1613.78"/>
    <d v="2019-03-11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LAP"/>
    <s v="H0056637"/>
    <x v="0"/>
    <x v="13"/>
    <d v="2019-12-31T00:00:00"/>
    <x v="3"/>
    <n v="10"/>
    <s v="Mark"/>
    <x v="0"/>
    <s v="Employee Benefits (EB)"/>
    <s v="Renewal"/>
    <n v="1613.78"/>
    <d v="2019-03-11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LAP"/>
    <s v="H0056637"/>
    <x v="0"/>
    <x v="13"/>
    <d v="2019-12-31T00:00:00"/>
    <x v="3"/>
    <n v="10"/>
    <s v="Mark"/>
    <x v="0"/>
    <s v="Employee Benefits (EB)"/>
    <s v="Renewal"/>
    <n v="1613.78"/>
    <d v="2019-03-11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LAP"/>
    <s v="H0056637"/>
    <x v="0"/>
    <x v="13"/>
    <d v="2019-12-31T00:00:00"/>
    <x v="3"/>
    <n v="10"/>
    <s v="Mark"/>
    <x v="0"/>
    <s v="Employee Benefits (EB)"/>
    <s v="Renewal"/>
    <n v="49026.66"/>
    <d v="2019-02-04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LAP"/>
    <s v="H0056637"/>
    <x v="0"/>
    <x v="13"/>
    <d v="2019-12-31T00:00:00"/>
    <x v="3"/>
    <n v="10"/>
    <s v="Mark"/>
    <x v="0"/>
    <s v="Employee Benefits (EB)"/>
    <s v="Renewal"/>
    <n v="49026.66"/>
    <d v="2019-02-04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LAP"/>
    <s v="H0056637"/>
    <x v="0"/>
    <x v="13"/>
    <d v="2019-12-31T00:00:00"/>
    <x v="3"/>
    <n v="10"/>
    <s v="Mark"/>
    <x v="0"/>
    <s v="Employee Benefits (EB)"/>
    <s v="Renewal"/>
    <n v="49026.66"/>
    <d v="2019-02-04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LAP"/>
    <s v="H0056637"/>
    <x v="0"/>
    <x v="13"/>
    <d v="2019-12-31T00:00:00"/>
    <x v="3"/>
    <n v="10"/>
    <s v="Mark"/>
    <x v="0"/>
    <s v="Employee Benefits (EB)"/>
    <s v="Renewal"/>
    <n v="49026.66"/>
    <d v="2019-02-04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LAP"/>
    <s v="H0056637"/>
    <x v="0"/>
    <x v="13"/>
    <d v="2019-12-31T00:00:00"/>
    <x v="3"/>
    <n v="10"/>
    <s v="Mark"/>
    <x v="0"/>
    <s v="Employee Benefits (EB)"/>
    <s v="Renewal"/>
    <n v="49026.66"/>
    <d v="2019-02-04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LAP"/>
    <s v="H0056637"/>
    <x v="0"/>
    <x v="13"/>
    <d v="2019-12-31T00:00:00"/>
    <x v="3"/>
    <n v="10"/>
    <s v="Mark"/>
    <x v="0"/>
    <s v="Employee Benefits (EB)"/>
    <s v="Renewal"/>
    <n v="49026.66"/>
    <d v="2019-02-04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LAP"/>
    <s v="H0056637"/>
    <x v="0"/>
    <x v="13"/>
    <d v="2019-12-31T00:00:00"/>
    <x v="3"/>
    <n v="10"/>
    <s v="Mark"/>
    <x v="0"/>
    <s v="Employee Benefits (EB)"/>
    <s v="Renewal"/>
    <n v="49026.66"/>
    <d v="2019-02-04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LAP"/>
    <s v="H0056637"/>
    <x v="0"/>
    <x v="13"/>
    <d v="2019-12-31T00:00:00"/>
    <x v="3"/>
    <n v="10"/>
    <s v="Mark"/>
    <x v="0"/>
    <s v="Employee Benefits (EB)"/>
    <s v="Renewal"/>
    <n v="49026.66"/>
    <d v="2019-02-04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LAP"/>
    <s v="H0056637"/>
    <x v="0"/>
    <x v="13"/>
    <d v="2019-12-31T00:00:00"/>
    <x v="3"/>
    <n v="10"/>
    <s v="Mark"/>
    <x v="0"/>
    <s v="Employee Benefits (EB)"/>
    <s v="Renewal"/>
    <n v="49026.66"/>
    <d v="2019-02-04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LAP"/>
    <s v="H0056637"/>
    <x v="0"/>
    <x v="13"/>
    <d v="2019-12-31T00:00:00"/>
    <x v="3"/>
    <n v="10"/>
    <s v="Mark"/>
    <x v="0"/>
    <s v="Employee Benefits (EB)"/>
    <s v="Renewal"/>
    <n v="49026.66"/>
    <d v="2019-02-04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LAP"/>
    <s v="020W000078800000"/>
    <x v="0"/>
    <x v="285"/>
    <d v="2019-06-07T00:00:00"/>
    <x v="2"/>
    <n v="3"/>
    <s v="Animesh Rawat"/>
    <x v="0"/>
    <s v="Employee Benefits (EB)"/>
    <s v="Renewal"/>
    <n v="8117.5"/>
    <d v="2018-06-08T00:00:00"/>
    <s v="Brokerage"/>
    <x v="0"/>
    <s v="OTHR - Other"/>
    <d v="2020-01-22T00:00:00"/>
    <s v="Other"/>
    <m/>
    <m/>
    <m/>
    <m/>
    <m/>
    <m/>
    <m/>
    <m/>
    <m/>
    <m/>
    <m/>
    <m/>
    <m/>
    <m/>
    <m/>
    <m/>
    <m/>
    <m/>
    <m/>
    <m/>
  </r>
  <r>
    <s v="LAP"/>
    <s v="0830017645 02"/>
    <x v="0"/>
    <x v="286"/>
    <d v="2019-06-02T00:00:00"/>
    <x v="0"/>
    <n v="3"/>
    <s v="Animesh Rawat"/>
    <x v="0"/>
    <s v="Global Client Network (GNB Inward)"/>
    <s v="Renewal"/>
    <n v="21614.86"/>
    <d v="2018-06-03T00:00:00"/>
    <s v="Brokerage"/>
    <x v="0"/>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LAP"/>
    <s v="0830017645 02"/>
    <x v="0"/>
    <x v="286"/>
    <d v="2019-06-02T00:00:00"/>
    <x v="0"/>
    <n v="3"/>
    <s v="Animesh Rawat"/>
    <x v="0"/>
    <s v="Global Client Network (GNB Inward)"/>
    <s v="Renewal"/>
    <n v="21614.86"/>
    <d v="2018-06-03T00:00:00"/>
    <s v="Brokerage"/>
    <x v="0"/>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LAP"/>
    <s v="0830017645 02"/>
    <x v="0"/>
    <x v="286"/>
    <d v="2019-06-02T00:00:00"/>
    <x v="0"/>
    <n v="3"/>
    <s v="Animesh Rawat"/>
    <x v="0"/>
    <s v="Global Client Network (GNB Inward)"/>
    <s v="Renewal"/>
    <n v="21614.86"/>
    <d v="2018-06-03T00:00:00"/>
    <s v="Brokerage"/>
    <x v="0"/>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LAP"/>
    <s v="0830017645 02"/>
    <x v="0"/>
    <x v="286"/>
    <d v="2019-06-02T00:00:00"/>
    <x v="0"/>
    <n v="3"/>
    <s v="Animesh Rawat"/>
    <x v="0"/>
    <s v="Global Client Network (GNB Inward)"/>
    <s v="Renewal"/>
    <n v="21614.86"/>
    <d v="2018-06-03T00:00:00"/>
    <s v="Brokerage"/>
    <x v="0"/>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LAP"/>
    <s v="0830017645 02"/>
    <x v="0"/>
    <x v="286"/>
    <d v="2019-06-02T00:00:00"/>
    <x v="0"/>
    <n v="3"/>
    <s v="Animesh Rawat"/>
    <x v="0"/>
    <s v="Global Client Network (GNB Inward)"/>
    <s v="Renewal"/>
    <n v="21614.86"/>
    <d v="2018-06-03T00:00:00"/>
    <s v="Brokerage"/>
    <x v="0"/>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LAP"/>
    <s v="0830017645 02"/>
    <x v="0"/>
    <x v="286"/>
    <d v="2019-06-02T00:00:00"/>
    <x v="0"/>
    <n v="3"/>
    <s v="Animesh Rawat"/>
    <x v="0"/>
    <s v="Global Client Network (GNB Inward)"/>
    <s v="Renewal"/>
    <n v="21614.86"/>
    <d v="2018-06-03T00:00:00"/>
    <s v="Brokerage"/>
    <x v="0"/>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LAP"/>
    <s v="0830017645 02"/>
    <x v="0"/>
    <x v="286"/>
    <d v="2019-06-02T00:00:00"/>
    <x v="0"/>
    <n v="3"/>
    <s v="Animesh Rawat"/>
    <x v="0"/>
    <s v="Global Client Network (GNB Inward)"/>
    <s v="Renewal"/>
    <n v="21614.86"/>
    <d v="2018-06-03T00:00:00"/>
    <s v="Brokerage"/>
    <x v="0"/>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LAP"/>
    <s v="0830017645 02"/>
    <x v="0"/>
    <x v="286"/>
    <d v="2019-06-02T00:00:00"/>
    <x v="0"/>
    <n v="3"/>
    <s v="Animesh Rawat"/>
    <x v="0"/>
    <s v="Global Client Network (GNB Inward)"/>
    <s v="Renewal"/>
    <n v="21614.86"/>
    <d v="2018-06-03T00:00:00"/>
    <s v="Brokerage"/>
    <x v="0"/>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LAP"/>
    <n v="2640009793"/>
    <x v="0"/>
    <x v="286"/>
    <d v="2019-06-02T00:00:00"/>
    <x v="5"/>
    <n v="3"/>
    <s v="Animesh Rawat"/>
    <x v="0"/>
    <s v="Global Client Network (GNB Inward)"/>
    <s v="Renewal"/>
    <n v="60990.71"/>
    <d v="2018-06-03T00:00:00"/>
    <s v="Brokerage"/>
    <x v="0"/>
    <s v="OTHR - Other"/>
    <d v="2020-01-22T00:00:00"/>
    <s v="Other"/>
    <m/>
    <m/>
    <m/>
    <m/>
    <m/>
    <m/>
    <m/>
    <m/>
    <m/>
    <m/>
    <m/>
    <m/>
    <m/>
    <m/>
    <m/>
    <m/>
    <m/>
    <m/>
    <m/>
    <m/>
  </r>
  <r>
    <s v="LAP"/>
    <s v="OG-19-2202-0425-00000002"/>
    <x v="0"/>
    <x v="14"/>
    <d v="2019-03-31T00:00:00"/>
    <x v="2"/>
    <n v="3"/>
    <s v="Animesh Rawat"/>
    <x v="0"/>
    <s v="Global Client Network (GNB Inward)"/>
    <s v="Renewal"/>
    <n v="423.9"/>
    <d v="2018-04-01T00:00:00"/>
    <s v="Brokerage"/>
    <x v="0"/>
    <s v="OTHR - Other"/>
    <d v="2020-01-22T00:00:00"/>
    <s v="Other"/>
    <m/>
    <m/>
    <m/>
    <m/>
    <m/>
    <m/>
    <m/>
    <m/>
    <m/>
    <m/>
    <m/>
    <m/>
    <m/>
    <m/>
    <m/>
    <m/>
    <m/>
    <m/>
    <m/>
    <m/>
  </r>
  <r>
    <s v="LAP"/>
    <s v="OG-19-2202-0425-00000002"/>
    <x v="0"/>
    <x v="14"/>
    <d v="2019-03-31T00:00:00"/>
    <x v="2"/>
    <n v="3"/>
    <s v="Animesh Rawat"/>
    <x v="0"/>
    <s v="Global Client Network (GNB Inward)"/>
    <s v="Renewal"/>
    <n v="105.98"/>
    <d v="2018-04-01T00:00:00"/>
    <s v="Brokerage"/>
    <x v="0"/>
    <s v="OTHR - Other"/>
    <d v="2020-01-22T00:00:00"/>
    <s v="Other"/>
    <m/>
    <m/>
    <m/>
    <m/>
    <m/>
    <m/>
    <m/>
    <m/>
    <m/>
    <m/>
    <m/>
    <m/>
    <m/>
    <m/>
    <m/>
    <m/>
    <m/>
    <m/>
    <m/>
    <m/>
  </r>
  <r>
    <s v="LAP"/>
    <s v="OG-19-2202-0425-00000003"/>
    <x v="0"/>
    <x v="14"/>
    <d v="2019-03-31T00:00:00"/>
    <x v="2"/>
    <n v="3"/>
    <s v="Animesh Rawat"/>
    <x v="0"/>
    <s v="Global Client Network (GNB Inward)"/>
    <s v="Renewal"/>
    <n v="1897.66"/>
    <d v="2018-04-01T00:00:00"/>
    <s v="Brokerage"/>
    <x v="0"/>
    <s v="OTHR - Other"/>
    <d v="2020-01-22T00:00:00"/>
    <s v="Other"/>
    <m/>
    <m/>
    <m/>
    <m/>
    <m/>
    <m/>
    <m/>
    <m/>
    <m/>
    <m/>
    <m/>
    <m/>
    <m/>
    <m/>
    <m/>
    <m/>
    <m/>
    <m/>
    <m/>
    <m/>
  </r>
  <r>
    <s v="LAP"/>
    <s v="OG-19-2202-0425-00000003"/>
    <x v="0"/>
    <x v="14"/>
    <d v="2019-03-31T00:00:00"/>
    <x v="2"/>
    <n v="3"/>
    <s v="Animesh Rawat"/>
    <x v="0"/>
    <s v="Global Client Network (GNB Inward)"/>
    <s v="Renewal"/>
    <n v="474.42"/>
    <d v="2018-04-01T00:00:00"/>
    <s v="Brokerage"/>
    <x v="0"/>
    <s v="OTHR - Other"/>
    <d v="2020-01-22T00:00:00"/>
    <s v="Other"/>
    <m/>
    <m/>
    <m/>
    <m/>
    <m/>
    <m/>
    <m/>
    <m/>
    <m/>
    <m/>
    <m/>
    <m/>
    <m/>
    <m/>
    <m/>
    <m/>
    <m/>
    <m/>
    <m/>
    <m/>
  </r>
  <r>
    <s v="LAP"/>
    <s v="OG-19-2202-1018-00000009"/>
    <x v="0"/>
    <x v="14"/>
    <d v="2019-03-31T00:00:00"/>
    <x v="0"/>
    <n v="3"/>
    <s v="Animesh Rawat"/>
    <x v="0"/>
    <s v="Marine"/>
    <s v="Renewal"/>
    <n v="44063.25"/>
    <d v="2018-04-01T00:00:00"/>
    <s v="Brokerage"/>
    <x v="0"/>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LAP"/>
    <s v="OG-19-2202-1018-00000009"/>
    <x v="0"/>
    <x v="14"/>
    <d v="2019-03-31T00:00:00"/>
    <x v="0"/>
    <n v="3"/>
    <s v="Animesh Rawat"/>
    <x v="0"/>
    <s v="Marine"/>
    <s v="Renewal"/>
    <n v="44063.25"/>
    <d v="2018-04-01T00:00:00"/>
    <s v="Brokerage"/>
    <x v="0"/>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LAP"/>
    <s v="OG-19-2202-1018-00000009"/>
    <x v="0"/>
    <x v="14"/>
    <d v="2019-03-31T00:00:00"/>
    <x v="0"/>
    <n v="3"/>
    <s v="Animesh Rawat"/>
    <x v="0"/>
    <s v="Marine"/>
    <s v="Renewal"/>
    <n v="44063.25"/>
    <d v="2018-04-01T00:00:00"/>
    <s v="Brokerage"/>
    <x v="0"/>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LAP"/>
    <s v="OG-19-2202-1018-00000009"/>
    <x v="0"/>
    <x v="14"/>
    <d v="2019-03-31T00:00:00"/>
    <x v="0"/>
    <n v="3"/>
    <s v="Animesh Rawat"/>
    <x v="0"/>
    <s v="Marine"/>
    <s v="Renewal"/>
    <n v="44063.25"/>
    <d v="2018-04-01T00:00:00"/>
    <s v="Brokerage"/>
    <x v="0"/>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LAP"/>
    <s v="OG-19-2202-1018-00000009"/>
    <x v="0"/>
    <x v="14"/>
    <d v="2019-03-31T00:00:00"/>
    <x v="0"/>
    <n v="3"/>
    <s v="Animesh Rawat"/>
    <x v="0"/>
    <s v="Marine"/>
    <s v="Renewal"/>
    <n v="44063.25"/>
    <d v="2018-04-01T00:00:00"/>
    <s v="Brokerage"/>
    <x v="0"/>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LAP"/>
    <s v="OG-19-2202-1018-00000009"/>
    <x v="0"/>
    <x v="14"/>
    <d v="2019-03-31T00:00:00"/>
    <x v="0"/>
    <n v="3"/>
    <s v="Animesh Rawat"/>
    <x v="0"/>
    <s v="Marine"/>
    <s v="Renewal"/>
    <n v="44063.25"/>
    <d v="2018-04-01T00:00:00"/>
    <s v="Brokerage"/>
    <x v="0"/>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LAP"/>
    <s v="OG-19-2202-1018-00000009"/>
    <x v="0"/>
    <x v="14"/>
    <d v="2019-03-31T00:00:00"/>
    <x v="0"/>
    <n v="3"/>
    <s v="Animesh Rawat"/>
    <x v="0"/>
    <s v="Marine"/>
    <s v="Renewal"/>
    <n v="44063.25"/>
    <d v="2018-04-01T00:00:00"/>
    <s v="Brokerage"/>
    <x v="0"/>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LAP"/>
    <s v="OG-19-2202-1018-00000009"/>
    <x v="0"/>
    <x v="14"/>
    <d v="2019-03-31T00:00:00"/>
    <x v="0"/>
    <n v="3"/>
    <s v="Animesh Rawat"/>
    <x v="0"/>
    <s v="Marine"/>
    <s v="Renewal"/>
    <n v="44063.25"/>
    <d v="2018-04-01T00:00:00"/>
    <s v="Brokerage"/>
    <x v="0"/>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LAP"/>
    <s v="OG-19-2202-4001-00007099"/>
    <x v="0"/>
    <x v="287"/>
    <d v="2019-10-14T00:00:00"/>
    <x v="1"/>
    <n v="12"/>
    <s v="Shivani Sharma"/>
    <x v="0"/>
    <s v="Global Client Network (GNB Inward)"/>
    <s v="Cross Sell"/>
    <n v="16387.5"/>
    <d v="2018-10-15T00:00:00"/>
    <s v="Brokerage"/>
    <x v="0"/>
    <s v="OTHR - Other"/>
    <d v="2020-01-22T00:00:00"/>
    <s v="Other"/>
    <s v="ITNL - IAR (Operational Roads)"/>
    <s v="OPP1900001906"/>
    <s v="Shivani Sharma"/>
    <n v="90000000"/>
    <n v="200000"/>
    <d v="2020-08-31T00:00:00"/>
    <s v="Qualify Opportunity"/>
    <s v="Ahmedabad"/>
    <s v="Property / BI"/>
    <s v="Constructions &amp;amp; Infrastructure"/>
    <s v="Industrial All Risks"/>
    <m/>
    <m/>
    <s v="Madison Robinson"/>
    <d v="2020-01-21T00:00:00"/>
    <m/>
    <m/>
    <m/>
    <m/>
    <m/>
  </r>
  <r>
    <s v="LAP"/>
    <s v="OG-19-2202-4001-00007099"/>
    <x v="0"/>
    <x v="287"/>
    <d v="2019-10-14T00:00:00"/>
    <x v="1"/>
    <n v="12"/>
    <s v="Shivani Sharma"/>
    <x v="0"/>
    <s v="Global Client Network (GNB Inward)"/>
    <s v="Cross Sell"/>
    <n v="16387.5"/>
    <d v="2018-10-15T00:00:00"/>
    <s v="Brokerage"/>
    <x v="0"/>
    <s v="OTHR - Other"/>
    <d v="2020-01-22T00:00:00"/>
    <s v="Other"/>
    <s v="ITNL - IAR (Operational Roads)"/>
    <s v="OPP1900001906"/>
    <s v="Shivani Sharma"/>
    <n v="90000000"/>
    <n v="200000"/>
    <d v="2020-08-31T00:00:00"/>
    <s v="Qualify Opportunity"/>
    <s v="Ahmedabad"/>
    <s v="Property / BI"/>
    <s v="Constructions &amp;amp; Infrastructure"/>
    <s v="Industrial All Risks"/>
    <m/>
    <m/>
    <s v="David Hall"/>
    <d v="2020-01-21T00:00:00"/>
    <m/>
    <m/>
    <m/>
    <m/>
    <m/>
  </r>
  <r>
    <s v="LAP"/>
    <s v="OG-19-2202-4001-00007099"/>
    <x v="0"/>
    <x v="287"/>
    <d v="2019-10-14T00:00:00"/>
    <x v="1"/>
    <n v="12"/>
    <s v="Shivani Sharma"/>
    <x v="0"/>
    <s v="Global Client Network (GNB Inward)"/>
    <s v="Cross Sell"/>
    <n v="16387.5"/>
    <d v="2018-10-15T00:00:00"/>
    <s v="Brokerage"/>
    <x v="0"/>
    <s v="OTHR - Other"/>
    <d v="2020-01-22T00:00:00"/>
    <s v="Other"/>
    <s v="ITNL - IAR (Operational Roads)"/>
    <s v="OPP1900001906"/>
    <s v="Shivani Sharma"/>
    <n v="90000000"/>
    <n v="200000"/>
    <d v="2020-08-31T00:00:00"/>
    <s v="Qualify Opportunity"/>
    <s v="Ahmedabad"/>
    <s v="Property / BI"/>
    <s v="Constructions &amp;amp; Infrastructure"/>
    <s v="Industrial All Risks"/>
    <m/>
    <m/>
    <s v="Lily Young"/>
    <d v="2020-01-21T00:00:00"/>
    <m/>
    <m/>
    <m/>
    <m/>
    <m/>
  </r>
  <r>
    <s v="LAP"/>
    <s v="OG-19-2202-4001-00007099"/>
    <x v="0"/>
    <x v="287"/>
    <d v="2019-10-14T00:00:00"/>
    <x v="1"/>
    <n v="12"/>
    <s v="Shivani Sharma"/>
    <x v="0"/>
    <s v="Global Client Network (GNB Inward)"/>
    <s v="Cross Sell"/>
    <n v="16387.5"/>
    <d v="2018-10-15T00:00:00"/>
    <s v="Brokerage"/>
    <x v="0"/>
    <s v="OTHR - Other"/>
    <d v="2020-01-22T00:00:00"/>
    <s v="Other"/>
    <s v="ITNL - IAR (Operational Roads)"/>
    <s v="OPP1900001906"/>
    <s v="Shivani Sharma"/>
    <n v="90000000"/>
    <n v="200000"/>
    <d v="2020-08-31T00:00:00"/>
    <s v="Qualify Opportunity"/>
    <s v="Ahmedabad"/>
    <s v="Property / BI"/>
    <s v="Constructions &amp;amp; Infrastructure"/>
    <s v="Industrial All Risks"/>
    <m/>
    <m/>
    <s v="Samuel Allen"/>
    <d v="2020-01-22T00:00:00"/>
    <m/>
    <m/>
    <m/>
    <m/>
    <m/>
  </r>
  <r>
    <s v="LAP"/>
    <s v="OG-19-2202-4001-00007099"/>
    <x v="0"/>
    <x v="287"/>
    <d v="2019-10-14T00:00:00"/>
    <x v="1"/>
    <n v="12"/>
    <s v="Shivani Sharma"/>
    <x v="0"/>
    <s v="Global Client Network (GNB Inward)"/>
    <s v="Cross Sell"/>
    <n v="16387.5"/>
    <d v="2018-10-15T00:00:00"/>
    <s v="Brokerage"/>
    <x v="0"/>
    <s v="OTHR - Other"/>
    <d v="2020-01-22T00:00:00"/>
    <s v="Other"/>
    <s v="PI(Operational Road)"/>
    <s v="OPP1900002092"/>
    <s v="Shivani Sharma"/>
    <n v="1000000"/>
    <n v="100000"/>
    <d v="2019-12-31T00:00:00"/>
    <s v="Qualify Opportunity"/>
    <s v="Ahmedabad"/>
    <s v="Property / BI"/>
    <s v="Constructions &amp;amp; Infrastructure"/>
    <s v="Fire &amp;amp; Special Perils"/>
    <m/>
    <m/>
    <s v="Madison Robinson"/>
    <d v="2020-01-21T00:00:00"/>
    <m/>
    <m/>
    <m/>
    <m/>
    <m/>
  </r>
  <r>
    <s v="LAP"/>
    <s v="OG-19-2202-4001-00007099"/>
    <x v="0"/>
    <x v="287"/>
    <d v="2019-10-14T00:00:00"/>
    <x v="1"/>
    <n v="12"/>
    <s v="Shivani Sharma"/>
    <x v="0"/>
    <s v="Global Client Network (GNB Inward)"/>
    <s v="Cross Sell"/>
    <n v="16387.5"/>
    <d v="2018-10-15T00:00:00"/>
    <s v="Brokerage"/>
    <x v="0"/>
    <s v="OTHR - Other"/>
    <d v="2020-01-22T00:00:00"/>
    <s v="Other"/>
    <s v="PI(Operational Road)"/>
    <s v="OPP1900002092"/>
    <s v="Shivani Sharma"/>
    <n v="1000000"/>
    <n v="100000"/>
    <d v="2019-12-31T00:00:00"/>
    <s v="Qualify Opportunity"/>
    <s v="Ahmedabad"/>
    <s v="Property / BI"/>
    <s v="Constructions &amp;amp; Infrastructure"/>
    <s v="Fire &amp;amp; Special Perils"/>
    <m/>
    <m/>
    <s v="David Hall"/>
    <d v="2020-01-21T00:00:00"/>
    <m/>
    <m/>
    <m/>
    <m/>
    <m/>
  </r>
  <r>
    <s v="LAP"/>
    <s v="OG-19-2202-4001-00007099"/>
    <x v="0"/>
    <x v="287"/>
    <d v="2019-10-14T00:00:00"/>
    <x v="1"/>
    <n v="12"/>
    <s v="Shivani Sharma"/>
    <x v="0"/>
    <s v="Global Client Network (GNB Inward)"/>
    <s v="Cross Sell"/>
    <n v="16387.5"/>
    <d v="2018-10-15T00:00:00"/>
    <s v="Brokerage"/>
    <x v="0"/>
    <s v="OTHR - Other"/>
    <d v="2020-01-22T00:00:00"/>
    <s v="Other"/>
    <s v="PI(Operational Road)"/>
    <s v="OPP1900002092"/>
    <s v="Shivani Sharma"/>
    <n v="1000000"/>
    <n v="100000"/>
    <d v="2019-12-31T00:00:00"/>
    <s v="Qualify Opportunity"/>
    <s v="Ahmedabad"/>
    <s v="Property / BI"/>
    <s v="Constructions &amp;amp; Infrastructure"/>
    <s v="Fire &amp;amp; Special Perils"/>
    <m/>
    <m/>
    <s v="Lily Young"/>
    <d v="2020-01-21T00:00:00"/>
    <m/>
    <m/>
    <m/>
    <m/>
    <m/>
  </r>
  <r>
    <s v="LAP"/>
    <s v="OG-19-2202-4001-00007099"/>
    <x v="0"/>
    <x v="287"/>
    <d v="2019-10-14T00:00:00"/>
    <x v="1"/>
    <n v="12"/>
    <s v="Shivani Sharma"/>
    <x v="0"/>
    <s v="Global Client Network (GNB Inward)"/>
    <s v="Cross Sell"/>
    <n v="16387.5"/>
    <d v="2018-10-15T00:00:00"/>
    <s v="Brokerage"/>
    <x v="0"/>
    <s v="OTHR - Other"/>
    <d v="2020-01-22T00:00:00"/>
    <s v="Other"/>
    <s v="PI(Operational Road)"/>
    <s v="OPP1900002092"/>
    <s v="Shivani Sharma"/>
    <n v="1000000"/>
    <n v="100000"/>
    <d v="2019-12-31T00:00:00"/>
    <s v="Qualify Opportunity"/>
    <s v="Ahmedabad"/>
    <s v="Property / BI"/>
    <s v="Constructions &amp;amp; Infrastructure"/>
    <s v="Fire &amp;amp; Special Perils"/>
    <m/>
    <m/>
    <s v="Samuel Allen"/>
    <d v="2020-01-22T00:00:00"/>
    <m/>
    <m/>
    <m/>
    <m/>
    <m/>
  </r>
  <r>
    <s v="LAP"/>
    <s v="OG-19-2202-4002-00000005"/>
    <x v="0"/>
    <x v="14"/>
    <d v="2019-03-31T00:00:00"/>
    <x v="1"/>
    <n v="3"/>
    <s v="Animesh Rawat"/>
    <x v="0"/>
    <s v="Global Client Network (GNB Inward)"/>
    <s v="Renewal"/>
    <n v="15899.07"/>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LAP"/>
    <s v="OG-19-2202-4002-00000005"/>
    <x v="0"/>
    <x v="14"/>
    <d v="2019-03-31T00:00:00"/>
    <x v="1"/>
    <n v="3"/>
    <s v="Animesh Rawat"/>
    <x v="0"/>
    <s v="Global Client Network (GNB Inward)"/>
    <s v="Renewal"/>
    <n v="15899.07"/>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LAP"/>
    <s v="OG-19-2202-4002-00000005"/>
    <x v="0"/>
    <x v="14"/>
    <d v="2019-03-31T00:00:00"/>
    <x v="1"/>
    <n v="3"/>
    <s v="Animesh Rawat"/>
    <x v="0"/>
    <s v="Global Client Network (GNB Inward)"/>
    <s v="Renewal"/>
    <n v="15899.07"/>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LAP"/>
    <s v="OG-19-2202-4002-00000005"/>
    <x v="0"/>
    <x v="14"/>
    <d v="2019-03-31T00:00:00"/>
    <x v="1"/>
    <n v="3"/>
    <s v="Animesh Rawat"/>
    <x v="0"/>
    <s v="Global Client Network (GNB Inward)"/>
    <s v="Renewal"/>
    <n v="15899.07"/>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LAP"/>
    <s v="OG-19-2202-4002-00000005"/>
    <x v="0"/>
    <x v="14"/>
    <d v="2019-03-31T00:00:00"/>
    <x v="1"/>
    <n v="3"/>
    <s v="Animesh Rawat"/>
    <x v="0"/>
    <s v="Global Client Network (GNB Inward)"/>
    <s v="Renewal"/>
    <n v="15899.07"/>
    <d v="2018-04-01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LAP"/>
    <s v="OG-19-2202-4002-00000005"/>
    <x v="0"/>
    <x v="14"/>
    <d v="2019-03-31T00:00:00"/>
    <x v="1"/>
    <n v="3"/>
    <s v="Animesh Rawat"/>
    <x v="0"/>
    <s v="Global Client Network (GNB Inward)"/>
    <s v="Renewal"/>
    <n v="15899.07"/>
    <d v="2018-04-01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LAP"/>
    <s v="OG-19-2202-4002-00000005"/>
    <x v="0"/>
    <x v="14"/>
    <d v="2019-03-31T00:00:00"/>
    <x v="1"/>
    <n v="3"/>
    <s v="Animesh Rawat"/>
    <x v="0"/>
    <s v="Global Client Network (GNB Inward)"/>
    <s v="Renewal"/>
    <n v="15899.07"/>
    <d v="2018-04-01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LAP"/>
    <s v="OG-19-2202-4002-00000005"/>
    <x v="0"/>
    <x v="14"/>
    <d v="2019-03-31T00:00:00"/>
    <x v="1"/>
    <n v="3"/>
    <s v="Animesh Rawat"/>
    <x v="0"/>
    <s v="Global Client Network (GNB Inward)"/>
    <s v="Renewal"/>
    <n v="15899.07"/>
    <d v="2018-04-01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LAP"/>
    <s v="OG-19-2202-4002-00000005"/>
    <x v="0"/>
    <x v="14"/>
    <d v="2019-03-31T00:00:00"/>
    <x v="1"/>
    <n v="3"/>
    <s v="Animesh Rawat"/>
    <x v="0"/>
    <s v="Global Client Network (GNB Inward)"/>
    <s v="Renewal"/>
    <n v="15899.07"/>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LAP"/>
    <s v="OG-19-2202-4002-00000005"/>
    <x v="0"/>
    <x v="14"/>
    <d v="2019-03-31T00:00:00"/>
    <x v="1"/>
    <n v="3"/>
    <s v="Animesh Rawat"/>
    <x v="0"/>
    <s v="Global Client Network (GNB Inward)"/>
    <s v="Renewal"/>
    <n v="15899.07"/>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LAP"/>
    <s v="OG-19-2202-4002-00000005"/>
    <x v="0"/>
    <x v="14"/>
    <d v="2019-03-31T00:00:00"/>
    <x v="1"/>
    <n v="3"/>
    <s v="Animesh Rawat"/>
    <x v="0"/>
    <s v="Global Client Network (GNB Inward)"/>
    <s v="Renewal"/>
    <n v="15899.07"/>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LAP"/>
    <s v="OG-19-2202-4002-00000005"/>
    <x v="0"/>
    <x v="14"/>
    <d v="2019-03-31T00:00:00"/>
    <x v="1"/>
    <n v="3"/>
    <s v="Animesh Rawat"/>
    <x v="0"/>
    <s v="Global Client Network (GNB Inward)"/>
    <s v="Renewal"/>
    <n v="15899.07"/>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LAP"/>
    <s v="OG-19-2202-4002-00000005"/>
    <x v="0"/>
    <x v="14"/>
    <d v="2019-03-31T00:00:00"/>
    <x v="1"/>
    <n v="3"/>
    <s v="Animesh Rawat"/>
    <x v="0"/>
    <s v="Global Client Network (GNB Inward)"/>
    <s v="Renewal"/>
    <n v="3974.77"/>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LAP"/>
    <s v="OG-19-2202-4002-00000005"/>
    <x v="0"/>
    <x v="14"/>
    <d v="2019-03-31T00:00:00"/>
    <x v="1"/>
    <n v="3"/>
    <s v="Animesh Rawat"/>
    <x v="0"/>
    <s v="Global Client Network (GNB Inward)"/>
    <s v="Renewal"/>
    <n v="3974.77"/>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LAP"/>
    <s v="OG-19-2202-4002-00000005"/>
    <x v="0"/>
    <x v="14"/>
    <d v="2019-03-31T00:00:00"/>
    <x v="1"/>
    <n v="3"/>
    <s v="Animesh Rawat"/>
    <x v="0"/>
    <s v="Global Client Network (GNB Inward)"/>
    <s v="Renewal"/>
    <n v="3974.77"/>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LAP"/>
    <s v="OG-19-2202-4002-00000005"/>
    <x v="0"/>
    <x v="14"/>
    <d v="2019-03-31T00:00:00"/>
    <x v="1"/>
    <n v="3"/>
    <s v="Animesh Rawat"/>
    <x v="0"/>
    <s v="Global Client Network (GNB Inward)"/>
    <s v="Renewal"/>
    <n v="3974.77"/>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LAP"/>
    <s v="OG-19-2202-4002-00000005"/>
    <x v="0"/>
    <x v="14"/>
    <d v="2019-03-31T00:00:00"/>
    <x v="1"/>
    <n v="3"/>
    <s v="Animesh Rawat"/>
    <x v="0"/>
    <s v="Global Client Network (GNB Inward)"/>
    <s v="Renewal"/>
    <n v="3974.77"/>
    <d v="2018-04-01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LAP"/>
    <s v="OG-19-2202-4002-00000005"/>
    <x v="0"/>
    <x v="14"/>
    <d v="2019-03-31T00:00:00"/>
    <x v="1"/>
    <n v="3"/>
    <s v="Animesh Rawat"/>
    <x v="0"/>
    <s v="Global Client Network (GNB Inward)"/>
    <s v="Renewal"/>
    <n v="3974.77"/>
    <d v="2018-04-01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LAP"/>
    <s v="OG-19-2202-4002-00000005"/>
    <x v="0"/>
    <x v="14"/>
    <d v="2019-03-31T00:00:00"/>
    <x v="1"/>
    <n v="3"/>
    <s v="Animesh Rawat"/>
    <x v="0"/>
    <s v="Global Client Network (GNB Inward)"/>
    <s v="Renewal"/>
    <n v="3974.77"/>
    <d v="2018-04-01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LAP"/>
    <s v="OG-19-2202-4002-00000005"/>
    <x v="0"/>
    <x v="14"/>
    <d v="2019-03-31T00:00:00"/>
    <x v="1"/>
    <n v="3"/>
    <s v="Animesh Rawat"/>
    <x v="0"/>
    <s v="Global Client Network (GNB Inward)"/>
    <s v="Renewal"/>
    <n v="3974.77"/>
    <d v="2018-04-01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LAP"/>
    <s v="OG-19-2202-4002-00000005"/>
    <x v="0"/>
    <x v="14"/>
    <d v="2019-03-31T00:00:00"/>
    <x v="1"/>
    <n v="3"/>
    <s v="Animesh Rawat"/>
    <x v="0"/>
    <s v="Global Client Network (GNB Inward)"/>
    <s v="Renewal"/>
    <n v="3974.77"/>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LAP"/>
    <s v="OG-19-2202-4002-00000005"/>
    <x v="0"/>
    <x v="14"/>
    <d v="2019-03-31T00:00:00"/>
    <x v="1"/>
    <n v="3"/>
    <s v="Animesh Rawat"/>
    <x v="0"/>
    <s v="Global Client Network (GNB Inward)"/>
    <s v="Renewal"/>
    <n v="3974.77"/>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LAP"/>
    <s v="OG-19-2202-4002-00000005"/>
    <x v="0"/>
    <x v="14"/>
    <d v="2019-03-31T00:00:00"/>
    <x v="1"/>
    <n v="3"/>
    <s v="Animesh Rawat"/>
    <x v="0"/>
    <s v="Global Client Network (GNB Inward)"/>
    <s v="Renewal"/>
    <n v="3974.77"/>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LAP"/>
    <s v="OG-19-2202-4002-00000005"/>
    <x v="0"/>
    <x v="14"/>
    <d v="2019-03-31T00:00:00"/>
    <x v="1"/>
    <n v="3"/>
    <s v="Animesh Rawat"/>
    <x v="0"/>
    <s v="Global Client Network (GNB Inward)"/>
    <s v="Renewal"/>
    <n v="3974.77"/>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LAP"/>
    <s v="OG-19-2202-4003-00000012"/>
    <x v="0"/>
    <x v="14"/>
    <d v="2019-03-31T00:00:00"/>
    <x v="1"/>
    <n v="3"/>
    <s v="Animesh Rawat"/>
    <x v="0"/>
    <s v="Global Client Network (GNB Inward)"/>
    <s v="Renewal"/>
    <n v="6120.48"/>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LAP"/>
    <s v="OG-19-2202-4003-00000012"/>
    <x v="0"/>
    <x v="14"/>
    <d v="2019-03-31T00:00:00"/>
    <x v="1"/>
    <n v="3"/>
    <s v="Animesh Rawat"/>
    <x v="0"/>
    <s v="Global Client Network (GNB Inward)"/>
    <s v="Renewal"/>
    <n v="6120.48"/>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LAP"/>
    <s v="OG-19-2202-4003-00000012"/>
    <x v="0"/>
    <x v="14"/>
    <d v="2019-03-31T00:00:00"/>
    <x v="1"/>
    <n v="3"/>
    <s v="Animesh Rawat"/>
    <x v="0"/>
    <s v="Global Client Network (GNB Inward)"/>
    <s v="Renewal"/>
    <n v="6120.48"/>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LAP"/>
    <s v="OG-19-2202-4003-00000012"/>
    <x v="0"/>
    <x v="14"/>
    <d v="2019-03-31T00:00:00"/>
    <x v="1"/>
    <n v="3"/>
    <s v="Animesh Rawat"/>
    <x v="0"/>
    <s v="Global Client Network (GNB Inward)"/>
    <s v="Renewal"/>
    <n v="6120.48"/>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LAP"/>
    <s v="OG-19-2202-4003-00000012"/>
    <x v="0"/>
    <x v="14"/>
    <d v="2019-03-31T00:00:00"/>
    <x v="1"/>
    <n v="3"/>
    <s v="Animesh Rawat"/>
    <x v="0"/>
    <s v="Global Client Network (GNB Inward)"/>
    <s v="Renewal"/>
    <n v="6120.48"/>
    <d v="2018-04-01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LAP"/>
    <s v="OG-19-2202-4003-00000012"/>
    <x v="0"/>
    <x v="14"/>
    <d v="2019-03-31T00:00:00"/>
    <x v="1"/>
    <n v="3"/>
    <s v="Animesh Rawat"/>
    <x v="0"/>
    <s v="Global Client Network (GNB Inward)"/>
    <s v="Renewal"/>
    <n v="6120.48"/>
    <d v="2018-04-01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LAP"/>
    <s v="OG-19-2202-4003-00000012"/>
    <x v="0"/>
    <x v="14"/>
    <d v="2019-03-31T00:00:00"/>
    <x v="1"/>
    <n v="3"/>
    <s v="Animesh Rawat"/>
    <x v="0"/>
    <s v="Global Client Network (GNB Inward)"/>
    <s v="Renewal"/>
    <n v="6120.48"/>
    <d v="2018-04-01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LAP"/>
    <s v="OG-19-2202-4003-00000012"/>
    <x v="0"/>
    <x v="14"/>
    <d v="2019-03-31T00:00:00"/>
    <x v="1"/>
    <n v="3"/>
    <s v="Animesh Rawat"/>
    <x v="0"/>
    <s v="Global Client Network (GNB Inward)"/>
    <s v="Renewal"/>
    <n v="6120.48"/>
    <d v="2018-04-01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LAP"/>
    <s v="OG-19-2202-4003-00000012"/>
    <x v="0"/>
    <x v="14"/>
    <d v="2019-03-31T00:00:00"/>
    <x v="1"/>
    <n v="3"/>
    <s v="Animesh Rawat"/>
    <x v="0"/>
    <s v="Global Client Network (GNB Inward)"/>
    <s v="Renewal"/>
    <n v="6120.48"/>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LAP"/>
    <s v="OG-19-2202-4003-00000012"/>
    <x v="0"/>
    <x v="14"/>
    <d v="2019-03-31T00:00:00"/>
    <x v="1"/>
    <n v="3"/>
    <s v="Animesh Rawat"/>
    <x v="0"/>
    <s v="Global Client Network (GNB Inward)"/>
    <s v="Renewal"/>
    <n v="6120.48"/>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LAP"/>
    <s v="OG-19-2202-4003-00000012"/>
    <x v="0"/>
    <x v="14"/>
    <d v="2019-03-31T00:00:00"/>
    <x v="1"/>
    <n v="3"/>
    <s v="Animesh Rawat"/>
    <x v="0"/>
    <s v="Global Client Network (GNB Inward)"/>
    <s v="Renewal"/>
    <n v="6120.48"/>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LAP"/>
    <s v="OG-19-2202-4003-00000012"/>
    <x v="0"/>
    <x v="14"/>
    <d v="2019-03-31T00:00:00"/>
    <x v="1"/>
    <n v="3"/>
    <s v="Animesh Rawat"/>
    <x v="0"/>
    <s v="Global Client Network (GNB Inward)"/>
    <s v="Renewal"/>
    <n v="6120.48"/>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LAP"/>
    <s v="OG-19-2202-4003-00000012"/>
    <x v="0"/>
    <x v="14"/>
    <d v="2019-03-31T00:00:00"/>
    <x v="1"/>
    <n v="3"/>
    <s v="Animesh Rawat"/>
    <x v="0"/>
    <s v="Global Client Network (GNB Inward)"/>
    <s v="Renewal"/>
    <n v="1530.12"/>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LAP"/>
    <s v="OG-19-2202-4003-00000012"/>
    <x v="0"/>
    <x v="14"/>
    <d v="2019-03-31T00:00:00"/>
    <x v="1"/>
    <n v="3"/>
    <s v="Animesh Rawat"/>
    <x v="0"/>
    <s v="Global Client Network (GNB Inward)"/>
    <s v="Renewal"/>
    <n v="1530.12"/>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LAP"/>
    <s v="OG-19-2202-4003-00000012"/>
    <x v="0"/>
    <x v="14"/>
    <d v="2019-03-31T00:00:00"/>
    <x v="1"/>
    <n v="3"/>
    <s v="Animesh Rawat"/>
    <x v="0"/>
    <s v="Global Client Network (GNB Inward)"/>
    <s v="Renewal"/>
    <n v="1530.12"/>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LAP"/>
    <s v="OG-19-2202-4003-00000012"/>
    <x v="0"/>
    <x v="14"/>
    <d v="2019-03-31T00:00:00"/>
    <x v="1"/>
    <n v="3"/>
    <s v="Animesh Rawat"/>
    <x v="0"/>
    <s v="Global Client Network (GNB Inward)"/>
    <s v="Renewal"/>
    <n v="1530.12"/>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LAP"/>
    <s v="OG-19-2202-4003-00000012"/>
    <x v="0"/>
    <x v="14"/>
    <d v="2019-03-31T00:00:00"/>
    <x v="1"/>
    <n v="3"/>
    <s v="Animesh Rawat"/>
    <x v="0"/>
    <s v="Global Client Network (GNB Inward)"/>
    <s v="Renewal"/>
    <n v="1530.12"/>
    <d v="2018-04-01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LAP"/>
    <s v="OG-19-2202-4003-00000012"/>
    <x v="0"/>
    <x v="14"/>
    <d v="2019-03-31T00:00:00"/>
    <x v="1"/>
    <n v="3"/>
    <s v="Animesh Rawat"/>
    <x v="0"/>
    <s v="Global Client Network (GNB Inward)"/>
    <s v="Renewal"/>
    <n v="1530.12"/>
    <d v="2018-04-01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LAP"/>
    <s v="OG-19-2202-4003-00000012"/>
    <x v="0"/>
    <x v="14"/>
    <d v="2019-03-31T00:00:00"/>
    <x v="1"/>
    <n v="3"/>
    <s v="Animesh Rawat"/>
    <x v="0"/>
    <s v="Global Client Network (GNB Inward)"/>
    <s v="Renewal"/>
    <n v="1530.12"/>
    <d v="2018-04-01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LAP"/>
    <s v="OG-19-2202-4003-00000012"/>
    <x v="0"/>
    <x v="14"/>
    <d v="2019-03-31T00:00:00"/>
    <x v="1"/>
    <n v="3"/>
    <s v="Animesh Rawat"/>
    <x v="0"/>
    <s v="Global Client Network (GNB Inward)"/>
    <s v="Renewal"/>
    <n v="1530.12"/>
    <d v="2018-04-01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LAP"/>
    <s v="OG-19-2202-4003-00000012"/>
    <x v="0"/>
    <x v="14"/>
    <d v="2019-03-31T00:00:00"/>
    <x v="1"/>
    <n v="3"/>
    <s v="Animesh Rawat"/>
    <x v="0"/>
    <s v="Global Client Network (GNB Inward)"/>
    <s v="Renewal"/>
    <n v="1530.12"/>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LAP"/>
    <s v="OG-19-2202-4003-00000012"/>
    <x v="0"/>
    <x v="14"/>
    <d v="2019-03-31T00:00:00"/>
    <x v="1"/>
    <n v="3"/>
    <s v="Animesh Rawat"/>
    <x v="0"/>
    <s v="Global Client Network (GNB Inward)"/>
    <s v="Renewal"/>
    <n v="1530.12"/>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LAP"/>
    <s v="OG-19-2202-4003-00000012"/>
    <x v="0"/>
    <x v="14"/>
    <d v="2019-03-31T00:00:00"/>
    <x v="1"/>
    <n v="3"/>
    <s v="Animesh Rawat"/>
    <x v="0"/>
    <s v="Global Client Network (GNB Inward)"/>
    <s v="Renewal"/>
    <n v="1530.12"/>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LAP"/>
    <s v="OG-19-2202-4003-00000012"/>
    <x v="0"/>
    <x v="14"/>
    <d v="2019-03-31T00:00:00"/>
    <x v="1"/>
    <n v="3"/>
    <s v="Animesh Rawat"/>
    <x v="0"/>
    <s v="Global Client Network (GNB Inward)"/>
    <s v="Renewal"/>
    <n v="1530.12"/>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LAP"/>
    <s v="OG-19-2202-4004-00000010"/>
    <x v="0"/>
    <x v="14"/>
    <d v="2019-03-31T00:00:00"/>
    <x v="1"/>
    <n v="3"/>
    <s v="Animesh Rawat"/>
    <x v="0"/>
    <s v="Global Client Network (GNB Inward)"/>
    <s v="Renewal"/>
    <n v="32171.200000000001"/>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LAP"/>
    <s v="OG-19-2202-4004-00000010"/>
    <x v="0"/>
    <x v="14"/>
    <d v="2019-03-31T00:00:00"/>
    <x v="1"/>
    <n v="3"/>
    <s v="Animesh Rawat"/>
    <x v="0"/>
    <s v="Global Client Network (GNB Inward)"/>
    <s v="Renewal"/>
    <n v="32171.200000000001"/>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LAP"/>
    <s v="OG-19-2202-4004-00000010"/>
    <x v="0"/>
    <x v="14"/>
    <d v="2019-03-31T00:00:00"/>
    <x v="1"/>
    <n v="3"/>
    <s v="Animesh Rawat"/>
    <x v="0"/>
    <s v="Global Client Network (GNB Inward)"/>
    <s v="Renewal"/>
    <n v="32171.200000000001"/>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LAP"/>
    <s v="OG-19-2202-4004-00000010"/>
    <x v="0"/>
    <x v="14"/>
    <d v="2019-03-31T00:00:00"/>
    <x v="1"/>
    <n v="3"/>
    <s v="Animesh Rawat"/>
    <x v="0"/>
    <s v="Global Client Network (GNB Inward)"/>
    <s v="Renewal"/>
    <n v="32171.200000000001"/>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LAP"/>
    <s v="OG-19-2202-4004-00000010"/>
    <x v="0"/>
    <x v="14"/>
    <d v="2019-03-31T00:00:00"/>
    <x v="1"/>
    <n v="3"/>
    <s v="Animesh Rawat"/>
    <x v="0"/>
    <s v="Global Client Network (GNB Inward)"/>
    <s v="Renewal"/>
    <n v="32171.200000000001"/>
    <d v="2018-04-01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LAP"/>
    <s v="OG-19-2202-4004-00000010"/>
    <x v="0"/>
    <x v="14"/>
    <d v="2019-03-31T00:00:00"/>
    <x v="1"/>
    <n v="3"/>
    <s v="Animesh Rawat"/>
    <x v="0"/>
    <s v="Global Client Network (GNB Inward)"/>
    <s v="Renewal"/>
    <n v="32171.200000000001"/>
    <d v="2018-04-01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LAP"/>
    <s v="OG-19-2202-4004-00000010"/>
    <x v="0"/>
    <x v="14"/>
    <d v="2019-03-31T00:00:00"/>
    <x v="1"/>
    <n v="3"/>
    <s v="Animesh Rawat"/>
    <x v="0"/>
    <s v="Global Client Network (GNB Inward)"/>
    <s v="Renewal"/>
    <n v="32171.200000000001"/>
    <d v="2018-04-01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LAP"/>
    <s v="OG-19-2202-4004-00000010"/>
    <x v="0"/>
    <x v="14"/>
    <d v="2019-03-31T00:00:00"/>
    <x v="1"/>
    <n v="3"/>
    <s v="Animesh Rawat"/>
    <x v="0"/>
    <s v="Global Client Network (GNB Inward)"/>
    <s v="Renewal"/>
    <n v="32171.200000000001"/>
    <d v="2018-04-01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LAP"/>
    <s v="OG-19-2202-4004-00000010"/>
    <x v="0"/>
    <x v="14"/>
    <d v="2019-03-31T00:00:00"/>
    <x v="1"/>
    <n v="3"/>
    <s v="Animesh Rawat"/>
    <x v="0"/>
    <s v="Global Client Network (GNB Inward)"/>
    <s v="Renewal"/>
    <n v="32171.200000000001"/>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LAP"/>
    <s v="OG-19-2202-4004-00000010"/>
    <x v="0"/>
    <x v="14"/>
    <d v="2019-03-31T00:00:00"/>
    <x v="1"/>
    <n v="3"/>
    <s v="Animesh Rawat"/>
    <x v="0"/>
    <s v="Global Client Network (GNB Inward)"/>
    <s v="Renewal"/>
    <n v="32171.200000000001"/>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LAP"/>
    <s v="OG-19-2202-4004-00000010"/>
    <x v="0"/>
    <x v="14"/>
    <d v="2019-03-31T00:00:00"/>
    <x v="1"/>
    <n v="3"/>
    <s v="Animesh Rawat"/>
    <x v="0"/>
    <s v="Global Client Network (GNB Inward)"/>
    <s v="Renewal"/>
    <n v="32171.200000000001"/>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LAP"/>
    <s v="OG-19-2202-4004-00000010"/>
    <x v="0"/>
    <x v="14"/>
    <d v="2019-03-31T00:00:00"/>
    <x v="1"/>
    <n v="3"/>
    <s v="Animesh Rawat"/>
    <x v="0"/>
    <s v="Global Client Network (GNB Inward)"/>
    <s v="Renewal"/>
    <n v="32171.200000000001"/>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LAP"/>
    <s v="OG-19-2202-4004-00000010"/>
    <x v="0"/>
    <x v="14"/>
    <d v="2019-03-31T00:00:00"/>
    <x v="1"/>
    <n v="3"/>
    <s v="Animesh Rawat"/>
    <x v="0"/>
    <s v="Global Client Network (GNB Inward)"/>
    <s v="Renewal"/>
    <n v="8042.8"/>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LAP"/>
    <s v="OG-19-2202-4004-00000010"/>
    <x v="0"/>
    <x v="14"/>
    <d v="2019-03-31T00:00:00"/>
    <x v="1"/>
    <n v="3"/>
    <s v="Animesh Rawat"/>
    <x v="0"/>
    <s v="Global Client Network (GNB Inward)"/>
    <s v="Renewal"/>
    <n v="8042.8"/>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LAP"/>
    <s v="OG-19-2202-4004-00000010"/>
    <x v="0"/>
    <x v="14"/>
    <d v="2019-03-31T00:00:00"/>
    <x v="1"/>
    <n v="3"/>
    <s v="Animesh Rawat"/>
    <x v="0"/>
    <s v="Global Client Network (GNB Inward)"/>
    <s v="Renewal"/>
    <n v="8042.8"/>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LAP"/>
    <s v="OG-19-2202-4004-00000010"/>
    <x v="0"/>
    <x v="14"/>
    <d v="2019-03-31T00:00:00"/>
    <x v="1"/>
    <n v="3"/>
    <s v="Animesh Rawat"/>
    <x v="0"/>
    <s v="Global Client Network (GNB Inward)"/>
    <s v="Renewal"/>
    <n v="8042.8"/>
    <d v="2018-04-01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LAP"/>
    <s v="OG-19-2202-4004-00000010"/>
    <x v="0"/>
    <x v="14"/>
    <d v="2019-03-31T00:00:00"/>
    <x v="1"/>
    <n v="3"/>
    <s v="Animesh Rawat"/>
    <x v="0"/>
    <s v="Global Client Network (GNB Inward)"/>
    <s v="Renewal"/>
    <n v="8042.8"/>
    <d v="2018-04-01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LAP"/>
    <s v="OG-19-2202-4004-00000010"/>
    <x v="0"/>
    <x v="14"/>
    <d v="2019-03-31T00:00:00"/>
    <x v="1"/>
    <n v="3"/>
    <s v="Animesh Rawat"/>
    <x v="0"/>
    <s v="Global Client Network (GNB Inward)"/>
    <s v="Renewal"/>
    <n v="8042.8"/>
    <d v="2018-04-01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LAP"/>
    <s v="OG-19-2202-4004-00000010"/>
    <x v="0"/>
    <x v="14"/>
    <d v="2019-03-31T00:00:00"/>
    <x v="1"/>
    <n v="3"/>
    <s v="Animesh Rawat"/>
    <x v="0"/>
    <s v="Global Client Network (GNB Inward)"/>
    <s v="Renewal"/>
    <n v="8042.8"/>
    <d v="2018-04-01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LAP"/>
    <s v="OG-19-2202-4004-00000010"/>
    <x v="0"/>
    <x v="14"/>
    <d v="2019-03-31T00:00:00"/>
    <x v="1"/>
    <n v="3"/>
    <s v="Animesh Rawat"/>
    <x v="0"/>
    <s v="Global Client Network (GNB Inward)"/>
    <s v="Renewal"/>
    <n v="8042.8"/>
    <d v="2018-04-01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LAP"/>
    <s v="OG-19-2202-4004-00000010"/>
    <x v="0"/>
    <x v="14"/>
    <d v="2019-03-31T00:00:00"/>
    <x v="1"/>
    <n v="3"/>
    <s v="Animesh Rawat"/>
    <x v="0"/>
    <s v="Global Client Network (GNB Inward)"/>
    <s v="Renewal"/>
    <n v="8042.8"/>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LAP"/>
    <s v="OG-19-2202-4004-00000010"/>
    <x v="0"/>
    <x v="14"/>
    <d v="2019-03-31T00:00:00"/>
    <x v="1"/>
    <n v="3"/>
    <s v="Animesh Rawat"/>
    <x v="0"/>
    <s v="Global Client Network (GNB Inward)"/>
    <s v="Renewal"/>
    <n v="8042.8"/>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LAP"/>
    <s v="OG-19-2202-4004-00000010"/>
    <x v="0"/>
    <x v="14"/>
    <d v="2019-03-31T00:00:00"/>
    <x v="1"/>
    <n v="3"/>
    <s v="Animesh Rawat"/>
    <x v="0"/>
    <s v="Global Client Network (GNB Inward)"/>
    <s v="Renewal"/>
    <n v="8042.8"/>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LAP"/>
    <s v="OG-19-2202-4004-00000010"/>
    <x v="0"/>
    <x v="14"/>
    <d v="2019-03-31T00:00:00"/>
    <x v="1"/>
    <n v="3"/>
    <s v="Animesh Rawat"/>
    <x v="0"/>
    <s v="Global Client Network (GNB Inward)"/>
    <s v="Renewal"/>
    <n v="8042.8"/>
    <d v="2018-04-01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LAP"/>
    <s v="OG-19-2202-4010-00000104"/>
    <x v="0"/>
    <x v="14"/>
    <d v="2019-03-31T00:00:00"/>
    <x v="2"/>
    <n v="3"/>
    <s v="Animesh Rawat"/>
    <x v="0"/>
    <s v="Global Client Network (GNB Inward)"/>
    <s v="Renewal"/>
    <n v="2925"/>
    <d v="2018-04-01T00:00:00"/>
    <s v="Brokerage"/>
    <x v="0"/>
    <s v="OTHR - Other"/>
    <d v="2020-01-22T00:00:00"/>
    <s v="Other"/>
    <m/>
    <m/>
    <m/>
    <m/>
    <m/>
    <m/>
    <m/>
    <m/>
    <m/>
    <m/>
    <m/>
    <m/>
    <m/>
    <m/>
    <m/>
    <m/>
    <m/>
    <m/>
    <m/>
    <m/>
  </r>
  <r>
    <s v="LAP"/>
    <s v="OG-19-2202-4010-00000104"/>
    <x v="0"/>
    <x v="14"/>
    <d v="2019-03-31T00:00:00"/>
    <x v="2"/>
    <n v="3"/>
    <s v="Animesh Rawat"/>
    <x v="0"/>
    <s v="Global Client Network (GNB Inward)"/>
    <s v="Renewal"/>
    <n v="731.25"/>
    <d v="2018-04-01T00:00:00"/>
    <s v="Brokerage"/>
    <x v="0"/>
    <s v="OTHR - Other"/>
    <d v="2020-01-22T00:00:00"/>
    <s v="Other"/>
    <m/>
    <m/>
    <m/>
    <m/>
    <m/>
    <m/>
    <m/>
    <m/>
    <m/>
    <m/>
    <m/>
    <m/>
    <m/>
    <m/>
    <m/>
    <m/>
    <m/>
    <m/>
    <m/>
    <m/>
  </r>
  <r>
    <s v="LAP"/>
    <s v="OG-19-2202-4010-00000159"/>
    <x v="0"/>
    <x v="14"/>
    <d v="2019-03-31T00:00:00"/>
    <x v="2"/>
    <n v="3"/>
    <s v="Animesh Rawat"/>
    <x v="0"/>
    <s v="Global Client Network (GNB Inward)"/>
    <s v="Renewal"/>
    <n v="627"/>
    <d v="2018-04-01T00:00:00"/>
    <s v="Brokerage"/>
    <x v="0"/>
    <s v="OTHR - Other"/>
    <d v="2020-01-22T00:00:00"/>
    <s v="Other"/>
    <m/>
    <m/>
    <m/>
    <m/>
    <m/>
    <m/>
    <m/>
    <m/>
    <m/>
    <m/>
    <m/>
    <m/>
    <m/>
    <m/>
    <m/>
    <m/>
    <m/>
    <m/>
    <m/>
    <m/>
  </r>
  <r>
    <s v="LAP"/>
    <s v="OG-19-2202-4010-00000159"/>
    <x v="0"/>
    <x v="14"/>
    <d v="2019-03-31T00:00:00"/>
    <x v="2"/>
    <n v="3"/>
    <s v="Animesh Rawat"/>
    <x v="0"/>
    <s v="Global Client Network (GNB Inward)"/>
    <s v="Renewal"/>
    <n v="156.75"/>
    <d v="2018-04-01T00:00:00"/>
    <s v="Brokerage"/>
    <x v="0"/>
    <s v="OTHR - Other"/>
    <d v="2020-01-22T00:00:00"/>
    <s v="Other"/>
    <m/>
    <m/>
    <m/>
    <m/>
    <m/>
    <m/>
    <m/>
    <m/>
    <m/>
    <m/>
    <m/>
    <m/>
    <m/>
    <m/>
    <m/>
    <m/>
    <m/>
    <m/>
    <m/>
    <m/>
  </r>
  <r>
    <s v="LAP"/>
    <s v="OG-19-2202-4011-00000003"/>
    <x v="0"/>
    <x v="14"/>
    <d v="2019-03-31T00:00:00"/>
    <x v="2"/>
    <n v="3"/>
    <s v="Animesh Rawat"/>
    <x v="0"/>
    <s v="Global Client Network (GNB Inward)"/>
    <s v="Renewal"/>
    <n v="1186"/>
    <d v="2018-04-01T00:00:00"/>
    <s v="Brokerage"/>
    <x v="0"/>
    <s v="OTHR - Other"/>
    <d v="2020-01-22T00:00:00"/>
    <s v="Other"/>
    <m/>
    <m/>
    <m/>
    <m/>
    <m/>
    <m/>
    <m/>
    <m/>
    <m/>
    <m/>
    <m/>
    <m/>
    <m/>
    <m/>
    <m/>
    <m/>
    <m/>
    <m/>
    <m/>
    <m/>
  </r>
  <r>
    <s v="LAP"/>
    <s v="OG-19-2202-9931-00000002"/>
    <x v="0"/>
    <x v="14"/>
    <d v="2019-01-03T00:00:00"/>
    <x v="2"/>
    <n v="3"/>
    <s v="Animesh Rawat"/>
    <x v="0"/>
    <s v="Global Client Network (GNB Inward)"/>
    <s v="Renewal"/>
    <n v="465.9"/>
    <d v="2018-04-01T00:00:00"/>
    <s v="Brokerage"/>
    <x v="0"/>
    <s v="OTHR - Other"/>
    <d v="2020-01-22T00:00:00"/>
    <s v="Other"/>
    <m/>
    <m/>
    <m/>
    <m/>
    <m/>
    <m/>
    <m/>
    <m/>
    <m/>
    <m/>
    <m/>
    <m/>
    <m/>
    <m/>
    <m/>
    <m/>
    <m/>
    <m/>
    <m/>
    <m/>
  </r>
  <r>
    <s v="LAP"/>
    <s v="OG-19-2202-9931-00000002"/>
    <x v="0"/>
    <x v="14"/>
    <d v="2019-01-03T00:00:00"/>
    <x v="2"/>
    <n v="3"/>
    <s v="Animesh Rawat"/>
    <x v="0"/>
    <s v="Global Client Network (GNB Inward)"/>
    <s v="Renewal"/>
    <n v="116.48"/>
    <d v="2018-04-01T00:00:00"/>
    <s v="Brokerage"/>
    <x v="0"/>
    <s v="OTHR - Other"/>
    <d v="2020-01-22T00:00:00"/>
    <s v="Other"/>
    <m/>
    <m/>
    <m/>
    <m/>
    <m/>
    <m/>
    <m/>
    <m/>
    <m/>
    <m/>
    <m/>
    <m/>
    <m/>
    <m/>
    <m/>
    <m/>
    <m/>
    <m/>
    <m/>
    <m/>
  </r>
  <r>
    <s v="LAP"/>
    <s v="OG-19-2202-9931-00000163"/>
    <x v="0"/>
    <x v="14"/>
    <d v="2019-03-31T00:00:00"/>
    <x v="2"/>
    <n v="3"/>
    <s v="Animesh Rawat"/>
    <x v="0"/>
    <s v="Global Client Network (GNB Inward)"/>
    <s v="Renewal"/>
    <n v="3456.13"/>
    <d v="2018-04-01T00:00:00"/>
    <s v="Brokerage"/>
    <x v="0"/>
    <s v="OTHR - Other"/>
    <d v="2020-01-22T00:00:00"/>
    <s v="Other"/>
    <m/>
    <m/>
    <m/>
    <m/>
    <m/>
    <m/>
    <m/>
    <m/>
    <m/>
    <m/>
    <m/>
    <m/>
    <m/>
    <m/>
    <m/>
    <m/>
    <m/>
    <m/>
    <m/>
    <m/>
  </r>
  <r>
    <s v="LAP"/>
    <n v="2.13E+19"/>
    <x v="1"/>
    <x v="14"/>
    <d v="2019-03-31T00:00:00"/>
    <x v="3"/>
    <n v="10"/>
    <s v="Mark"/>
    <x v="0"/>
    <s v="Employee Benefits (EB)"/>
    <s v="Renewal"/>
    <n v="0"/>
    <d v="2018-04-01T00:00:00"/>
    <s v="Brokerage"/>
    <x v="0"/>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LAP"/>
    <n v="2.13E+19"/>
    <x v="1"/>
    <x v="14"/>
    <d v="2019-03-31T00:00:00"/>
    <x v="3"/>
    <n v="10"/>
    <s v="Mark"/>
    <x v="0"/>
    <s v="Employee Benefits (EB)"/>
    <s v="Renewal"/>
    <n v="0"/>
    <d v="2018-04-01T00:00:00"/>
    <s v="Brokerage"/>
    <x v="0"/>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LAP"/>
    <n v="2.13E+19"/>
    <x v="1"/>
    <x v="14"/>
    <d v="2019-03-31T00:00:00"/>
    <x v="3"/>
    <n v="10"/>
    <s v="Mark"/>
    <x v="0"/>
    <s v="Employee Benefits (EB)"/>
    <s v="Renewal"/>
    <n v="0"/>
    <d v="2018-04-01T00:00:00"/>
    <s v="Brokerage"/>
    <x v="0"/>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LAP"/>
    <n v="2.13E+19"/>
    <x v="1"/>
    <x v="14"/>
    <d v="2019-03-31T00:00:00"/>
    <x v="3"/>
    <n v="10"/>
    <s v="Mark"/>
    <x v="0"/>
    <s v="Employee Benefits (EB)"/>
    <s v="Renewal"/>
    <n v="0"/>
    <d v="2018-04-01T00:00:00"/>
    <s v="Brokerage"/>
    <x v="0"/>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LAP"/>
    <n v="2.13E+19"/>
    <x v="1"/>
    <x v="14"/>
    <d v="2019-03-31T00:00:00"/>
    <x v="3"/>
    <n v="10"/>
    <s v="Mark"/>
    <x v="0"/>
    <s v="Employee Benefits (EB)"/>
    <s v="Renewal"/>
    <n v="0"/>
    <d v="2018-04-01T00:00:00"/>
    <s v="Brokerage"/>
    <x v="0"/>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LAP"/>
    <n v="2.13E+19"/>
    <x v="1"/>
    <x v="14"/>
    <d v="2019-03-31T00:00:00"/>
    <x v="3"/>
    <n v="10"/>
    <s v="Mark"/>
    <x v="0"/>
    <s v="Employee Benefits (EB)"/>
    <s v="Renewal"/>
    <n v="0"/>
    <d v="2018-04-01T00:00:00"/>
    <s v="Brokerage"/>
    <x v="0"/>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LAP"/>
    <n v="2.13E+19"/>
    <x v="1"/>
    <x v="14"/>
    <d v="2019-03-31T00:00:00"/>
    <x v="3"/>
    <n v="10"/>
    <s v="Mark"/>
    <x v="0"/>
    <s v="Employee Benefits (EB)"/>
    <s v="Renewal"/>
    <n v="0"/>
    <d v="2018-04-01T00:00:00"/>
    <s v="Brokerage"/>
    <x v="0"/>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LAP"/>
    <n v="2.13E+19"/>
    <x v="1"/>
    <x v="14"/>
    <d v="2019-03-31T00:00:00"/>
    <x v="3"/>
    <n v="10"/>
    <s v="Mark"/>
    <x v="0"/>
    <s v="Employee Benefits (EB)"/>
    <s v="Renewal"/>
    <n v="0"/>
    <d v="2018-04-01T00:00:00"/>
    <s v="Brokerage"/>
    <x v="0"/>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LAP"/>
    <n v="2.13E+19"/>
    <x v="1"/>
    <x v="14"/>
    <d v="2019-03-31T00:00:00"/>
    <x v="3"/>
    <n v="10"/>
    <s v="Mark"/>
    <x v="0"/>
    <s v="Employee Benefits (EB)"/>
    <s v="Renewal"/>
    <n v="0"/>
    <d v="2018-04-01T00:00:00"/>
    <s v="Brokerage"/>
    <x v="0"/>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LAP"/>
    <n v="2.13E+19"/>
    <x v="1"/>
    <x v="14"/>
    <d v="2019-03-31T00:00:00"/>
    <x v="3"/>
    <n v="10"/>
    <s v="Mark"/>
    <x v="0"/>
    <s v="Employee Benefits (EB)"/>
    <s v="Renewal"/>
    <n v="0"/>
    <d v="2018-04-01T00:00:00"/>
    <s v="Brokerage"/>
    <x v="0"/>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LAP"/>
    <s v="2200130820 02"/>
    <x v="0"/>
    <x v="288"/>
    <d v="2019-05-08T00:00:00"/>
    <x v="1"/>
    <n v="3"/>
    <s v="Animesh Rawat"/>
    <x v="0"/>
    <s v="Global Client Network (GNB Inward)"/>
    <s v="Renewal"/>
    <n v="976.81"/>
    <d v="2018-05-09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LAP"/>
    <s v="2200130820 02"/>
    <x v="0"/>
    <x v="288"/>
    <d v="2019-05-08T00:00:00"/>
    <x v="1"/>
    <n v="3"/>
    <s v="Animesh Rawat"/>
    <x v="0"/>
    <s v="Global Client Network (GNB Inward)"/>
    <s v="Renewal"/>
    <n v="976.81"/>
    <d v="2018-05-09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LAP"/>
    <s v="2200130820 02"/>
    <x v="0"/>
    <x v="288"/>
    <d v="2019-05-08T00:00:00"/>
    <x v="1"/>
    <n v="3"/>
    <s v="Animesh Rawat"/>
    <x v="0"/>
    <s v="Global Client Network (GNB Inward)"/>
    <s v="Renewal"/>
    <n v="976.81"/>
    <d v="2018-05-09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LAP"/>
    <s v="2200130820 02"/>
    <x v="0"/>
    <x v="288"/>
    <d v="2019-05-08T00:00:00"/>
    <x v="1"/>
    <n v="3"/>
    <s v="Animesh Rawat"/>
    <x v="0"/>
    <s v="Global Client Network (GNB Inward)"/>
    <s v="Renewal"/>
    <n v="976.81"/>
    <d v="2018-05-09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LAP"/>
    <s v="2200130820 02"/>
    <x v="0"/>
    <x v="288"/>
    <d v="2019-05-08T00:00:00"/>
    <x v="1"/>
    <n v="3"/>
    <s v="Animesh Rawat"/>
    <x v="0"/>
    <s v="Global Client Network (GNB Inward)"/>
    <s v="Renewal"/>
    <n v="976.81"/>
    <d v="2018-05-09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LAP"/>
    <s v="2200130820 02"/>
    <x v="0"/>
    <x v="288"/>
    <d v="2019-05-08T00:00:00"/>
    <x v="1"/>
    <n v="3"/>
    <s v="Animesh Rawat"/>
    <x v="0"/>
    <s v="Global Client Network (GNB Inward)"/>
    <s v="Renewal"/>
    <n v="976.81"/>
    <d v="2018-05-09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LAP"/>
    <s v="2200130820 02"/>
    <x v="0"/>
    <x v="288"/>
    <d v="2019-05-08T00:00:00"/>
    <x v="1"/>
    <n v="3"/>
    <s v="Animesh Rawat"/>
    <x v="0"/>
    <s v="Global Client Network (GNB Inward)"/>
    <s v="Renewal"/>
    <n v="976.81"/>
    <d v="2018-05-09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LAP"/>
    <s v="2200130820 02"/>
    <x v="0"/>
    <x v="288"/>
    <d v="2019-05-08T00:00:00"/>
    <x v="1"/>
    <n v="3"/>
    <s v="Animesh Rawat"/>
    <x v="0"/>
    <s v="Global Client Network (GNB Inward)"/>
    <s v="Renewal"/>
    <n v="976.81"/>
    <d v="2018-05-09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LAP"/>
    <s v="2200130820 02"/>
    <x v="0"/>
    <x v="288"/>
    <d v="2019-05-08T00:00:00"/>
    <x v="1"/>
    <n v="3"/>
    <s v="Animesh Rawat"/>
    <x v="0"/>
    <s v="Global Client Network (GNB Inward)"/>
    <s v="Renewal"/>
    <n v="976.81"/>
    <d v="2018-05-09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LAP"/>
    <s v="2200130820 02"/>
    <x v="0"/>
    <x v="288"/>
    <d v="2019-05-08T00:00:00"/>
    <x v="1"/>
    <n v="3"/>
    <s v="Animesh Rawat"/>
    <x v="0"/>
    <s v="Global Client Network (GNB Inward)"/>
    <s v="Renewal"/>
    <n v="976.81"/>
    <d v="2018-05-09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LAP"/>
    <s v="2200130820 02"/>
    <x v="0"/>
    <x v="288"/>
    <d v="2019-05-08T00:00:00"/>
    <x v="1"/>
    <n v="3"/>
    <s v="Animesh Rawat"/>
    <x v="0"/>
    <s v="Global Client Network (GNB Inward)"/>
    <s v="Renewal"/>
    <n v="976.81"/>
    <d v="2018-05-09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LAP"/>
    <s v="2200130820 02"/>
    <x v="0"/>
    <x v="288"/>
    <d v="2019-05-08T00:00:00"/>
    <x v="1"/>
    <n v="3"/>
    <s v="Animesh Rawat"/>
    <x v="0"/>
    <s v="Global Client Network (GNB Inward)"/>
    <s v="Renewal"/>
    <n v="976.81"/>
    <d v="2018-05-09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LAP"/>
    <s v="4016/120415654/02/00"/>
    <x v="1"/>
    <x v="159"/>
    <d v="2019-07-13T00:00:00"/>
    <x v="3"/>
    <n v="10"/>
    <s v="Mark"/>
    <x v="0"/>
    <s v="Employee Benefits (EB)"/>
    <s v="Renewal"/>
    <n v="26250"/>
    <d v="2018-07-14T00:00:00"/>
    <s v="Brokerage"/>
    <x v="0"/>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LAP"/>
    <s v="4016/120415654/02/00"/>
    <x v="1"/>
    <x v="159"/>
    <d v="2019-07-13T00:00:00"/>
    <x v="3"/>
    <n v="10"/>
    <s v="Mark"/>
    <x v="0"/>
    <s v="Employee Benefits (EB)"/>
    <s v="Renewal"/>
    <n v="26250"/>
    <d v="2018-07-14T00:00:00"/>
    <s v="Brokerage"/>
    <x v="0"/>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LAP"/>
    <s v="4016/120415654/02/00"/>
    <x v="1"/>
    <x v="159"/>
    <d v="2019-07-13T00:00:00"/>
    <x v="3"/>
    <n v="10"/>
    <s v="Mark"/>
    <x v="0"/>
    <s v="Employee Benefits (EB)"/>
    <s v="Renewal"/>
    <n v="26250"/>
    <d v="2018-07-14T00:00:00"/>
    <s v="Brokerage"/>
    <x v="0"/>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LAP"/>
    <s v="4016/120415654/02/00"/>
    <x v="1"/>
    <x v="159"/>
    <d v="2019-07-13T00:00:00"/>
    <x v="3"/>
    <n v="10"/>
    <s v="Mark"/>
    <x v="0"/>
    <s v="Employee Benefits (EB)"/>
    <s v="Renewal"/>
    <n v="26250"/>
    <d v="2018-07-14T00:00:00"/>
    <s v="Brokerage"/>
    <x v="0"/>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LAP"/>
    <s v="4016/120415654/02/00"/>
    <x v="1"/>
    <x v="159"/>
    <d v="2019-07-13T00:00:00"/>
    <x v="3"/>
    <n v="10"/>
    <s v="Mark"/>
    <x v="0"/>
    <s v="Employee Benefits (EB)"/>
    <s v="Renewal"/>
    <n v="26250"/>
    <d v="2018-07-14T00:00:00"/>
    <s v="Brokerage"/>
    <x v="0"/>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LAP"/>
    <s v="4016/120415654/02/00"/>
    <x v="1"/>
    <x v="159"/>
    <d v="2019-07-13T00:00:00"/>
    <x v="3"/>
    <n v="10"/>
    <s v="Mark"/>
    <x v="0"/>
    <s v="Employee Benefits (EB)"/>
    <s v="Renewal"/>
    <n v="26250"/>
    <d v="2018-07-14T00:00:00"/>
    <s v="Brokerage"/>
    <x v="0"/>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LAP"/>
    <s v="4016/120415654/02/00"/>
    <x v="1"/>
    <x v="159"/>
    <d v="2019-07-13T00:00:00"/>
    <x v="3"/>
    <n v="10"/>
    <s v="Mark"/>
    <x v="0"/>
    <s v="Employee Benefits (EB)"/>
    <s v="Renewal"/>
    <n v="26250"/>
    <d v="2018-07-14T00:00:00"/>
    <s v="Brokerage"/>
    <x v="0"/>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LAP"/>
    <s v="4016/120415654/02/00"/>
    <x v="1"/>
    <x v="159"/>
    <d v="2019-07-13T00:00:00"/>
    <x v="3"/>
    <n v="10"/>
    <s v="Mark"/>
    <x v="0"/>
    <s v="Employee Benefits (EB)"/>
    <s v="Renewal"/>
    <n v="26250"/>
    <d v="2018-07-14T00:00:00"/>
    <s v="Brokerage"/>
    <x v="0"/>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LAP"/>
    <s v="4016/120415654/02/00"/>
    <x v="1"/>
    <x v="159"/>
    <d v="2019-07-13T00:00:00"/>
    <x v="3"/>
    <n v="10"/>
    <s v="Mark"/>
    <x v="0"/>
    <s v="Employee Benefits (EB)"/>
    <s v="Renewal"/>
    <n v="26250"/>
    <d v="2018-07-14T00:00:00"/>
    <s v="Brokerage"/>
    <x v="0"/>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LAP"/>
    <s v="4016/120415654/02/00"/>
    <x v="1"/>
    <x v="159"/>
    <d v="2019-07-13T00:00:00"/>
    <x v="3"/>
    <n v="10"/>
    <s v="Mark"/>
    <x v="0"/>
    <s v="Employee Benefits (EB)"/>
    <s v="Renewal"/>
    <n v="26250"/>
    <d v="2018-07-14T00:00:00"/>
    <s v="Brokerage"/>
    <x v="0"/>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LAP"/>
    <s v="4016/120415654/03/00"/>
    <x v="0"/>
    <x v="289"/>
    <d v="2020-07-13T00:00:00"/>
    <x v="3"/>
    <n v="10"/>
    <s v="Mark"/>
    <x v="0"/>
    <s v="Employee Benefits (EB)"/>
    <s v="Renewal"/>
    <n v="22245.75"/>
    <d v="2019-07-14T00:00:00"/>
    <s v="Brokerage"/>
    <x v="1"/>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LAP"/>
    <s v="4016/120415654/03/00"/>
    <x v="0"/>
    <x v="289"/>
    <d v="2020-07-13T00:00:00"/>
    <x v="3"/>
    <n v="10"/>
    <s v="Mark"/>
    <x v="0"/>
    <s v="Employee Benefits (EB)"/>
    <s v="Renewal"/>
    <n v="22245.75"/>
    <d v="2019-07-14T00:00:00"/>
    <s v="Brokerage"/>
    <x v="1"/>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LAP"/>
    <s v="4016/120415654/03/00"/>
    <x v="0"/>
    <x v="289"/>
    <d v="2020-07-13T00:00:00"/>
    <x v="3"/>
    <n v="10"/>
    <s v="Mark"/>
    <x v="0"/>
    <s v="Employee Benefits (EB)"/>
    <s v="Renewal"/>
    <n v="22245.75"/>
    <d v="2019-07-14T00:00:00"/>
    <s v="Brokerage"/>
    <x v="1"/>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LAP"/>
    <s v="4016/120415654/03/00"/>
    <x v="0"/>
    <x v="289"/>
    <d v="2020-07-13T00:00:00"/>
    <x v="3"/>
    <n v="10"/>
    <s v="Mark"/>
    <x v="0"/>
    <s v="Employee Benefits (EB)"/>
    <s v="Renewal"/>
    <n v="22245.75"/>
    <d v="2019-07-14T00:00:00"/>
    <s v="Brokerage"/>
    <x v="1"/>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LAP"/>
    <s v="4016/120415654/03/00"/>
    <x v="0"/>
    <x v="289"/>
    <d v="2020-07-13T00:00:00"/>
    <x v="3"/>
    <n v="10"/>
    <s v="Mark"/>
    <x v="0"/>
    <s v="Employee Benefits (EB)"/>
    <s v="Renewal"/>
    <n v="22245.75"/>
    <d v="2019-07-14T00:00:00"/>
    <s v="Brokerage"/>
    <x v="1"/>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LAP"/>
    <s v="4016/120415654/03/00"/>
    <x v="0"/>
    <x v="289"/>
    <d v="2020-07-13T00:00:00"/>
    <x v="3"/>
    <n v="10"/>
    <s v="Mark"/>
    <x v="0"/>
    <s v="Employee Benefits (EB)"/>
    <s v="Renewal"/>
    <n v="22245.75"/>
    <d v="2019-07-14T00:00:00"/>
    <s v="Brokerage"/>
    <x v="1"/>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LAP"/>
    <s v="4016/120415654/03/00"/>
    <x v="0"/>
    <x v="289"/>
    <d v="2020-07-13T00:00:00"/>
    <x v="3"/>
    <n v="10"/>
    <s v="Mark"/>
    <x v="0"/>
    <s v="Employee Benefits (EB)"/>
    <s v="Renewal"/>
    <n v="22245.75"/>
    <d v="2019-07-14T00:00:00"/>
    <s v="Brokerage"/>
    <x v="1"/>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LAP"/>
    <s v="4016/120415654/03/00"/>
    <x v="0"/>
    <x v="289"/>
    <d v="2020-07-13T00:00:00"/>
    <x v="3"/>
    <n v="10"/>
    <s v="Mark"/>
    <x v="0"/>
    <s v="Employee Benefits (EB)"/>
    <s v="Renewal"/>
    <n v="22245.75"/>
    <d v="2019-07-14T00:00:00"/>
    <s v="Brokerage"/>
    <x v="1"/>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LAP"/>
    <s v="4016/120415654/03/00"/>
    <x v="0"/>
    <x v="289"/>
    <d v="2020-07-13T00:00:00"/>
    <x v="3"/>
    <n v="10"/>
    <s v="Mark"/>
    <x v="0"/>
    <s v="Employee Benefits (EB)"/>
    <s v="Renewal"/>
    <n v="22245.75"/>
    <d v="2019-07-14T00:00:00"/>
    <s v="Brokerage"/>
    <x v="1"/>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LAP"/>
    <s v="4016/120415654/03/00"/>
    <x v="0"/>
    <x v="289"/>
    <d v="2020-07-13T00:00:00"/>
    <x v="3"/>
    <n v="10"/>
    <s v="Mark"/>
    <x v="0"/>
    <s v="Employee Benefits (EB)"/>
    <s v="Renewal"/>
    <n v="22245.75"/>
    <d v="2019-07-14T00:00:00"/>
    <s v="Brokerage"/>
    <x v="1"/>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LAP"/>
    <s v="AG00059046000100"/>
    <x v="0"/>
    <x v="16"/>
    <d v="2020-03-31T00:00:00"/>
    <x v="3"/>
    <n v="10"/>
    <s v="Mark"/>
    <x v="0"/>
    <s v="Employee Benefits (EB)"/>
    <s v="Renewal"/>
    <n v="3346.95"/>
    <d v="2019-04-01T00:00:00"/>
    <s v="Brokerage"/>
    <x v="1"/>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LAP"/>
    <s v="AG00059046000100"/>
    <x v="0"/>
    <x v="16"/>
    <d v="2020-03-31T00:00:00"/>
    <x v="3"/>
    <n v="10"/>
    <s v="Mark"/>
    <x v="0"/>
    <s v="Employee Benefits (EB)"/>
    <s v="Renewal"/>
    <n v="3346.95"/>
    <d v="2019-04-01T00:00:00"/>
    <s v="Brokerage"/>
    <x v="1"/>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LAP"/>
    <s v="AG00059046000100"/>
    <x v="0"/>
    <x v="16"/>
    <d v="2020-03-31T00:00:00"/>
    <x v="3"/>
    <n v="10"/>
    <s v="Mark"/>
    <x v="0"/>
    <s v="Employee Benefits (EB)"/>
    <s v="Renewal"/>
    <n v="3346.95"/>
    <d v="2019-04-01T00:00:00"/>
    <s v="Brokerage"/>
    <x v="1"/>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LAP"/>
    <s v="AG00059046000100"/>
    <x v="0"/>
    <x v="16"/>
    <d v="2020-03-31T00:00:00"/>
    <x v="3"/>
    <n v="10"/>
    <s v="Mark"/>
    <x v="0"/>
    <s v="Employee Benefits (EB)"/>
    <s v="Renewal"/>
    <n v="3346.95"/>
    <d v="2019-04-01T00:00:00"/>
    <s v="Brokerage"/>
    <x v="1"/>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LAP"/>
    <s v="AG00059046000100"/>
    <x v="0"/>
    <x v="16"/>
    <d v="2020-03-31T00:00:00"/>
    <x v="3"/>
    <n v="10"/>
    <s v="Mark"/>
    <x v="0"/>
    <s v="Employee Benefits (EB)"/>
    <s v="Renewal"/>
    <n v="3346.95"/>
    <d v="2019-04-01T00:00:00"/>
    <s v="Brokerage"/>
    <x v="1"/>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LAP"/>
    <s v="AG00059046000100"/>
    <x v="0"/>
    <x v="16"/>
    <d v="2020-03-31T00:00:00"/>
    <x v="3"/>
    <n v="10"/>
    <s v="Mark"/>
    <x v="0"/>
    <s v="Employee Benefits (EB)"/>
    <s v="Renewal"/>
    <n v="3346.95"/>
    <d v="2019-04-01T00:00:00"/>
    <s v="Brokerage"/>
    <x v="1"/>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LAP"/>
    <s v="AG00059046000100"/>
    <x v="0"/>
    <x v="16"/>
    <d v="2020-03-31T00:00:00"/>
    <x v="3"/>
    <n v="10"/>
    <s v="Mark"/>
    <x v="0"/>
    <s v="Employee Benefits (EB)"/>
    <s v="Renewal"/>
    <n v="3346.95"/>
    <d v="2019-04-01T00:00:00"/>
    <s v="Brokerage"/>
    <x v="1"/>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LAP"/>
    <s v="AG00059046000100"/>
    <x v="0"/>
    <x v="16"/>
    <d v="2020-03-31T00:00:00"/>
    <x v="3"/>
    <n v="10"/>
    <s v="Mark"/>
    <x v="0"/>
    <s v="Employee Benefits (EB)"/>
    <s v="Renewal"/>
    <n v="3346.95"/>
    <d v="2019-04-01T00:00:00"/>
    <s v="Brokerage"/>
    <x v="1"/>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LAP"/>
    <s v="AG00059046000100"/>
    <x v="0"/>
    <x v="16"/>
    <d v="2020-03-31T00:00:00"/>
    <x v="3"/>
    <n v="10"/>
    <s v="Mark"/>
    <x v="0"/>
    <s v="Employee Benefits (EB)"/>
    <s v="Renewal"/>
    <n v="3346.95"/>
    <d v="2019-04-01T00:00:00"/>
    <s v="Brokerage"/>
    <x v="1"/>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LAP"/>
    <s v="AG00059046000100"/>
    <x v="0"/>
    <x v="16"/>
    <d v="2020-03-31T00:00:00"/>
    <x v="3"/>
    <n v="10"/>
    <s v="Mark"/>
    <x v="0"/>
    <s v="Employee Benefits (EB)"/>
    <s v="Renewal"/>
    <n v="3346.95"/>
    <d v="2019-04-01T00:00:00"/>
    <s v="Brokerage"/>
    <x v="1"/>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LAP"/>
    <s v="OG-19-2202-3315-00000009"/>
    <x v="1"/>
    <x v="290"/>
    <d v="2019-07-20T00:00:00"/>
    <x v="4"/>
    <n v="3"/>
    <s v="Animesh Rawat"/>
    <x v="0"/>
    <s v="Global Client Network (GNB Inward)"/>
    <s v="Renewal"/>
    <n v="0"/>
    <d v="2018-07-23T00:00:00"/>
    <s v="Brokerage"/>
    <x v="0"/>
    <s v="OTHR - Other"/>
    <d v="2020-01-22T00:00:00"/>
    <s v="Other"/>
    <m/>
    <m/>
    <m/>
    <m/>
    <m/>
    <m/>
    <m/>
    <m/>
    <m/>
    <m/>
    <m/>
    <m/>
    <m/>
    <m/>
    <m/>
    <m/>
    <m/>
    <m/>
    <m/>
    <m/>
  </r>
  <r>
    <s v="LAP"/>
    <s v="OG-20-2202-3315-00000009"/>
    <x v="0"/>
    <x v="291"/>
    <d v="2020-07-20T00:00:00"/>
    <x v="4"/>
    <n v="3"/>
    <s v="Animesh Rawat"/>
    <x v="0"/>
    <s v="Global Client Network (GNB Inward)"/>
    <s v="Renewal"/>
    <n v="0"/>
    <d v="2019-07-23T00:00:00"/>
    <s v="Brokerage"/>
    <x v="1"/>
    <s v="OTHR - Other"/>
    <d v="2020-01-22T00:00:00"/>
    <s v="Other"/>
    <m/>
    <m/>
    <m/>
    <m/>
    <m/>
    <m/>
    <m/>
    <m/>
    <m/>
    <m/>
    <m/>
    <m/>
    <m/>
    <m/>
    <m/>
    <m/>
    <m/>
    <m/>
    <m/>
    <m/>
  </r>
  <r>
    <s v="LAP"/>
    <s v="P0019200001/9999/100301"/>
    <x v="0"/>
    <x v="13"/>
    <d v="2019-12-31T00:00:00"/>
    <x v="4"/>
    <n v="3"/>
    <s v="Animesh Rawat"/>
    <x v="0"/>
    <s v="Global Client Network (GNB Inward)"/>
    <s v="Renewal"/>
    <n v="19910.88"/>
    <d v="2019-01-01T00:00:00"/>
    <s v="Brokerage"/>
    <x v="2"/>
    <s v="OTHR - Other"/>
    <d v="2020-01-22T00:00:00"/>
    <s v="Other"/>
    <m/>
    <m/>
    <m/>
    <m/>
    <m/>
    <m/>
    <m/>
    <m/>
    <m/>
    <m/>
    <m/>
    <m/>
    <m/>
    <m/>
    <m/>
    <m/>
    <m/>
    <m/>
    <m/>
    <m/>
  </r>
  <r>
    <s v="LAP"/>
    <s v="P0019200001/9999/100301"/>
    <x v="0"/>
    <x v="13"/>
    <d v="2019-12-31T00:00:00"/>
    <x v="4"/>
    <n v="3"/>
    <s v="Animesh Rawat"/>
    <x v="0"/>
    <s v="Global Client Network (GNB Inward)"/>
    <s v="Renewal"/>
    <n v="2139.63"/>
    <d v="2019-01-30T00:00:00"/>
    <s v="Brokerage "/>
    <x v="2"/>
    <s v="OTHR - Other"/>
    <d v="2020-01-22T00:00:00"/>
    <s v="Other"/>
    <m/>
    <m/>
    <m/>
    <m/>
    <m/>
    <m/>
    <m/>
    <m/>
    <m/>
    <m/>
    <m/>
    <m/>
    <m/>
    <m/>
    <m/>
    <m/>
    <m/>
    <m/>
    <m/>
    <m/>
  </r>
  <r>
    <s v="LAP"/>
    <s v="P0218200001/9999/100262"/>
    <x v="1"/>
    <x v="49"/>
    <d v="2018-12-31T00:00:00"/>
    <x v="4"/>
    <n v="3"/>
    <s v="Animesh Rawat"/>
    <x v="0"/>
    <s v="Global Client Network (GNB Inward)"/>
    <s v="Renewal"/>
    <n v="20814.38"/>
    <d v="2018-01-01T00:00:00"/>
    <s v="Brokerage"/>
    <x v="0"/>
    <s v="OTHR - Other"/>
    <d v="2020-01-22T00:00:00"/>
    <s v="Other"/>
    <m/>
    <m/>
    <m/>
    <m/>
    <m/>
    <m/>
    <m/>
    <m/>
    <m/>
    <m/>
    <m/>
    <m/>
    <m/>
    <m/>
    <m/>
    <m/>
    <m/>
    <m/>
    <m/>
    <m/>
  </r>
  <r>
    <s v="LAP"/>
    <s v="0830018887 01"/>
    <x v="0"/>
    <x v="27"/>
    <d v="2019-02-28T00:00:00"/>
    <x v="0"/>
    <n v="3"/>
    <s v="Animesh Rawat"/>
    <x v="0"/>
    <s v="Global Client Network (GNB Inward)"/>
    <s v="Renewal"/>
    <n v="126225"/>
    <d v="2018-03-01T00:00:00"/>
    <s v="Brokerage"/>
    <x v="0"/>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LAP"/>
    <s v="0830018887 01"/>
    <x v="0"/>
    <x v="27"/>
    <d v="2019-02-28T00:00:00"/>
    <x v="0"/>
    <n v="3"/>
    <s v="Animesh Rawat"/>
    <x v="0"/>
    <s v="Global Client Network (GNB Inward)"/>
    <s v="Renewal"/>
    <n v="126225"/>
    <d v="2018-03-01T00:00:00"/>
    <s v="Brokerage"/>
    <x v="0"/>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LAP"/>
    <s v="0830018887 01"/>
    <x v="0"/>
    <x v="27"/>
    <d v="2019-02-28T00:00:00"/>
    <x v="0"/>
    <n v="3"/>
    <s v="Animesh Rawat"/>
    <x v="0"/>
    <s v="Global Client Network (GNB Inward)"/>
    <s v="Renewal"/>
    <n v="126225"/>
    <d v="2018-03-01T00:00:00"/>
    <s v="Brokerage"/>
    <x v="0"/>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LAP"/>
    <s v="0830018887 01"/>
    <x v="0"/>
    <x v="27"/>
    <d v="2019-02-28T00:00:00"/>
    <x v="0"/>
    <n v="3"/>
    <s v="Animesh Rawat"/>
    <x v="0"/>
    <s v="Global Client Network (GNB Inward)"/>
    <s v="Renewal"/>
    <n v="126225"/>
    <d v="2018-03-01T00:00:00"/>
    <s v="Brokerage"/>
    <x v="0"/>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LAP"/>
    <s v="0830018887 01"/>
    <x v="0"/>
    <x v="27"/>
    <d v="2019-02-28T00:00:00"/>
    <x v="0"/>
    <n v="3"/>
    <s v="Animesh Rawat"/>
    <x v="0"/>
    <s v="Global Client Network (GNB Inward)"/>
    <s v="Renewal"/>
    <n v="126225"/>
    <d v="2018-03-01T00:00:00"/>
    <s v="Brokerage"/>
    <x v="0"/>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LAP"/>
    <s v="0830018887 01"/>
    <x v="0"/>
    <x v="27"/>
    <d v="2019-02-28T00:00:00"/>
    <x v="0"/>
    <n v="3"/>
    <s v="Animesh Rawat"/>
    <x v="0"/>
    <s v="Global Client Network (GNB Inward)"/>
    <s v="Renewal"/>
    <n v="126225"/>
    <d v="2018-03-01T00:00:00"/>
    <s v="Brokerage"/>
    <x v="0"/>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LAP"/>
    <s v="0830018887 01"/>
    <x v="0"/>
    <x v="27"/>
    <d v="2019-02-28T00:00:00"/>
    <x v="0"/>
    <n v="3"/>
    <s v="Animesh Rawat"/>
    <x v="0"/>
    <s v="Global Client Network (GNB Inward)"/>
    <s v="Renewal"/>
    <n v="126225"/>
    <d v="2018-03-01T00:00:00"/>
    <s v="Brokerage"/>
    <x v="0"/>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LAP"/>
    <s v="0830018887 01"/>
    <x v="0"/>
    <x v="27"/>
    <d v="2019-02-28T00:00:00"/>
    <x v="0"/>
    <n v="3"/>
    <s v="Animesh Rawat"/>
    <x v="0"/>
    <s v="Global Client Network (GNB Inward)"/>
    <s v="Renewal"/>
    <n v="126225"/>
    <d v="2018-03-01T00:00:00"/>
    <s v="Brokerage"/>
    <x v="0"/>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LAP"/>
    <s v="0830018888 01"/>
    <x v="1"/>
    <x v="27"/>
    <d v="2019-02-28T00:00:00"/>
    <x v="0"/>
    <n v="3"/>
    <s v="Animesh Rawat"/>
    <x v="0"/>
    <s v="Global Client Network (GNB Inward)"/>
    <s v="Renewal"/>
    <n v="63112.5"/>
    <d v="2018-03-01T00:00:00"/>
    <s v="Brokerage"/>
    <x v="0"/>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LAP"/>
    <s v="0830018888 01"/>
    <x v="1"/>
    <x v="27"/>
    <d v="2019-02-28T00:00:00"/>
    <x v="0"/>
    <n v="3"/>
    <s v="Animesh Rawat"/>
    <x v="0"/>
    <s v="Global Client Network (GNB Inward)"/>
    <s v="Renewal"/>
    <n v="63112.5"/>
    <d v="2018-03-01T00:00:00"/>
    <s v="Brokerage"/>
    <x v="0"/>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LAP"/>
    <s v="0830018888 01"/>
    <x v="1"/>
    <x v="27"/>
    <d v="2019-02-28T00:00:00"/>
    <x v="0"/>
    <n v="3"/>
    <s v="Animesh Rawat"/>
    <x v="0"/>
    <s v="Global Client Network (GNB Inward)"/>
    <s v="Renewal"/>
    <n v="63112.5"/>
    <d v="2018-03-01T00:00:00"/>
    <s v="Brokerage"/>
    <x v="0"/>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LAP"/>
    <s v="0830018888 01"/>
    <x v="1"/>
    <x v="27"/>
    <d v="2019-02-28T00:00:00"/>
    <x v="0"/>
    <n v="3"/>
    <s v="Animesh Rawat"/>
    <x v="0"/>
    <s v="Global Client Network (GNB Inward)"/>
    <s v="Renewal"/>
    <n v="63112.5"/>
    <d v="2018-03-01T00:00:00"/>
    <s v="Brokerage"/>
    <x v="0"/>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LAP"/>
    <s v="0830018888 01"/>
    <x v="1"/>
    <x v="27"/>
    <d v="2019-02-28T00:00:00"/>
    <x v="0"/>
    <n v="3"/>
    <s v="Animesh Rawat"/>
    <x v="0"/>
    <s v="Global Client Network (GNB Inward)"/>
    <s v="Renewal"/>
    <n v="63112.5"/>
    <d v="2018-03-01T00:00:00"/>
    <s v="Brokerage"/>
    <x v="0"/>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LAP"/>
    <s v="0830018888 01"/>
    <x v="1"/>
    <x v="27"/>
    <d v="2019-02-28T00:00:00"/>
    <x v="0"/>
    <n v="3"/>
    <s v="Animesh Rawat"/>
    <x v="0"/>
    <s v="Global Client Network (GNB Inward)"/>
    <s v="Renewal"/>
    <n v="63112.5"/>
    <d v="2018-03-01T00:00:00"/>
    <s v="Brokerage"/>
    <x v="0"/>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LAP"/>
    <s v="0830018888 01"/>
    <x v="1"/>
    <x v="27"/>
    <d v="2019-02-28T00:00:00"/>
    <x v="0"/>
    <n v="3"/>
    <s v="Animesh Rawat"/>
    <x v="0"/>
    <s v="Global Client Network (GNB Inward)"/>
    <s v="Renewal"/>
    <n v="63112.5"/>
    <d v="2018-03-01T00:00:00"/>
    <s v="Brokerage"/>
    <x v="0"/>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LAP"/>
    <s v="0830018888 01"/>
    <x v="1"/>
    <x v="27"/>
    <d v="2019-02-28T00:00:00"/>
    <x v="0"/>
    <n v="3"/>
    <s v="Animesh Rawat"/>
    <x v="0"/>
    <s v="Global Client Network (GNB Inward)"/>
    <s v="Renewal"/>
    <n v="63112.5"/>
    <d v="2018-03-01T00:00:00"/>
    <s v="Brokerage"/>
    <x v="0"/>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LAP"/>
    <s v="OG-19-2202-1018-00000060"/>
    <x v="0"/>
    <x v="28"/>
    <d v="2020-02-29T00:00:00"/>
    <x v="0"/>
    <n v="3"/>
    <s v="Animesh Rawat"/>
    <x v="0"/>
    <s v="Global Client Network (GNB Inward)"/>
    <s v="Renewal"/>
    <n v="148500"/>
    <d v="2019-03-01T00:00:00"/>
    <s v="Brokerage"/>
    <x v="1"/>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LAP"/>
    <s v="OG-19-2202-1018-00000060"/>
    <x v="0"/>
    <x v="28"/>
    <d v="2020-02-29T00:00:00"/>
    <x v="0"/>
    <n v="3"/>
    <s v="Animesh Rawat"/>
    <x v="0"/>
    <s v="Global Client Network (GNB Inward)"/>
    <s v="Renewal"/>
    <n v="148500"/>
    <d v="2019-03-01T00:00:00"/>
    <s v="Brokerage"/>
    <x v="1"/>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LAP"/>
    <s v="OG-19-2202-1018-00000060"/>
    <x v="0"/>
    <x v="28"/>
    <d v="2020-02-29T00:00:00"/>
    <x v="0"/>
    <n v="3"/>
    <s v="Animesh Rawat"/>
    <x v="0"/>
    <s v="Global Client Network (GNB Inward)"/>
    <s v="Renewal"/>
    <n v="148500"/>
    <d v="2019-03-01T00:00:00"/>
    <s v="Brokerage"/>
    <x v="1"/>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LAP"/>
    <s v="OG-19-2202-1018-00000060"/>
    <x v="0"/>
    <x v="28"/>
    <d v="2020-02-29T00:00:00"/>
    <x v="0"/>
    <n v="3"/>
    <s v="Animesh Rawat"/>
    <x v="0"/>
    <s v="Global Client Network (GNB Inward)"/>
    <s v="Renewal"/>
    <n v="148500"/>
    <d v="2019-03-01T00:00:00"/>
    <s v="Brokerage"/>
    <x v="1"/>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LAP"/>
    <s v="OG-19-2202-1018-00000060"/>
    <x v="0"/>
    <x v="28"/>
    <d v="2020-02-29T00:00:00"/>
    <x v="0"/>
    <n v="3"/>
    <s v="Animesh Rawat"/>
    <x v="0"/>
    <s v="Global Client Network (GNB Inward)"/>
    <s v="Renewal"/>
    <n v="148500"/>
    <d v="2019-03-01T00:00:00"/>
    <s v="Brokerage"/>
    <x v="1"/>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LAP"/>
    <s v="OG-19-2202-1018-00000060"/>
    <x v="0"/>
    <x v="28"/>
    <d v="2020-02-29T00:00:00"/>
    <x v="0"/>
    <n v="3"/>
    <s v="Animesh Rawat"/>
    <x v="0"/>
    <s v="Global Client Network (GNB Inward)"/>
    <s v="Renewal"/>
    <n v="148500"/>
    <d v="2019-03-01T00:00:00"/>
    <s v="Brokerage"/>
    <x v="1"/>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LAP"/>
    <s v="OG-19-2202-1018-00000060"/>
    <x v="0"/>
    <x v="28"/>
    <d v="2020-02-29T00:00:00"/>
    <x v="0"/>
    <n v="3"/>
    <s v="Animesh Rawat"/>
    <x v="0"/>
    <s v="Global Client Network (GNB Inward)"/>
    <s v="Renewal"/>
    <n v="148500"/>
    <d v="2019-03-01T00:00:00"/>
    <s v="Brokerage"/>
    <x v="1"/>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LAP"/>
    <s v="OG-19-2202-1018-00000060"/>
    <x v="0"/>
    <x v="28"/>
    <d v="2020-02-29T00:00:00"/>
    <x v="0"/>
    <n v="3"/>
    <s v="Animesh Rawat"/>
    <x v="0"/>
    <s v="Global Client Network (GNB Inward)"/>
    <s v="Renewal"/>
    <n v="148500"/>
    <d v="2019-03-01T00:00:00"/>
    <s v="Brokerage"/>
    <x v="1"/>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LAP"/>
    <n v="12031703"/>
    <x v="0"/>
    <x v="175"/>
    <d v="2019-06-29T00:00:00"/>
    <x v="1"/>
    <n v="1"/>
    <s v="Vinay"/>
    <x v="0"/>
    <s v="Property / BI"/>
    <s v="Renewal"/>
    <n v="39762.71"/>
    <d v="2018-06-30T00:00:00"/>
    <s v="Brokerage"/>
    <x v="0"/>
    <s v="OTHR - Other"/>
    <d v="2020-01-22T00:00:00"/>
    <s v="Other"/>
    <m/>
    <m/>
    <m/>
    <m/>
    <m/>
    <m/>
    <m/>
    <m/>
    <m/>
    <m/>
    <m/>
    <m/>
    <m/>
    <m/>
    <m/>
    <m/>
    <m/>
    <m/>
    <m/>
    <m/>
  </r>
  <r>
    <s v="LAP"/>
    <n v="2.4142E+18"/>
    <x v="0"/>
    <x v="99"/>
    <d v="2019-12-13T00:00:00"/>
    <x v="0"/>
    <n v="2"/>
    <s v="Abhinav Shivam"/>
    <x v="0"/>
    <s v="Marine"/>
    <s v="Cross Sell"/>
    <n v="28050"/>
    <d v="2018-12-14T00:00:00"/>
    <s v="Brokerage"/>
    <x v="2"/>
    <s v="OTHR - Other"/>
    <d v="2020-01-22T00:00:00"/>
    <s v="Other"/>
    <m/>
    <m/>
    <m/>
    <m/>
    <m/>
    <m/>
    <m/>
    <m/>
    <m/>
    <m/>
    <m/>
    <m/>
    <m/>
    <m/>
    <m/>
    <m/>
    <m/>
    <m/>
    <m/>
    <m/>
  </r>
  <r>
    <s v="LAP"/>
    <n v="2.4142E+18"/>
    <x v="0"/>
    <x v="99"/>
    <d v="2019-12-13T00:00:00"/>
    <x v="0"/>
    <n v="2"/>
    <s v="Abhinav Shivam"/>
    <x v="0"/>
    <s v="Marine"/>
    <s v="Cross Sell"/>
    <n v="56100"/>
    <d v="2019-03-08T00:00:00"/>
    <s v="Brokerage "/>
    <x v="2"/>
    <s v="OTHR - Other"/>
    <d v="2020-01-22T00:00:00"/>
    <s v="Other"/>
    <m/>
    <m/>
    <m/>
    <m/>
    <m/>
    <m/>
    <m/>
    <m/>
    <m/>
    <m/>
    <m/>
    <m/>
    <m/>
    <m/>
    <m/>
    <m/>
    <m/>
    <m/>
    <m/>
    <m/>
  </r>
  <r>
    <s v="LAP"/>
    <n v="2.4142E+18"/>
    <x v="0"/>
    <x v="99"/>
    <d v="2019-12-13T00:00:00"/>
    <x v="0"/>
    <n v="2"/>
    <s v="Abhinav Shivam"/>
    <x v="0"/>
    <s v="Marine"/>
    <s v="Cross Sell"/>
    <n v="14025"/>
    <d v="2019-10-22T00:00:00"/>
    <s v="Brokerage "/>
    <x v="2"/>
    <s v="OTHR - Other"/>
    <d v="2020-01-22T00:00:00"/>
    <s v="Other"/>
    <m/>
    <m/>
    <m/>
    <m/>
    <m/>
    <m/>
    <m/>
    <m/>
    <m/>
    <m/>
    <m/>
    <m/>
    <m/>
    <m/>
    <m/>
    <m/>
    <m/>
    <m/>
    <m/>
    <m/>
  </r>
  <r>
    <s v="LAP"/>
    <n v="41040284"/>
    <x v="1"/>
    <x v="145"/>
    <d v="2019-04-08T00:00:00"/>
    <x v="4"/>
    <n v="11"/>
    <s v="Raju Kumar"/>
    <x v="0"/>
    <s v="Liability"/>
    <s v="Renewal"/>
    <n v="59851.63"/>
    <d v="2018-04-09T00:00:00"/>
    <s v="Brokerage"/>
    <x v="0"/>
    <s v="OTHR - Other"/>
    <d v="2020-01-22T00:00:00"/>
    <s v="Other"/>
    <m/>
    <m/>
    <m/>
    <m/>
    <m/>
    <m/>
    <m/>
    <m/>
    <m/>
    <m/>
    <m/>
    <m/>
    <m/>
    <m/>
    <m/>
    <m/>
    <m/>
    <m/>
    <m/>
    <m/>
  </r>
  <r>
    <s v="LAP"/>
    <n v="41046110"/>
    <x v="0"/>
    <x v="292"/>
    <d v="2020-04-08T00:00:00"/>
    <x v="4"/>
    <n v="1"/>
    <s v="Vinay"/>
    <x v="0"/>
    <s v="Liability"/>
    <s v="Renewal"/>
    <n v="74250"/>
    <d v="2019-04-09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LAP"/>
    <n v="41046110"/>
    <x v="0"/>
    <x v="292"/>
    <d v="2020-04-08T00:00:00"/>
    <x v="4"/>
    <n v="1"/>
    <s v="Vinay"/>
    <x v="0"/>
    <s v="Liability"/>
    <s v="Renewal"/>
    <n v="74250"/>
    <d v="2019-04-09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LAP"/>
    <n v="41046110"/>
    <x v="0"/>
    <x v="292"/>
    <d v="2020-04-08T00:00:00"/>
    <x v="4"/>
    <n v="1"/>
    <s v="Vinay"/>
    <x v="0"/>
    <s v="Liability"/>
    <s v="Renewal"/>
    <n v="74250"/>
    <d v="2019-04-09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LAP"/>
    <n v="41046110"/>
    <x v="0"/>
    <x v="292"/>
    <d v="2020-04-08T00:00:00"/>
    <x v="4"/>
    <n v="1"/>
    <s v="Vinay"/>
    <x v="0"/>
    <s v="Liability"/>
    <s v="Renewal"/>
    <n v="74250"/>
    <d v="2019-04-09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LAP"/>
    <n v="41046110"/>
    <x v="0"/>
    <x v="292"/>
    <d v="2020-04-08T00:00:00"/>
    <x v="4"/>
    <n v="1"/>
    <s v="Vinay"/>
    <x v="0"/>
    <s v="Liability"/>
    <s v="Renewal"/>
    <n v="74250"/>
    <d v="2019-04-09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LAP"/>
    <s v="HCL"/>
    <x v="0"/>
    <x v="292"/>
    <d v="2020-04-08T00:00:00"/>
    <x v="4"/>
    <n v="11"/>
    <s v="Raju Kumar"/>
    <x v="0"/>
    <s v="Liability"/>
    <s v="Renewal"/>
    <n v="68125"/>
    <d v="2019-04-09T00:00:00"/>
    <s v="Brokerage"/>
    <x v="1"/>
    <s v="OTHR - Other"/>
    <d v="2020-01-22T00:00:00"/>
    <s v="Other"/>
    <m/>
    <m/>
    <m/>
    <m/>
    <m/>
    <m/>
    <m/>
    <m/>
    <m/>
    <m/>
    <m/>
    <m/>
    <m/>
    <m/>
    <m/>
    <m/>
    <m/>
    <m/>
    <m/>
    <m/>
  </r>
  <r>
    <s v="Sanjay Trivedi"/>
    <n v="2.13E+19"/>
    <x v="1"/>
    <x v="14"/>
    <d v="2019-03-31T00:00:00"/>
    <x v="4"/>
    <n v="6"/>
    <s v="Ketan Jain"/>
    <x v="0"/>
    <s v="Liability"/>
    <s v="New"/>
    <n v="117812.5"/>
    <d v="2018-04-01T00:00:00"/>
    <s v="Brokerage"/>
    <x v="0"/>
    <s v="OTHR - Other"/>
    <d v="2020-01-22T00:00:00"/>
    <s v="Other"/>
    <m/>
    <m/>
    <m/>
    <m/>
    <m/>
    <m/>
    <m/>
    <m/>
    <m/>
    <m/>
    <m/>
    <m/>
    <m/>
    <m/>
    <m/>
    <m/>
    <m/>
    <m/>
    <m/>
    <m/>
  </r>
  <r>
    <s v="Anita Sethi"/>
    <n v="2.13E+19"/>
    <x v="0"/>
    <x v="16"/>
    <d v="2020-03-31T00:00:00"/>
    <x v="4"/>
    <n v="6"/>
    <s v="Ketan Jain"/>
    <x v="0"/>
    <s v="Liability"/>
    <s v="Renewal"/>
    <n v="115625"/>
    <d v="2019-04-01T00:00:00"/>
    <s v="Brokerage"/>
    <x v="1"/>
    <s v="OTHR - Other"/>
    <d v="2020-01-22T00:00:00"/>
    <s v="Other"/>
    <m/>
    <m/>
    <m/>
    <m/>
    <m/>
    <m/>
    <m/>
    <m/>
    <m/>
    <m/>
    <m/>
    <m/>
    <m/>
    <m/>
    <m/>
    <m/>
    <m/>
    <m/>
    <m/>
    <m/>
  </r>
  <r>
    <s v="Ashok Chatterjee"/>
    <s v="'2200060187 06"/>
    <x v="0"/>
    <x v="293"/>
    <d v="2020-05-02T00:00:00"/>
    <x v="1"/>
    <n v="1"/>
    <s v="Vinay"/>
    <x v="0"/>
    <s v="Liability"/>
    <s v="Renewal"/>
    <n v="10427"/>
    <d v="2019-05-03T00:00:00"/>
    <s v="Brokerage"/>
    <x v="0"/>
    <s v="OTHR - Other"/>
    <d v="2020-01-22T00:00:00"/>
    <s v="Other"/>
    <m/>
    <m/>
    <m/>
    <m/>
    <m/>
    <m/>
    <m/>
    <m/>
    <m/>
    <m/>
    <m/>
    <m/>
    <m/>
    <m/>
    <m/>
    <m/>
    <m/>
    <m/>
    <m/>
    <m/>
  </r>
  <r>
    <s v="Rani Agarwal"/>
    <n v="43168456"/>
    <x v="1"/>
    <x v="286"/>
    <d v="2019-06-02T00:00:00"/>
    <x v="4"/>
    <n v="13"/>
    <s v="Vididt Saha"/>
    <x v="0"/>
    <s v="Liability"/>
    <s v="Renewal"/>
    <n v="2930.9"/>
    <d v="2018-06-03T00:00:00"/>
    <s v="Brokerage"/>
    <x v="0"/>
    <s v="OTHR - Other"/>
    <d v="2020-01-22T00:00:00"/>
    <s v="Other"/>
    <m/>
    <m/>
    <m/>
    <m/>
    <m/>
    <m/>
    <m/>
    <m/>
    <m/>
    <m/>
    <m/>
    <m/>
    <m/>
    <m/>
    <m/>
    <m/>
    <m/>
    <m/>
    <m/>
    <m/>
  </r>
  <r>
    <s v="Arjun Rao"/>
    <n v="43191787"/>
    <x v="0"/>
    <x v="216"/>
    <d v="2020-07-02T00:00:00"/>
    <x v="4"/>
    <n v="13"/>
    <s v="Vididt Saha"/>
    <x v="0"/>
    <s v="Liability"/>
    <s v="Renewal"/>
    <n v="6213.24"/>
    <d v="2019-07-03T00:00:00"/>
    <s v="Brokerage"/>
    <x v="1"/>
    <s v="OTHR - Other"/>
    <d v="2020-01-22T00:00:00"/>
    <s v="Other"/>
    <m/>
    <m/>
    <m/>
    <m/>
    <m/>
    <m/>
    <m/>
    <m/>
    <m/>
    <m/>
    <m/>
    <m/>
    <m/>
    <m/>
    <m/>
    <m/>
    <m/>
    <m/>
    <m/>
    <m/>
  </r>
  <r>
    <s v="Anil Naik"/>
    <n v="431172859"/>
    <x v="1"/>
    <x v="294"/>
    <d v="2019-09-21T00:00:00"/>
    <x v="2"/>
    <n v="3"/>
    <s v="Animesh Rawat"/>
    <x v="0"/>
    <s v="Global Client Network (GNB Inward)"/>
    <s v="Renewal"/>
    <n v="1772.75"/>
    <d v="2019-09-22T00:00:00"/>
    <s v="Brokerage"/>
    <x v="0"/>
    <s v="OTHR - Other"/>
    <d v="2020-01-22T00:00:00"/>
    <s v="Other"/>
    <m/>
    <m/>
    <m/>
    <m/>
    <m/>
    <m/>
    <m/>
    <m/>
    <m/>
    <m/>
    <m/>
    <m/>
    <m/>
    <m/>
    <m/>
    <m/>
    <m/>
    <m/>
    <m/>
    <m/>
  </r>
  <r>
    <s v="Simran Trivedi"/>
    <n v="43196279"/>
    <x v="0"/>
    <x v="94"/>
    <d v="2020-09-21T00:00:00"/>
    <x v="2"/>
    <n v="3"/>
    <s v="Animesh Rawat"/>
    <x v="0"/>
    <s v="Global Client Network (GNB Inward)"/>
    <s v="Renewal"/>
    <n v="2970"/>
    <d v="2019-09-22T00:00:00"/>
    <s v="Brokerage"/>
    <x v="1"/>
    <s v="OTHR - Other"/>
    <d v="2020-01-22T00:00:00"/>
    <s v="Other"/>
    <m/>
    <m/>
    <m/>
    <m/>
    <m/>
    <m/>
    <m/>
    <m/>
    <m/>
    <m/>
    <m/>
    <m/>
    <m/>
    <m/>
    <m/>
    <m/>
    <m/>
    <m/>
    <m/>
    <m/>
  </r>
  <r>
    <s v="Dhruv Chopra"/>
    <s v="OG-19-2202-1005-00000153"/>
    <x v="1"/>
    <x v="295"/>
    <d v="2019-09-20T00:00:00"/>
    <x v="0"/>
    <n v="3"/>
    <s v="Animesh Rawat"/>
    <x v="0"/>
    <s v="Global Client Network (GNB Inward)"/>
    <s v="Renewal"/>
    <n v="5610"/>
    <d v="2019-09-21T00:00:00"/>
    <s v="Brokerage"/>
    <x v="2"/>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Dhruv Chopra"/>
    <s v="OG-19-2202-1005-00000153"/>
    <x v="1"/>
    <x v="295"/>
    <d v="2019-09-20T00:00:00"/>
    <x v="0"/>
    <n v="3"/>
    <s v="Animesh Rawat"/>
    <x v="0"/>
    <s v="Global Client Network (GNB Inward)"/>
    <s v="Renewal"/>
    <n v="5610"/>
    <d v="2019-09-21T00:00:00"/>
    <s v="Brokerage"/>
    <x v="2"/>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Dhruv Chopra"/>
    <s v="OG-19-2202-1005-00000153"/>
    <x v="1"/>
    <x v="295"/>
    <d v="2019-09-20T00:00:00"/>
    <x v="0"/>
    <n v="3"/>
    <s v="Animesh Rawat"/>
    <x v="0"/>
    <s v="Global Client Network (GNB Inward)"/>
    <s v="Renewal"/>
    <n v="5610"/>
    <d v="2019-09-21T00:00:00"/>
    <s v="Brokerage"/>
    <x v="2"/>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Dhruv Chopra"/>
    <s v="OG-19-2202-1005-00000153"/>
    <x v="1"/>
    <x v="295"/>
    <d v="2019-09-20T00:00:00"/>
    <x v="0"/>
    <n v="3"/>
    <s v="Animesh Rawat"/>
    <x v="0"/>
    <s v="Global Client Network (GNB Inward)"/>
    <s v="Renewal"/>
    <n v="5610"/>
    <d v="2019-09-21T00:00:00"/>
    <s v="Brokerage"/>
    <x v="2"/>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Dhruv Chopra"/>
    <s v="OG-19-2202-1005-00000153"/>
    <x v="1"/>
    <x v="295"/>
    <d v="2019-09-20T00:00:00"/>
    <x v="0"/>
    <n v="3"/>
    <s v="Animesh Rawat"/>
    <x v="0"/>
    <s v="Global Client Network (GNB Inward)"/>
    <s v="Renewal"/>
    <n v="5610"/>
    <d v="2019-09-21T00:00:00"/>
    <s v="Brokerage"/>
    <x v="2"/>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Dhruv Chopra"/>
    <s v="OG-19-2202-1005-00000153"/>
    <x v="1"/>
    <x v="295"/>
    <d v="2019-09-20T00:00:00"/>
    <x v="0"/>
    <n v="3"/>
    <s v="Animesh Rawat"/>
    <x v="0"/>
    <s v="Global Client Network (GNB Inward)"/>
    <s v="Renewal"/>
    <n v="5610"/>
    <d v="2019-09-21T00:00:00"/>
    <s v="Brokerage"/>
    <x v="2"/>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Dhruv Chopra"/>
    <s v="OG-19-2202-1005-00000153"/>
    <x v="1"/>
    <x v="295"/>
    <d v="2019-09-20T00:00:00"/>
    <x v="0"/>
    <n v="3"/>
    <s v="Animesh Rawat"/>
    <x v="0"/>
    <s v="Global Client Network (GNB Inward)"/>
    <s v="Renewal"/>
    <n v="5610"/>
    <d v="2019-09-21T00:00:00"/>
    <s v="Brokerage"/>
    <x v="2"/>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Dhruv Chopra"/>
    <s v="OG-19-2202-1005-00000153"/>
    <x v="1"/>
    <x v="295"/>
    <d v="2019-09-20T00:00:00"/>
    <x v="0"/>
    <n v="3"/>
    <s v="Animesh Rawat"/>
    <x v="0"/>
    <s v="Global Client Network (GNB Inward)"/>
    <s v="Renewal"/>
    <n v="5610"/>
    <d v="2019-09-21T00:00:00"/>
    <s v="Brokerage"/>
    <x v="2"/>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Jaya Chopra"/>
    <s v="OG-19-2202-1005-00000153"/>
    <x v="1"/>
    <x v="295"/>
    <d v="2019-09-20T00:00:00"/>
    <x v="0"/>
    <n v="3"/>
    <s v="Animesh Rawat"/>
    <x v="0"/>
    <s v="Global Client Network (GNB Inward)"/>
    <s v="Renewal"/>
    <n v="1980"/>
    <d v="2019-06-14T00:00:00"/>
    <s v="Brokerage "/>
    <x v="2"/>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Jaya Chopra"/>
    <s v="OG-19-2202-1005-00000153"/>
    <x v="1"/>
    <x v="295"/>
    <d v="2019-09-20T00:00:00"/>
    <x v="0"/>
    <n v="3"/>
    <s v="Animesh Rawat"/>
    <x v="0"/>
    <s v="Global Client Network (GNB Inward)"/>
    <s v="Renewal"/>
    <n v="1980"/>
    <d v="2019-06-14T00:00:00"/>
    <s v="Brokerage "/>
    <x v="2"/>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Jaya Chopra"/>
    <s v="OG-19-2202-1005-00000153"/>
    <x v="1"/>
    <x v="295"/>
    <d v="2019-09-20T00:00:00"/>
    <x v="0"/>
    <n v="3"/>
    <s v="Animesh Rawat"/>
    <x v="0"/>
    <s v="Global Client Network (GNB Inward)"/>
    <s v="Renewal"/>
    <n v="1980"/>
    <d v="2019-06-14T00:00:00"/>
    <s v="Brokerage "/>
    <x v="2"/>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Jaya Chopra"/>
    <s v="OG-19-2202-1005-00000153"/>
    <x v="1"/>
    <x v="295"/>
    <d v="2019-09-20T00:00:00"/>
    <x v="0"/>
    <n v="3"/>
    <s v="Animesh Rawat"/>
    <x v="0"/>
    <s v="Global Client Network (GNB Inward)"/>
    <s v="Renewal"/>
    <n v="1980"/>
    <d v="2019-06-14T00:00:00"/>
    <s v="Brokerage "/>
    <x v="2"/>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Jaya Chopra"/>
    <s v="OG-19-2202-1005-00000153"/>
    <x v="1"/>
    <x v="295"/>
    <d v="2019-09-20T00:00:00"/>
    <x v="0"/>
    <n v="3"/>
    <s v="Animesh Rawat"/>
    <x v="0"/>
    <s v="Global Client Network (GNB Inward)"/>
    <s v="Renewal"/>
    <n v="1980"/>
    <d v="2019-06-14T00:00:00"/>
    <s v="Brokerage "/>
    <x v="2"/>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Jaya Chopra"/>
    <s v="OG-19-2202-1005-00000153"/>
    <x v="1"/>
    <x v="295"/>
    <d v="2019-09-20T00:00:00"/>
    <x v="0"/>
    <n v="3"/>
    <s v="Animesh Rawat"/>
    <x v="0"/>
    <s v="Global Client Network (GNB Inward)"/>
    <s v="Renewal"/>
    <n v="1980"/>
    <d v="2019-06-14T00:00:00"/>
    <s v="Brokerage "/>
    <x v="2"/>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Jaya Chopra"/>
    <s v="OG-19-2202-1005-00000153"/>
    <x v="1"/>
    <x v="295"/>
    <d v="2019-09-20T00:00:00"/>
    <x v="0"/>
    <n v="3"/>
    <s v="Animesh Rawat"/>
    <x v="0"/>
    <s v="Global Client Network (GNB Inward)"/>
    <s v="Renewal"/>
    <n v="1980"/>
    <d v="2019-06-14T00:00:00"/>
    <s v="Brokerage "/>
    <x v="2"/>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Jaya Chopra"/>
    <s v="OG-19-2202-1005-00000153"/>
    <x v="1"/>
    <x v="295"/>
    <d v="2019-09-20T00:00:00"/>
    <x v="0"/>
    <n v="3"/>
    <s v="Animesh Rawat"/>
    <x v="0"/>
    <s v="Global Client Network (GNB Inward)"/>
    <s v="Renewal"/>
    <n v="1980"/>
    <d v="2019-06-14T00:00:00"/>
    <s v="Brokerage "/>
    <x v="2"/>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Kiran Goyal"/>
    <s v="OG-19-2202-4097-00000073"/>
    <x v="1"/>
    <x v="295"/>
    <d v="2019-09-20T00:00:00"/>
    <x v="2"/>
    <n v="3"/>
    <s v="Animesh Rawat"/>
    <x v="0"/>
    <s v="Global Client Network (GNB Inward)"/>
    <s v="Renewal"/>
    <n v="3861.25"/>
    <d v="2018-09-21T00:00:00"/>
    <s v="Brokerage"/>
    <x v="0"/>
    <s v="OTHR - Other"/>
    <d v="2020-01-22T00:00:00"/>
    <s v="Other"/>
    <m/>
    <m/>
    <m/>
    <m/>
    <m/>
    <m/>
    <m/>
    <m/>
    <m/>
    <m/>
    <m/>
    <m/>
    <m/>
    <m/>
    <m/>
    <m/>
    <m/>
    <m/>
    <m/>
    <m/>
  </r>
  <r>
    <s v="Pravin Sengupta"/>
    <s v="OG-19-2202-4097-00000077"/>
    <x v="1"/>
    <x v="295"/>
    <d v="2019-09-20T00:00:00"/>
    <x v="2"/>
    <n v="3"/>
    <s v="Animesh Rawat"/>
    <x v="0"/>
    <s v="Global Client Network (GNB Inward)"/>
    <s v="Renewal"/>
    <n v="13036.5"/>
    <d v="2018-09-21T00:00:00"/>
    <s v="Brokerage"/>
    <x v="0"/>
    <s v="OTHR - Other"/>
    <d v="2020-01-22T00:00:00"/>
    <s v="Other"/>
    <m/>
    <m/>
    <m/>
    <m/>
    <m/>
    <m/>
    <m/>
    <m/>
    <m/>
    <m/>
    <m/>
    <m/>
    <m/>
    <m/>
    <m/>
    <m/>
    <m/>
    <m/>
    <m/>
    <m/>
  </r>
  <r>
    <s v="Snehal Das"/>
    <s v="OG-19-2202-4097-00000079"/>
    <x v="1"/>
    <x v="295"/>
    <d v="2019-09-20T00:00:00"/>
    <x v="2"/>
    <n v="3"/>
    <s v="Animesh Rawat"/>
    <x v="0"/>
    <s v="Global Client Network (GNB Inward)"/>
    <s v="Renewal"/>
    <n v="8194.25"/>
    <d v="2018-09-21T00:00:00"/>
    <s v="Brokerage"/>
    <x v="0"/>
    <s v="OTHR - Other"/>
    <d v="2020-01-22T00:00:00"/>
    <s v="Other"/>
    <m/>
    <m/>
    <m/>
    <m/>
    <m/>
    <m/>
    <m/>
    <m/>
    <m/>
    <m/>
    <m/>
    <m/>
    <m/>
    <m/>
    <m/>
    <m/>
    <m/>
    <m/>
    <m/>
    <m/>
  </r>
  <r>
    <s v="Rajesh Malhotra"/>
    <s v="OG-20-2202-1005-00000171-2019"/>
    <x v="0"/>
    <x v="296"/>
    <d v="2020-09-20T00:00:00"/>
    <x v="0"/>
    <n v="3"/>
    <s v="Animesh Rawat"/>
    <x v="0"/>
    <s v="Global Client Network (GNB Inward)"/>
    <s v="Renewal"/>
    <n v="8580"/>
    <d v="2019-09-21T00:00:00"/>
    <s v="Brokerage"/>
    <x v="1"/>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Rajesh Malhotra"/>
    <s v="OG-20-2202-1005-00000171-2019"/>
    <x v="0"/>
    <x v="296"/>
    <d v="2020-09-20T00:00:00"/>
    <x v="0"/>
    <n v="3"/>
    <s v="Animesh Rawat"/>
    <x v="0"/>
    <s v="Global Client Network (GNB Inward)"/>
    <s v="Renewal"/>
    <n v="8580"/>
    <d v="2019-09-21T00:00:00"/>
    <s v="Brokerage"/>
    <x v="1"/>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Rajesh Malhotra"/>
    <s v="OG-20-2202-1005-00000171-2019"/>
    <x v="0"/>
    <x v="296"/>
    <d v="2020-09-20T00:00:00"/>
    <x v="0"/>
    <n v="3"/>
    <s v="Animesh Rawat"/>
    <x v="0"/>
    <s v="Global Client Network (GNB Inward)"/>
    <s v="Renewal"/>
    <n v="8580"/>
    <d v="2019-09-21T00:00:00"/>
    <s v="Brokerage"/>
    <x v="1"/>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Rajesh Malhotra"/>
    <s v="OG-20-2202-1005-00000171-2019"/>
    <x v="0"/>
    <x v="296"/>
    <d v="2020-09-20T00:00:00"/>
    <x v="0"/>
    <n v="3"/>
    <s v="Animesh Rawat"/>
    <x v="0"/>
    <s v="Global Client Network (GNB Inward)"/>
    <s v="Renewal"/>
    <n v="8580"/>
    <d v="2019-09-21T00:00:00"/>
    <s v="Brokerage"/>
    <x v="1"/>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Rajesh Malhotra"/>
    <s v="OG-20-2202-1005-00000171-2019"/>
    <x v="0"/>
    <x v="296"/>
    <d v="2020-09-20T00:00:00"/>
    <x v="0"/>
    <n v="3"/>
    <s v="Animesh Rawat"/>
    <x v="0"/>
    <s v="Global Client Network (GNB Inward)"/>
    <s v="Renewal"/>
    <n v="8580"/>
    <d v="2019-09-21T00:00:00"/>
    <s v="Brokerage"/>
    <x v="1"/>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Rajesh Malhotra"/>
    <s v="OG-20-2202-1005-00000171-2019"/>
    <x v="0"/>
    <x v="296"/>
    <d v="2020-09-20T00:00:00"/>
    <x v="0"/>
    <n v="3"/>
    <s v="Animesh Rawat"/>
    <x v="0"/>
    <s v="Global Client Network (GNB Inward)"/>
    <s v="Renewal"/>
    <n v="8580"/>
    <d v="2019-09-21T00:00:00"/>
    <s v="Brokerage"/>
    <x v="1"/>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Rajesh Malhotra"/>
    <s v="OG-20-2202-1005-00000171-2019"/>
    <x v="0"/>
    <x v="296"/>
    <d v="2020-09-20T00:00:00"/>
    <x v="0"/>
    <n v="3"/>
    <s v="Animesh Rawat"/>
    <x v="0"/>
    <s v="Global Client Network (GNB Inward)"/>
    <s v="Renewal"/>
    <n v="8580"/>
    <d v="2019-09-21T00:00:00"/>
    <s v="Brokerage"/>
    <x v="1"/>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Rajesh Malhotra"/>
    <s v="OG-20-2202-1005-00000171-2019"/>
    <x v="0"/>
    <x v="296"/>
    <d v="2020-09-20T00:00:00"/>
    <x v="0"/>
    <n v="3"/>
    <s v="Animesh Rawat"/>
    <x v="0"/>
    <s v="Global Client Network (GNB Inward)"/>
    <s v="Renewal"/>
    <n v="8580"/>
    <d v="2019-09-21T00:00:00"/>
    <s v="Brokerage"/>
    <x v="1"/>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Archana Bhatia"/>
    <s v="OG-20-2202-4097-00000170"/>
    <x v="0"/>
    <x v="296"/>
    <d v="2020-09-20T00:00:00"/>
    <x v="2"/>
    <n v="3"/>
    <s v="Animesh Rawat"/>
    <x v="0"/>
    <s v="Global Client Network (GNB Inward)"/>
    <s v="Renewal"/>
    <n v="4579"/>
    <d v="2019-09-21T00:00:00"/>
    <s v="Brokerage"/>
    <x v="1"/>
    <s v="OTHR - Other"/>
    <d v="2020-01-22T00:00:00"/>
    <s v="Other"/>
    <m/>
    <m/>
    <m/>
    <m/>
    <m/>
    <m/>
    <m/>
    <m/>
    <m/>
    <m/>
    <m/>
    <m/>
    <m/>
    <m/>
    <m/>
    <m/>
    <m/>
    <m/>
    <m/>
    <m/>
  </r>
  <r>
    <s v="Ashok Reddy"/>
    <s v="OG-20-2202-4097-00000171"/>
    <x v="0"/>
    <x v="296"/>
    <d v="2020-09-20T00:00:00"/>
    <x v="2"/>
    <n v="3"/>
    <s v="Animesh Rawat"/>
    <x v="0"/>
    <s v="Global Client Network (GNB Inward)"/>
    <s v="Renewal"/>
    <n v="3330"/>
    <d v="2019-09-21T00:00:00"/>
    <s v="Brokerage"/>
    <x v="1"/>
    <s v="OTHR - Other"/>
    <d v="2020-01-22T00:00:00"/>
    <s v="Other"/>
    <m/>
    <m/>
    <m/>
    <m/>
    <m/>
    <m/>
    <m/>
    <m/>
    <m/>
    <m/>
    <m/>
    <m/>
    <m/>
    <m/>
    <m/>
    <m/>
    <m/>
    <m/>
    <m/>
    <m/>
  </r>
  <r>
    <s v="Madhuri Bhatia"/>
    <s v="OG-20-2202-4097-00000201"/>
    <x v="0"/>
    <x v="296"/>
    <d v="2020-09-20T00:00:00"/>
    <x v="2"/>
    <n v="3"/>
    <s v="Animesh Rawat"/>
    <x v="0"/>
    <s v="Global Client Network (GNB Inward)"/>
    <s v="Renewal"/>
    <n v="8625.3799999999992"/>
    <d v="2019-09-21T00:00:00"/>
    <s v="Brokerage"/>
    <x v="1"/>
    <s v="OTHR - Other"/>
    <d v="2020-01-22T00:00:00"/>
    <s v="Other"/>
    <m/>
    <m/>
    <m/>
    <m/>
    <m/>
    <m/>
    <m/>
    <m/>
    <m/>
    <m/>
    <m/>
    <m/>
    <m/>
    <m/>
    <m/>
    <m/>
    <m/>
    <m/>
    <m/>
    <m/>
  </r>
  <r>
    <s v="Pranav Mishra"/>
    <s v="'2411202761687800000"/>
    <x v="0"/>
    <x v="297"/>
    <d v="2020-04-18T00:00:00"/>
    <x v="0"/>
    <n v="1"/>
    <s v="Vinay"/>
    <x v="0"/>
    <s v="Marine"/>
    <s v="Cross Sell"/>
    <n v="150.65"/>
    <d v="2019-04-19T00:00:00"/>
    <s v="Brokerage"/>
    <x v="0"/>
    <s v="OTHR - Other"/>
    <d v="2020-01-22T00:00:00"/>
    <s v="Other"/>
    <s v="BL - Marine STOP"/>
    <s v="OPP1900001048"/>
    <s v="Vinay"/>
    <n v="0"/>
    <n v="100000"/>
    <d v="2020-06-30T00:00:00"/>
    <s v="Qualify Opportunity"/>
    <s v="Ahmedabad"/>
    <s v="Marine"/>
    <s v="Marine Hull"/>
    <s v="Charterers' Liability Policy"/>
    <m/>
    <m/>
    <s v="Sophia Garcia"/>
    <d v="2020-01-02T00:00:00"/>
    <s v="Vinay"/>
    <s v="Hunter &amp; Farmer"/>
    <n v="12788092"/>
    <n v="250000"/>
    <n v="1500000"/>
  </r>
  <r>
    <s v="Pranav Mishra"/>
    <s v="'2411202761687800000"/>
    <x v="0"/>
    <x v="297"/>
    <d v="2020-04-18T00:00:00"/>
    <x v="0"/>
    <n v="1"/>
    <s v="Vinay"/>
    <x v="0"/>
    <s v="Marine"/>
    <s v="Cross Sell"/>
    <n v="150.65"/>
    <d v="2019-04-19T00:00:00"/>
    <s v="Brokerage"/>
    <x v="0"/>
    <s v="OTHR - Other"/>
    <d v="2020-01-22T00:00:00"/>
    <s v="Other"/>
    <s v="BL - Marine STOP"/>
    <s v="OPP1900001048"/>
    <s v="Vinay"/>
    <n v="0"/>
    <n v="100000"/>
    <d v="2020-06-30T00:00:00"/>
    <s v="Qualify Opportunity"/>
    <s v="Ahmedabad"/>
    <s v="Marine"/>
    <s v="Marine Hull"/>
    <s v="Charterers' Liability Policy"/>
    <m/>
    <m/>
    <s v="James Miller"/>
    <d v="2020-01-03T00:00:00"/>
    <s v="Vinay"/>
    <s v="Hunter &amp; Farmer"/>
    <n v="12788092"/>
    <n v="250000"/>
    <n v="1500000"/>
  </r>
  <r>
    <s v="Pranav Mishra"/>
    <s v="'2411202761687800000"/>
    <x v="0"/>
    <x v="297"/>
    <d v="2020-04-18T00:00:00"/>
    <x v="0"/>
    <n v="1"/>
    <s v="Vinay"/>
    <x v="0"/>
    <s v="Marine"/>
    <s v="Cross Sell"/>
    <n v="150.65"/>
    <d v="2019-04-19T00:00:00"/>
    <s v="Brokerage"/>
    <x v="0"/>
    <s v="OTHR - Other"/>
    <d v="2020-01-22T00:00:00"/>
    <s v="Other"/>
    <s v="BL - Marine STOP"/>
    <s v="OPP1900001048"/>
    <s v="Vinay"/>
    <n v="0"/>
    <n v="100000"/>
    <d v="2020-06-30T00:00:00"/>
    <s v="Qualify Opportunity"/>
    <s v="Ahmedabad"/>
    <s v="Marine"/>
    <s v="Marine Hull"/>
    <s v="Charterers' Liability Policy"/>
    <m/>
    <m/>
    <s v="Mia Rodriguez"/>
    <d v="2020-01-06T00:00:00"/>
    <s v="Vinay"/>
    <s v="Hunter &amp; Farmer"/>
    <n v="12788092"/>
    <n v="250000"/>
    <n v="1500000"/>
  </r>
  <r>
    <s v="Pranav Mishra"/>
    <s v="'2411202761687800000"/>
    <x v="0"/>
    <x v="297"/>
    <d v="2020-04-18T00:00:00"/>
    <x v="0"/>
    <n v="1"/>
    <s v="Vinay"/>
    <x v="0"/>
    <s v="Marine"/>
    <s v="Cross Sell"/>
    <n v="150.65"/>
    <d v="2019-04-19T00:00:00"/>
    <s v="Brokerage"/>
    <x v="0"/>
    <s v="OTHR - Other"/>
    <d v="2020-01-22T00:00:00"/>
    <s v="Other"/>
    <s v="BL - Marine STOP"/>
    <s v="OPP1900001048"/>
    <s v="Vinay"/>
    <n v="0"/>
    <n v="100000"/>
    <d v="2020-06-30T00:00:00"/>
    <s v="Qualify Opportunity"/>
    <s v="Ahmedabad"/>
    <s v="Marine"/>
    <s v="Marine Hull"/>
    <s v="Charterers' Liability Policy"/>
    <m/>
    <m/>
    <s v="Benjamin Anderson"/>
    <d v="2020-01-07T00:00:00"/>
    <s v="Vinay"/>
    <s v="Hunter &amp; Farmer"/>
    <n v="12788092"/>
    <n v="250000"/>
    <n v="1500000"/>
  </r>
  <r>
    <s v="Pranav Mishra"/>
    <s v="'2411202761687800000"/>
    <x v="0"/>
    <x v="297"/>
    <d v="2020-04-18T00:00:00"/>
    <x v="0"/>
    <n v="1"/>
    <s v="Vinay"/>
    <x v="0"/>
    <s v="Marine"/>
    <s v="Cross Sell"/>
    <n v="150.65"/>
    <d v="2019-04-19T00:00:00"/>
    <s v="Brokerage"/>
    <x v="0"/>
    <s v="OTHR - Other"/>
    <d v="2020-01-22T00:00:00"/>
    <s v="Other"/>
    <s v="BL - Marine STOP"/>
    <s v="OPP1900001048"/>
    <s v="Vinay"/>
    <n v="0"/>
    <n v="100000"/>
    <d v="2020-06-30T00:00:00"/>
    <s v="Qualify Opportunity"/>
    <s v="Ahmedabad"/>
    <s v="Marine"/>
    <s v="Marine Hull"/>
    <s v="Charterers' Liability Policy"/>
    <m/>
    <m/>
    <s v="Charlotte Taylor"/>
    <d v="2020-01-08T00:00:00"/>
    <s v="Vinay"/>
    <s v="Hunter &amp; Farmer"/>
    <n v="12788092"/>
    <n v="250000"/>
    <n v="1500000"/>
  </r>
  <r>
    <s v="Pranav Mishra"/>
    <s v="'2411202761687800000"/>
    <x v="0"/>
    <x v="297"/>
    <d v="2020-04-18T00:00:00"/>
    <x v="0"/>
    <n v="1"/>
    <s v="Vinay"/>
    <x v="0"/>
    <s v="Marine"/>
    <s v="Cross Sell"/>
    <n v="150.65"/>
    <d v="2019-04-19T00:00:00"/>
    <s v="Brokerage"/>
    <x v="0"/>
    <s v="OTHR - Other"/>
    <d v="2020-01-22T00:00:00"/>
    <s v="Other"/>
    <s v="II-Marine"/>
    <s v="OPP1900001050"/>
    <s v="Vinay"/>
    <n v="0"/>
    <n v="100000"/>
    <d v="2020-03-31T00:00:00"/>
    <s v="Qualify Opportunity"/>
    <s v="Ahmedabad"/>
    <s v="Marine"/>
    <s v="Marine Hull"/>
    <s v="Charterers' Liability Policy"/>
    <m/>
    <m/>
    <s v="Sophia Garcia"/>
    <d v="2020-01-02T00:00:00"/>
    <s v="Vinay"/>
    <s v="Hunter &amp; Farmer"/>
    <n v="12788092"/>
    <n v="250000"/>
    <n v="1500000"/>
  </r>
  <r>
    <s v="Pranav Mishra"/>
    <s v="'2411202761687800000"/>
    <x v="0"/>
    <x v="297"/>
    <d v="2020-04-18T00:00:00"/>
    <x v="0"/>
    <n v="1"/>
    <s v="Vinay"/>
    <x v="0"/>
    <s v="Marine"/>
    <s v="Cross Sell"/>
    <n v="150.65"/>
    <d v="2019-04-19T00:00:00"/>
    <s v="Brokerage"/>
    <x v="0"/>
    <s v="OTHR - Other"/>
    <d v="2020-01-22T00:00:00"/>
    <s v="Other"/>
    <s v="II-Marine"/>
    <s v="OPP1900001050"/>
    <s v="Vinay"/>
    <n v="0"/>
    <n v="100000"/>
    <d v="2020-03-31T00:00:00"/>
    <s v="Qualify Opportunity"/>
    <s v="Ahmedabad"/>
    <s v="Marine"/>
    <s v="Marine Hull"/>
    <s v="Charterers' Liability Policy"/>
    <m/>
    <m/>
    <s v="James Miller"/>
    <d v="2020-01-03T00:00:00"/>
    <s v="Vinay"/>
    <s v="Hunter &amp; Farmer"/>
    <n v="12788092"/>
    <n v="250000"/>
    <n v="1500000"/>
  </r>
  <r>
    <s v="Pranav Mishra"/>
    <s v="'2411202761687800000"/>
    <x v="0"/>
    <x v="297"/>
    <d v="2020-04-18T00:00:00"/>
    <x v="0"/>
    <n v="1"/>
    <s v="Vinay"/>
    <x v="0"/>
    <s v="Marine"/>
    <s v="Cross Sell"/>
    <n v="150.65"/>
    <d v="2019-04-19T00:00:00"/>
    <s v="Brokerage"/>
    <x v="0"/>
    <s v="OTHR - Other"/>
    <d v="2020-01-22T00:00:00"/>
    <s v="Other"/>
    <s v="II-Marine"/>
    <s v="OPP1900001050"/>
    <s v="Vinay"/>
    <n v="0"/>
    <n v="100000"/>
    <d v="2020-03-31T00:00:00"/>
    <s v="Qualify Opportunity"/>
    <s v="Ahmedabad"/>
    <s v="Marine"/>
    <s v="Marine Hull"/>
    <s v="Charterers' Liability Policy"/>
    <m/>
    <m/>
    <s v="Mia Rodriguez"/>
    <d v="2020-01-06T00:00:00"/>
    <s v="Vinay"/>
    <s v="Hunter &amp; Farmer"/>
    <n v="12788092"/>
    <n v="250000"/>
    <n v="1500000"/>
  </r>
  <r>
    <s v="Pranav Mishra"/>
    <s v="'2411202761687800000"/>
    <x v="0"/>
    <x v="297"/>
    <d v="2020-04-18T00:00:00"/>
    <x v="0"/>
    <n v="1"/>
    <s v="Vinay"/>
    <x v="0"/>
    <s v="Marine"/>
    <s v="Cross Sell"/>
    <n v="150.65"/>
    <d v="2019-04-19T00:00:00"/>
    <s v="Brokerage"/>
    <x v="0"/>
    <s v="OTHR - Other"/>
    <d v="2020-01-22T00:00:00"/>
    <s v="Other"/>
    <s v="II-Marine"/>
    <s v="OPP1900001050"/>
    <s v="Vinay"/>
    <n v="0"/>
    <n v="100000"/>
    <d v="2020-03-31T00:00:00"/>
    <s v="Qualify Opportunity"/>
    <s v="Ahmedabad"/>
    <s v="Marine"/>
    <s v="Marine Hull"/>
    <s v="Charterers' Liability Policy"/>
    <m/>
    <m/>
    <s v="Benjamin Anderson"/>
    <d v="2020-01-07T00:00:00"/>
    <s v="Vinay"/>
    <s v="Hunter &amp; Farmer"/>
    <n v="12788092"/>
    <n v="250000"/>
    <n v="1500000"/>
  </r>
  <r>
    <s v="Pranav Mishra"/>
    <s v="'2411202761687800000"/>
    <x v="0"/>
    <x v="297"/>
    <d v="2020-04-18T00:00:00"/>
    <x v="0"/>
    <n v="1"/>
    <s v="Vinay"/>
    <x v="0"/>
    <s v="Marine"/>
    <s v="Cross Sell"/>
    <n v="150.65"/>
    <d v="2019-04-19T00:00:00"/>
    <s v="Brokerage"/>
    <x v="0"/>
    <s v="OTHR - Other"/>
    <d v="2020-01-22T00:00:00"/>
    <s v="Other"/>
    <s v="II-Marine"/>
    <s v="OPP1900001050"/>
    <s v="Vinay"/>
    <n v="0"/>
    <n v="100000"/>
    <d v="2020-03-31T00:00:00"/>
    <s v="Qualify Opportunity"/>
    <s v="Ahmedabad"/>
    <s v="Marine"/>
    <s v="Marine Hull"/>
    <s v="Charterers' Liability Policy"/>
    <m/>
    <m/>
    <s v="Charlotte Taylor"/>
    <d v="2020-01-08T00:00:00"/>
    <s v="Vinay"/>
    <s v="Hunter &amp; Farmer"/>
    <n v="12788092"/>
    <n v="250000"/>
    <n v="1500000"/>
  </r>
  <r>
    <s v="Pranav Mishra"/>
    <s v="'2411202761687800000"/>
    <x v="0"/>
    <x v="297"/>
    <d v="2020-04-18T00:00:00"/>
    <x v="0"/>
    <n v="1"/>
    <s v="Vinay"/>
    <x v="0"/>
    <s v="Marine"/>
    <s v="Cross Sell"/>
    <n v="150.65"/>
    <d v="2019-04-19T00:00:00"/>
    <s v="Brokerage"/>
    <x v="0"/>
    <s v="OTHR - Other"/>
    <d v="2020-01-22T00:00:00"/>
    <s v="Other"/>
    <s v="PIL -Marine"/>
    <s v="OPP1900001053"/>
    <s v="Vinay"/>
    <n v="0"/>
    <n v="100000"/>
    <d v="2020-05-31T00:00:00"/>
    <s v="Qualify Opportunity"/>
    <s v="Ahmedabad"/>
    <s v="Marine"/>
    <s v="Marine Hull"/>
    <s v="Charterers' Liability Policy"/>
    <m/>
    <m/>
    <s v="Sophia Garcia"/>
    <d v="2020-01-02T00:00:00"/>
    <s v="Vinay"/>
    <s v="Hunter &amp; Farmer"/>
    <n v="12788092"/>
    <n v="250000"/>
    <n v="1500000"/>
  </r>
  <r>
    <s v="Pranav Mishra"/>
    <s v="'2411202761687800000"/>
    <x v="0"/>
    <x v="297"/>
    <d v="2020-04-18T00:00:00"/>
    <x v="0"/>
    <n v="1"/>
    <s v="Vinay"/>
    <x v="0"/>
    <s v="Marine"/>
    <s v="Cross Sell"/>
    <n v="150.65"/>
    <d v="2019-04-19T00:00:00"/>
    <s v="Brokerage"/>
    <x v="0"/>
    <s v="OTHR - Other"/>
    <d v="2020-01-22T00:00:00"/>
    <s v="Other"/>
    <s v="PIL -Marine"/>
    <s v="OPP1900001053"/>
    <s v="Vinay"/>
    <n v="0"/>
    <n v="100000"/>
    <d v="2020-05-31T00:00:00"/>
    <s v="Qualify Opportunity"/>
    <s v="Ahmedabad"/>
    <s v="Marine"/>
    <s v="Marine Hull"/>
    <s v="Charterers' Liability Policy"/>
    <m/>
    <m/>
    <s v="James Miller"/>
    <d v="2020-01-03T00:00:00"/>
    <s v="Vinay"/>
    <s v="Hunter &amp; Farmer"/>
    <n v="12788092"/>
    <n v="250000"/>
    <n v="1500000"/>
  </r>
  <r>
    <s v="Pranav Mishra"/>
    <s v="'2411202761687800000"/>
    <x v="0"/>
    <x v="297"/>
    <d v="2020-04-18T00:00:00"/>
    <x v="0"/>
    <n v="1"/>
    <s v="Vinay"/>
    <x v="0"/>
    <s v="Marine"/>
    <s v="Cross Sell"/>
    <n v="150.65"/>
    <d v="2019-04-19T00:00:00"/>
    <s v="Brokerage"/>
    <x v="0"/>
    <s v="OTHR - Other"/>
    <d v="2020-01-22T00:00:00"/>
    <s v="Other"/>
    <s v="PIL -Marine"/>
    <s v="OPP1900001053"/>
    <s v="Vinay"/>
    <n v="0"/>
    <n v="100000"/>
    <d v="2020-05-31T00:00:00"/>
    <s v="Qualify Opportunity"/>
    <s v="Ahmedabad"/>
    <s v="Marine"/>
    <s v="Marine Hull"/>
    <s v="Charterers' Liability Policy"/>
    <m/>
    <m/>
    <s v="Mia Rodriguez"/>
    <d v="2020-01-06T00:00:00"/>
    <s v="Vinay"/>
    <s v="Hunter &amp; Farmer"/>
    <n v="12788092"/>
    <n v="250000"/>
    <n v="1500000"/>
  </r>
  <r>
    <s v="Pranav Mishra"/>
    <s v="'2411202761687800000"/>
    <x v="0"/>
    <x v="297"/>
    <d v="2020-04-18T00:00:00"/>
    <x v="0"/>
    <n v="1"/>
    <s v="Vinay"/>
    <x v="0"/>
    <s v="Marine"/>
    <s v="Cross Sell"/>
    <n v="150.65"/>
    <d v="2019-04-19T00:00:00"/>
    <s v="Brokerage"/>
    <x v="0"/>
    <s v="OTHR - Other"/>
    <d v="2020-01-22T00:00:00"/>
    <s v="Other"/>
    <s v="PIL -Marine"/>
    <s v="OPP1900001053"/>
    <s v="Vinay"/>
    <n v="0"/>
    <n v="100000"/>
    <d v="2020-05-31T00:00:00"/>
    <s v="Qualify Opportunity"/>
    <s v="Ahmedabad"/>
    <s v="Marine"/>
    <s v="Marine Hull"/>
    <s v="Charterers' Liability Policy"/>
    <m/>
    <m/>
    <s v="Benjamin Anderson"/>
    <d v="2020-01-07T00:00:00"/>
    <s v="Vinay"/>
    <s v="Hunter &amp; Farmer"/>
    <n v="12788092"/>
    <n v="250000"/>
    <n v="1500000"/>
  </r>
  <r>
    <s v="Pranav Mishra"/>
    <s v="'2411202761687800000"/>
    <x v="0"/>
    <x v="297"/>
    <d v="2020-04-18T00:00:00"/>
    <x v="0"/>
    <n v="1"/>
    <s v="Vinay"/>
    <x v="0"/>
    <s v="Marine"/>
    <s v="Cross Sell"/>
    <n v="150.65"/>
    <d v="2019-04-19T00:00:00"/>
    <s v="Brokerage"/>
    <x v="0"/>
    <s v="OTHR - Other"/>
    <d v="2020-01-22T00:00:00"/>
    <s v="Other"/>
    <s v="PIL -Marine"/>
    <s v="OPP1900001053"/>
    <s v="Vinay"/>
    <n v="0"/>
    <n v="100000"/>
    <d v="2020-05-31T00:00:00"/>
    <s v="Qualify Opportunity"/>
    <s v="Ahmedabad"/>
    <s v="Marine"/>
    <s v="Marine Hull"/>
    <s v="Charterers' Liability Policy"/>
    <m/>
    <m/>
    <s v="Charlotte Taylor"/>
    <d v="2020-01-08T00:00:00"/>
    <s v="Vinay"/>
    <s v="Hunter &amp; Farmer"/>
    <n v="12788092"/>
    <n v="250000"/>
    <n v="1500000"/>
  </r>
  <r>
    <s v="Pranav Mishra"/>
    <s v="'2411202761687800000"/>
    <x v="0"/>
    <x v="297"/>
    <d v="2020-04-18T00:00:00"/>
    <x v="0"/>
    <n v="1"/>
    <s v="Vinay"/>
    <x v="0"/>
    <s v="Marine"/>
    <s v="Cross Sell"/>
    <n v="150.65"/>
    <d v="2019-04-19T00:00:00"/>
    <s v="Brokerage"/>
    <x v="0"/>
    <s v="OTHR - Other"/>
    <d v="2020-01-22T00:00:00"/>
    <s v="Other"/>
    <s v="Sandesh - Marine"/>
    <s v="OPP1900001055"/>
    <s v="Vinay"/>
    <n v="0"/>
    <n v="100000"/>
    <d v="2020-03-31T00:00:00"/>
    <s v="Qualify Opportunity"/>
    <s v="Ahmedabad"/>
    <s v="Marine"/>
    <s v="Marine Hull"/>
    <s v="Charterers' Liability Policy"/>
    <m/>
    <m/>
    <s v="Sophia Garcia"/>
    <d v="2020-01-02T00:00:00"/>
    <s v="Vinay"/>
    <s v="Hunter &amp; Farmer"/>
    <n v="12788092"/>
    <n v="250000"/>
    <n v="1500000"/>
  </r>
  <r>
    <s v="Pranav Mishra"/>
    <s v="'2411202761687800000"/>
    <x v="0"/>
    <x v="297"/>
    <d v="2020-04-18T00:00:00"/>
    <x v="0"/>
    <n v="1"/>
    <s v="Vinay"/>
    <x v="0"/>
    <s v="Marine"/>
    <s v="Cross Sell"/>
    <n v="150.65"/>
    <d v="2019-04-19T00:00:00"/>
    <s v="Brokerage"/>
    <x v="0"/>
    <s v="OTHR - Other"/>
    <d v="2020-01-22T00:00:00"/>
    <s v="Other"/>
    <s v="Sandesh - Marine"/>
    <s v="OPP1900001055"/>
    <s v="Vinay"/>
    <n v="0"/>
    <n v="100000"/>
    <d v="2020-03-31T00:00:00"/>
    <s v="Qualify Opportunity"/>
    <s v="Ahmedabad"/>
    <s v="Marine"/>
    <s v="Marine Hull"/>
    <s v="Charterers' Liability Policy"/>
    <m/>
    <m/>
    <s v="James Miller"/>
    <d v="2020-01-03T00:00:00"/>
    <s v="Vinay"/>
    <s v="Hunter &amp; Farmer"/>
    <n v="12788092"/>
    <n v="250000"/>
    <n v="1500000"/>
  </r>
  <r>
    <s v="Pranav Mishra"/>
    <s v="'2411202761687800000"/>
    <x v="0"/>
    <x v="297"/>
    <d v="2020-04-18T00:00:00"/>
    <x v="0"/>
    <n v="1"/>
    <s v="Vinay"/>
    <x v="0"/>
    <s v="Marine"/>
    <s v="Cross Sell"/>
    <n v="150.65"/>
    <d v="2019-04-19T00:00:00"/>
    <s v="Brokerage"/>
    <x v="0"/>
    <s v="OTHR - Other"/>
    <d v="2020-01-22T00:00:00"/>
    <s v="Other"/>
    <s v="Sandesh - Marine"/>
    <s v="OPP1900001055"/>
    <s v="Vinay"/>
    <n v="0"/>
    <n v="100000"/>
    <d v="2020-03-31T00:00:00"/>
    <s v="Qualify Opportunity"/>
    <s v="Ahmedabad"/>
    <s v="Marine"/>
    <s v="Marine Hull"/>
    <s v="Charterers' Liability Policy"/>
    <m/>
    <m/>
    <s v="Mia Rodriguez"/>
    <d v="2020-01-06T00:00:00"/>
    <s v="Vinay"/>
    <s v="Hunter &amp; Farmer"/>
    <n v="12788092"/>
    <n v="250000"/>
    <n v="1500000"/>
  </r>
  <r>
    <s v="Pranav Mishra"/>
    <s v="'2411202761687800000"/>
    <x v="0"/>
    <x v="297"/>
    <d v="2020-04-18T00:00:00"/>
    <x v="0"/>
    <n v="1"/>
    <s v="Vinay"/>
    <x v="0"/>
    <s v="Marine"/>
    <s v="Cross Sell"/>
    <n v="150.65"/>
    <d v="2019-04-19T00:00:00"/>
    <s v="Brokerage"/>
    <x v="0"/>
    <s v="OTHR - Other"/>
    <d v="2020-01-22T00:00:00"/>
    <s v="Other"/>
    <s v="Sandesh - Marine"/>
    <s v="OPP1900001055"/>
    <s v="Vinay"/>
    <n v="0"/>
    <n v="100000"/>
    <d v="2020-03-31T00:00:00"/>
    <s v="Qualify Opportunity"/>
    <s v="Ahmedabad"/>
    <s v="Marine"/>
    <s v="Marine Hull"/>
    <s v="Charterers' Liability Policy"/>
    <m/>
    <m/>
    <s v="Benjamin Anderson"/>
    <d v="2020-01-07T00:00:00"/>
    <s v="Vinay"/>
    <s v="Hunter &amp; Farmer"/>
    <n v="12788092"/>
    <n v="250000"/>
    <n v="1500000"/>
  </r>
  <r>
    <s v="Pranav Mishra"/>
    <s v="'2411202761687800000"/>
    <x v="0"/>
    <x v="297"/>
    <d v="2020-04-18T00:00:00"/>
    <x v="0"/>
    <n v="1"/>
    <s v="Vinay"/>
    <x v="0"/>
    <s v="Marine"/>
    <s v="Cross Sell"/>
    <n v="150.65"/>
    <d v="2019-04-19T00:00:00"/>
    <s v="Brokerage"/>
    <x v="0"/>
    <s v="OTHR - Other"/>
    <d v="2020-01-22T00:00:00"/>
    <s v="Other"/>
    <s v="Sandesh - Marine"/>
    <s v="OPP1900001055"/>
    <s v="Vinay"/>
    <n v="0"/>
    <n v="100000"/>
    <d v="2020-03-31T00:00:00"/>
    <s v="Qualify Opportunity"/>
    <s v="Ahmedabad"/>
    <s v="Marine"/>
    <s v="Marine Hull"/>
    <s v="Charterers' Liability Policy"/>
    <m/>
    <m/>
    <s v="Charlotte Taylor"/>
    <d v="2020-01-08T00:00:00"/>
    <s v="Vinay"/>
    <s v="Hunter &amp; Farmer"/>
    <n v="12788092"/>
    <n v="250000"/>
    <n v="1500000"/>
  </r>
  <r>
    <s v="DDD"/>
    <n v="304003070"/>
    <x v="0"/>
    <x v="298"/>
    <d v="2019-11-28T00:00:00"/>
    <x v="4"/>
    <n v="6"/>
    <s v="Ketan Jain"/>
    <x v="0"/>
    <s v="Liability"/>
    <s v="New"/>
    <n v="115173.38"/>
    <d v="2018-11-29T00:00:00"/>
    <s v="Brokerage"/>
    <x v="0"/>
    <s v="OTHR - Other"/>
    <d v="2020-01-22T00:00:00"/>
    <s v="Other"/>
    <m/>
    <m/>
    <m/>
    <m/>
    <m/>
    <m/>
    <m/>
    <m/>
    <m/>
    <m/>
    <m/>
    <m/>
    <m/>
    <m/>
    <m/>
    <m/>
    <m/>
    <m/>
    <m/>
    <m/>
  </r>
  <r>
    <s v="Geeta Gupta"/>
    <s v="ST20002720000101"/>
    <x v="0"/>
    <x v="299"/>
    <d v="2020-01-05T00:00:00"/>
    <x v="0"/>
    <n v="11"/>
    <s v="Raju Kumar"/>
    <x v="0"/>
    <s v="Marine"/>
    <s v="Cross Sell"/>
    <n v="825"/>
    <d v="2019-01-06T00:00:00"/>
    <s v="Brokerage"/>
    <x v="0"/>
    <s v="OTHR - Other"/>
    <d v="2020-01-22T00:00:00"/>
    <s v="Other"/>
    <m/>
    <m/>
    <m/>
    <m/>
    <m/>
    <m/>
    <m/>
    <m/>
    <m/>
    <m/>
    <m/>
    <m/>
    <m/>
    <m/>
    <m/>
    <m/>
    <m/>
    <m/>
    <m/>
    <m/>
  </r>
  <r>
    <s v="Sudhir Roy"/>
    <s v="'ST20003045000100"/>
    <x v="0"/>
    <x v="105"/>
    <d v="2019-06-12T00:00:00"/>
    <x v="0"/>
    <n v="11"/>
    <s v="Raju Kumar"/>
    <x v="0"/>
    <s v="Marine"/>
    <s v="Renewal"/>
    <n v="20625"/>
    <d v="2018-06-13T00:00:00"/>
    <s v="Brokerage"/>
    <x v="0"/>
    <s v="OTHR - Other"/>
    <d v="2020-01-22T00:00:00"/>
    <s v="Other"/>
    <m/>
    <m/>
    <m/>
    <m/>
    <m/>
    <m/>
    <m/>
    <m/>
    <m/>
    <m/>
    <m/>
    <m/>
    <m/>
    <m/>
    <m/>
    <m/>
    <m/>
    <m/>
    <m/>
    <m/>
  </r>
  <r>
    <s v="Rani Kaul"/>
    <s v="ST20003618000100"/>
    <x v="0"/>
    <x v="300"/>
    <d v="2020-04-07T00:00:00"/>
    <x v="0"/>
    <n v="11"/>
    <s v="Raju Kumar"/>
    <x v="0"/>
    <s v="Marine"/>
    <s v="Cross Sell"/>
    <n v="2598.75"/>
    <d v="2019-04-08T00:00:00"/>
    <s v="Brokerage"/>
    <x v="0"/>
    <s v="OTHR - Other"/>
    <d v="2020-01-22T00:00:00"/>
    <s v="Other"/>
    <m/>
    <m/>
    <m/>
    <m/>
    <m/>
    <m/>
    <m/>
    <m/>
    <m/>
    <m/>
    <m/>
    <m/>
    <m/>
    <m/>
    <m/>
    <m/>
    <m/>
    <m/>
    <m/>
    <m/>
  </r>
  <r>
    <s v="Kavita Sharma"/>
    <s v="ST20003619000100"/>
    <x v="0"/>
    <x v="300"/>
    <d v="2020-04-07T00:00:00"/>
    <x v="0"/>
    <n v="11"/>
    <s v="Raju Kumar"/>
    <x v="0"/>
    <s v="Marine"/>
    <s v="Cross Sell"/>
    <n v="693"/>
    <d v="2019-04-08T00:00:00"/>
    <s v="Brokerage"/>
    <x v="0"/>
    <s v="OTHR - Other"/>
    <d v="2020-01-22T00:00:00"/>
    <s v="Other"/>
    <m/>
    <m/>
    <m/>
    <m/>
    <m/>
    <m/>
    <m/>
    <m/>
    <m/>
    <m/>
    <m/>
    <m/>
    <m/>
    <m/>
    <m/>
    <m/>
    <m/>
    <m/>
    <m/>
    <m/>
  </r>
  <r>
    <s v="Shikha Sethi"/>
    <s v="STS1086243000100"/>
    <x v="0"/>
    <x v="123"/>
    <d v="2020-04-21T00:00:00"/>
    <x v="0"/>
    <n v="11"/>
    <s v="Raju Kumar"/>
    <x v="0"/>
    <s v="Marine"/>
    <s v="Cross Sell"/>
    <n v="357.06"/>
    <d v="2019-04-22T00:00:00"/>
    <s v="Brokerage"/>
    <x v="0"/>
    <s v="OTHR - Other"/>
    <d v="2020-01-22T00:00:00"/>
    <s v="Other"/>
    <m/>
    <m/>
    <m/>
    <m/>
    <m/>
    <m/>
    <m/>
    <m/>
    <m/>
    <m/>
    <m/>
    <m/>
    <m/>
    <m/>
    <m/>
    <m/>
    <m/>
    <m/>
    <m/>
    <m/>
  </r>
  <r>
    <s v="Amit Bhargava"/>
    <n v="1.31001E+19"/>
    <x v="0"/>
    <x v="241"/>
    <d v="2020-03-06T00:00:00"/>
    <x v="2"/>
    <n v="11"/>
    <s v="Raju Kumar"/>
    <x v="0"/>
    <s v="Trade Credit &amp;amp; Political Risk"/>
    <s v="Renewal"/>
    <n v="41625"/>
    <d v="2019-07-06T00:00:00"/>
    <s v="Brokerage"/>
    <x v="0"/>
    <s v="OTHR - Other"/>
    <d v="2020-01-22T00:00:00"/>
    <s v="Other"/>
    <m/>
    <m/>
    <m/>
    <m/>
    <m/>
    <m/>
    <m/>
    <m/>
    <m/>
    <m/>
    <m/>
    <m/>
    <m/>
    <m/>
    <m/>
    <m/>
    <m/>
    <m/>
    <m/>
    <m/>
  </r>
  <r>
    <s v="Alka Goel"/>
    <n v="1.31001E+19"/>
    <x v="0"/>
    <x v="241"/>
    <d v="2020-03-06T00:00:00"/>
    <x v="2"/>
    <n v="11"/>
    <s v="Raju Kumar"/>
    <x v="0"/>
    <s v="Trade Credit &amp;amp; Political Risk"/>
    <s v="Renewal"/>
    <n v="41625"/>
    <d v="2019-11-04T00:00:00"/>
    <s v="Brokerage"/>
    <x v="0"/>
    <s v="OTHR - Other"/>
    <d v="2020-01-22T00:00:00"/>
    <s v="Other"/>
    <m/>
    <m/>
    <m/>
    <m/>
    <m/>
    <m/>
    <m/>
    <m/>
    <m/>
    <m/>
    <m/>
    <m/>
    <m/>
    <m/>
    <m/>
    <m/>
    <m/>
    <m/>
    <m/>
    <m/>
  </r>
  <r>
    <s v="Harish Sharma"/>
    <n v="1.31001E+19"/>
    <x v="0"/>
    <x v="241"/>
    <d v="2020-03-06T00:00:00"/>
    <x v="2"/>
    <n v="11"/>
    <s v="Raju Kumar"/>
    <x v="0"/>
    <s v="Trade Credit &amp;amp; Political Risk"/>
    <s v="Renewal"/>
    <n v="124875"/>
    <d v="2019-03-07T00:00:00"/>
    <s v="Brokerage"/>
    <x v="0"/>
    <s v="OTHR - Other"/>
    <d v="2020-01-22T00:00:00"/>
    <s v="Other"/>
    <m/>
    <m/>
    <m/>
    <m/>
    <m/>
    <m/>
    <m/>
    <m/>
    <m/>
    <m/>
    <m/>
    <m/>
    <m/>
    <m/>
    <m/>
    <m/>
    <m/>
    <m/>
    <m/>
    <m/>
  </r>
  <r>
    <s v="Gaurav Goel"/>
    <n v="41048751"/>
    <x v="0"/>
    <x v="301"/>
    <d v="2020-08-27T00:00:00"/>
    <x v="4"/>
    <n v="1"/>
    <s v="Vinay"/>
    <x v="0"/>
    <s v="Liability"/>
    <s v="Renewal"/>
    <n v="42900"/>
    <d v="2018-08-28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Gaurav Goel"/>
    <n v="41048751"/>
    <x v="0"/>
    <x v="301"/>
    <d v="2020-08-27T00:00:00"/>
    <x v="4"/>
    <n v="1"/>
    <s v="Vinay"/>
    <x v="0"/>
    <s v="Liability"/>
    <s v="Renewal"/>
    <n v="42900"/>
    <d v="2018-08-28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Gaurav Goel"/>
    <n v="41048751"/>
    <x v="0"/>
    <x v="301"/>
    <d v="2020-08-27T00:00:00"/>
    <x v="4"/>
    <n v="1"/>
    <s v="Vinay"/>
    <x v="0"/>
    <s v="Liability"/>
    <s v="Renewal"/>
    <n v="42900"/>
    <d v="2018-08-28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Gaurav Goel"/>
    <n v="41048751"/>
    <x v="0"/>
    <x v="301"/>
    <d v="2020-08-27T00:00:00"/>
    <x v="4"/>
    <n v="1"/>
    <s v="Vinay"/>
    <x v="0"/>
    <s v="Liability"/>
    <s v="Renewal"/>
    <n v="42900"/>
    <d v="2018-08-28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Gaurav Goel"/>
    <n v="41048751"/>
    <x v="0"/>
    <x v="301"/>
    <d v="2020-08-27T00:00:00"/>
    <x v="4"/>
    <n v="1"/>
    <s v="Vinay"/>
    <x v="0"/>
    <s v="Liability"/>
    <s v="Renewal"/>
    <n v="42900"/>
    <d v="2018-08-28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Ravi Naik"/>
    <n v="41048762"/>
    <x v="0"/>
    <x v="301"/>
    <d v="2020-08-27T00:00:00"/>
    <x v="4"/>
    <n v="1"/>
    <s v="Vinay"/>
    <x v="0"/>
    <s v="Liability"/>
    <s v="Renewal"/>
    <n v="52800"/>
    <d v="2019-08-28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Ravi Naik"/>
    <n v="41048762"/>
    <x v="0"/>
    <x v="301"/>
    <d v="2020-08-27T00:00:00"/>
    <x v="4"/>
    <n v="1"/>
    <s v="Vinay"/>
    <x v="0"/>
    <s v="Liability"/>
    <s v="Renewal"/>
    <n v="52800"/>
    <d v="2019-08-28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Ravi Naik"/>
    <n v="41048762"/>
    <x v="0"/>
    <x v="301"/>
    <d v="2020-08-27T00:00:00"/>
    <x v="4"/>
    <n v="1"/>
    <s v="Vinay"/>
    <x v="0"/>
    <s v="Liability"/>
    <s v="Renewal"/>
    <n v="52800"/>
    <d v="2019-08-28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Ravi Naik"/>
    <n v="41048762"/>
    <x v="0"/>
    <x v="301"/>
    <d v="2020-08-27T00:00:00"/>
    <x v="4"/>
    <n v="1"/>
    <s v="Vinay"/>
    <x v="0"/>
    <s v="Liability"/>
    <s v="Renewal"/>
    <n v="52800"/>
    <d v="2019-08-28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Ravi Naik"/>
    <n v="41048762"/>
    <x v="0"/>
    <x v="301"/>
    <d v="2020-08-27T00:00:00"/>
    <x v="4"/>
    <n v="1"/>
    <s v="Vinay"/>
    <x v="0"/>
    <s v="Liability"/>
    <s v="Renewal"/>
    <n v="52800"/>
    <d v="2019-08-28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Kamlesh Prasad"/>
    <n v="41048763"/>
    <x v="0"/>
    <x v="301"/>
    <d v="2020-08-27T00:00:00"/>
    <x v="4"/>
    <n v="1"/>
    <s v="Vinay"/>
    <x v="0"/>
    <s v="Liability"/>
    <s v="Renewal"/>
    <n v="44130.41"/>
    <d v="2019-08-28T00:00:00"/>
    <s v="Brokerage"/>
    <x v="0"/>
    <s v="OTHR - Other"/>
    <d v="2020-01-22T00:00:00"/>
    <s v="Other"/>
    <s v="PIL-CGL"/>
    <s v="OPP1900001052"/>
    <s v="Vinay"/>
    <n v="0"/>
    <n v="100000"/>
    <d v="2020-05-31T00:00:00"/>
    <s v="Qualify Opportunity"/>
    <s v="Ahmedabad"/>
    <s v="Liability"/>
    <s v="Financial Lines"/>
    <s v="Commercial General Liability"/>
    <m/>
    <m/>
    <s v="Sophia Garcia"/>
    <d v="2020-01-02T00:00:00"/>
    <s v="Vinay"/>
    <s v="Hunter &amp; Farmer"/>
    <n v="12788092"/>
    <n v="250000"/>
    <n v="1500000"/>
  </r>
  <r>
    <s v="Kamlesh Prasad"/>
    <n v="41048763"/>
    <x v="0"/>
    <x v="301"/>
    <d v="2020-08-27T00:00:00"/>
    <x v="4"/>
    <n v="1"/>
    <s v="Vinay"/>
    <x v="0"/>
    <s v="Liability"/>
    <s v="Renewal"/>
    <n v="44130.41"/>
    <d v="2019-08-28T00:00:00"/>
    <s v="Brokerage"/>
    <x v="0"/>
    <s v="OTHR - Other"/>
    <d v="2020-01-22T00:00:00"/>
    <s v="Other"/>
    <s v="PIL-CGL"/>
    <s v="OPP1900001052"/>
    <s v="Vinay"/>
    <n v="0"/>
    <n v="100000"/>
    <d v="2020-05-31T00:00:00"/>
    <s v="Qualify Opportunity"/>
    <s v="Ahmedabad"/>
    <s v="Liability"/>
    <s v="Financial Lines"/>
    <s v="Commercial General Liability"/>
    <m/>
    <m/>
    <s v="James Miller"/>
    <d v="2020-01-03T00:00:00"/>
    <s v="Vinay"/>
    <s v="Hunter &amp; Farmer"/>
    <n v="12788092"/>
    <n v="250000"/>
    <n v="1500000"/>
  </r>
  <r>
    <s v="Kamlesh Prasad"/>
    <n v="41048763"/>
    <x v="0"/>
    <x v="301"/>
    <d v="2020-08-27T00:00:00"/>
    <x v="4"/>
    <n v="1"/>
    <s v="Vinay"/>
    <x v="0"/>
    <s v="Liability"/>
    <s v="Renewal"/>
    <n v="44130.41"/>
    <d v="2019-08-28T00:00:00"/>
    <s v="Brokerage"/>
    <x v="0"/>
    <s v="OTHR - Other"/>
    <d v="2020-01-22T00:00:00"/>
    <s v="Other"/>
    <s v="PIL-CGL"/>
    <s v="OPP1900001052"/>
    <s v="Vinay"/>
    <n v="0"/>
    <n v="100000"/>
    <d v="2020-05-31T00:00:00"/>
    <s v="Qualify Opportunity"/>
    <s v="Ahmedabad"/>
    <s v="Liability"/>
    <s v="Financial Lines"/>
    <s v="Commercial General Liability"/>
    <m/>
    <m/>
    <s v="Mia Rodriguez"/>
    <d v="2020-01-06T00:00:00"/>
    <s v="Vinay"/>
    <s v="Hunter &amp; Farmer"/>
    <n v="12788092"/>
    <n v="250000"/>
    <n v="1500000"/>
  </r>
  <r>
    <s v="Kamlesh Prasad"/>
    <n v="41048763"/>
    <x v="0"/>
    <x v="301"/>
    <d v="2020-08-27T00:00:00"/>
    <x v="4"/>
    <n v="1"/>
    <s v="Vinay"/>
    <x v="0"/>
    <s v="Liability"/>
    <s v="Renewal"/>
    <n v="44130.41"/>
    <d v="2019-08-28T00:00:00"/>
    <s v="Brokerage"/>
    <x v="0"/>
    <s v="OTHR - Other"/>
    <d v="2020-01-22T00:00:00"/>
    <s v="Other"/>
    <s v="PIL-CGL"/>
    <s v="OPP1900001052"/>
    <s v="Vinay"/>
    <n v="0"/>
    <n v="100000"/>
    <d v="2020-05-31T00:00:00"/>
    <s v="Qualify Opportunity"/>
    <s v="Ahmedabad"/>
    <s v="Liability"/>
    <s v="Financial Lines"/>
    <s v="Commercial General Liability"/>
    <m/>
    <m/>
    <s v="Benjamin Anderson"/>
    <d v="2020-01-07T00:00:00"/>
    <s v="Vinay"/>
    <s v="Hunter &amp; Farmer"/>
    <n v="12788092"/>
    <n v="250000"/>
    <n v="1500000"/>
  </r>
  <r>
    <s v="Kamlesh Prasad"/>
    <n v="41048763"/>
    <x v="0"/>
    <x v="301"/>
    <d v="2020-08-27T00:00:00"/>
    <x v="4"/>
    <n v="1"/>
    <s v="Vinay"/>
    <x v="0"/>
    <s v="Liability"/>
    <s v="Renewal"/>
    <n v="44130.41"/>
    <d v="2019-08-28T00:00:00"/>
    <s v="Brokerage"/>
    <x v="0"/>
    <s v="OTHR - Other"/>
    <d v="2020-01-22T00:00:00"/>
    <s v="Other"/>
    <s v="PIL-CGL"/>
    <s v="OPP1900001052"/>
    <s v="Vinay"/>
    <n v="0"/>
    <n v="100000"/>
    <d v="2020-05-31T00:00:00"/>
    <s v="Qualify Opportunity"/>
    <s v="Ahmedabad"/>
    <s v="Liability"/>
    <s v="Financial Lines"/>
    <s v="Commercial General Liability"/>
    <m/>
    <m/>
    <s v="Charlotte Taylor"/>
    <d v="2020-01-08T00:00:00"/>
    <s v="Vinay"/>
    <s v="Hunter &amp; Farmer"/>
    <n v="12788092"/>
    <n v="250000"/>
    <n v="1500000"/>
  </r>
  <r>
    <s v="Nikhil Verma"/>
    <s v="100200080123/01/00"/>
    <x v="0"/>
    <x v="302"/>
    <d v="2020-01-03T00:00:00"/>
    <x v="3"/>
    <n v="10"/>
    <s v="Mark"/>
    <x v="0"/>
    <s v="Employee Benefits (EB)"/>
    <s v="Renewal"/>
    <n v="156000"/>
    <d v="2019-01-04T00:00:00"/>
    <s v="Brokerage"/>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Nikhil Verma"/>
    <s v="100200080123/01/00"/>
    <x v="0"/>
    <x v="302"/>
    <d v="2020-01-03T00:00:00"/>
    <x v="3"/>
    <n v="10"/>
    <s v="Mark"/>
    <x v="0"/>
    <s v="Employee Benefits (EB)"/>
    <s v="Renewal"/>
    <n v="156000"/>
    <d v="2019-01-04T00:00:00"/>
    <s v="Brokerage"/>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Nikhil Verma"/>
    <s v="100200080123/01/00"/>
    <x v="0"/>
    <x v="302"/>
    <d v="2020-01-03T00:00:00"/>
    <x v="3"/>
    <n v="10"/>
    <s v="Mark"/>
    <x v="0"/>
    <s v="Employee Benefits (EB)"/>
    <s v="Renewal"/>
    <n v="156000"/>
    <d v="2019-01-04T00:00:00"/>
    <s v="Brokerage"/>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Nikhil Verma"/>
    <s v="100200080123/01/00"/>
    <x v="0"/>
    <x v="302"/>
    <d v="2020-01-03T00:00:00"/>
    <x v="3"/>
    <n v="10"/>
    <s v="Mark"/>
    <x v="0"/>
    <s v="Employee Benefits (EB)"/>
    <s v="Renewal"/>
    <n v="156000"/>
    <d v="2019-01-04T00:00:00"/>
    <s v="Brokerage"/>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Nikhil Verma"/>
    <s v="100200080123/01/00"/>
    <x v="0"/>
    <x v="302"/>
    <d v="2020-01-03T00:00:00"/>
    <x v="3"/>
    <n v="10"/>
    <s v="Mark"/>
    <x v="0"/>
    <s v="Employee Benefits (EB)"/>
    <s v="Renewal"/>
    <n v="156000"/>
    <d v="2019-01-04T00:00:00"/>
    <s v="Brokerage"/>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Nikhil Verma"/>
    <s v="100200080123/01/00"/>
    <x v="0"/>
    <x v="302"/>
    <d v="2020-01-03T00:00:00"/>
    <x v="3"/>
    <n v="10"/>
    <s v="Mark"/>
    <x v="0"/>
    <s v="Employee Benefits (EB)"/>
    <s v="Renewal"/>
    <n v="156000"/>
    <d v="2019-01-04T00:00:00"/>
    <s v="Brokerage"/>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Nikhil Verma"/>
    <s v="100200080123/01/00"/>
    <x v="0"/>
    <x v="302"/>
    <d v="2020-01-03T00:00:00"/>
    <x v="3"/>
    <n v="10"/>
    <s v="Mark"/>
    <x v="0"/>
    <s v="Employee Benefits (EB)"/>
    <s v="Renewal"/>
    <n v="156000"/>
    <d v="2019-01-04T00:00:00"/>
    <s v="Brokerage"/>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Nikhil Verma"/>
    <s v="100200080123/01/00"/>
    <x v="0"/>
    <x v="302"/>
    <d v="2020-01-03T00:00:00"/>
    <x v="3"/>
    <n v="10"/>
    <s v="Mark"/>
    <x v="0"/>
    <s v="Employee Benefits (EB)"/>
    <s v="Renewal"/>
    <n v="156000"/>
    <d v="2019-01-04T00:00:00"/>
    <s v="Brokerage"/>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Nikhil Verma"/>
    <s v="100200080123/01/00"/>
    <x v="0"/>
    <x v="302"/>
    <d v="2020-01-03T00:00:00"/>
    <x v="3"/>
    <n v="10"/>
    <s v="Mark"/>
    <x v="0"/>
    <s v="Employee Benefits (EB)"/>
    <s v="Renewal"/>
    <n v="156000"/>
    <d v="2019-01-04T00:00:00"/>
    <s v="Brokerage"/>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Nikhil Verma"/>
    <s v="100200080123/01/00"/>
    <x v="0"/>
    <x v="302"/>
    <d v="2020-01-03T00:00:00"/>
    <x v="3"/>
    <n v="10"/>
    <s v="Mark"/>
    <x v="0"/>
    <s v="Employee Benefits (EB)"/>
    <s v="Renewal"/>
    <n v="156000"/>
    <d v="2019-01-04T00:00:00"/>
    <s v="Brokerage"/>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Vaishali Desai"/>
    <s v="100200080123/01/00"/>
    <x v="0"/>
    <x v="302"/>
    <d v="2020-01-03T00:00:00"/>
    <x v="3"/>
    <n v="10"/>
    <s v="Mark"/>
    <x v="0"/>
    <s v="Employee Benefits (EB)"/>
    <s v="Renewal"/>
    <n v="5253.23"/>
    <d v="2019-02-18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Vaishali Desai"/>
    <s v="100200080123/01/00"/>
    <x v="0"/>
    <x v="302"/>
    <d v="2020-01-03T00:00:00"/>
    <x v="3"/>
    <n v="10"/>
    <s v="Mark"/>
    <x v="0"/>
    <s v="Employee Benefits (EB)"/>
    <s v="Renewal"/>
    <n v="5253.23"/>
    <d v="2019-02-18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Vaishali Desai"/>
    <s v="100200080123/01/00"/>
    <x v="0"/>
    <x v="302"/>
    <d v="2020-01-03T00:00:00"/>
    <x v="3"/>
    <n v="10"/>
    <s v="Mark"/>
    <x v="0"/>
    <s v="Employee Benefits (EB)"/>
    <s v="Renewal"/>
    <n v="5253.23"/>
    <d v="2019-02-18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Vaishali Desai"/>
    <s v="100200080123/01/00"/>
    <x v="0"/>
    <x v="302"/>
    <d v="2020-01-03T00:00:00"/>
    <x v="3"/>
    <n v="10"/>
    <s v="Mark"/>
    <x v="0"/>
    <s v="Employee Benefits (EB)"/>
    <s v="Renewal"/>
    <n v="5253.23"/>
    <d v="2019-02-18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Vaishali Desai"/>
    <s v="100200080123/01/00"/>
    <x v="0"/>
    <x v="302"/>
    <d v="2020-01-03T00:00:00"/>
    <x v="3"/>
    <n v="10"/>
    <s v="Mark"/>
    <x v="0"/>
    <s v="Employee Benefits (EB)"/>
    <s v="Renewal"/>
    <n v="5253.23"/>
    <d v="2019-02-18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Vaishali Desai"/>
    <s v="100200080123/01/00"/>
    <x v="0"/>
    <x v="302"/>
    <d v="2020-01-03T00:00:00"/>
    <x v="3"/>
    <n v="10"/>
    <s v="Mark"/>
    <x v="0"/>
    <s v="Employee Benefits (EB)"/>
    <s v="Renewal"/>
    <n v="5253.23"/>
    <d v="2019-02-18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Vaishali Desai"/>
    <s v="100200080123/01/00"/>
    <x v="0"/>
    <x v="302"/>
    <d v="2020-01-03T00:00:00"/>
    <x v="3"/>
    <n v="10"/>
    <s v="Mark"/>
    <x v="0"/>
    <s v="Employee Benefits (EB)"/>
    <s v="Renewal"/>
    <n v="5253.23"/>
    <d v="2019-02-18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Vaishali Desai"/>
    <s v="100200080123/01/00"/>
    <x v="0"/>
    <x v="302"/>
    <d v="2020-01-03T00:00:00"/>
    <x v="3"/>
    <n v="10"/>
    <s v="Mark"/>
    <x v="0"/>
    <s v="Employee Benefits (EB)"/>
    <s v="Renewal"/>
    <n v="5253.23"/>
    <d v="2019-02-18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Vaishali Desai"/>
    <s v="100200080123/01/00"/>
    <x v="0"/>
    <x v="302"/>
    <d v="2020-01-03T00:00:00"/>
    <x v="3"/>
    <n v="10"/>
    <s v="Mark"/>
    <x v="0"/>
    <s v="Employee Benefits (EB)"/>
    <s v="Renewal"/>
    <n v="5253.23"/>
    <d v="2019-02-18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Vaishali Desai"/>
    <s v="100200080123/01/00"/>
    <x v="0"/>
    <x v="302"/>
    <d v="2020-01-03T00:00:00"/>
    <x v="3"/>
    <n v="10"/>
    <s v="Mark"/>
    <x v="0"/>
    <s v="Employee Benefits (EB)"/>
    <s v="Renewal"/>
    <n v="5253.23"/>
    <d v="2019-02-18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Atul Naik"/>
    <s v="100200080123/01/00"/>
    <x v="0"/>
    <x v="302"/>
    <d v="2020-01-03T00:00:00"/>
    <x v="3"/>
    <n v="10"/>
    <s v="Mark"/>
    <x v="0"/>
    <s v="Employee Benefits (EB)"/>
    <s v="Renewal"/>
    <n v="6769.65"/>
    <d v="2019-06-15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Atul Naik"/>
    <s v="100200080123/01/00"/>
    <x v="0"/>
    <x v="302"/>
    <d v="2020-01-03T00:00:00"/>
    <x v="3"/>
    <n v="10"/>
    <s v="Mark"/>
    <x v="0"/>
    <s v="Employee Benefits (EB)"/>
    <s v="Renewal"/>
    <n v="6769.65"/>
    <d v="2019-06-15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Atul Naik"/>
    <s v="100200080123/01/00"/>
    <x v="0"/>
    <x v="302"/>
    <d v="2020-01-03T00:00:00"/>
    <x v="3"/>
    <n v="10"/>
    <s v="Mark"/>
    <x v="0"/>
    <s v="Employee Benefits (EB)"/>
    <s v="Renewal"/>
    <n v="6769.65"/>
    <d v="2019-06-15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Atul Naik"/>
    <s v="100200080123/01/00"/>
    <x v="0"/>
    <x v="302"/>
    <d v="2020-01-03T00:00:00"/>
    <x v="3"/>
    <n v="10"/>
    <s v="Mark"/>
    <x v="0"/>
    <s v="Employee Benefits (EB)"/>
    <s v="Renewal"/>
    <n v="6769.65"/>
    <d v="2019-06-15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Atul Naik"/>
    <s v="100200080123/01/00"/>
    <x v="0"/>
    <x v="302"/>
    <d v="2020-01-03T00:00:00"/>
    <x v="3"/>
    <n v="10"/>
    <s v="Mark"/>
    <x v="0"/>
    <s v="Employee Benefits (EB)"/>
    <s v="Renewal"/>
    <n v="6769.65"/>
    <d v="2019-06-15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Atul Naik"/>
    <s v="100200080123/01/00"/>
    <x v="0"/>
    <x v="302"/>
    <d v="2020-01-03T00:00:00"/>
    <x v="3"/>
    <n v="10"/>
    <s v="Mark"/>
    <x v="0"/>
    <s v="Employee Benefits (EB)"/>
    <s v="Renewal"/>
    <n v="6769.65"/>
    <d v="2019-06-15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Atul Naik"/>
    <s v="100200080123/01/00"/>
    <x v="0"/>
    <x v="302"/>
    <d v="2020-01-03T00:00:00"/>
    <x v="3"/>
    <n v="10"/>
    <s v="Mark"/>
    <x v="0"/>
    <s v="Employee Benefits (EB)"/>
    <s v="Renewal"/>
    <n v="6769.65"/>
    <d v="2019-06-15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Atul Naik"/>
    <s v="100200080123/01/00"/>
    <x v="0"/>
    <x v="302"/>
    <d v="2020-01-03T00:00:00"/>
    <x v="3"/>
    <n v="10"/>
    <s v="Mark"/>
    <x v="0"/>
    <s v="Employee Benefits (EB)"/>
    <s v="Renewal"/>
    <n v="6769.65"/>
    <d v="2019-06-15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Atul Naik"/>
    <s v="100200080123/01/00"/>
    <x v="0"/>
    <x v="302"/>
    <d v="2020-01-03T00:00:00"/>
    <x v="3"/>
    <n v="10"/>
    <s v="Mark"/>
    <x v="0"/>
    <s v="Employee Benefits (EB)"/>
    <s v="Renewal"/>
    <n v="6769.65"/>
    <d v="2019-06-15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Atul Naik"/>
    <s v="100200080123/01/00"/>
    <x v="0"/>
    <x v="302"/>
    <d v="2020-01-03T00:00:00"/>
    <x v="3"/>
    <n v="10"/>
    <s v="Mark"/>
    <x v="0"/>
    <s v="Employee Benefits (EB)"/>
    <s v="Renewal"/>
    <n v="6769.65"/>
    <d v="2019-06-15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Meena Bhargava"/>
    <s v="100200080123/01/00"/>
    <x v="0"/>
    <x v="302"/>
    <d v="2020-01-03T00:00:00"/>
    <x v="3"/>
    <n v="10"/>
    <s v="Mark"/>
    <x v="0"/>
    <s v="Employee Benefits (EB)"/>
    <s v="Renewal"/>
    <n v="8961.98"/>
    <d v="2019-06-25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Meena Bhargava"/>
    <s v="100200080123/01/00"/>
    <x v="0"/>
    <x v="302"/>
    <d v="2020-01-03T00:00:00"/>
    <x v="3"/>
    <n v="10"/>
    <s v="Mark"/>
    <x v="0"/>
    <s v="Employee Benefits (EB)"/>
    <s v="Renewal"/>
    <n v="8961.98"/>
    <d v="2019-06-25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Meena Bhargava"/>
    <s v="100200080123/01/00"/>
    <x v="0"/>
    <x v="302"/>
    <d v="2020-01-03T00:00:00"/>
    <x v="3"/>
    <n v="10"/>
    <s v="Mark"/>
    <x v="0"/>
    <s v="Employee Benefits (EB)"/>
    <s v="Renewal"/>
    <n v="8961.98"/>
    <d v="2019-06-25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Meena Bhargava"/>
    <s v="100200080123/01/00"/>
    <x v="0"/>
    <x v="302"/>
    <d v="2020-01-03T00:00:00"/>
    <x v="3"/>
    <n v="10"/>
    <s v="Mark"/>
    <x v="0"/>
    <s v="Employee Benefits (EB)"/>
    <s v="Renewal"/>
    <n v="8961.98"/>
    <d v="2019-06-25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Meena Bhargava"/>
    <s v="100200080123/01/00"/>
    <x v="0"/>
    <x v="302"/>
    <d v="2020-01-03T00:00:00"/>
    <x v="3"/>
    <n v="10"/>
    <s v="Mark"/>
    <x v="0"/>
    <s v="Employee Benefits (EB)"/>
    <s v="Renewal"/>
    <n v="8961.98"/>
    <d v="2019-06-25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Meena Bhargava"/>
    <s v="100200080123/01/00"/>
    <x v="0"/>
    <x v="302"/>
    <d v="2020-01-03T00:00:00"/>
    <x v="3"/>
    <n v="10"/>
    <s v="Mark"/>
    <x v="0"/>
    <s v="Employee Benefits (EB)"/>
    <s v="Renewal"/>
    <n v="8961.98"/>
    <d v="2019-06-25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Meena Bhargava"/>
    <s v="100200080123/01/00"/>
    <x v="0"/>
    <x v="302"/>
    <d v="2020-01-03T00:00:00"/>
    <x v="3"/>
    <n v="10"/>
    <s v="Mark"/>
    <x v="0"/>
    <s v="Employee Benefits (EB)"/>
    <s v="Renewal"/>
    <n v="8961.98"/>
    <d v="2019-06-25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Meena Bhargava"/>
    <s v="100200080123/01/00"/>
    <x v="0"/>
    <x v="302"/>
    <d v="2020-01-03T00:00:00"/>
    <x v="3"/>
    <n v="10"/>
    <s v="Mark"/>
    <x v="0"/>
    <s v="Employee Benefits (EB)"/>
    <s v="Renewal"/>
    <n v="8961.98"/>
    <d v="2019-06-25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Meena Bhargava"/>
    <s v="100200080123/01/00"/>
    <x v="0"/>
    <x v="302"/>
    <d v="2020-01-03T00:00:00"/>
    <x v="3"/>
    <n v="10"/>
    <s v="Mark"/>
    <x v="0"/>
    <s v="Employee Benefits (EB)"/>
    <s v="Renewal"/>
    <n v="8961.98"/>
    <d v="2019-06-25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Meena Bhargava"/>
    <s v="100200080123/01/00"/>
    <x v="0"/>
    <x v="302"/>
    <d v="2020-01-03T00:00:00"/>
    <x v="3"/>
    <n v="10"/>
    <s v="Mark"/>
    <x v="0"/>
    <s v="Employee Benefits (EB)"/>
    <s v="Renewal"/>
    <n v="8961.98"/>
    <d v="2019-06-25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Mona Chopra"/>
    <s v="10020080123/0000"/>
    <x v="1"/>
    <x v="303"/>
    <d v="2019-01-01T00:00:00"/>
    <x v="3"/>
    <n v="10"/>
    <s v="Mark"/>
    <x v="0"/>
    <s v="Employee Benefits (EB)"/>
    <s v="Renewal"/>
    <n v="64155.3"/>
    <d v="2018-01-02T00:00:00"/>
    <s v="Brokerage"/>
    <x v="3"/>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Mona Chopra"/>
    <s v="10020080123/0000"/>
    <x v="1"/>
    <x v="303"/>
    <d v="2019-01-01T00:00:00"/>
    <x v="3"/>
    <n v="10"/>
    <s v="Mark"/>
    <x v="0"/>
    <s v="Employee Benefits (EB)"/>
    <s v="Renewal"/>
    <n v="64155.3"/>
    <d v="2018-01-02T00:00:00"/>
    <s v="Brokerage"/>
    <x v="3"/>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Mona Chopra"/>
    <s v="10020080123/0000"/>
    <x v="1"/>
    <x v="303"/>
    <d v="2019-01-01T00:00:00"/>
    <x v="3"/>
    <n v="10"/>
    <s v="Mark"/>
    <x v="0"/>
    <s v="Employee Benefits (EB)"/>
    <s v="Renewal"/>
    <n v="64155.3"/>
    <d v="2018-01-02T00:00:00"/>
    <s v="Brokerage"/>
    <x v="3"/>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Mona Chopra"/>
    <s v="10020080123/0000"/>
    <x v="1"/>
    <x v="303"/>
    <d v="2019-01-01T00:00:00"/>
    <x v="3"/>
    <n v="10"/>
    <s v="Mark"/>
    <x v="0"/>
    <s v="Employee Benefits (EB)"/>
    <s v="Renewal"/>
    <n v="64155.3"/>
    <d v="2018-01-02T00:00:00"/>
    <s v="Brokerage"/>
    <x v="3"/>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Mona Chopra"/>
    <s v="10020080123/0000"/>
    <x v="1"/>
    <x v="303"/>
    <d v="2019-01-01T00:00:00"/>
    <x v="3"/>
    <n v="10"/>
    <s v="Mark"/>
    <x v="0"/>
    <s v="Employee Benefits (EB)"/>
    <s v="Renewal"/>
    <n v="64155.3"/>
    <d v="2018-01-02T00:00:00"/>
    <s v="Brokerage"/>
    <x v="3"/>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Mona Chopra"/>
    <s v="10020080123/0000"/>
    <x v="1"/>
    <x v="303"/>
    <d v="2019-01-01T00:00:00"/>
    <x v="3"/>
    <n v="10"/>
    <s v="Mark"/>
    <x v="0"/>
    <s v="Employee Benefits (EB)"/>
    <s v="Renewal"/>
    <n v="64155.3"/>
    <d v="2018-01-02T00:00:00"/>
    <s v="Brokerage"/>
    <x v="3"/>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Mona Chopra"/>
    <s v="10020080123/0000"/>
    <x v="1"/>
    <x v="303"/>
    <d v="2019-01-01T00:00:00"/>
    <x v="3"/>
    <n v="10"/>
    <s v="Mark"/>
    <x v="0"/>
    <s v="Employee Benefits (EB)"/>
    <s v="Renewal"/>
    <n v="64155.3"/>
    <d v="2018-01-02T00:00:00"/>
    <s v="Brokerage"/>
    <x v="3"/>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Mona Chopra"/>
    <s v="10020080123/0000"/>
    <x v="1"/>
    <x v="303"/>
    <d v="2019-01-01T00:00:00"/>
    <x v="3"/>
    <n v="10"/>
    <s v="Mark"/>
    <x v="0"/>
    <s v="Employee Benefits (EB)"/>
    <s v="Renewal"/>
    <n v="64155.3"/>
    <d v="2018-01-02T00:00:00"/>
    <s v="Brokerage"/>
    <x v="3"/>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Mona Chopra"/>
    <s v="10020080123/0000"/>
    <x v="1"/>
    <x v="303"/>
    <d v="2019-01-01T00:00:00"/>
    <x v="3"/>
    <n v="10"/>
    <s v="Mark"/>
    <x v="0"/>
    <s v="Employee Benefits (EB)"/>
    <s v="Renewal"/>
    <n v="64155.3"/>
    <d v="2018-01-02T00:00:00"/>
    <s v="Brokerage"/>
    <x v="3"/>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Mona Chopra"/>
    <s v="10020080123/0000"/>
    <x v="1"/>
    <x v="303"/>
    <d v="2019-01-01T00:00:00"/>
    <x v="3"/>
    <n v="10"/>
    <s v="Mark"/>
    <x v="0"/>
    <s v="Employee Benefits (EB)"/>
    <s v="Renewal"/>
    <n v="64155.3"/>
    <d v="2018-01-02T00:00:00"/>
    <s v="Brokerage"/>
    <x v="3"/>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Mohit Tiwari"/>
    <s v="LPGPA0000000200"/>
    <x v="1"/>
    <x v="303"/>
    <d v="2019-01-01T00:00:00"/>
    <x v="3"/>
    <n v="10"/>
    <s v="Mark"/>
    <x v="0"/>
    <s v="Employee Benefits (EB)"/>
    <s v="Renewal"/>
    <n v="5404.95"/>
    <d v="2018-01-02T00:00:00"/>
    <s v="Brokerage"/>
    <x v="3"/>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Mohit Tiwari"/>
    <s v="LPGPA0000000200"/>
    <x v="1"/>
    <x v="303"/>
    <d v="2019-01-01T00:00:00"/>
    <x v="3"/>
    <n v="10"/>
    <s v="Mark"/>
    <x v="0"/>
    <s v="Employee Benefits (EB)"/>
    <s v="Renewal"/>
    <n v="5404.95"/>
    <d v="2018-01-02T00:00:00"/>
    <s v="Brokerage"/>
    <x v="3"/>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Mohit Tiwari"/>
    <s v="LPGPA0000000200"/>
    <x v="1"/>
    <x v="303"/>
    <d v="2019-01-01T00:00:00"/>
    <x v="3"/>
    <n v="10"/>
    <s v="Mark"/>
    <x v="0"/>
    <s v="Employee Benefits (EB)"/>
    <s v="Renewal"/>
    <n v="5404.95"/>
    <d v="2018-01-02T00:00:00"/>
    <s v="Brokerage"/>
    <x v="3"/>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Mohit Tiwari"/>
    <s v="LPGPA0000000200"/>
    <x v="1"/>
    <x v="303"/>
    <d v="2019-01-01T00:00:00"/>
    <x v="3"/>
    <n v="10"/>
    <s v="Mark"/>
    <x v="0"/>
    <s v="Employee Benefits (EB)"/>
    <s v="Renewal"/>
    <n v="5404.95"/>
    <d v="2018-01-02T00:00:00"/>
    <s v="Brokerage"/>
    <x v="3"/>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Mohit Tiwari"/>
    <s v="LPGPA0000000200"/>
    <x v="1"/>
    <x v="303"/>
    <d v="2019-01-01T00:00:00"/>
    <x v="3"/>
    <n v="10"/>
    <s v="Mark"/>
    <x v="0"/>
    <s v="Employee Benefits (EB)"/>
    <s v="Renewal"/>
    <n v="5404.95"/>
    <d v="2018-01-02T00:00:00"/>
    <s v="Brokerage"/>
    <x v="3"/>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Mohit Tiwari"/>
    <s v="LPGPA0000000200"/>
    <x v="1"/>
    <x v="303"/>
    <d v="2019-01-01T00:00:00"/>
    <x v="3"/>
    <n v="10"/>
    <s v="Mark"/>
    <x v="0"/>
    <s v="Employee Benefits (EB)"/>
    <s v="Renewal"/>
    <n v="5404.95"/>
    <d v="2018-01-02T00:00:00"/>
    <s v="Brokerage"/>
    <x v="3"/>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Mohit Tiwari"/>
    <s v="LPGPA0000000200"/>
    <x v="1"/>
    <x v="303"/>
    <d v="2019-01-01T00:00:00"/>
    <x v="3"/>
    <n v="10"/>
    <s v="Mark"/>
    <x v="0"/>
    <s v="Employee Benefits (EB)"/>
    <s v="Renewal"/>
    <n v="5404.95"/>
    <d v="2018-01-02T00:00:00"/>
    <s v="Brokerage"/>
    <x v="3"/>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Mohit Tiwari"/>
    <s v="LPGPA0000000200"/>
    <x v="1"/>
    <x v="303"/>
    <d v="2019-01-01T00:00:00"/>
    <x v="3"/>
    <n v="10"/>
    <s v="Mark"/>
    <x v="0"/>
    <s v="Employee Benefits (EB)"/>
    <s v="Renewal"/>
    <n v="5404.95"/>
    <d v="2018-01-02T00:00:00"/>
    <s v="Brokerage"/>
    <x v="3"/>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Mohit Tiwari"/>
    <s v="LPGPA0000000200"/>
    <x v="1"/>
    <x v="303"/>
    <d v="2019-01-01T00:00:00"/>
    <x v="3"/>
    <n v="10"/>
    <s v="Mark"/>
    <x v="0"/>
    <s v="Employee Benefits (EB)"/>
    <s v="Renewal"/>
    <n v="5404.95"/>
    <d v="2018-01-02T00:00:00"/>
    <s v="Brokerage"/>
    <x v="3"/>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Mohit Tiwari"/>
    <s v="LPGPA0000000200"/>
    <x v="1"/>
    <x v="303"/>
    <d v="2019-01-01T00:00:00"/>
    <x v="3"/>
    <n v="10"/>
    <s v="Mark"/>
    <x v="0"/>
    <s v="Employee Benefits (EB)"/>
    <s v="Renewal"/>
    <n v="5404.95"/>
    <d v="2018-01-02T00:00:00"/>
    <s v="Brokerage"/>
    <x v="3"/>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Tina Dutta"/>
    <s v="LPGPA0000000200/01"/>
    <x v="0"/>
    <x v="302"/>
    <d v="2020-01-03T00:00:00"/>
    <x v="3"/>
    <n v="10"/>
    <s v="Mark"/>
    <x v="0"/>
    <s v="Employee Benefits (EB)"/>
    <s v="Renewal"/>
    <n v="5550"/>
    <d v="2019-01-04T00:00:00"/>
    <s v="Brokerage"/>
    <x v="0"/>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Tina Dutta"/>
    <s v="LPGPA0000000200/01"/>
    <x v="0"/>
    <x v="302"/>
    <d v="2020-01-03T00:00:00"/>
    <x v="3"/>
    <n v="10"/>
    <s v="Mark"/>
    <x v="0"/>
    <s v="Employee Benefits (EB)"/>
    <s v="Renewal"/>
    <n v="5550"/>
    <d v="2019-01-04T00:00:00"/>
    <s v="Brokerage"/>
    <x v="0"/>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Tina Dutta"/>
    <s v="LPGPA0000000200/01"/>
    <x v="0"/>
    <x v="302"/>
    <d v="2020-01-03T00:00:00"/>
    <x v="3"/>
    <n v="10"/>
    <s v="Mark"/>
    <x v="0"/>
    <s v="Employee Benefits (EB)"/>
    <s v="Renewal"/>
    <n v="5550"/>
    <d v="2019-01-04T00:00:00"/>
    <s v="Brokerage"/>
    <x v="0"/>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Tina Dutta"/>
    <s v="LPGPA0000000200/01"/>
    <x v="0"/>
    <x v="302"/>
    <d v="2020-01-03T00:00:00"/>
    <x v="3"/>
    <n v="10"/>
    <s v="Mark"/>
    <x v="0"/>
    <s v="Employee Benefits (EB)"/>
    <s v="Renewal"/>
    <n v="5550"/>
    <d v="2019-01-04T00:00:00"/>
    <s v="Brokerage"/>
    <x v="0"/>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Tina Dutta"/>
    <s v="LPGPA0000000200/01"/>
    <x v="0"/>
    <x v="302"/>
    <d v="2020-01-03T00:00:00"/>
    <x v="3"/>
    <n v="10"/>
    <s v="Mark"/>
    <x v="0"/>
    <s v="Employee Benefits (EB)"/>
    <s v="Renewal"/>
    <n v="5550"/>
    <d v="2019-01-04T00:00:00"/>
    <s v="Brokerage"/>
    <x v="0"/>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Tina Dutta"/>
    <s v="LPGPA0000000200/01"/>
    <x v="0"/>
    <x v="302"/>
    <d v="2020-01-03T00:00:00"/>
    <x v="3"/>
    <n v="10"/>
    <s v="Mark"/>
    <x v="0"/>
    <s v="Employee Benefits (EB)"/>
    <s v="Renewal"/>
    <n v="5550"/>
    <d v="2019-01-04T00:00:00"/>
    <s v="Brokerage"/>
    <x v="0"/>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Tina Dutta"/>
    <s v="LPGPA0000000200/01"/>
    <x v="0"/>
    <x v="302"/>
    <d v="2020-01-03T00:00:00"/>
    <x v="3"/>
    <n v="10"/>
    <s v="Mark"/>
    <x v="0"/>
    <s v="Employee Benefits (EB)"/>
    <s v="Renewal"/>
    <n v="5550"/>
    <d v="2019-01-04T00:00:00"/>
    <s v="Brokerage"/>
    <x v="0"/>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Tina Dutta"/>
    <s v="LPGPA0000000200/01"/>
    <x v="0"/>
    <x v="302"/>
    <d v="2020-01-03T00:00:00"/>
    <x v="3"/>
    <n v="10"/>
    <s v="Mark"/>
    <x v="0"/>
    <s v="Employee Benefits (EB)"/>
    <s v="Renewal"/>
    <n v="5550"/>
    <d v="2019-01-04T00:00:00"/>
    <s v="Brokerage"/>
    <x v="0"/>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Tina Dutta"/>
    <s v="LPGPA0000000200/01"/>
    <x v="0"/>
    <x v="302"/>
    <d v="2020-01-03T00:00:00"/>
    <x v="3"/>
    <n v="10"/>
    <s v="Mark"/>
    <x v="0"/>
    <s v="Employee Benefits (EB)"/>
    <s v="Renewal"/>
    <n v="5550"/>
    <d v="2019-01-04T00:00:00"/>
    <s v="Brokerage"/>
    <x v="0"/>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Tina Dutta"/>
    <s v="LPGPA0000000200/01"/>
    <x v="0"/>
    <x v="302"/>
    <d v="2020-01-03T00:00:00"/>
    <x v="3"/>
    <n v="10"/>
    <s v="Mark"/>
    <x v="0"/>
    <s v="Employee Benefits (EB)"/>
    <s v="Renewal"/>
    <n v="5550"/>
    <d v="2019-01-04T00:00:00"/>
    <s v="Brokerage"/>
    <x v="0"/>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Hemant Das"/>
    <s v="4025/136366502/02/000"/>
    <x v="0"/>
    <x v="89"/>
    <d v="2020-09-07T00:00:00"/>
    <x v="4"/>
    <n v="13"/>
    <s v="Vididt Saha"/>
    <x v="0"/>
    <s v="Liability"/>
    <s v="Renewal"/>
    <n v="18750"/>
    <d v="2019-09-08T00:00:00"/>
    <s v="Brokerage"/>
    <x v="0"/>
    <s v="OTHR - Other"/>
    <d v="2020-01-22T00:00:00"/>
    <s v="Other"/>
    <m/>
    <m/>
    <m/>
    <m/>
    <m/>
    <m/>
    <m/>
    <m/>
    <m/>
    <m/>
    <m/>
    <m/>
    <m/>
    <m/>
    <m/>
    <m/>
    <m/>
    <m/>
    <m/>
    <m/>
  </r>
  <r>
    <s v="Sanjana Bhargava"/>
    <n v="41045707"/>
    <x v="0"/>
    <x v="16"/>
    <d v="2020-03-31T00:00:00"/>
    <x v="4"/>
    <n v="13"/>
    <s v="Vididt Saha"/>
    <x v="0"/>
    <s v="Liability"/>
    <s v="Cross Sell"/>
    <n v="74250"/>
    <d v="2019-04-01T00:00:00"/>
    <s v="Brokerage"/>
    <x v="0"/>
    <s v="OTHR - Other"/>
    <d v="2020-01-22T00:00:00"/>
    <s v="Other"/>
    <m/>
    <m/>
    <m/>
    <m/>
    <m/>
    <m/>
    <m/>
    <m/>
    <m/>
    <m/>
    <m/>
    <m/>
    <m/>
    <m/>
    <m/>
    <m/>
    <m/>
    <m/>
    <m/>
    <m/>
  </r>
  <r>
    <s v="Kamlesh Trivedi"/>
    <n v="3000001017"/>
    <x v="0"/>
    <x v="14"/>
    <d v="2019-03-31T00:00:00"/>
    <x v="4"/>
    <n v="12"/>
    <s v="Shivani Sharma"/>
    <x v="0"/>
    <s v="Global Client Network (GNB Inward)"/>
    <s v="Renewal"/>
    <n v="48652.25"/>
    <d v="2018-04-01T00:00:00"/>
    <s v="Brokerage"/>
    <x v="0"/>
    <s v="OTHR - Other"/>
    <d v="2020-01-22T00:00:00"/>
    <s v="Other"/>
    <s v="DB- Cyber Liability"/>
    <s v="OPP1900001138"/>
    <s v="Shivani Sharma"/>
    <n v="500000"/>
    <n v="75000"/>
    <d v="2020-05-31T00:00:00"/>
    <s v="Qualify Opportunity"/>
    <s v="Ahmedabad"/>
    <s v="Liability"/>
    <s v="Financial Lines"/>
    <s v="Cyber Liability Insurance"/>
    <m/>
    <m/>
    <s v="Madison Robinson"/>
    <d v="2020-01-21T00:00:00"/>
    <m/>
    <m/>
    <m/>
    <m/>
    <m/>
  </r>
  <r>
    <s v="Kamlesh Trivedi"/>
    <n v="3000001017"/>
    <x v="0"/>
    <x v="14"/>
    <d v="2019-03-31T00:00:00"/>
    <x v="4"/>
    <n v="12"/>
    <s v="Shivani Sharma"/>
    <x v="0"/>
    <s v="Global Client Network (GNB Inward)"/>
    <s v="Renewal"/>
    <n v="48652.25"/>
    <d v="2018-04-01T00:00:00"/>
    <s v="Brokerage"/>
    <x v="0"/>
    <s v="OTHR - Other"/>
    <d v="2020-01-22T00:00:00"/>
    <s v="Other"/>
    <s v="DB- Cyber Liability"/>
    <s v="OPP1900001138"/>
    <s v="Shivani Sharma"/>
    <n v="500000"/>
    <n v="75000"/>
    <d v="2020-05-31T00:00:00"/>
    <s v="Qualify Opportunity"/>
    <s v="Ahmedabad"/>
    <s v="Liability"/>
    <s v="Financial Lines"/>
    <s v="Cyber Liability Insurance"/>
    <m/>
    <m/>
    <s v="David Hall"/>
    <d v="2020-01-21T00:00:00"/>
    <m/>
    <m/>
    <m/>
    <m/>
    <m/>
  </r>
  <r>
    <s v="Kamlesh Trivedi"/>
    <n v="3000001017"/>
    <x v="0"/>
    <x v="14"/>
    <d v="2019-03-31T00:00:00"/>
    <x v="4"/>
    <n v="12"/>
    <s v="Shivani Sharma"/>
    <x v="0"/>
    <s v="Global Client Network (GNB Inward)"/>
    <s v="Renewal"/>
    <n v="48652.25"/>
    <d v="2018-04-01T00:00:00"/>
    <s v="Brokerage"/>
    <x v="0"/>
    <s v="OTHR - Other"/>
    <d v="2020-01-22T00:00:00"/>
    <s v="Other"/>
    <s v="DB- Cyber Liability"/>
    <s v="OPP1900001138"/>
    <s v="Shivani Sharma"/>
    <n v="500000"/>
    <n v="75000"/>
    <d v="2020-05-31T00:00:00"/>
    <s v="Qualify Opportunity"/>
    <s v="Ahmedabad"/>
    <s v="Liability"/>
    <s v="Financial Lines"/>
    <s v="Cyber Liability Insurance"/>
    <m/>
    <m/>
    <s v="Lily Young"/>
    <d v="2020-01-21T00:00:00"/>
    <m/>
    <m/>
    <m/>
    <m/>
    <m/>
  </r>
  <r>
    <s v="Kamlesh Trivedi"/>
    <n v="3000001017"/>
    <x v="0"/>
    <x v="14"/>
    <d v="2019-03-31T00:00:00"/>
    <x v="4"/>
    <n v="12"/>
    <s v="Shivani Sharma"/>
    <x v="0"/>
    <s v="Global Client Network (GNB Inward)"/>
    <s v="Renewal"/>
    <n v="48652.25"/>
    <d v="2018-04-01T00:00:00"/>
    <s v="Brokerage"/>
    <x v="0"/>
    <s v="OTHR - Other"/>
    <d v="2020-01-22T00:00:00"/>
    <s v="Other"/>
    <s v="DB- Cyber Liability"/>
    <s v="OPP1900001138"/>
    <s v="Shivani Sharma"/>
    <n v="500000"/>
    <n v="75000"/>
    <d v="2020-05-31T00:00:00"/>
    <s v="Qualify Opportunity"/>
    <s v="Ahmedabad"/>
    <s v="Liability"/>
    <s v="Financial Lines"/>
    <s v="Cyber Liability Insurance"/>
    <m/>
    <m/>
    <s v="Samuel Allen"/>
    <d v="2020-01-22T00:00:00"/>
    <m/>
    <m/>
    <m/>
    <m/>
    <m/>
  </r>
  <r>
    <s v="Kamlesh Trivedi"/>
    <n v="3000001017"/>
    <x v="0"/>
    <x v="14"/>
    <d v="2019-03-31T00:00:00"/>
    <x v="4"/>
    <n v="12"/>
    <s v="Shivani Sharma"/>
    <x v="0"/>
    <s v="Global Client Network (GNB Inward)"/>
    <s v="Renewal"/>
    <n v="48652.25"/>
    <d v="2018-04-01T00:00:00"/>
    <s v="Brokerage"/>
    <x v="0"/>
    <s v="OTHR - Other"/>
    <d v="2020-01-22T00:00:00"/>
    <s v="Other"/>
    <s v="VS.-D &amp; O"/>
    <s v="OPP1900002104"/>
    <s v="Shivani Sharma"/>
    <n v="0"/>
    <n v="50000"/>
    <d v="2020-03-31T00:00:00"/>
    <s v="Qualify Opportunity"/>
    <s v="Ahmedabad"/>
    <s v="Liability"/>
    <s v="Financial Lines"/>
    <s v="Director &amp;amp; Officers / Management  Liability"/>
    <m/>
    <m/>
    <s v="Madison Robinson"/>
    <d v="2020-01-21T00:00:00"/>
    <m/>
    <m/>
    <m/>
    <m/>
    <m/>
  </r>
  <r>
    <s v="Kamlesh Trivedi"/>
    <n v="3000001017"/>
    <x v="0"/>
    <x v="14"/>
    <d v="2019-03-31T00:00:00"/>
    <x v="4"/>
    <n v="12"/>
    <s v="Shivani Sharma"/>
    <x v="0"/>
    <s v="Global Client Network (GNB Inward)"/>
    <s v="Renewal"/>
    <n v="48652.25"/>
    <d v="2018-04-01T00:00:00"/>
    <s v="Brokerage"/>
    <x v="0"/>
    <s v="OTHR - Other"/>
    <d v="2020-01-22T00:00:00"/>
    <s v="Other"/>
    <s v="VS.-D &amp; O"/>
    <s v="OPP1900002104"/>
    <s v="Shivani Sharma"/>
    <n v="0"/>
    <n v="50000"/>
    <d v="2020-03-31T00:00:00"/>
    <s v="Qualify Opportunity"/>
    <s v="Ahmedabad"/>
    <s v="Liability"/>
    <s v="Financial Lines"/>
    <s v="Director &amp;amp; Officers / Management  Liability"/>
    <m/>
    <m/>
    <s v="David Hall"/>
    <d v="2020-01-21T00:00:00"/>
    <m/>
    <m/>
    <m/>
    <m/>
    <m/>
  </r>
  <r>
    <s v="Kamlesh Trivedi"/>
    <n v="3000001017"/>
    <x v="0"/>
    <x v="14"/>
    <d v="2019-03-31T00:00:00"/>
    <x v="4"/>
    <n v="12"/>
    <s v="Shivani Sharma"/>
    <x v="0"/>
    <s v="Global Client Network (GNB Inward)"/>
    <s v="Renewal"/>
    <n v="48652.25"/>
    <d v="2018-04-01T00:00:00"/>
    <s v="Brokerage"/>
    <x v="0"/>
    <s v="OTHR - Other"/>
    <d v="2020-01-22T00:00:00"/>
    <s v="Other"/>
    <s v="VS.-D &amp; O"/>
    <s v="OPP1900002104"/>
    <s v="Shivani Sharma"/>
    <n v="0"/>
    <n v="50000"/>
    <d v="2020-03-31T00:00:00"/>
    <s v="Qualify Opportunity"/>
    <s v="Ahmedabad"/>
    <s v="Liability"/>
    <s v="Financial Lines"/>
    <s v="Director &amp;amp; Officers / Management  Liability"/>
    <m/>
    <m/>
    <s v="Lily Young"/>
    <d v="2020-01-21T00:00:00"/>
    <m/>
    <m/>
    <m/>
    <m/>
    <m/>
  </r>
  <r>
    <s v="Kamlesh Trivedi"/>
    <n v="3000001017"/>
    <x v="0"/>
    <x v="14"/>
    <d v="2019-03-31T00:00:00"/>
    <x v="4"/>
    <n v="12"/>
    <s v="Shivani Sharma"/>
    <x v="0"/>
    <s v="Global Client Network (GNB Inward)"/>
    <s v="Renewal"/>
    <n v="48652.25"/>
    <d v="2018-04-01T00:00:00"/>
    <s v="Brokerage"/>
    <x v="0"/>
    <s v="OTHR - Other"/>
    <d v="2020-01-22T00:00:00"/>
    <s v="Other"/>
    <s v="VS.-D &amp; O"/>
    <s v="OPP1900002104"/>
    <s v="Shivani Sharma"/>
    <n v="0"/>
    <n v="50000"/>
    <d v="2020-03-31T00:00:00"/>
    <s v="Qualify Opportunity"/>
    <s v="Ahmedabad"/>
    <s v="Liability"/>
    <s v="Financial Lines"/>
    <s v="Director &amp;amp; Officers / Management  Liability"/>
    <m/>
    <m/>
    <s v="Samuel Allen"/>
    <d v="2020-01-22T00:00:00"/>
    <m/>
    <m/>
    <m/>
    <m/>
    <m/>
  </r>
  <r>
    <s v="Nikita Tiwari"/>
    <n v="3.1142E+18"/>
    <x v="0"/>
    <x v="12"/>
    <d v="2020-08-25T00:00:00"/>
    <x v="2"/>
    <n v="3"/>
    <s v="Animesh Rawat"/>
    <x v="0"/>
    <s v="Global Client Network (GNB Inward)"/>
    <s v="Cross Sell"/>
    <n v="1501.88"/>
    <d v="2019-08-26T00:00:00"/>
    <s v="Brokerage"/>
    <x v="0"/>
    <s v="OTHR - Other"/>
    <d v="2020-01-22T00:00:00"/>
    <s v="Other"/>
    <m/>
    <m/>
    <m/>
    <m/>
    <m/>
    <m/>
    <m/>
    <m/>
    <m/>
    <m/>
    <m/>
    <m/>
    <m/>
    <m/>
    <m/>
    <m/>
    <m/>
    <m/>
    <m/>
    <m/>
  </r>
  <r>
    <s v="Kapil Kapoor"/>
    <s v="OG-19-2202-1018-00000054"/>
    <x v="0"/>
    <x v="13"/>
    <d v="2019-12-31T00:00:00"/>
    <x v="0"/>
    <n v="3"/>
    <s v="Animesh Rawat"/>
    <x v="0"/>
    <s v="Global Client Network (GNB Inward)"/>
    <s v="Cross Sell"/>
    <n v="21157.34"/>
    <d v="2019-01-01T00:00:00"/>
    <s v="Brokerage"/>
    <x v="0"/>
    <s v="OTHR - Other"/>
    <d v="2020-01-22T00:00:00"/>
    <s v="Other"/>
    <s v="Marine"/>
    <s v="OPP1900001843"/>
    <s v="Animesh Rawat"/>
    <n v="0"/>
    <n v="100000"/>
    <d v="2019-10-31T00:00:00"/>
    <s v="Negotiate"/>
    <s v="Ahmedabad"/>
    <s v="Marine"/>
    <s v="Marine Cargo"/>
    <s v="Marine Combo policy ( EXIM +Inland)"/>
    <m/>
    <m/>
    <s v="Lucas Hernandez"/>
    <d v="2020-01-13T00:00:00"/>
    <s v="Animesh Rawat"/>
    <s v="Servicer"/>
    <n v="1278023"/>
    <n v="12365300"/>
    <n v="12900"/>
  </r>
  <r>
    <s v="Kapil Kapoor"/>
    <s v="OG-19-2202-1018-00000054"/>
    <x v="0"/>
    <x v="13"/>
    <d v="2019-12-31T00:00:00"/>
    <x v="0"/>
    <n v="3"/>
    <s v="Animesh Rawat"/>
    <x v="0"/>
    <s v="Global Client Network (GNB Inward)"/>
    <s v="Cross Sell"/>
    <n v="21157.34"/>
    <d v="2019-01-01T00:00:00"/>
    <s v="Brokerage"/>
    <x v="0"/>
    <s v="OTHR - Other"/>
    <d v="2020-01-22T00:00:00"/>
    <s v="Other"/>
    <s v="Marine"/>
    <s v="OPP1900001843"/>
    <s v="Animesh Rawat"/>
    <n v="0"/>
    <n v="100000"/>
    <d v="2019-10-31T00:00:00"/>
    <s v="Negotiate"/>
    <s v="Ahmedabad"/>
    <s v="Marine"/>
    <s v="Marine Cargo"/>
    <s v="Marine Combo policy ( EXIM +Inland)"/>
    <m/>
    <m/>
    <s v="Amelia Moore"/>
    <d v="2020-01-13T00:00:00"/>
    <s v="Animesh Rawat"/>
    <s v="Servicer"/>
    <n v="1278023"/>
    <n v="12365300"/>
    <n v="12900"/>
  </r>
  <r>
    <s v="Kapil Kapoor"/>
    <s v="OG-19-2202-1018-00000054"/>
    <x v="0"/>
    <x v="13"/>
    <d v="2019-12-31T00:00:00"/>
    <x v="0"/>
    <n v="3"/>
    <s v="Animesh Rawat"/>
    <x v="0"/>
    <s v="Global Client Network (GNB Inward)"/>
    <s v="Cross Sell"/>
    <n v="21157.34"/>
    <d v="2019-01-01T00:00:00"/>
    <s v="Brokerage"/>
    <x v="0"/>
    <s v="OTHR - Other"/>
    <d v="2020-01-22T00:00:00"/>
    <s v="Other"/>
    <s v="Marine"/>
    <s v="OPP1900001843"/>
    <s v="Animesh Rawat"/>
    <n v="0"/>
    <n v="100000"/>
    <d v="2019-10-31T00:00:00"/>
    <s v="Negotiate"/>
    <s v="Ahmedabad"/>
    <s v="Marine"/>
    <s v="Marine Cargo"/>
    <s v="Marine Combo policy ( EXIM +Inland)"/>
    <m/>
    <m/>
    <s v="Henry Thomas"/>
    <d v="2020-01-09T00:00:00"/>
    <s v="Animesh Rawat"/>
    <s v="Servicer"/>
    <n v="1278023"/>
    <n v="12365300"/>
    <n v="12900"/>
  </r>
  <r>
    <s v="Kapil Kapoor"/>
    <s v="OG-19-2202-1018-00000054"/>
    <x v="0"/>
    <x v="13"/>
    <d v="2019-12-31T00:00:00"/>
    <x v="0"/>
    <n v="3"/>
    <s v="Animesh Rawat"/>
    <x v="0"/>
    <s v="Global Client Network (GNB Inward)"/>
    <s v="Cross Sell"/>
    <n v="21157.34"/>
    <d v="2019-01-01T00:00:00"/>
    <s v="Brokerage"/>
    <x v="0"/>
    <s v="OTHR - Other"/>
    <d v="2020-01-22T00:00:00"/>
    <s v="Other"/>
    <s v="Marine"/>
    <s v="OPP1900001843"/>
    <s v="Animesh Rawat"/>
    <n v="0"/>
    <n v="100000"/>
    <d v="2019-10-31T00:00:00"/>
    <s v="Negotiate"/>
    <s v="Ahmedabad"/>
    <s v="Marine"/>
    <s v="Marine Cargo"/>
    <s v="Marine Combo policy ( EXIM +Inland)"/>
    <m/>
    <m/>
    <s v="Harper Martin"/>
    <d v="2020-01-10T00:00:00"/>
    <s v="Animesh Rawat"/>
    <s v="Servicer"/>
    <n v="1278023"/>
    <n v="12365300"/>
    <n v="12900"/>
  </r>
  <r>
    <s v="Kapil Kapoor"/>
    <s v="OG-19-2202-1018-00000054"/>
    <x v="0"/>
    <x v="13"/>
    <d v="2019-12-31T00:00:00"/>
    <x v="0"/>
    <n v="3"/>
    <s v="Animesh Rawat"/>
    <x v="0"/>
    <s v="Global Client Network (GNB Inward)"/>
    <s v="Cross Sell"/>
    <n v="21157.34"/>
    <d v="2019-01-01T00:00:00"/>
    <s v="Brokerage"/>
    <x v="0"/>
    <s v="OTHR - Other"/>
    <d v="2020-01-22T00:00:00"/>
    <s v="Other"/>
    <s v="Maine Open"/>
    <s v="OPP1900001923"/>
    <s v="Animesh Rawat"/>
    <n v="0"/>
    <n v="10000"/>
    <d v="2019-09-30T00:00:00"/>
    <s v="Propose Solution"/>
    <s v="Ahmedabad"/>
    <s v="Marine"/>
    <s v="Marine Cargo"/>
    <s v="Marine Cargo"/>
    <m/>
    <m/>
    <s v="Lucas Hernandez"/>
    <d v="2020-01-13T00:00:00"/>
    <s v="Animesh Rawat"/>
    <s v="Servicer"/>
    <n v="1278023"/>
    <n v="12365300"/>
    <n v="12900"/>
  </r>
  <r>
    <s v="Kapil Kapoor"/>
    <s v="OG-19-2202-1018-00000054"/>
    <x v="0"/>
    <x v="13"/>
    <d v="2019-12-31T00:00:00"/>
    <x v="0"/>
    <n v="3"/>
    <s v="Animesh Rawat"/>
    <x v="0"/>
    <s v="Global Client Network (GNB Inward)"/>
    <s v="Cross Sell"/>
    <n v="21157.34"/>
    <d v="2019-01-01T00:00:00"/>
    <s v="Brokerage"/>
    <x v="0"/>
    <s v="OTHR - Other"/>
    <d v="2020-01-22T00:00:00"/>
    <s v="Other"/>
    <s v="Maine Open"/>
    <s v="OPP1900001923"/>
    <s v="Animesh Rawat"/>
    <n v="0"/>
    <n v="10000"/>
    <d v="2019-09-30T00:00:00"/>
    <s v="Propose Solution"/>
    <s v="Ahmedabad"/>
    <s v="Marine"/>
    <s v="Marine Cargo"/>
    <s v="Marine Cargo"/>
    <m/>
    <m/>
    <s v="Amelia Moore"/>
    <d v="2020-01-13T00:00:00"/>
    <s v="Animesh Rawat"/>
    <s v="Servicer"/>
    <n v="1278023"/>
    <n v="12365300"/>
    <n v="12900"/>
  </r>
  <r>
    <s v="Kapil Kapoor"/>
    <s v="OG-19-2202-1018-00000054"/>
    <x v="0"/>
    <x v="13"/>
    <d v="2019-12-31T00:00:00"/>
    <x v="0"/>
    <n v="3"/>
    <s v="Animesh Rawat"/>
    <x v="0"/>
    <s v="Global Client Network (GNB Inward)"/>
    <s v="Cross Sell"/>
    <n v="21157.34"/>
    <d v="2019-01-01T00:00:00"/>
    <s v="Brokerage"/>
    <x v="0"/>
    <s v="OTHR - Other"/>
    <d v="2020-01-22T00:00:00"/>
    <s v="Other"/>
    <s v="Maine Open"/>
    <s v="OPP1900001923"/>
    <s v="Animesh Rawat"/>
    <n v="0"/>
    <n v="10000"/>
    <d v="2019-09-30T00:00:00"/>
    <s v="Propose Solution"/>
    <s v="Ahmedabad"/>
    <s v="Marine"/>
    <s v="Marine Cargo"/>
    <s v="Marine Cargo"/>
    <m/>
    <m/>
    <s v="Henry Thomas"/>
    <d v="2020-01-09T00:00:00"/>
    <s v="Animesh Rawat"/>
    <s v="Servicer"/>
    <n v="1278023"/>
    <n v="12365300"/>
    <n v="12900"/>
  </r>
  <r>
    <s v="Kapil Kapoor"/>
    <s v="OG-19-2202-1018-00000054"/>
    <x v="0"/>
    <x v="13"/>
    <d v="2019-12-31T00:00:00"/>
    <x v="0"/>
    <n v="3"/>
    <s v="Animesh Rawat"/>
    <x v="0"/>
    <s v="Global Client Network (GNB Inward)"/>
    <s v="Cross Sell"/>
    <n v="21157.34"/>
    <d v="2019-01-01T00:00:00"/>
    <s v="Brokerage"/>
    <x v="0"/>
    <s v="OTHR - Other"/>
    <d v="2020-01-22T00:00:00"/>
    <s v="Other"/>
    <s v="Maine Open"/>
    <s v="OPP1900001923"/>
    <s v="Animesh Rawat"/>
    <n v="0"/>
    <n v="10000"/>
    <d v="2019-09-30T00:00:00"/>
    <s v="Propose Solution"/>
    <s v="Ahmedabad"/>
    <s v="Marine"/>
    <s v="Marine Cargo"/>
    <s v="Marine Cargo"/>
    <m/>
    <m/>
    <s v="Harper Martin"/>
    <d v="2020-01-10T00:00:00"/>
    <s v="Animesh Rawat"/>
    <s v="Servicer"/>
    <n v="1278023"/>
    <n v="12365300"/>
    <n v="12900"/>
  </r>
  <r>
    <s v="Harish Rana"/>
    <s v="OG-19-2202-3383-00000010"/>
    <x v="0"/>
    <x v="13"/>
    <d v="2019-12-31T00:00:00"/>
    <x v="4"/>
    <n v="3"/>
    <s v="Animesh Rawat"/>
    <x v="0"/>
    <s v="Global Client Network (GNB Inward)"/>
    <s v="Cross Sell"/>
    <n v="12019.2"/>
    <d v="2019-01-01T00:00:00"/>
    <s v="Brokerage"/>
    <x v="0"/>
    <s v="OTHR - Other"/>
    <d v="2020-01-22T00:00:00"/>
    <s v="Other"/>
    <m/>
    <m/>
    <m/>
    <m/>
    <m/>
    <m/>
    <m/>
    <m/>
    <m/>
    <m/>
    <m/>
    <m/>
    <m/>
    <m/>
    <m/>
    <m/>
    <m/>
    <m/>
    <m/>
    <m/>
  </r>
  <r>
    <s v="Nikhil Pandit"/>
    <s v="OG-19-2201-4001-00001050"/>
    <x v="0"/>
    <x v="210"/>
    <d v="2019-08-21T00:00:00"/>
    <x v="1"/>
    <n v="3"/>
    <s v="Animesh Rawat"/>
    <x v="0"/>
    <s v="Global Client Network (GNB Inward)"/>
    <s v="Renewal"/>
    <n v="7324.12"/>
    <d v="2018-08-22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Nikhil Pandit"/>
    <s v="OG-19-2201-4001-00001050"/>
    <x v="0"/>
    <x v="210"/>
    <d v="2019-08-21T00:00:00"/>
    <x v="1"/>
    <n v="3"/>
    <s v="Animesh Rawat"/>
    <x v="0"/>
    <s v="Global Client Network (GNB Inward)"/>
    <s v="Renewal"/>
    <n v="7324.12"/>
    <d v="2018-08-22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Nikhil Pandit"/>
    <s v="OG-19-2201-4001-00001050"/>
    <x v="0"/>
    <x v="210"/>
    <d v="2019-08-21T00:00:00"/>
    <x v="1"/>
    <n v="3"/>
    <s v="Animesh Rawat"/>
    <x v="0"/>
    <s v="Global Client Network (GNB Inward)"/>
    <s v="Renewal"/>
    <n v="7324.12"/>
    <d v="2018-08-22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Nikhil Pandit"/>
    <s v="OG-19-2201-4001-00001050"/>
    <x v="0"/>
    <x v="210"/>
    <d v="2019-08-21T00:00:00"/>
    <x v="1"/>
    <n v="3"/>
    <s v="Animesh Rawat"/>
    <x v="0"/>
    <s v="Global Client Network (GNB Inward)"/>
    <s v="Renewal"/>
    <n v="7324.12"/>
    <d v="2018-08-22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Nikhil Pandit"/>
    <s v="OG-19-2201-4001-00001050"/>
    <x v="0"/>
    <x v="210"/>
    <d v="2019-08-21T00:00:00"/>
    <x v="1"/>
    <n v="3"/>
    <s v="Animesh Rawat"/>
    <x v="0"/>
    <s v="Global Client Network (GNB Inward)"/>
    <s v="Renewal"/>
    <n v="7324.12"/>
    <d v="2018-08-22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Nikhil Pandit"/>
    <s v="OG-19-2201-4001-00001050"/>
    <x v="0"/>
    <x v="210"/>
    <d v="2019-08-21T00:00:00"/>
    <x v="1"/>
    <n v="3"/>
    <s v="Animesh Rawat"/>
    <x v="0"/>
    <s v="Global Client Network (GNB Inward)"/>
    <s v="Renewal"/>
    <n v="7324.12"/>
    <d v="2018-08-22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Nikhil Pandit"/>
    <s v="OG-19-2201-4001-00001050"/>
    <x v="0"/>
    <x v="210"/>
    <d v="2019-08-21T00:00:00"/>
    <x v="1"/>
    <n v="3"/>
    <s v="Animesh Rawat"/>
    <x v="0"/>
    <s v="Global Client Network (GNB Inward)"/>
    <s v="Renewal"/>
    <n v="7324.12"/>
    <d v="2018-08-22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Nikhil Pandit"/>
    <s v="OG-19-2201-4001-00001050"/>
    <x v="0"/>
    <x v="210"/>
    <d v="2019-08-21T00:00:00"/>
    <x v="1"/>
    <n v="3"/>
    <s v="Animesh Rawat"/>
    <x v="0"/>
    <s v="Global Client Network (GNB Inward)"/>
    <s v="Renewal"/>
    <n v="7324.12"/>
    <d v="2018-08-22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Nikhil Pandit"/>
    <s v="OG-19-2201-4001-00001050"/>
    <x v="0"/>
    <x v="210"/>
    <d v="2019-08-21T00:00:00"/>
    <x v="1"/>
    <n v="3"/>
    <s v="Animesh Rawat"/>
    <x v="0"/>
    <s v="Global Client Network (GNB Inward)"/>
    <s v="Renewal"/>
    <n v="7324.12"/>
    <d v="2018-08-22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Nikhil Pandit"/>
    <s v="OG-19-2201-4001-00001050"/>
    <x v="0"/>
    <x v="210"/>
    <d v="2019-08-21T00:00:00"/>
    <x v="1"/>
    <n v="3"/>
    <s v="Animesh Rawat"/>
    <x v="0"/>
    <s v="Global Client Network (GNB Inward)"/>
    <s v="Renewal"/>
    <n v="7324.12"/>
    <d v="2018-08-22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Nikhil Pandit"/>
    <s v="OG-19-2201-4001-00001050"/>
    <x v="0"/>
    <x v="210"/>
    <d v="2019-08-21T00:00:00"/>
    <x v="1"/>
    <n v="3"/>
    <s v="Animesh Rawat"/>
    <x v="0"/>
    <s v="Global Client Network (GNB Inward)"/>
    <s v="Renewal"/>
    <n v="7324.12"/>
    <d v="2018-08-22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Nikhil Pandit"/>
    <s v="OG-19-2201-4001-00001050"/>
    <x v="0"/>
    <x v="210"/>
    <d v="2019-08-21T00:00:00"/>
    <x v="1"/>
    <n v="3"/>
    <s v="Animesh Rawat"/>
    <x v="0"/>
    <s v="Global Client Network (GNB Inward)"/>
    <s v="Renewal"/>
    <n v="7324.12"/>
    <d v="2018-08-22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Vivek Rana"/>
    <s v="OG-19-2201-4001-00000973"/>
    <x v="0"/>
    <x v="210"/>
    <d v="2019-08-21T00:00:00"/>
    <x v="1"/>
    <n v="3"/>
    <s v="Animesh Rawat"/>
    <x v="0"/>
    <s v="Global Client Network (GNB Inward)"/>
    <s v="Renewal"/>
    <n v="19316.669999999998"/>
    <d v="2018-08-22T00:00:00"/>
    <s v="Brokerage"/>
    <x v="0"/>
    <s v="OTHR - Other"/>
    <d v="2020-01-22T00:00:00"/>
    <s v="Other"/>
    <s v="PDBI"/>
    <s v="OPP1900002004"/>
    <s v="Animesh Rawat"/>
    <n v="700000"/>
    <n v="100000"/>
    <d v="2019-12-31T00:00:00"/>
    <s v="Qualify Opportunity"/>
    <s v="Ahmedabad"/>
    <s v="Property / BI"/>
    <s v="Constructions &amp;amp; Infrastructure"/>
    <s v="Fire &amp;amp; Special Perils"/>
    <m/>
    <m/>
    <s v="Lucas Hernandez"/>
    <d v="2020-01-13T00:00:00"/>
    <s v="Animesh Rawat"/>
    <s v="Servicer"/>
    <n v="1278023"/>
    <n v="12365300"/>
    <n v="12900"/>
  </r>
  <r>
    <s v="Vivek Rana"/>
    <s v="OG-19-2201-4001-00000973"/>
    <x v="0"/>
    <x v="210"/>
    <d v="2019-08-21T00:00:00"/>
    <x v="1"/>
    <n v="3"/>
    <s v="Animesh Rawat"/>
    <x v="0"/>
    <s v="Global Client Network (GNB Inward)"/>
    <s v="Renewal"/>
    <n v="19316.669999999998"/>
    <d v="2018-08-22T00:00:00"/>
    <s v="Brokerage"/>
    <x v="0"/>
    <s v="OTHR - Other"/>
    <d v="2020-01-22T00:00:00"/>
    <s v="Other"/>
    <s v="PDBI"/>
    <s v="OPP1900002004"/>
    <s v="Animesh Rawat"/>
    <n v="700000"/>
    <n v="100000"/>
    <d v="2019-12-31T00:00:00"/>
    <s v="Qualify Opportunity"/>
    <s v="Ahmedabad"/>
    <s v="Property / BI"/>
    <s v="Constructions &amp;amp; Infrastructure"/>
    <s v="Fire &amp;amp; Special Perils"/>
    <m/>
    <m/>
    <s v="Amelia Moore"/>
    <d v="2020-01-13T00:00:00"/>
    <s v="Animesh Rawat"/>
    <s v="Servicer"/>
    <n v="1278023"/>
    <n v="12365300"/>
    <n v="12900"/>
  </r>
  <r>
    <s v="Vivek Rana"/>
    <s v="OG-19-2201-4001-00000973"/>
    <x v="0"/>
    <x v="210"/>
    <d v="2019-08-21T00:00:00"/>
    <x v="1"/>
    <n v="3"/>
    <s v="Animesh Rawat"/>
    <x v="0"/>
    <s v="Global Client Network (GNB Inward)"/>
    <s v="Renewal"/>
    <n v="19316.669999999998"/>
    <d v="2018-08-22T00:00:00"/>
    <s v="Brokerage"/>
    <x v="0"/>
    <s v="OTHR - Other"/>
    <d v="2020-01-22T00:00:00"/>
    <s v="Other"/>
    <s v="PDBI"/>
    <s v="OPP1900002004"/>
    <s v="Animesh Rawat"/>
    <n v="700000"/>
    <n v="100000"/>
    <d v="2019-12-31T00:00:00"/>
    <s v="Qualify Opportunity"/>
    <s v="Ahmedabad"/>
    <s v="Property / BI"/>
    <s v="Constructions &amp;amp; Infrastructure"/>
    <s v="Fire &amp;amp; Special Perils"/>
    <m/>
    <m/>
    <s v="Henry Thomas"/>
    <d v="2020-01-09T00:00:00"/>
    <s v="Animesh Rawat"/>
    <s v="Servicer"/>
    <n v="1278023"/>
    <n v="12365300"/>
    <n v="12900"/>
  </r>
  <r>
    <s v="Vivek Rana"/>
    <s v="OG-19-2201-4001-00000973"/>
    <x v="0"/>
    <x v="210"/>
    <d v="2019-08-21T00:00:00"/>
    <x v="1"/>
    <n v="3"/>
    <s v="Animesh Rawat"/>
    <x v="0"/>
    <s v="Global Client Network (GNB Inward)"/>
    <s v="Renewal"/>
    <n v="19316.669999999998"/>
    <d v="2018-08-22T00:00:00"/>
    <s v="Brokerage"/>
    <x v="0"/>
    <s v="OTHR - Other"/>
    <d v="2020-01-22T00:00:00"/>
    <s v="Other"/>
    <s v="PDBI"/>
    <s v="OPP1900002004"/>
    <s v="Animesh Rawat"/>
    <n v="700000"/>
    <n v="100000"/>
    <d v="2019-12-31T00:00:00"/>
    <s v="Qualify Opportunity"/>
    <s v="Ahmedabad"/>
    <s v="Property / BI"/>
    <s v="Constructions &amp;amp; Infrastructure"/>
    <s v="Fire &amp;amp; Special Perils"/>
    <m/>
    <m/>
    <s v="Harper Martin"/>
    <d v="2020-01-10T00:00:00"/>
    <s v="Animesh Rawat"/>
    <s v="Servicer"/>
    <n v="1278023"/>
    <n v="12365300"/>
    <n v="12900"/>
  </r>
  <r>
    <s v="Vivek Rana"/>
    <s v="OG-19-2201-4001-00000973"/>
    <x v="0"/>
    <x v="210"/>
    <d v="2019-08-21T00:00:00"/>
    <x v="1"/>
    <n v="3"/>
    <s v="Animesh Rawat"/>
    <x v="0"/>
    <s v="Global Client Network (GNB Inward)"/>
    <s v="Renewal"/>
    <n v="19316.669999999998"/>
    <d v="2018-08-22T00:00:00"/>
    <s v="Brokerage"/>
    <x v="0"/>
    <s v="OTHR - Other"/>
    <d v="2020-01-22T00:00:00"/>
    <s v="Other"/>
    <s v="Fire"/>
    <s v="OPP1900002070"/>
    <s v="Animesh Rawat"/>
    <n v="0"/>
    <n v="500000"/>
    <d v="2019-10-01T00:00:00"/>
    <s v="Negotiate"/>
    <s v="Ahmedabad"/>
    <s v="Property / BI"/>
    <s v="Constructions &amp;amp; Infrastructure"/>
    <s v="Fire &amp;amp; Special Perils"/>
    <m/>
    <m/>
    <s v="Lucas Hernandez"/>
    <d v="2020-01-13T00:00:00"/>
    <s v="Animesh Rawat"/>
    <s v="Servicer"/>
    <n v="1278023"/>
    <n v="12365300"/>
    <n v="12900"/>
  </r>
  <r>
    <s v="Vivek Rana"/>
    <s v="OG-19-2201-4001-00000973"/>
    <x v="0"/>
    <x v="210"/>
    <d v="2019-08-21T00:00:00"/>
    <x v="1"/>
    <n v="3"/>
    <s v="Animesh Rawat"/>
    <x v="0"/>
    <s v="Global Client Network (GNB Inward)"/>
    <s v="Renewal"/>
    <n v="19316.669999999998"/>
    <d v="2018-08-22T00:00:00"/>
    <s v="Brokerage"/>
    <x v="0"/>
    <s v="OTHR - Other"/>
    <d v="2020-01-22T00:00:00"/>
    <s v="Other"/>
    <s v="Fire"/>
    <s v="OPP1900002070"/>
    <s v="Animesh Rawat"/>
    <n v="0"/>
    <n v="500000"/>
    <d v="2019-10-01T00:00:00"/>
    <s v="Negotiate"/>
    <s v="Ahmedabad"/>
    <s v="Property / BI"/>
    <s v="Constructions &amp;amp; Infrastructure"/>
    <s v="Fire &amp;amp; Special Perils"/>
    <m/>
    <m/>
    <s v="Amelia Moore"/>
    <d v="2020-01-13T00:00:00"/>
    <s v="Animesh Rawat"/>
    <s v="Servicer"/>
    <n v="1278023"/>
    <n v="12365300"/>
    <n v="12900"/>
  </r>
  <r>
    <s v="Vivek Rana"/>
    <s v="OG-19-2201-4001-00000973"/>
    <x v="0"/>
    <x v="210"/>
    <d v="2019-08-21T00:00:00"/>
    <x v="1"/>
    <n v="3"/>
    <s v="Animesh Rawat"/>
    <x v="0"/>
    <s v="Global Client Network (GNB Inward)"/>
    <s v="Renewal"/>
    <n v="19316.669999999998"/>
    <d v="2018-08-22T00:00:00"/>
    <s v="Brokerage"/>
    <x v="0"/>
    <s v="OTHR - Other"/>
    <d v="2020-01-22T00:00:00"/>
    <s v="Other"/>
    <s v="Fire"/>
    <s v="OPP1900002070"/>
    <s v="Animesh Rawat"/>
    <n v="0"/>
    <n v="500000"/>
    <d v="2019-10-01T00:00:00"/>
    <s v="Negotiate"/>
    <s v="Ahmedabad"/>
    <s v="Property / BI"/>
    <s v="Constructions &amp;amp; Infrastructure"/>
    <s v="Fire &amp;amp; Special Perils"/>
    <m/>
    <m/>
    <s v="Henry Thomas"/>
    <d v="2020-01-09T00:00:00"/>
    <s v="Animesh Rawat"/>
    <s v="Servicer"/>
    <n v="1278023"/>
    <n v="12365300"/>
    <n v="12900"/>
  </r>
  <r>
    <s v="Vivek Rana"/>
    <s v="OG-19-2201-4001-00000973"/>
    <x v="0"/>
    <x v="210"/>
    <d v="2019-08-21T00:00:00"/>
    <x v="1"/>
    <n v="3"/>
    <s v="Animesh Rawat"/>
    <x v="0"/>
    <s v="Global Client Network (GNB Inward)"/>
    <s v="Renewal"/>
    <n v="19316.669999999998"/>
    <d v="2018-08-22T00:00:00"/>
    <s v="Brokerage"/>
    <x v="0"/>
    <s v="OTHR - Other"/>
    <d v="2020-01-22T00:00:00"/>
    <s v="Other"/>
    <s v="Fire"/>
    <s v="OPP1900002070"/>
    <s v="Animesh Rawat"/>
    <n v="0"/>
    <n v="500000"/>
    <d v="2019-10-01T00:00:00"/>
    <s v="Negotiate"/>
    <s v="Ahmedabad"/>
    <s v="Property / BI"/>
    <s v="Constructions &amp;amp; Infrastructure"/>
    <s v="Fire &amp;amp; Special Perils"/>
    <m/>
    <m/>
    <s v="Harper Martin"/>
    <d v="2020-01-10T00:00:00"/>
    <s v="Animesh Rawat"/>
    <s v="Servicer"/>
    <n v="1278023"/>
    <n v="12365300"/>
    <n v="12900"/>
  </r>
  <r>
    <s v="Vivek Rana"/>
    <s v="OG-19-2201-4001-00000973"/>
    <x v="0"/>
    <x v="210"/>
    <d v="2019-08-21T00:00:00"/>
    <x v="1"/>
    <n v="3"/>
    <s v="Animesh Rawat"/>
    <x v="0"/>
    <s v="Global Client Network (GNB Inward)"/>
    <s v="Renewal"/>
    <n v="19316.669999999998"/>
    <d v="2018-08-22T00:00:00"/>
    <s v="Brokerage"/>
    <x v="0"/>
    <s v="OTHR - Other"/>
    <d v="2020-01-22T00:00:00"/>
    <s v="Other"/>
    <s v="SFSP"/>
    <s v="OPP1900002098"/>
    <s v="Animesh Rawat"/>
    <n v="0"/>
    <n v="50000"/>
    <d v="2019-09-30T00:00:00"/>
    <s v="Propose Solution"/>
    <s v="Ahmedabad"/>
    <s v="Property / BI"/>
    <s v="Constructions &amp;amp; Infrastructure"/>
    <s v="Fire &amp;amp; Special Perils"/>
    <m/>
    <m/>
    <s v="Lucas Hernandez"/>
    <d v="2020-01-13T00:00:00"/>
    <s v="Animesh Rawat"/>
    <s v="Servicer"/>
    <n v="1278023"/>
    <n v="12365300"/>
    <n v="12900"/>
  </r>
  <r>
    <s v="Vivek Rana"/>
    <s v="OG-19-2201-4001-00000973"/>
    <x v="0"/>
    <x v="210"/>
    <d v="2019-08-21T00:00:00"/>
    <x v="1"/>
    <n v="3"/>
    <s v="Animesh Rawat"/>
    <x v="0"/>
    <s v="Global Client Network (GNB Inward)"/>
    <s v="Renewal"/>
    <n v="19316.669999999998"/>
    <d v="2018-08-22T00:00:00"/>
    <s v="Brokerage"/>
    <x v="0"/>
    <s v="OTHR - Other"/>
    <d v="2020-01-22T00:00:00"/>
    <s v="Other"/>
    <s v="SFSP"/>
    <s v="OPP1900002098"/>
    <s v="Animesh Rawat"/>
    <n v="0"/>
    <n v="50000"/>
    <d v="2019-09-30T00:00:00"/>
    <s v="Propose Solution"/>
    <s v="Ahmedabad"/>
    <s v="Property / BI"/>
    <s v="Constructions &amp;amp; Infrastructure"/>
    <s v="Fire &amp;amp; Special Perils"/>
    <m/>
    <m/>
    <s v="Amelia Moore"/>
    <d v="2020-01-13T00:00:00"/>
    <s v="Animesh Rawat"/>
    <s v="Servicer"/>
    <n v="1278023"/>
    <n v="12365300"/>
    <n v="12900"/>
  </r>
  <r>
    <s v="Vivek Rana"/>
    <s v="OG-19-2201-4001-00000973"/>
    <x v="0"/>
    <x v="210"/>
    <d v="2019-08-21T00:00:00"/>
    <x v="1"/>
    <n v="3"/>
    <s v="Animesh Rawat"/>
    <x v="0"/>
    <s v="Global Client Network (GNB Inward)"/>
    <s v="Renewal"/>
    <n v="19316.669999999998"/>
    <d v="2018-08-22T00:00:00"/>
    <s v="Brokerage"/>
    <x v="0"/>
    <s v="OTHR - Other"/>
    <d v="2020-01-22T00:00:00"/>
    <s v="Other"/>
    <s v="SFSP"/>
    <s v="OPP1900002098"/>
    <s v="Animesh Rawat"/>
    <n v="0"/>
    <n v="50000"/>
    <d v="2019-09-30T00:00:00"/>
    <s v="Propose Solution"/>
    <s v="Ahmedabad"/>
    <s v="Property / BI"/>
    <s v="Constructions &amp;amp; Infrastructure"/>
    <s v="Fire &amp;amp; Special Perils"/>
    <m/>
    <m/>
    <s v="Henry Thomas"/>
    <d v="2020-01-09T00:00:00"/>
    <s v="Animesh Rawat"/>
    <s v="Servicer"/>
    <n v="1278023"/>
    <n v="12365300"/>
    <n v="12900"/>
  </r>
  <r>
    <s v="Vivek Rana"/>
    <s v="OG-19-2201-4001-00000973"/>
    <x v="0"/>
    <x v="210"/>
    <d v="2019-08-21T00:00:00"/>
    <x v="1"/>
    <n v="3"/>
    <s v="Animesh Rawat"/>
    <x v="0"/>
    <s v="Global Client Network (GNB Inward)"/>
    <s v="Renewal"/>
    <n v="19316.669999999998"/>
    <d v="2018-08-22T00:00:00"/>
    <s v="Brokerage"/>
    <x v="0"/>
    <s v="OTHR - Other"/>
    <d v="2020-01-22T00:00:00"/>
    <s v="Other"/>
    <s v="SFSP"/>
    <s v="OPP1900002098"/>
    <s v="Animesh Rawat"/>
    <n v="0"/>
    <n v="50000"/>
    <d v="2019-09-30T00:00:00"/>
    <s v="Propose Solution"/>
    <s v="Ahmedabad"/>
    <s v="Property / BI"/>
    <s v="Constructions &amp;amp; Infrastructure"/>
    <s v="Fire &amp;amp; Special Perils"/>
    <m/>
    <m/>
    <s v="Harper Martin"/>
    <d v="2020-01-10T00:00:00"/>
    <s v="Animesh Rawat"/>
    <s v="Servicer"/>
    <n v="1278023"/>
    <n v="12365300"/>
    <n v="12900"/>
  </r>
  <r>
    <s v="Hemant Nair"/>
    <n v="505373"/>
    <x v="1"/>
    <x v="110"/>
    <d v="2019-02-25T00:00:00"/>
    <x v="3"/>
    <n v="10"/>
    <s v="Mark"/>
    <x v="0"/>
    <s v="Employee Benefits (EB)"/>
    <s v="Renewal"/>
    <n v="23115.200000000001"/>
    <d v="2018-02-26T00:00:00"/>
    <s v="Brokerage"/>
    <x v="0"/>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Hemant Nair"/>
    <n v="505373"/>
    <x v="1"/>
    <x v="110"/>
    <d v="2019-02-25T00:00:00"/>
    <x v="3"/>
    <n v="10"/>
    <s v="Mark"/>
    <x v="0"/>
    <s v="Employee Benefits (EB)"/>
    <s v="Renewal"/>
    <n v="23115.200000000001"/>
    <d v="2018-02-26T00:00:00"/>
    <s v="Brokerage"/>
    <x v="0"/>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Hemant Nair"/>
    <n v="505373"/>
    <x v="1"/>
    <x v="110"/>
    <d v="2019-02-25T00:00:00"/>
    <x v="3"/>
    <n v="10"/>
    <s v="Mark"/>
    <x v="0"/>
    <s v="Employee Benefits (EB)"/>
    <s v="Renewal"/>
    <n v="23115.200000000001"/>
    <d v="2018-02-26T00:00:00"/>
    <s v="Brokerage"/>
    <x v="0"/>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Hemant Nair"/>
    <n v="505373"/>
    <x v="1"/>
    <x v="110"/>
    <d v="2019-02-25T00:00:00"/>
    <x v="3"/>
    <n v="10"/>
    <s v="Mark"/>
    <x v="0"/>
    <s v="Employee Benefits (EB)"/>
    <s v="Renewal"/>
    <n v="23115.200000000001"/>
    <d v="2018-02-26T00:00:00"/>
    <s v="Brokerage"/>
    <x v="0"/>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Hemant Nair"/>
    <n v="505373"/>
    <x v="1"/>
    <x v="110"/>
    <d v="2019-02-25T00:00:00"/>
    <x v="3"/>
    <n v="10"/>
    <s v="Mark"/>
    <x v="0"/>
    <s v="Employee Benefits (EB)"/>
    <s v="Renewal"/>
    <n v="23115.200000000001"/>
    <d v="2018-02-26T00:00:00"/>
    <s v="Brokerage"/>
    <x v="0"/>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Hemant Nair"/>
    <n v="505373"/>
    <x v="1"/>
    <x v="110"/>
    <d v="2019-02-25T00:00:00"/>
    <x v="3"/>
    <n v="10"/>
    <s v="Mark"/>
    <x v="0"/>
    <s v="Employee Benefits (EB)"/>
    <s v="Renewal"/>
    <n v="23115.200000000001"/>
    <d v="2018-02-26T00:00:00"/>
    <s v="Brokerage"/>
    <x v="0"/>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Hemant Nair"/>
    <n v="505373"/>
    <x v="1"/>
    <x v="110"/>
    <d v="2019-02-25T00:00:00"/>
    <x v="3"/>
    <n v="10"/>
    <s v="Mark"/>
    <x v="0"/>
    <s v="Employee Benefits (EB)"/>
    <s v="Renewal"/>
    <n v="23115.200000000001"/>
    <d v="2018-02-26T00:00:00"/>
    <s v="Brokerage"/>
    <x v="0"/>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Hemant Nair"/>
    <n v="505373"/>
    <x v="1"/>
    <x v="110"/>
    <d v="2019-02-25T00:00:00"/>
    <x v="3"/>
    <n v="10"/>
    <s v="Mark"/>
    <x v="0"/>
    <s v="Employee Benefits (EB)"/>
    <s v="Renewal"/>
    <n v="23115.200000000001"/>
    <d v="2018-02-26T00:00:00"/>
    <s v="Brokerage"/>
    <x v="0"/>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Hemant Nair"/>
    <n v="505373"/>
    <x v="1"/>
    <x v="110"/>
    <d v="2019-02-25T00:00:00"/>
    <x v="3"/>
    <n v="10"/>
    <s v="Mark"/>
    <x v="0"/>
    <s v="Employee Benefits (EB)"/>
    <s v="Renewal"/>
    <n v="23115.200000000001"/>
    <d v="2018-02-26T00:00:00"/>
    <s v="Brokerage"/>
    <x v="0"/>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Hemant Nair"/>
    <n v="505373"/>
    <x v="1"/>
    <x v="110"/>
    <d v="2019-02-25T00:00:00"/>
    <x v="3"/>
    <n v="10"/>
    <s v="Mark"/>
    <x v="0"/>
    <s v="Employee Benefits (EB)"/>
    <s v="Renewal"/>
    <n v="23115.200000000001"/>
    <d v="2018-02-26T00:00:00"/>
    <s v="Brokerage"/>
    <x v="0"/>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Veena Bhargava"/>
    <s v="505373-01"/>
    <x v="0"/>
    <x v="111"/>
    <d v="2020-02-25T00:00:00"/>
    <x v="3"/>
    <n v="10"/>
    <s v="Mark"/>
    <x v="0"/>
    <s v="Employee Benefits (EB)"/>
    <s v="Renewal"/>
    <n v="25336.44"/>
    <d v="2019-02-26T00:00:00"/>
    <s v="Brokerage"/>
    <x v="1"/>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Veena Bhargava"/>
    <s v="505373-01"/>
    <x v="0"/>
    <x v="111"/>
    <d v="2020-02-25T00:00:00"/>
    <x v="3"/>
    <n v="10"/>
    <s v="Mark"/>
    <x v="0"/>
    <s v="Employee Benefits (EB)"/>
    <s v="Renewal"/>
    <n v="25336.44"/>
    <d v="2019-02-26T00:00:00"/>
    <s v="Brokerage"/>
    <x v="1"/>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Veena Bhargava"/>
    <s v="505373-01"/>
    <x v="0"/>
    <x v="111"/>
    <d v="2020-02-25T00:00:00"/>
    <x v="3"/>
    <n v="10"/>
    <s v="Mark"/>
    <x v="0"/>
    <s v="Employee Benefits (EB)"/>
    <s v="Renewal"/>
    <n v="25336.44"/>
    <d v="2019-02-26T00:00:00"/>
    <s v="Brokerage"/>
    <x v="1"/>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Veena Bhargava"/>
    <s v="505373-01"/>
    <x v="0"/>
    <x v="111"/>
    <d v="2020-02-25T00:00:00"/>
    <x v="3"/>
    <n v="10"/>
    <s v="Mark"/>
    <x v="0"/>
    <s v="Employee Benefits (EB)"/>
    <s v="Renewal"/>
    <n v="25336.44"/>
    <d v="2019-02-26T00:00:00"/>
    <s v="Brokerage"/>
    <x v="1"/>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Veena Bhargava"/>
    <s v="505373-01"/>
    <x v="0"/>
    <x v="111"/>
    <d v="2020-02-25T00:00:00"/>
    <x v="3"/>
    <n v="10"/>
    <s v="Mark"/>
    <x v="0"/>
    <s v="Employee Benefits (EB)"/>
    <s v="Renewal"/>
    <n v="25336.44"/>
    <d v="2019-02-26T00:00:00"/>
    <s v="Brokerage"/>
    <x v="1"/>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Veena Bhargava"/>
    <s v="505373-01"/>
    <x v="0"/>
    <x v="111"/>
    <d v="2020-02-25T00:00:00"/>
    <x v="3"/>
    <n v="10"/>
    <s v="Mark"/>
    <x v="0"/>
    <s v="Employee Benefits (EB)"/>
    <s v="Renewal"/>
    <n v="25336.44"/>
    <d v="2019-02-26T00:00:00"/>
    <s v="Brokerage"/>
    <x v="1"/>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Veena Bhargava"/>
    <s v="505373-01"/>
    <x v="0"/>
    <x v="111"/>
    <d v="2020-02-25T00:00:00"/>
    <x v="3"/>
    <n v="10"/>
    <s v="Mark"/>
    <x v="0"/>
    <s v="Employee Benefits (EB)"/>
    <s v="Renewal"/>
    <n v="25336.44"/>
    <d v="2019-02-26T00:00:00"/>
    <s v="Brokerage"/>
    <x v="1"/>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Veena Bhargava"/>
    <s v="505373-01"/>
    <x v="0"/>
    <x v="111"/>
    <d v="2020-02-25T00:00:00"/>
    <x v="3"/>
    <n v="10"/>
    <s v="Mark"/>
    <x v="0"/>
    <s v="Employee Benefits (EB)"/>
    <s v="Renewal"/>
    <n v="25336.44"/>
    <d v="2019-02-26T00:00:00"/>
    <s v="Brokerage"/>
    <x v="1"/>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Veena Bhargava"/>
    <s v="505373-01"/>
    <x v="0"/>
    <x v="111"/>
    <d v="2020-02-25T00:00:00"/>
    <x v="3"/>
    <n v="10"/>
    <s v="Mark"/>
    <x v="0"/>
    <s v="Employee Benefits (EB)"/>
    <s v="Renewal"/>
    <n v="25336.44"/>
    <d v="2019-02-26T00:00:00"/>
    <s v="Brokerage"/>
    <x v="1"/>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Veena Bhargava"/>
    <s v="505373-01"/>
    <x v="0"/>
    <x v="111"/>
    <d v="2020-02-25T00:00:00"/>
    <x v="3"/>
    <n v="10"/>
    <s v="Mark"/>
    <x v="0"/>
    <s v="Employee Benefits (EB)"/>
    <s v="Renewal"/>
    <n v="25336.44"/>
    <d v="2019-02-26T00:00:00"/>
    <s v="Brokerage"/>
    <x v="1"/>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Shivam Shah"/>
    <n v="51995029"/>
    <x v="1"/>
    <x v="304"/>
    <d v="2019-02-27T00:00:00"/>
    <x v="3"/>
    <n v="10"/>
    <s v="Mark"/>
    <x v="0"/>
    <s v="Employee Benefits (EB)"/>
    <s v="Renewal"/>
    <n v="12699.7"/>
    <d v="2018-02-28T00:00:00"/>
    <s v="Brokerage"/>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Shivam Shah"/>
    <n v="51995029"/>
    <x v="1"/>
    <x v="304"/>
    <d v="2019-02-27T00:00:00"/>
    <x v="3"/>
    <n v="10"/>
    <s v="Mark"/>
    <x v="0"/>
    <s v="Employee Benefits (EB)"/>
    <s v="Renewal"/>
    <n v="12699.7"/>
    <d v="2018-02-28T00:00:00"/>
    <s v="Brokerage"/>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Shivam Shah"/>
    <n v="51995029"/>
    <x v="1"/>
    <x v="304"/>
    <d v="2019-02-27T00:00:00"/>
    <x v="3"/>
    <n v="10"/>
    <s v="Mark"/>
    <x v="0"/>
    <s v="Employee Benefits (EB)"/>
    <s v="Renewal"/>
    <n v="12699.7"/>
    <d v="2018-02-28T00:00:00"/>
    <s v="Brokerage"/>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Shivam Shah"/>
    <n v="51995029"/>
    <x v="1"/>
    <x v="304"/>
    <d v="2019-02-27T00:00:00"/>
    <x v="3"/>
    <n v="10"/>
    <s v="Mark"/>
    <x v="0"/>
    <s v="Employee Benefits (EB)"/>
    <s v="Renewal"/>
    <n v="12699.7"/>
    <d v="2018-02-28T00:00:00"/>
    <s v="Brokerage"/>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Shivam Shah"/>
    <n v="51995029"/>
    <x v="1"/>
    <x v="304"/>
    <d v="2019-02-27T00:00:00"/>
    <x v="3"/>
    <n v="10"/>
    <s v="Mark"/>
    <x v="0"/>
    <s v="Employee Benefits (EB)"/>
    <s v="Renewal"/>
    <n v="12699.7"/>
    <d v="2018-02-28T00:00:00"/>
    <s v="Brokerage"/>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Shivam Shah"/>
    <n v="51995029"/>
    <x v="1"/>
    <x v="304"/>
    <d v="2019-02-27T00:00:00"/>
    <x v="3"/>
    <n v="10"/>
    <s v="Mark"/>
    <x v="0"/>
    <s v="Employee Benefits (EB)"/>
    <s v="Renewal"/>
    <n v="12699.7"/>
    <d v="2018-02-28T00:00:00"/>
    <s v="Brokerage"/>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Shivam Shah"/>
    <n v="51995029"/>
    <x v="1"/>
    <x v="304"/>
    <d v="2019-02-27T00:00:00"/>
    <x v="3"/>
    <n v="10"/>
    <s v="Mark"/>
    <x v="0"/>
    <s v="Employee Benefits (EB)"/>
    <s v="Renewal"/>
    <n v="12699.7"/>
    <d v="2018-02-28T00:00:00"/>
    <s v="Brokerage"/>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Shivam Shah"/>
    <n v="51995029"/>
    <x v="1"/>
    <x v="304"/>
    <d v="2019-02-27T00:00:00"/>
    <x v="3"/>
    <n v="10"/>
    <s v="Mark"/>
    <x v="0"/>
    <s v="Employee Benefits (EB)"/>
    <s v="Renewal"/>
    <n v="12699.7"/>
    <d v="2018-02-28T00:00:00"/>
    <s v="Brokerage"/>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Shivam Shah"/>
    <n v="51995029"/>
    <x v="1"/>
    <x v="304"/>
    <d v="2019-02-27T00:00:00"/>
    <x v="3"/>
    <n v="10"/>
    <s v="Mark"/>
    <x v="0"/>
    <s v="Employee Benefits (EB)"/>
    <s v="Renewal"/>
    <n v="12699.7"/>
    <d v="2018-02-28T00:00:00"/>
    <s v="Brokerage"/>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Shivam Shah"/>
    <n v="51995029"/>
    <x v="1"/>
    <x v="304"/>
    <d v="2019-02-27T00:00:00"/>
    <x v="3"/>
    <n v="10"/>
    <s v="Mark"/>
    <x v="0"/>
    <s v="Employee Benefits (EB)"/>
    <s v="Renewal"/>
    <n v="12699.7"/>
    <d v="2018-02-28T00:00:00"/>
    <s v="Brokerage"/>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Bhavna Bhandari"/>
    <n v="51995029"/>
    <x v="1"/>
    <x v="304"/>
    <d v="2019-02-27T00:00:00"/>
    <x v="3"/>
    <n v="10"/>
    <s v="Mark"/>
    <x v="0"/>
    <s v="Employee Benefits (EB)"/>
    <s v="Renewal"/>
    <n v="13134.29"/>
    <d v="2018-04-16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Bhavna Bhandari"/>
    <n v="51995029"/>
    <x v="1"/>
    <x v="304"/>
    <d v="2019-02-27T00:00:00"/>
    <x v="3"/>
    <n v="10"/>
    <s v="Mark"/>
    <x v="0"/>
    <s v="Employee Benefits (EB)"/>
    <s v="Renewal"/>
    <n v="13134.29"/>
    <d v="2018-04-16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Bhavna Bhandari"/>
    <n v="51995029"/>
    <x v="1"/>
    <x v="304"/>
    <d v="2019-02-27T00:00:00"/>
    <x v="3"/>
    <n v="10"/>
    <s v="Mark"/>
    <x v="0"/>
    <s v="Employee Benefits (EB)"/>
    <s v="Renewal"/>
    <n v="13134.29"/>
    <d v="2018-04-16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Bhavna Bhandari"/>
    <n v="51995029"/>
    <x v="1"/>
    <x v="304"/>
    <d v="2019-02-27T00:00:00"/>
    <x v="3"/>
    <n v="10"/>
    <s v="Mark"/>
    <x v="0"/>
    <s v="Employee Benefits (EB)"/>
    <s v="Renewal"/>
    <n v="13134.29"/>
    <d v="2018-04-16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Bhavna Bhandari"/>
    <n v="51995029"/>
    <x v="1"/>
    <x v="304"/>
    <d v="2019-02-27T00:00:00"/>
    <x v="3"/>
    <n v="10"/>
    <s v="Mark"/>
    <x v="0"/>
    <s v="Employee Benefits (EB)"/>
    <s v="Renewal"/>
    <n v="13134.29"/>
    <d v="2018-04-16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Bhavna Bhandari"/>
    <n v="51995029"/>
    <x v="1"/>
    <x v="304"/>
    <d v="2019-02-27T00:00:00"/>
    <x v="3"/>
    <n v="10"/>
    <s v="Mark"/>
    <x v="0"/>
    <s v="Employee Benefits (EB)"/>
    <s v="Renewal"/>
    <n v="13134.29"/>
    <d v="2018-04-16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Bhavna Bhandari"/>
    <n v="51995029"/>
    <x v="1"/>
    <x v="304"/>
    <d v="2019-02-27T00:00:00"/>
    <x v="3"/>
    <n v="10"/>
    <s v="Mark"/>
    <x v="0"/>
    <s v="Employee Benefits (EB)"/>
    <s v="Renewal"/>
    <n v="13134.29"/>
    <d v="2018-04-16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Bhavna Bhandari"/>
    <n v="51995029"/>
    <x v="1"/>
    <x v="304"/>
    <d v="2019-02-27T00:00:00"/>
    <x v="3"/>
    <n v="10"/>
    <s v="Mark"/>
    <x v="0"/>
    <s v="Employee Benefits (EB)"/>
    <s v="Renewal"/>
    <n v="13134.29"/>
    <d v="2018-04-16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Bhavna Bhandari"/>
    <n v="51995029"/>
    <x v="1"/>
    <x v="304"/>
    <d v="2019-02-27T00:00:00"/>
    <x v="3"/>
    <n v="10"/>
    <s v="Mark"/>
    <x v="0"/>
    <s v="Employee Benefits (EB)"/>
    <s v="Renewal"/>
    <n v="13134.29"/>
    <d v="2018-04-16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Bhavna Bhandari"/>
    <n v="51995029"/>
    <x v="1"/>
    <x v="304"/>
    <d v="2019-02-27T00:00:00"/>
    <x v="3"/>
    <n v="10"/>
    <s v="Mark"/>
    <x v="0"/>
    <s v="Employee Benefits (EB)"/>
    <s v="Renewal"/>
    <n v="13134.29"/>
    <d v="2018-04-16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Tarun Shah"/>
    <n v="52916488"/>
    <x v="1"/>
    <x v="304"/>
    <d v="2019-02-27T00:00:00"/>
    <x v="3"/>
    <n v="10"/>
    <s v="Mark"/>
    <x v="0"/>
    <s v="Employee Benefits (EB)"/>
    <s v="Renewal"/>
    <n v="177405.38"/>
    <d v="2018-02-28T00:00:00"/>
    <s v="Brokerage"/>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Tarun Shah"/>
    <n v="52916488"/>
    <x v="1"/>
    <x v="304"/>
    <d v="2019-02-27T00:00:00"/>
    <x v="3"/>
    <n v="10"/>
    <s v="Mark"/>
    <x v="0"/>
    <s v="Employee Benefits (EB)"/>
    <s v="Renewal"/>
    <n v="177405.38"/>
    <d v="2018-02-28T00:00:00"/>
    <s v="Brokerage"/>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Tarun Shah"/>
    <n v="52916488"/>
    <x v="1"/>
    <x v="304"/>
    <d v="2019-02-27T00:00:00"/>
    <x v="3"/>
    <n v="10"/>
    <s v="Mark"/>
    <x v="0"/>
    <s v="Employee Benefits (EB)"/>
    <s v="Renewal"/>
    <n v="177405.38"/>
    <d v="2018-02-28T00:00:00"/>
    <s v="Brokerage"/>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Tarun Shah"/>
    <n v="52916488"/>
    <x v="1"/>
    <x v="304"/>
    <d v="2019-02-27T00:00:00"/>
    <x v="3"/>
    <n v="10"/>
    <s v="Mark"/>
    <x v="0"/>
    <s v="Employee Benefits (EB)"/>
    <s v="Renewal"/>
    <n v="177405.38"/>
    <d v="2018-02-28T00:00:00"/>
    <s v="Brokerage"/>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Tarun Shah"/>
    <n v="52916488"/>
    <x v="1"/>
    <x v="304"/>
    <d v="2019-02-27T00:00:00"/>
    <x v="3"/>
    <n v="10"/>
    <s v="Mark"/>
    <x v="0"/>
    <s v="Employee Benefits (EB)"/>
    <s v="Renewal"/>
    <n v="177405.38"/>
    <d v="2018-02-28T00:00:00"/>
    <s v="Brokerage"/>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Tarun Shah"/>
    <n v="52916488"/>
    <x v="1"/>
    <x v="304"/>
    <d v="2019-02-27T00:00:00"/>
    <x v="3"/>
    <n v="10"/>
    <s v="Mark"/>
    <x v="0"/>
    <s v="Employee Benefits (EB)"/>
    <s v="Renewal"/>
    <n v="177405.38"/>
    <d v="2018-02-28T00:00:00"/>
    <s v="Brokerage"/>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Tarun Shah"/>
    <n v="52916488"/>
    <x v="1"/>
    <x v="304"/>
    <d v="2019-02-27T00:00:00"/>
    <x v="3"/>
    <n v="10"/>
    <s v="Mark"/>
    <x v="0"/>
    <s v="Employee Benefits (EB)"/>
    <s v="Renewal"/>
    <n v="177405.38"/>
    <d v="2018-02-28T00:00:00"/>
    <s v="Brokerage"/>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Tarun Shah"/>
    <n v="52916488"/>
    <x v="1"/>
    <x v="304"/>
    <d v="2019-02-27T00:00:00"/>
    <x v="3"/>
    <n v="10"/>
    <s v="Mark"/>
    <x v="0"/>
    <s v="Employee Benefits (EB)"/>
    <s v="Renewal"/>
    <n v="177405.38"/>
    <d v="2018-02-28T00:00:00"/>
    <s v="Brokerage"/>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Tarun Shah"/>
    <n v="52916488"/>
    <x v="1"/>
    <x v="304"/>
    <d v="2019-02-27T00:00:00"/>
    <x v="3"/>
    <n v="10"/>
    <s v="Mark"/>
    <x v="0"/>
    <s v="Employee Benefits (EB)"/>
    <s v="Renewal"/>
    <n v="177405.38"/>
    <d v="2018-02-28T00:00:00"/>
    <s v="Brokerage"/>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Tarun Shah"/>
    <n v="52916488"/>
    <x v="1"/>
    <x v="304"/>
    <d v="2019-02-27T00:00:00"/>
    <x v="3"/>
    <n v="10"/>
    <s v="Mark"/>
    <x v="0"/>
    <s v="Employee Benefits (EB)"/>
    <s v="Renewal"/>
    <n v="177405.38"/>
    <d v="2018-02-28T00:00:00"/>
    <s v="Brokerage"/>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Hemant Chauhan"/>
    <n v="52916488"/>
    <x v="1"/>
    <x v="304"/>
    <d v="2019-02-27T00:00:00"/>
    <x v="3"/>
    <n v="10"/>
    <s v="Mark"/>
    <x v="0"/>
    <s v="Employee Benefits (EB)"/>
    <s v="Renewal"/>
    <n v="13134.29"/>
    <d v="2018-07-18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Hemant Chauhan"/>
    <n v="52916488"/>
    <x v="1"/>
    <x v="304"/>
    <d v="2019-02-27T00:00:00"/>
    <x v="3"/>
    <n v="10"/>
    <s v="Mark"/>
    <x v="0"/>
    <s v="Employee Benefits (EB)"/>
    <s v="Renewal"/>
    <n v="13134.29"/>
    <d v="2018-07-18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Hemant Chauhan"/>
    <n v="52916488"/>
    <x v="1"/>
    <x v="304"/>
    <d v="2019-02-27T00:00:00"/>
    <x v="3"/>
    <n v="10"/>
    <s v="Mark"/>
    <x v="0"/>
    <s v="Employee Benefits (EB)"/>
    <s v="Renewal"/>
    <n v="13134.29"/>
    <d v="2018-07-18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Hemant Chauhan"/>
    <n v="52916488"/>
    <x v="1"/>
    <x v="304"/>
    <d v="2019-02-27T00:00:00"/>
    <x v="3"/>
    <n v="10"/>
    <s v="Mark"/>
    <x v="0"/>
    <s v="Employee Benefits (EB)"/>
    <s v="Renewal"/>
    <n v="13134.29"/>
    <d v="2018-07-18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Hemant Chauhan"/>
    <n v="52916488"/>
    <x v="1"/>
    <x v="304"/>
    <d v="2019-02-27T00:00:00"/>
    <x v="3"/>
    <n v="10"/>
    <s v="Mark"/>
    <x v="0"/>
    <s v="Employee Benefits (EB)"/>
    <s v="Renewal"/>
    <n v="13134.29"/>
    <d v="2018-07-18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Hemant Chauhan"/>
    <n v="52916488"/>
    <x v="1"/>
    <x v="304"/>
    <d v="2019-02-27T00:00:00"/>
    <x v="3"/>
    <n v="10"/>
    <s v="Mark"/>
    <x v="0"/>
    <s v="Employee Benefits (EB)"/>
    <s v="Renewal"/>
    <n v="13134.29"/>
    <d v="2018-07-18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Hemant Chauhan"/>
    <n v="52916488"/>
    <x v="1"/>
    <x v="304"/>
    <d v="2019-02-27T00:00:00"/>
    <x v="3"/>
    <n v="10"/>
    <s v="Mark"/>
    <x v="0"/>
    <s v="Employee Benefits (EB)"/>
    <s v="Renewal"/>
    <n v="13134.29"/>
    <d v="2018-07-18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Hemant Chauhan"/>
    <n v="52916488"/>
    <x v="1"/>
    <x v="304"/>
    <d v="2019-02-27T00:00:00"/>
    <x v="3"/>
    <n v="10"/>
    <s v="Mark"/>
    <x v="0"/>
    <s v="Employee Benefits (EB)"/>
    <s v="Renewal"/>
    <n v="13134.29"/>
    <d v="2018-07-18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Hemant Chauhan"/>
    <n v="52916488"/>
    <x v="1"/>
    <x v="304"/>
    <d v="2019-02-27T00:00:00"/>
    <x v="3"/>
    <n v="10"/>
    <s v="Mark"/>
    <x v="0"/>
    <s v="Employee Benefits (EB)"/>
    <s v="Renewal"/>
    <n v="13134.29"/>
    <d v="2018-07-18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Hemant Chauhan"/>
    <n v="52916488"/>
    <x v="1"/>
    <x v="304"/>
    <d v="2019-02-27T00:00:00"/>
    <x v="3"/>
    <n v="10"/>
    <s v="Mark"/>
    <x v="0"/>
    <s v="Employee Benefits (EB)"/>
    <s v="Renewal"/>
    <n v="13134.29"/>
    <d v="2018-07-18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Geeta Verma"/>
    <n v="52916488"/>
    <x v="1"/>
    <x v="304"/>
    <d v="2019-02-27T00:00:00"/>
    <x v="3"/>
    <n v="10"/>
    <s v="Mark"/>
    <x v="0"/>
    <s v="Employee Benefits (EB)"/>
    <s v="Renewal"/>
    <n v="13134.29"/>
    <d v="2018-09-05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Geeta Verma"/>
    <n v="52916488"/>
    <x v="1"/>
    <x v="304"/>
    <d v="2019-02-27T00:00:00"/>
    <x v="3"/>
    <n v="10"/>
    <s v="Mark"/>
    <x v="0"/>
    <s v="Employee Benefits (EB)"/>
    <s v="Renewal"/>
    <n v="13134.29"/>
    <d v="2018-09-05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Geeta Verma"/>
    <n v="52916488"/>
    <x v="1"/>
    <x v="304"/>
    <d v="2019-02-27T00:00:00"/>
    <x v="3"/>
    <n v="10"/>
    <s v="Mark"/>
    <x v="0"/>
    <s v="Employee Benefits (EB)"/>
    <s v="Renewal"/>
    <n v="13134.29"/>
    <d v="2018-09-05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Geeta Verma"/>
    <n v="52916488"/>
    <x v="1"/>
    <x v="304"/>
    <d v="2019-02-27T00:00:00"/>
    <x v="3"/>
    <n v="10"/>
    <s v="Mark"/>
    <x v="0"/>
    <s v="Employee Benefits (EB)"/>
    <s v="Renewal"/>
    <n v="13134.29"/>
    <d v="2018-09-05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Geeta Verma"/>
    <n v="52916488"/>
    <x v="1"/>
    <x v="304"/>
    <d v="2019-02-27T00:00:00"/>
    <x v="3"/>
    <n v="10"/>
    <s v="Mark"/>
    <x v="0"/>
    <s v="Employee Benefits (EB)"/>
    <s v="Renewal"/>
    <n v="13134.29"/>
    <d v="2018-09-05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Geeta Verma"/>
    <n v="52916488"/>
    <x v="1"/>
    <x v="304"/>
    <d v="2019-02-27T00:00:00"/>
    <x v="3"/>
    <n v="10"/>
    <s v="Mark"/>
    <x v="0"/>
    <s v="Employee Benefits (EB)"/>
    <s v="Renewal"/>
    <n v="13134.29"/>
    <d v="2018-09-05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Geeta Verma"/>
    <n v="52916488"/>
    <x v="1"/>
    <x v="304"/>
    <d v="2019-02-27T00:00:00"/>
    <x v="3"/>
    <n v="10"/>
    <s v="Mark"/>
    <x v="0"/>
    <s v="Employee Benefits (EB)"/>
    <s v="Renewal"/>
    <n v="13134.29"/>
    <d v="2018-09-05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Geeta Verma"/>
    <n v="52916488"/>
    <x v="1"/>
    <x v="304"/>
    <d v="2019-02-27T00:00:00"/>
    <x v="3"/>
    <n v="10"/>
    <s v="Mark"/>
    <x v="0"/>
    <s v="Employee Benefits (EB)"/>
    <s v="Renewal"/>
    <n v="13134.29"/>
    <d v="2018-09-05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Geeta Verma"/>
    <n v="52916488"/>
    <x v="1"/>
    <x v="304"/>
    <d v="2019-02-27T00:00:00"/>
    <x v="3"/>
    <n v="10"/>
    <s v="Mark"/>
    <x v="0"/>
    <s v="Employee Benefits (EB)"/>
    <s v="Renewal"/>
    <n v="13134.29"/>
    <d v="2018-09-05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Geeta Verma"/>
    <n v="52916488"/>
    <x v="1"/>
    <x v="304"/>
    <d v="2019-02-27T00:00:00"/>
    <x v="3"/>
    <n v="10"/>
    <s v="Mark"/>
    <x v="0"/>
    <s v="Employee Benefits (EB)"/>
    <s v="Renewal"/>
    <n v="13134.29"/>
    <d v="2018-09-05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Ashok Patel"/>
    <n v="52916488"/>
    <x v="1"/>
    <x v="304"/>
    <d v="2019-02-27T00:00:00"/>
    <x v="3"/>
    <n v="10"/>
    <s v="Mark"/>
    <x v="0"/>
    <s v="Employee Benefits (EB)"/>
    <s v="Renewal"/>
    <n v="13134.29"/>
    <d v="2018-04-10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Ashok Patel"/>
    <n v="52916488"/>
    <x v="1"/>
    <x v="304"/>
    <d v="2019-02-27T00:00:00"/>
    <x v="3"/>
    <n v="10"/>
    <s v="Mark"/>
    <x v="0"/>
    <s v="Employee Benefits (EB)"/>
    <s v="Renewal"/>
    <n v="13134.29"/>
    <d v="2018-04-10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Ashok Patel"/>
    <n v="52916488"/>
    <x v="1"/>
    <x v="304"/>
    <d v="2019-02-27T00:00:00"/>
    <x v="3"/>
    <n v="10"/>
    <s v="Mark"/>
    <x v="0"/>
    <s v="Employee Benefits (EB)"/>
    <s v="Renewal"/>
    <n v="13134.29"/>
    <d v="2018-04-10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Ashok Patel"/>
    <n v="52916488"/>
    <x v="1"/>
    <x v="304"/>
    <d v="2019-02-27T00:00:00"/>
    <x v="3"/>
    <n v="10"/>
    <s v="Mark"/>
    <x v="0"/>
    <s v="Employee Benefits (EB)"/>
    <s v="Renewal"/>
    <n v="13134.29"/>
    <d v="2018-04-10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Ashok Patel"/>
    <n v="52916488"/>
    <x v="1"/>
    <x v="304"/>
    <d v="2019-02-27T00:00:00"/>
    <x v="3"/>
    <n v="10"/>
    <s v="Mark"/>
    <x v="0"/>
    <s v="Employee Benefits (EB)"/>
    <s v="Renewal"/>
    <n v="13134.29"/>
    <d v="2018-04-10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Ashok Patel"/>
    <n v="52916488"/>
    <x v="1"/>
    <x v="304"/>
    <d v="2019-02-27T00:00:00"/>
    <x v="3"/>
    <n v="10"/>
    <s v="Mark"/>
    <x v="0"/>
    <s v="Employee Benefits (EB)"/>
    <s v="Renewal"/>
    <n v="13134.29"/>
    <d v="2018-04-10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Ashok Patel"/>
    <n v="52916488"/>
    <x v="1"/>
    <x v="304"/>
    <d v="2019-02-27T00:00:00"/>
    <x v="3"/>
    <n v="10"/>
    <s v="Mark"/>
    <x v="0"/>
    <s v="Employee Benefits (EB)"/>
    <s v="Renewal"/>
    <n v="13134.29"/>
    <d v="2018-04-10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Ashok Patel"/>
    <n v="52916488"/>
    <x v="1"/>
    <x v="304"/>
    <d v="2019-02-27T00:00:00"/>
    <x v="3"/>
    <n v="10"/>
    <s v="Mark"/>
    <x v="0"/>
    <s v="Employee Benefits (EB)"/>
    <s v="Renewal"/>
    <n v="13134.29"/>
    <d v="2018-04-10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Ashok Patel"/>
    <n v="52916488"/>
    <x v="1"/>
    <x v="304"/>
    <d v="2019-02-27T00:00:00"/>
    <x v="3"/>
    <n v="10"/>
    <s v="Mark"/>
    <x v="0"/>
    <s v="Employee Benefits (EB)"/>
    <s v="Renewal"/>
    <n v="13134.29"/>
    <d v="2018-04-10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Ashok Patel"/>
    <n v="52916488"/>
    <x v="1"/>
    <x v="304"/>
    <d v="2019-02-27T00:00:00"/>
    <x v="3"/>
    <n v="10"/>
    <s v="Mark"/>
    <x v="0"/>
    <s v="Employee Benefits (EB)"/>
    <s v="Renewal"/>
    <n v="13134.29"/>
    <d v="2018-04-10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Gayatri Reddy"/>
    <n v="52971603"/>
    <x v="1"/>
    <x v="11"/>
    <d v="2019-06-11T00:00:00"/>
    <x v="3"/>
    <n v="10"/>
    <s v="Mark"/>
    <x v="0"/>
    <s v="Employee Benefits (EB)"/>
    <s v="Cross Sell"/>
    <n v="63872.4"/>
    <d v="2018-06-12T00:00:00"/>
    <s v="Brokerage"/>
    <x v="3"/>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Gayatri Reddy"/>
    <n v="52971603"/>
    <x v="1"/>
    <x v="11"/>
    <d v="2019-06-11T00:00:00"/>
    <x v="3"/>
    <n v="10"/>
    <s v="Mark"/>
    <x v="0"/>
    <s v="Employee Benefits (EB)"/>
    <s v="Cross Sell"/>
    <n v="63872.4"/>
    <d v="2018-06-12T00:00:00"/>
    <s v="Brokerage"/>
    <x v="3"/>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Gayatri Reddy"/>
    <n v="52971603"/>
    <x v="1"/>
    <x v="11"/>
    <d v="2019-06-11T00:00:00"/>
    <x v="3"/>
    <n v="10"/>
    <s v="Mark"/>
    <x v="0"/>
    <s v="Employee Benefits (EB)"/>
    <s v="Cross Sell"/>
    <n v="63872.4"/>
    <d v="2018-06-12T00:00:00"/>
    <s v="Brokerage"/>
    <x v="3"/>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Gayatri Reddy"/>
    <n v="52971603"/>
    <x v="1"/>
    <x v="11"/>
    <d v="2019-06-11T00:00:00"/>
    <x v="3"/>
    <n v="10"/>
    <s v="Mark"/>
    <x v="0"/>
    <s v="Employee Benefits (EB)"/>
    <s v="Cross Sell"/>
    <n v="63872.4"/>
    <d v="2018-06-12T00:00:00"/>
    <s v="Brokerage"/>
    <x v="3"/>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Gayatri Reddy"/>
    <n v="52971603"/>
    <x v="1"/>
    <x v="11"/>
    <d v="2019-06-11T00:00:00"/>
    <x v="3"/>
    <n v="10"/>
    <s v="Mark"/>
    <x v="0"/>
    <s v="Employee Benefits (EB)"/>
    <s v="Cross Sell"/>
    <n v="63872.4"/>
    <d v="2018-06-12T00:00:00"/>
    <s v="Brokerage"/>
    <x v="3"/>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Gayatri Reddy"/>
    <n v="52971603"/>
    <x v="1"/>
    <x v="11"/>
    <d v="2019-06-11T00:00:00"/>
    <x v="3"/>
    <n v="10"/>
    <s v="Mark"/>
    <x v="0"/>
    <s v="Employee Benefits (EB)"/>
    <s v="Cross Sell"/>
    <n v="63872.4"/>
    <d v="2018-06-12T00:00:00"/>
    <s v="Brokerage"/>
    <x v="3"/>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Gayatri Reddy"/>
    <n v="52971603"/>
    <x v="1"/>
    <x v="11"/>
    <d v="2019-06-11T00:00:00"/>
    <x v="3"/>
    <n v="10"/>
    <s v="Mark"/>
    <x v="0"/>
    <s v="Employee Benefits (EB)"/>
    <s v="Cross Sell"/>
    <n v="63872.4"/>
    <d v="2018-06-12T00:00:00"/>
    <s v="Brokerage"/>
    <x v="3"/>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Gayatri Reddy"/>
    <n v="52971603"/>
    <x v="1"/>
    <x v="11"/>
    <d v="2019-06-11T00:00:00"/>
    <x v="3"/>
    <n v="10"/>
    <s v="Mark"/>
    <x v="0"/>
    <s v="Employee Benefits (EB)"/>
    <s v="Cross Sell"/>
    <n v="63872.4"/>
    <d v="2018-06-12T00:00:00"/>
    <s v="Brokerage"/>
    <x v="3"/>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Gayatri Reddy"/>
    <n v="52971603"/>
    <x v="1"/>
    <x v="11"/>
    <d v="2019-06-11T00:00:00"/>
    <x v="3"/>
    <n v="10"/>
    <s v="Mark"/>
    <x v="0"/>
    <s v="Employee Benefits (EB)"/>
    <s v="Cross Sell"/>
    <n v="63872.4"/>
    <d v="2018-06-12T00:00:00"/>
    <s v="Brokerage"/>
    <x v="3"/>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Gayatri Reddy"/>
    <n v="52971603"/>
    <x v="1"/>
    <x v="11"/>
    <d v="2019-06-11T00:00:00"/>
    <x v="3"/>
    <n v="10"/>
    <s v="Mark"/>
    <x v="0"/>
    <s v="Employee Benefits (EB)"/>
    <s v="Cross Sell"/>
    <n v="63872.4"/>
    <d v="2018-06-12T00:00:00"/>
    <s v="Brokerage"/>
    <x v="3"/>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Snehal Patel"/>
    <n v="52971603"/>
    <x v="1"/>
    <x v="11"/>
    <d v="2019-06-11T00:00:00"/>
    <x v="3"/>
    <n v="10"/>
    <s v="Mark"/>
    <x v="0"/>
    <s v="Employee Benefits (EB)"/>
    <s v="Cross Sell"/>
    <n v="13134.29"/>
    <d v="2018-08-06T00:00:00"/>
    <s v="Brokerage "/>
    <x v="3"/>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Snehal Patel"/>
    <n v="52971603"/>
    <x v="1"/>
    <x v="11"/>
    <d v="2019-06-11T00:00:00"/>
    <x v="3"/>
    <n v="10"/>
    <s v="Mark"/>
    <x v="0"/>
    <s v="Employee Benefits (EB)"/>
    <s v="Cross Sell"/>
    <n v="13134.29"/>
    <d v="2018-08-06T00:00:00"/>
    <s v="Brokerage "/>
    <x v="3"/>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Snehal Patel"/>
    <n v="52971603"/>
    <x v="1"/>
    <x v="11"/>
    <d v="2019-06-11T00:00:00"/>
    <x v="3"/>
    <n v="10"/>
    <s v="Mark"/>
    <x v="0"/>
    <s v="Employee Benefits (EB)"/>
    <s v="Cross Sell"/>
    <n v="13134.29"/>
    <d v="2018-08-06T00:00:00"/>
    <s v="Brokerage "/>
    <x v="3"/>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Snehal Patel"/>
    <n v="52971603"/>
    <x v="1"/>
    <x v="11"/>
    <d v="2019-06-11T00:00:00"/>
    <x v="3"/>
    <n v="10"/>
    <s v="Mark"/>
    <x v="0"/>
    <s v="Employee Benefits (EB)"/>
    <s v="Cross Sell"/>
    <n v="13134.29"/>
    <d v="2018-08-06T00:00:00"/>
    <s v="Brokerage "/>
    <x v="3"/>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Snehal Patel"/>
    <n v="52971603"/>
    <x v="1"/>
    <x v="11"/>
    <d v="2019-06-11T00:00:00"/>
    <x v="3"/>
    <n v="10"/>
    <s v="Mark"/>
    <x v="0"/>
    <s v="Employee Benefits (EB)"/>
    <s v="Cross Sell"/>
    <n v="13134.29"/>
    <d v="2018-08-06T00:00:00"/>
    <s v="Brokerage "/>
    <x v="3"/>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Snehal Patel"/>
    <n v="52971603"/>
    <x v="1"/>
    <x v="11"/>
    <d v="2019-06-11T00:00:00"/>
    <x v="3"/>
    <n v="10"/>
    <s v="Mark"/>
    <x v="0"/>
    <s v="Employee Benefits (EB)"/>
    <s v="Cross Sell"/>
    <n v="13134.29"/>
    <d v="2018-08-06T00:00:00"/>
    <s v="Brokerage "/>
    <x v="3"/>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Snehal Patel"/>
    <n v="52971603"/>
    <x v="1"/>
    <x v="11"/>
    <d v="2019-06-11T00:00:00"/>
    <x v="3"/>
    <n v="10"/>
    <s v="Mark"/>
    <x v="0"/>
    <s v="Employee Benefits (EB)"/>
    <s v="Cross Sell"/>
    <n v="13134.29"/>
    <d v="2018-08-06T00:00:00"/>
    <s v="Brokerage "/>
    <x v="3"/>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Snehal Patel"/>
    <n v="52971603"/>
    <x v="1"/>
    <x v="11"/>
    <d v="2019-06-11T00:00:00"/>
    <x v="3"/>
    <n v="10"/>
    <s v="Mark"/>
    <x v="0"/>
    <s v="Employee Benefits (EB)"/>
    <s v="Cross Sell"/>
    <n v="13134.29"/>
    <d v="2018-08-06T00:00:00"/>
    <s v="Brokerage "/>
    <x v="3"/>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Snehal Patel"/>
    <n v="52971603"/>
    <x v="1"/>
    <x v="11"/>
    <d v="2019-06-11T00:00:00"/>
    <x v="3"/>
    <n v="10"/>
    <s v="Mark"/>
    <x v="0"/>
    <s v="Employee Benefits (EB)"/>
    <s v="Cross Sell"/>
    <n v="13134.29"/>
    <d v="2018-08-06T00:00:00"/>
    <s v="Brokerage "/>
    <x v="3"/>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Snehal Patel"/>
    <n v="52971603"/>
    <x v="1"/>
    <x v="11"/>
    <d v="2019-06-11T00:00:00"/>
    <x v="3"/>
    <n v="10"/>
    <s v="Mark"/>
    <x v="0"/>
    <s v="Employee Benefits (EB)"/>
    <s v="Cross Sell"/>
    <n v="13134.29"/>
    <d v="2018-08-06T00:00:00"/>
    <s v="Brokerage "/>
    <x v="3"/>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Vivek Yadav"/>
    <n v="54445288"/>
    <x v="0"/>
    <x v="88"/>
    <d v="2020-02-27T00:00:00"/>
    <x v="3"/>
    <n v="10"/>
    <s v="Mark"/>
    <x v="0"/>
    <s v="Employee Benefits (EB)"/>
    <s v="Renewal"/>
    <n v="11111.4"/>
    <d v="2019-02-28T00:00:00"/>
    <s v="Brokerage"/>
    <x v="1"/>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Vivek Yadav"/>
    <n v="54445288"/>
    <x v="0"/>
    <x v="88"/>
    <d v="2020-02-27T00:00:00"/>
    <x v="3"/>
    <n v="10"/>
    <s v="Mark"/>
    <x v="0"/>
    <s v="Employee Benefits (EB)"/>
    <s v="Renewal"/>
    <n v="11111.4"/>
    <d v="2019-02-28T00:00:00"/>
    <s v="Brokerage"/>
    <x v="1"/>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Vivek Yadav"/>
    <n v="54445288"/>
    <x v="0"/>
    <x v="88"/>
    <d v="2020-02-27T00:00:00"/>
    <x v="3"/>
    <n v="10"/>
    <s v="Mark"/>
    <x v="0"/>
    <s v="Employee Benefits (EB)"/>
    <s v="Renewal"/>
    <n v="11111.4"/>
    <d v="2019-02-28T00:00:00"/>
    <s v="Brokerage"/>
    <x v="1"/>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Vivek Yadav"/>
    <n v="54445288"/>
    <x v="0"/>
    <x v="88"/>
    <d v="2020-02-27T00:00:00"/>
    <x v="3"/>
    <n v="10"/>
    <s v="Mark"/>
    <x v="0"/>
    <s v="Employee Benefits (EB)"/>
    <s v="Renewal"/>
    <n v="11111.4"/>
    <d v="2019-02-28T00:00:00"/>
    <s v="Brokerage"/>
    <x v="1"/>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Vivek Yadav"/>
    <n v="54445288"/>
    <x v="0"/>
    <x v="88"/>
    <d v="2020-02-27T00:00:00"/>
    <x v="3"/>
    <n v="10"/>
    <s v="Mark"/>
    <x v="0"/>
    <s v="Employee Benefits (EB)"/>
    <s v="Renewal"/>
    <n v="11111.4"/>
    <d v="2019-02-28T00:00:00"/>
    <s v="Brokerage"/>
    <x v="1"/>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Vivek Yadav"/>
    <n v="54445288"/>
    <x v="0"/>
    <x v="88"/>
    <d v="2020-02-27T00:00:00"/>
    <x v="3"/>
    <n v="10"/>
    <s v="Mark"/>
    <x v="0"/>
    <s v="Employee Benefits (EB)"/>
    <s v="Renewal"/>
    <n v="11111.4"/>
    <d v="2019-02-28T00:00:00"/>
    <s v="Brokerage"/>
    <x v="1"/>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Vivek Yadav"/>
    <n v="54445288"/>
    <x v="0"/>
    <x v="88"/>
    <d v="2020-02-27T00:00:00"/>
    <x v="3"/>
    <n v="10"/>
    <s v="Mark"/>
    <x v="0"/>
    <s v="Employee Benefits (EB)"/>
    <s v="Renewal"/>
    <n v="11111.4"/>
    <d v="2019-02-28T00:00:00"/>
    <s v="Brokerage"/>
    <x v="1"/>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Vivek Yadav"/>
    <n v="54445288"/>
    <x v="0"/>
    <x v="88"/>
    <d v="2020-02-27T00:00:00"/>
    <x v="3"/>
    <n v="10"/>
    <s v="Mark"/>
    <x v="0"/>
    <s v="Employee Benefits (EB)"/>
    <s v="Renewal"/>
    <n v="11111.4"/>
    <d v="2019-02-28T00:00:00"/>
    <s v="Brokerage"/>
    <x v="1"/>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Vivek Yadav"/>
    <n v="54445288"/>
    <x v="0"/>
    <x v="88"/>
    <d v="2020-02-27T00:00:00"/>
    <x v="3"/>
    <n v="10"/>
    <s v="Mark"/>
    <x v="0"/>
    <s v="Employee Benefits (EB)"/>
    <s v="Renewal"/>
    <n v="11111.4"/>
    <d v="2019-02-28T00:00:00"/>
    <s v="Brokerage"/>
    <x v="1"/>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Vivek Yadav"/>
    <n v="54445288"/>
    <x v="0"/>
    <x v="88"/>
    <d v="2020-02-27T00:00:00"/>
    <x v="3"/>
    <n v="10"/>
    <s v="Mark"/>
    <x v="0"/>
    <s v="Employee Benefits (EB)"/>
    <s v="Renewal"/>
    <n v="11111.4"/>
    <d v="2019-02-28T00:00:00"/>
    <s v="Brokerage"/>
    <x v="1"/>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Kiran Saxena"/>
    <s v="H0067187"/>
    <x v="0"/>
    <x v="88"/>
    <d v="2020-02-27T00:00:00"/>
    <x v="3"/>
    <n v="10"/>
    <s v="Mark"/>
    <x v="0"/>
    <s v="Employee Benefits (EB)"/>
    <s v="Renewal"/>
    <n v="329250"/>
    <d v="2019-02-28T00:00:00"/>
    <s v="Brokerage"/>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Kiran Saxena"/>
    <s v="H0067187"/>
    <x v="0"/>
    <x v="88"/>
    <d v="2020-02-27T00:00:00"/>
    <x v="3"/>
    <n v="10"/>
    <s v="Mark"/>
    <x v="0"/>
    <s v="Employee Benefits (EB)"/>
    <s v="Renewal"/>
    <n v="329250"/>
    <d v="2019-02-28T00:00:00"/>
    <s v="Brokerage"/>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Kiran Saxena"/>
    <s v="H0067187"/>
    <x v="0"/>
    <x v="88"/>
    <d v="2020-02-27T00:00:00"/>
    <x v="3"/>
    <n v="10"/>
    <s v="Mark"/>
    <x v="0"/>
    <s v="Employee Benefits (EB)"/>
    <s v="Renewal"/>
    <n v="329250"/>
    <d v="2019-02-28T00:00:00"/>
    <s v="Brokerage"/>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Kiran Saxena"/>
    <s v="H0067187"/>
    <x v="0"/>
    <x v="88"/>
    <d v="2020-02-27T00:00:00"/>
    <x v="3"/>
    <n v="10"/>
    <s v="Mark"/>
    <x v="0"/>
    <s v="Employee Benefits (EB)"/>
    <s v="Renewal"/>
    <n v="329250"/>
    <d v="2019-02-28T00:00:00"/>
    <s v="Brokerage"/>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Kiran Saxena"/>
    <s v="H0067187"/>
    <x v="0"/>
    <x v="88"/>
    <d v="2020-02-27T00:00:00"/>
    <x v="3"/>
    <n v="10"/>
    <s v="Mark"/>
    <x v="0"/>
    <s v="Employee Benefits (EB)"/>
    <s v="Renewal"/>
    <n v="329250"/>
    <d v="2019-02-28T00:00:00"/>
    <s v="Brokerage"/>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Kiran Saxena"/>
    <s v="H0067187"/>
    <x v="0"/>
    <x v="88"/>
    <d v="2020-02-27T00:00:00"/>
    <x v="3"/>
    <n v="10"/>
    <s v="Mark"/>
    <x v="0"/>
    <s v="Employee Benefits (EB)"/>
    <s v="Renewal"/>
    <n v="329250"/>
    <d v="2019-02-28T00:00:00"/>
    <s v="Brokerage"/>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Kiran Saxena"/>
    <s v="H0067187"/>
    <x v="0"/>
    <x v="88"/>
    <d v="2020-02-27T00:00:00"/>
    <x v="3"/>
    <n v="10"/>
    <s v="Mark"/>
    <x v="0"/>
    <s v="Employee Benefits (EB)"/>
    <s v="Renewal"/>
    <n v="329250"/>
    <d v="2019-02-28T00:00:00"/>
    <s v="Brokerage"/>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Kiran Saxena"/>
    <s v="H0067187"/>
    <x v="0"/>
    <x v="88"/>
    <d v="2020-02-27T00:00:00"/>
    <x v="3"/>
    <n v="10"/>
    <s v="Mark"/>
    <x v="0"/>
    <s v="Employee Benefits (EB)"/>
    <s v="Renewal"/>
    <n v="329250"/>
    <d v="2019-02-28T00:00:00"/>
    <s v="Brokerage"/>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Kiran Saxena"/>
    <s v="H0067187"/>
    <x v="0"/>
    <x v="88"/>
    <d v="2020-02-27T00:00:00"/>
    <x v="3"/>
    <n v="10"/>
    <s v="Mark"/>
    <x v="0"/>
    <s v="Employee Benefits (EB)"/>
    <s v="Renewal"/>
    <n v="329250"/>
    <d v="2019-02-28T00:00:00"/>
    <s v="Brokerage"/>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Kiran Saxena"/>
    <s v="H0067187"/>
    <x v="0"/>
    <x v="88"/>
    <d v="2020-02-27T00:00:00"/>
    <x v="3"/>
    <n v="10"/>
    <s v="Mark"/>
    <x v="0"/>
    <s v="Employee Benefits (EB)"/>
    <s v="Renewal"/>
    <n v="329250"/>
    <d v="2019-02-28T00:00:00"/>
    <s v="Brokerage"/>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Uday Reddy"/>
    <s v="H0067187"/>
    <x v="0"/>
    <x v="88"/>
    <d v="2020-02-27T00:00:00"/>
    <x v="3"/>
    <n v="10"/>
    <s v="Mark"/>
    <x v="0"/>
    <s v="Employee Benefits (EB)"/>
    <s v="Renewal"/>
    <n v="10772.33"/>
    <d v="2019-03-14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Uday Reddy"/>
    <s v="H0067187"/>
    <x v="0"/>
    <x v="88"/>
    <d v="2020-02-27T00:00:00"/>
    <x v="3"/>
    <n v="10"/>
    <s v="Mark"/>
    <x v="0"/>
    <s v="Employee Benefits (EB)"/>
    <s v="Renewal"/>
    <n v="10772.33"/>
    <d v="2019-03-14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Uday Reddy"/>
    <s v="H0067187"/>
    <x v="0"/>
    <x v="88"/>
    <d v="2020-02-27T00:00:00"/>
    <x v="3"/>
    <n v="10"/>
    <s v="Mark"/>
    <x v="0"/>
    <s v="Employee Benefits (EB)"/>
    <s v="Renewal"/>
    <n v="10772.33"/>
    <d v="2019-03-14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Uday Reddy"/>
    <s v="H0067187"/>
    <x v="0"/>
    <x v="88"/>
    <d v="2020-02-27T00:00:00"/>
    <x v="3"/>
    <n v="10"/>
    <s v="Mark"/>
    <x v="0"/>
    <s v="Employee Benefits (EB)"/>
    <s v="Renewal"/>
    <n v="10772.33"/>
    <d v="2019-03-14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Uday Reddy"/>
    <s v="H0067187"/>
    <x v="0"/>
    <x v="88"/>
    <d v="2020-02-27T00:00:00"/>
    <x v="3"/>
    <n v="10"/>
    <s v="Mark"/>
    <x v="0"/>
    <s v="Employee Benefits (EB)"/>
    <s v="Renewal"/>
    <n v="10772.33"/>
    <d v="2019-03-14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Uday Reddy"/>
    <s v="H0067187"/>
    <x v="0"/>
    <x v="88"/>
    <d v="2020-02-27T00:00:00"/>
    <x v="3"/>
    <n v="10"/>
    <s v="Mark"/>
    <x v="0"/>
    <s v="Employee Benefits (EB)"/>
    <s v="Renewal"/>
    <n v="10772.33"/>
    <d v="2019-03-14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Uday Reddy"/>
    <s v="H0067187"/>
    <x v="0"/>
    <x v="88"/>
    <d v="2020-02-27T00:00:00"/>
    <x v="3"/>
    <n v="10"/>
    <s v="Mark"/>
    <x v="0"/>
    <s v="Employee Benefits (EB)"/>
    <s v="Renewal"/>
    <n v="10772.33"/>
    <d v="2019-03-14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Uday Reddy"/>
    <s v="H0067187"/>
    <x v="0"/>
    <x v="88"/>
    <d v="2020-02-27T00:00:00"/>
    <x v="3"/>
    <n v="10"/>
    <s v="Mark"/>
    <x v="0"/>
    <s v="Employee Benefits (EB)"/>
    <s v="Renewal"/>
    <n v="10772.33"/>
    <d v="2019-03-14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Uday Reddy"/>
    <s v="H0067187"/>
    <x v="0"/>
    <x v="88"/>
    <d v="2020-02-27T00:00:00"/>
    <x v="3"/>
    <n v="10"/>
    <s v="Mark"/>
    <x v="0"/>
    <s v="Employee Benefits (EB)"/>
    <s v="Renewal"/>
    <n v="10772.33"/>
    <d v="2019-03-14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Uday Reddy"/>
    <s v="H0067187"/>
    <x v="0"/>
    <x v="88"/>
    <d v="2020-02-27T00:00:00"/>
    <x v="3"/>
    <n v="10"/>
    <s v="Mark"/>
    <x v="0"/>
    <s v="Employee Benefits (EB)"/>
    <s v="Renewal"/>
    <n v="10772.33"/>
    <d v="2019-03-14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Anita Pandit"/>
    <s v="H0067187"/>
    <x v="0"/>
    <x v="88"/>
    <d v="2020-02-27T00:00:00"/>
    <x v="3"/>
    <n v="10"/>
    <s v="Mark"/>
    <x v="0"/>
    <s v="Employee Benefits (EB)"/>
    <s v="Renewal"/>
    <n v="9283.0499999999993"/>
    <d v="2019-04-18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Anita Pandit"/>
    <s v="H0067187"/>
    <x v="0"/>
    <x v="88"/>
    <d v="2020-02-27T00:00:00"/>
    <x v="3"/>
    <n v="10"/>
    <s v="Mark"/>
    <x v="0"/>
    <s v="Employee Benefits (EB)"/>
    <s v="Renewal"/>
    <n v="9283.0499999999993"/>
    <d v="2019-04-18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Anita Pandit"/>
    <s v="H0067187"/>
    <x v="0"/>
    <x v="88"/>
    <d v="2020-02-27T00:00:00"/>
    <x v="3"/>
    <n v="10"/>
    <s v="Mark"/>
    <x v="0"/>
    <s v="Employee Benefits (EB)"/>
    <s v="Renewal"/>
    <n v="9283.0499999999993"/>
    <d v="2019-04-18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Anita Pandit"/>
    <s v="H0067187"/>
    <x v="0"/>
    <x v="88"/>
    <d v="2020-02-27T00:00:00"/>
    <x v="3"/>
    <n v="10"/>
    <s v="Mark"/>
    <x v="0"/>
    <s v="Employee Benefits (EB)"/>
    <s v="Renewal"/>
    <n v="9283.0499999999993"/>
    <d v="2019-04-18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Anita Pandit"/>
    <s v="H0067187"/>
    <x v="0"/>
    <x v="88"/>
    <d v="2020-02-27T00:00:00"/>
    <x v="3"/>
    <n v="10"/>
    <s v="Mark"/>
    <x v="0"/>
    <s v="Employee Benefits (EB)"/>
    <s v="Renewal"/>
    <n v="9283.0499999999993"/>
    <d v="2019-04-18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Anita Pandit"/>
    <s v="H0067187"/>
    <x v="0"/>
    <x v="88"/>
    <d v="2020-02-27T00:00:00"/>
    <x v="3"/>
    <n v="10"/>
    <s v="Mark"/>
    <x v="0"/>
    <s v="Employee Benefits (EB)"/>
    <s v="Renewal"/>
    <n v="9283.0499999999993"/>
    <d v="2019-04-18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Anita Pandit"/>
    <s v="H0067187"/>
    <x v="0"/>
    <x v="88"/>
    <d v="2020-02-27T00:00:00"/>
    <x v="3"/>
    <n v="10"/>
    <s v="Mark"/>
    <x v="0"/>
    <s v="Employee Benefits (EB)"/>
    <s v="Renewal"/>
    <n v="9283.0499999999993"/>
    <d v="2019-04-18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Anita Pandit"/>
    <s v="H0067187"/>
    <x v="0"/>
    <x v="88"/>
    <d v="2020-02-27T00:00:00"/>
    <x v="3"/>
    <n v="10"/>
    <s v="Mark"/>
    <x v="0"/>
    <s v="Employee Benefits (EB)"/>
    <s v="Renewal"/>
    <n v="9283.0499999999993"/>
    <d v="2019-04-18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Anita Pandit"/>
    <s v="H0067187"/>
    <x v="0"/>
    <x v="88"/>
    <d v="2020-02-27T00:00:00"/>
    <x v="3"/>
    <n v="10"/>
    <s v="Mark"/>
    <x v="0"/>
    <s v="Employee Benefits (EB)"/>
    <s v="Renewal"/>
    <n v="9283.0499999999993"/>
    <d v="2019-04-18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Anita Pandit"/>
    <s v="H0067187"/>
    <x v="0"/>
    <x v="88"/>
    <d v="2020-02-27T00:00:00"/>
    <x v="3"/>
    <n v="10"/>
    <s v="Mark"/>
    <x v="0"/>
    <s v="Employee Benefits (EB)"/>
    <s v="Renewal"/>
    <n v="9283.0499999999993"/>
    <d v="2019-04-18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Hina Malhotra"/>
    <s v="H0067187"/>
    <x v="0"/>
    <x v="88"/>
    <d v="2020-02-27T00:00:00"/>
    <x v="3"/>
    <n v="10"/>
    <s v="Mark"/>
    <x v="0"/>
    <s v="Employee Benefits (EB)"/>
    <s v="Renewal"/>
    <n v="6903.45"/>
    <d v="2019-05-30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Hina Malhotra"/>
    <s v="H0067187"/>
    <x v="0"/>
    <x v="88"/>
    <d v="2020-02-27T00:00:00"/>
    <x v="3"/>
    <n v="10"/>
    <s v="Mark"/>
    <x v="0"/>
    <s v="Employee Benefits (EB)"/>
    <s v="Renewal"/>
    <n v="6903.45"/>
    <d v="2019-05-30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Hina Malhotra"/>
    <s v="H0067187"/>
    <x v="0"/>
    <x v="88"/>
    <d v="2020-02-27T00:00:00"/>
    <x v="3"/>
    <n v="10"/>
    <s v="Mark"/>
    <x v="0"/>
    <s v="Employee Benefits (EB)"/>
    <s v="Renewal"/>
    <n v="6903.45"/>
    <d v="2019-05-30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Hina Malhotra"/>
    <s v="H0067187"/>
    <x v="0"/>
    <x v="88"/>
    <d v="2020-02-27T00:00:00"/>
    <x v="3"/>
    <n v="10"/>
    <s v="Mark"/>
    <x v="0"/>
    <s v="Employee Benefits (EB)"/>
    <s v="Renewal"/>
    <n v="6903.45"/>
    <d v="2019-05-30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Hina Malhotra"/>
    <s v="H0067187"/>
    <x v="0"/>
    <x v="88"/>
    <d v="2020-02-27T00:00:00"/>
    <x v="3"/>
    <n v="10"/>
    <s v="Mark"/>
    <x v="0"/>
    <s v="Employee Benefits (EB)"/>
    <s v="Renewal"/>
    <n v="6903.45"/>
    <d v="2019-05-30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Hina Malhotra"/>
    <s v="H0067187"/>
    <x v="0"/>
    <x v="88"/>
    <d v="2020-02-27T00:00:00"/>
    <x v="3"/>
    <n v="10"/>
    <s v="Mark"/>
    <x v="0"/>
    <s v="Employee Benefits (EB)"/>
    <s v="Renewal"/>
    <n v="6903.45"/>
    <d v="2019-05-30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Hina Malhotra"/>
    <s v="H0067187"/>
    <x v="0"/>
    <x v="88"/>
    <d v="2020-02-27T00:00:00"/>
    <x v="3"/>
    <n v="10"/>
    <s v="Mark"/>
    <x v="0"/>
    <s v="Employee Benefits (EB)"/>
    <s v="Renewal"/>
    <n v="6903.45"/>
    <d v="2019-05-30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Hina Malhotra"/>
    <s v="H0067187"/>
    <x v="0"/>
    <x v="88"/>
    <d v="2020-02-27T00:00:00"/>
    <x v="3"/>
    <n v="10"/>
    <s v="Mark"/>
    <x v="0"/>
    <s v="Employee Benefits (EB)"/>
    <s v="Renewal"/>
    <n v="6903.45"/>
    <d v="2019-05-30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Hina Malhotra"/>
    <s v="H0067187"/>
    <x v="0"/>
    <x v="88"/>
    <d v="2020-02-27T00:00:00"/>
    <x v="3"/>
    <n v="10"/>
    <s v="Mark"/>
    <x v="0"/>
    <s v="Employee Benefits (EB)"/>
    <s v="Renewal"/>
    <n v="6903.45"/>
    <d v="2019-05-30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Hina Malhotra"/>
    <s v="H0067187"/>
    <x v="0"/>
    <x v="88"/>
    <d v="2020-02-27T00:00:00"/>
    <x v="3"/>
    <n v="10"/>
    <s v="Mark"/>
    <x v="0"/>
    <s v="Employee Benefits (EB)"/>
    <s v="Renewal"/>
    <n v="6903.45"/>
    <d v="2019-05-30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Alka Patel"/>
    <s v="H0067187"/>
    <x v="0"/>
    <x v="88"/>
    <d v="2020-02-27T00:00:00"/>
    <x v="3"/>
    <n v="10"/>
    <s v="Mark"/>
    <x v="0"/>
    <s v="Employee Benefits (EB)"/>
    <s v="Renewal"/>
    <n v="399.23"/>
    <d v="2019-06-21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Alka Patel"/>
    <s v="H0067187"/>
    <x v="0"/>
    <x v="88"/>
    <d v="2020-02-27T00:00:00"/>
    <x v="3"/>
    <n v="10"/>
    <s v="Mark"/>
    <x v="0"/>
    <s v="Employee Benefits (EB)"/>
    <s v="Renewal"/>
    <n v="399.23"/>
    <d v="2019-06-21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Alka Patel"/>
    <s v="H0067187"/>
    <x v="0"/>
    <x v="88"/>
    <d v="2020-02-27T00:00:00"/>
    <x v="3"/>
    <n v="10"/>
    <s v="Mark"/>
    <x v="0"/>
    <s v="Employee Benefits (EB)"/>
    <s v="Renewal"/>
    <n v="399.23"/>
    <d v="2019-06-21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Alka Patel"/>
    <s v="H0067187"/>
    <x v="0"/>
    <x v="88"/>
    <d v="2020-02-27T00:00:00"/>
    <x v="3"/>
    <n v="10"/>
    <s v="Mark"/>
    <x v="0"/>
    <s v="Employee Benefits (EB)"/>
    <s v="Renewal"/>
    <n v="399.23"/>
    <d v="2019-06-21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Alka Patel"/>
    <s v="H0067187"/>
    <x v="0"/>
    <x v="88"/>
    <d v="2020-02-27T00:00:00"/>
    <x v="3"/>
    <n v="10"/>
    <s v="Mark"/>
    <x v="0"/>
    <s v="Employee Benefits (EB)"/>
    <s v="Renewal"/>
    <n v="399.23"/>
    <d v="2019-06-21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Alka Patel"/>
    <s v="H0067187"/>
    <x v="0"/>
    <x v="88"/>
    <d v="2020-02-27T00:00:00"/>
    <x v="3"/>
    <n v="10"/>
    <s v="Mark"/>
    <x v="0"/>
    <s v="Employee Benefits (EB)"/>
    <s v="Renewal"/>
    <n v="399.23"/>
    <d v="2019-06-21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Alka Patel"/>
    <s v="H0067187"/>
    <x v="0"/>
    <x v="88"/>
    <d v="2020-02-27T00:00:00"/>
    <x v="3"/>
    <n v="10"/>
    <s v="Mark"/>
    <x v="0"/>
    <s v="Employee Benefits (EB)"/>
    <s v="Renewal"/>
    <n v="399.23"/>
    <d v="2019-06-21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Alka Patel"/>
    <s v="H0067187"/>
    <x v="0"/>
    <x v="88"/>
    <d v="2020-02-27T00:00:00"/>
    <x v="3"/>
    <n v="10"/>
    <s v="Mark"/>
    <x v="0"/>
    <s v="Employee Benefits (EB)"/>
    <s v="Renewal"/>
    <n v="399.23"/>
    <d v="2019-06-21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Alka Patel"/>
    <s v="H0067187"/>
    <x v="0"/>
    <x v="88"/>
    <d v="2020-02-27T00:00:00"/>
    <x v="3"/>
    <n v="10"/>
    <s v="Mark"/>
    <x v="0"/>
    <s v="Employee Benefits (EB)"/>
    <s v="Renewal"/>
    <n v="399.23"/>
    <d v="2019-06-21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Alka Patel"/>
    <s v="H0067187"/>
    <x v="0"/>
    <x v="88"/>
    <d v="2020-02-27T00:00:00"/>
    <x v="3"/>
    <n v="10"/>
    <s v="Mark"/>
    <x v="0"/>
    <s v="Employee Benefits (EB)"/>
    <s v="Renewal"/>
    <n v="399.23"/>
    <d v="2019-06-21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Shruti Roy"/>
    <s v="H0067187"/>
    <x v="0"/>
    <x v="88"/>
    <d v="2020-02-27T00:00:00"/>
    <x v="3"/>
    <n v="10"/>
    <s v="Mark"/>
    <x v="0"/>
    <s v="Employee Benefits (EB)"/>
    <s v="Renewal"/>
    <n v="6259.35"/>
    <d v="2019-06-21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Shruti Roy"/>
    <s v="H0067187"/>
    <x v="0"/>
    <x v="88"/>
    <d v="2020-02-27T00:00:00"/>
    <x v="3"/>
    <n v="10"/>
    <s v="Mark"/>
    <x v="0"/>
    <s v="Employee Benefits (EB)"/>
    <s v="Renewal"/>
    <n v="6259.35"/>
    <d v="2019-06-21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Shruti Roy"/>
    <s v="H0067187"/>
    <x v="0"/>
    <x v="88"/>
    <d v="2020-02-27T00:00:00"/>
    <x v="3"/>
    <n v="10"/>
    <s v="Mark"/>
    <x v="0"/>
    <s v="Employee Benefits (EB)"/>
    <s v="Renewal"/>
    <n v="6259.35"/>
    <d v="2019-06-21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Shruti Roy"/>
    <s v="H0067187"/>
    <x v="0"/>
    <x v="88"/>
    <d v="2020-02-27T00:00:00"/>
    <x v="3"/>
    <n v="10"/>
    <s v="Mark"/>
    <x v="0"/>
    <s v="Employee Benefits (EB)"/>
    <s v="Renewal"/>
    <n v="6259.35"/>
    <d v="2019-06-21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Shruti Roy"/>
    <s v="H0067187"/>
    <x v="0"/>
    <x v="88"/>
    <d v="2020-02-27T00:00:00"/>
    <x v="3"/>
    <n v="10"/>
    <s v="Mark"/>
    <x v="0"/>
    <s v="Employee Benefits (EB)"/>
    <s v="Renewal"/>
    <n v="6259.35"/>
    <d v="2019-06-21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Shruti Roy"/>
    <s v="H0067187"/>
    <x v="0"/>
    <x v="88"/>
    <d v="2020-02-27T00:00:00"/>
    <x v="3"/>
    <n v="10"/>
    <s v="Mark"/>
    <x v="0"/>
    <s v="Employee Benefits (EB)"/>
    <s v="Renewal"/>
    <n v="6259.35"/>
    <d v="2019-06-21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Shruti Roy"/>
    <s v="H0067187"/>
    <x v="0"/>
    <x v="88"/>
    <d v="2020-02-27T00:00:00"/>
    <x v="3"/>
    <n v="10"/>
    <s v="Mark"/>
    <x v="0"/>
    <s v="Employee Benefits (EB)"/>
    <s v="Renewal"/>
    <n v="6259.35"/>
    <d v="2019-06-21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Shruti Roy"/>
    <s v="H0067187"/>
    <x v="0"/>
    <x v="88"/>
    <d v="2020-02-27T00:00:00"/>
    <x v="3"/>
    <n v="10"/>
    <s v="Mark"/>
    <x v="0"/>
    <s v="Employee Benefits (EB)"/>
    <s v="Renewal"/>
    <n v="6259.35"/>
    <d v="2019-06-21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Shruti Roy"/>
    <s v="H0067187"/>
    <x v="0"/>
    <x v="88"/>
    <d v="2020-02-27T00:00:00"/>
    <x v="3"/>
    <n v="10"/>
    <s v="Mark"/>
    <x v="0"/>
    <s v="Employee Benefits (EB)"/>
    <s v="Renewal"/>
    <n v="6259.35"/>
    <d v="2019-06-21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Shruti Roy"/>
    <s v="H0067187"/>
    <x v="0"/>
    <x v="88"/>
    <d v="2020-02-27T00:00:00"/>
    <x v="3"/>
    <n v="10"/>
    <s v="Mark"/>
    <x v="0"/>
    <s v="Employee Benefits (EB)"/>
    <s v="Renewal"/>
    <n v="6259.35"/>
    <d v="2019-06-21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Archana Singh"/>
    <s v="H0067187"/>
    <x v="0"/>
    <x v="88"/>
    <d v="2020-02-27T00:00:00"/>
    <x v="3"/>
    <n v="10"/>
    <s v="Mark"/>
    <x v="0"/>
    <s v="Employee Benefits (EB)"/>
    <s v="Renewal"/>
    <n v="7110.45"/>
    <d v="2019-07-29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Archana Singh"/>
    <s v="H0067187"/>
    <x v="0"/>
    <x v="88"/>
    <d v="2020-02-27T00:00:00"/>
    <x v="3"/>
    <n v="10"/>
    <s v="Mark"/>
    <x v="0"/>
    <s v="Employee Benefits (EB)"/>
    <s v="Renewal"/>
    <n v="7110.45"/>
    <d v="2019-07-29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Archana Singh"/>
    <s v="H0067187"/>
    <x v="0"/>
    <x v="88"/>
    <d v="2020-02-27T00:00:00"/>
    <x v="3"/>
    <n v="10"/>
    <s v="Mark"/>
    <x v="0"/>
    <s v="Employee Benefits (EB)"/>
    <s v="Renewal"/>
    <n v="7110.45"/>
    <d v="2019-07-29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Archana Singh"/>
    <s v="H0067187"/>
    <x v="0"/>
    <x v="88"/>
    <d v="2020-02-27T00:00:00"/>
    <x v="3"/>
    <n v="10"/>
    <s v="Mark"/>
    <x v="0"/>
    <s v="Employee Benefits (EB)"/>
    <s v="Renewal"/>
    <n v="7110.45"/>
    <d v="2019-07-29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Archana Singh"/>
    <s v="H0067187"/>
    <x v="0"/>
    <x v="88"/>
    <d v="2020-02-27T00:00:00"/>
    <x v="3"/>
    <n v="10"/>
    <s v="Mark"/>
    <x v="0"/>
    <s v="Employee Benefits (EB)"/>
    <s v="Renewal"/>
    <n v="7110.45"/>
    <d v="2019-07-29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Archana Singh"/>
    <s v="H0067187"/>
    <x v="0"/>
    <x v="88"/>
    <d v="2020-02-27T00:00:00"/>
    <x v="3"/>
    <n v="10"/>
    <s v="Mark"/>
    <x v="0"/>
    <s v="Employee Benefits (EB)"/>
    <s v="Renewal"/>
    <n v="7110.45"/>
    <d v="2019-07-29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Archana Singh"/>
    <s v="H0067187"/>
    <x v="0"/>
    <x v="88"/>
    <d v="2020-02-27T00:00:00"/>
    <x v="3"/>
    <n v="10"/>
    <s v="Mark"/>
    <x v="0"/>
    <s v="Employee Benefits (EB)"/>
    <s v="Renewal"/>
    <n v="7110.45"/>
    <d v="2019-07-29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Archana Singh"/>
    <s v="H0067187"/>
    <x v="0"/>
    <x v="88"/>
    <d v="2020-02-27T00:00:00"/>
    <x v="3"/>
    <n v="10"/>
    <s v="Mark"/>
    <x v="0"/>
    <s v="Employee Benefits (EB)"/>
    <s v="Renewal"/>
    <n v="7110.45"/>
    <d v="2019-07-29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Archana Singh"/>
    <s v="H0067187"/>
    <x v="0"/>
    <x v="88"/>
    <d v="2020-02-27T00:00:00"/>
    <x v="3"/>
    <n v="10"/>
    <s v="Mark"/>
    <x v="0"/>
    <s v="Employee Benefits (EB)"/>
    <s v="Renewal"/>
    <n v="7110.45"/>
    <d v="2019-07-29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Archana Singh"/>
    <s v="H0067187"/>
    <x v="0"/>
    <x v="88"/>
    <d v="2020-02-27T00:00:00"/>
    <x v="3"/>
    <n v="10"/>
    <s v="Mark"/>
    <x v="0"/>
    <s v="Employee Benefits (EB)"/>
    <s v="Renewal"/>
    <n v="7110.45"/>
    <d v="2019-07-29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Mukul Goyal"/>
    <s v="H0067187"/>
    <x v="0"/>
    <x v="88"/>
    <d v="2020-02-27T00:00:00"/>
    <x v="3"/>
    <n v="10"/>
    <s v="Mark"/>
    <x v="0"/>
    <s v="Employee Benefits (EB)"/>
    <s v="Renewal"/>
    <n v="5501.03"/>
    <d v="2019-10-21T00:00:00"/>
    <s v="Brokerage "/>
    <x v="2"/>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Mukul Goyal"/>
    <s v="H0067187"/>
    <x v="0"/>
    <x v="88"/>
    <d v="2020-02-27T00:00:00"/>
    <x v="3"/>
    <n v="10"/>
    <s v="Mark"/>
    <x v="0"/>
    <s v="Employee Benefits (EB)"/>
    <s v="Renewal"/>
    <n v="5501.03"/>
    <d v="2019-10-21T00:00:00"/>
    <s v="Brokerage "/>
    <x v="2"/>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Mukul Goyal"/>
    <s v="H0067187"/>
    <x v="0"/>
    <x v="88"/>
    <d v="2020-02-27T00:00:00"/>
    <x v="3"/>
    <n v="10"/>
    <s v="Mark"/>
    <x v="0"/>
    <s v="Employee Benefits (EB)"/>
    <s v="Renewal"/>
    <n v="5501.03"/>
    <d v="2019-10-21T00:00:00"/>
    <s v="Brokerage "/>
    <x v="2"/>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Mukul Goyal"/>
    <s v="H0067187"/>
    <x v="0"/>
    <x v="88"/>
    <d v="2020-02-27T00:00:00"/>
    <x v="3"/>
    <n v="10"/>
    <s v="Mark"/>
    <x v="0"/>
    <s v="Employee Benefits (EB)"/>
    <s v="Renewal"/>
    <n v="5501.03"/>
    <d v="2019-10-21T00:00:00"/>
    <s v="Brokerage "/>
    <x v="2"/>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Mukul Goyal"/>
    <s v="H0067187"/>
    <x v="0"/>
    <x v="88"/>
    <d v="2020-02-27T00:00:00"/>
    <x v="3"/>
    <n v="10"/>
    <s v="Mark"/>
    <x v="0"/>
    <s v="Employee Benefits (EB)"/>
    <s v="Renewal"/>
    <n v="5501.03"/>
    <d v="2019-10-21T00:00:00"/>
    <s v="Brokerage "/>
    <x v="2"/>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Mukul Goyal"/>
    <s v="H0067187"/>
    <x v="0"/>
    <x v="88"/>
    <d v="2020-02-27T00:00:00"/>
    <x v="3"/>
    <n v="10"/>
    <s v="Mark"/>
    <x v="0"/>
    <s v="Employee Benefits (EB)"/>
    <s v="Renewal"/>
    <n v="5501.03"/>
    <d v="2019-10-21T00:00:00"/>
    <s v="Brokerage "/>
    <x v="2"/>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Mukul Goyal"/>
    <s v="H0067187"/>
    <x v="0"/>
    <x v="88"/>
    <d v="2020-02-27T00:00:00"/>
    <x v="3"/>
    <n v="10"/>
    <s v="Mark"/>
    <x v="0"/>
    <s v="Employee Benefits (EB)"/>
    <s v="Renewal"/>
    <n v="5501.03"/>
    <d v="2019-10-21T00:00:00"/>
    <s v="Brokerage "/>
    <x v="2"/>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Mukul Goyal"/>
    <s v="H0067187"/>
    <x v="0"/>
    <x v="88"/>
    <d v="2020-02-27T00:00:00"/>
    <x v="3"/>
    <n v="10"/>
    <s v="Mark"/>
    <x v="0"/>
    <s v="Employee Benefits (EB)"/>
    <s v="Renewal"/>
    <n v="5501.03"/>
    <d v="2019-10-21T00:00:00"/>
    <s v="Brokerage "/>
    <x v="2"/>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Mukul Goyal"/>
    <s v="H0067187"/>
    <x v="0"/>
    <x v="88"/>
    <d v="2020-02-27T00:00:00"/>
    <x v="3"/>
    <n v="10"/>
    <s v="Mark"/>
    <x v="0"/>
    <s v="Employee Benefits (EB)"/>
    <s v="Renewal"/>
    <n v="5501.03"/>
    <d v="2019-10-21T00:00:00"/>
    <s v="Brokerage "/>
    <x v="2"/>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Mukul Goyal"/>
    <s v="H0067187"/>
    <x v="0"/>
    <x v="88"/>
    <d v="2020-02-27T00:00:00"/>
    <x v="3"/>
    <n v="10"/>
    <s v="Mark"/>
    <x v="0"/>
    <s v="Employee Benefits (EB)"/>
    <s v="Renewal"/>
    <n v="5501.03"/>
    <d v="2019-10-21T00:00:00"/>
    <s v="Brokerage "/>
    <x v="2"/>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Namita Bajaj"/>
    <s v="4016 X 185834560 00 000"/>
    <x v="0"/>
    <x v="87"/>
    <d v="2020-11-07T00:00:00"/>
    <x v="3"/>
    <n v="10"/>
    <s v="Mark"/>
    <x v="0"/>
    <s v="Employee Benefits (EB)"/>
    <s v="Renewal"/>
    <n v="24311.1"/>
    <d v="2019-11-08T00:00:00"/>
    <s v="Brokerage"/>
    <x v="0"/>
    <s v="OTHR - Other"/>
    <d v="2020-01-22T00:00:00"/>
    <s v="Other"/>
    <s v="EI- GMC"/>
    <s v="OPP1900001364"/>
    <s v="Mark"/>
    <n v="1400000"/>
    <n v="100000"/>
    <d v="2019-12-09T00:00:00"/>
    <s v="Qualify Opportunity"/>
    <s v="Ahmedabad"/>
    <s v="Employee Benefits (EB)"/>
    <s v="Mediclaim"/>
    <s v="Group Medical"/>
    <m/>
    <m/>
    <s v="Christopher Campbell"/>
    <d v="2020-01-22T00:00:00"/>
    <s v="Mark"/>
    <s v="Servicer"/>
    <n v="19888"/>
    <n v="128777"/>
    <n v="198882"/>
  </r>
  <r>
    <s v="Namita Bajaj"/>
    <s v="4016 X 185834560 00 000"/>
    <x v="0"/>
    <x v="87"/>
    <d v="2020-11-07T00:00:00"/>
    <x v="3"/>
    <n v="10"/>
    <s v="Mark"/>
    <x v="0"/>
    <s v="Employee Benefits (EB)"/>
    <s v="Renewal"/>
    <n v="24311.1"/>
    <d v="2019-11-08T00:00:00"/>
    <s v="Brokerage"/>
    <x v="0"/>
    <s v="OTHR - Other"/>
    <d v="2020-01-22T00:00:00"/>
    <s v="Other"/>
    <s v="EI- GMC"/>
    <s v="OPP1900001364"/>
    <s v="Mark"/>
    <n v="1400000"/>
    <n v="100000"/>
    <d v="2019-12-09T00:00:00"/>
    <s v="Qualify Opportunity"/>
    <s v="Ahmedabad"/>
    <s v="Employee Benefits (EB)"/>
    <s v="Mediclaim"/>
    <s v="Group Medical"/>
    <m/>
    <m/>
    <s v="Zoe Rivera"/>
    <d v="2020-01-13T00:00:00"/>
    <s v="Mark"/>
    <s v="Servicer"/>
    <n v="19888"/>
    <n v="128777"/>
    <n v="198882"/>
  </r>
  <r>
    <s v="Namita Bajaj"/>
    <s v="4016 X 185834560 00 000"/>
    <x v="0"/>
    <x v="87"/>
    <d v="2020-11-07T00:00:00"/>
    <x v="3"/>
    <n v="10"/>
    <s v="Mark"/>
    <x v="0"/>
    <s v="Employee Benefits (EB)"/>
    <s v="Renewal"/>
    <n v="24311.1"/>
    <d v="2019-11-08T00:00:00"/>
    <s v="Brokerage"/>
    <x v="0"/>
    <s v="OTHR - Other"/>
    <d v="2020-01-22T00:00:00"/>
    <s v="Other"/>
    <s v="FM-Group Mediclaim"/>
    <s v="OPP1900001390"/>
    <s v="Mark"/>
    <n v="4500000"/>
    <n v="300000"/>
    <d v="2019-10-29T00:00:00"/>
    <s v="Qualify Opportunity"/>
    <s v="Ahmedabad"/>
    <s v="Employee Benefits (EB)"/>
    <s v="Mediclaim"/>
    <s v="Group Medical"/>
    <m/>
    <m/>
    <s v="Christopher Campbell"/>
    <d v="2020-01-22T00:00:00"/>
    <s v="Mark"/>
    <s v="Servicer"/>
    <n v="19888"/>
    <n v="128777"/>
    <n v="198882"/>
  </r>
  <r>
    <s v="Namita Bajaj"/>
    <s v="4016 X 185834560 00 000"/>
    <x v="0"/>
    <x v="87"/>
    <d v="2020-11-07T00:00:00"/>
    <x v="3"/>
    <n v="10"/>
    <s v="Mark"/>
    <x v="0"/>
    <s v="Employee Benefits (EB)"/>
    <s v="Renewal"/>
    <n v="24311.1"/>
    <d v="2019-11-08T00:00:00"/>
    <s v="Brokerage"/>
    <x v="0"/>
    <s v="OTHR - Other"/>
    <d v="2020-01-22T00:00:00"/>
    <s v="Other"/>
    <s v="FM-Group Mediclaim"/>
    <s v="OPP1900001390"/>
    <s v="Mark"/>
    <n v="4500000"/>
    <n v="300000"/>
    <d v="2019-10-29T00:00:00"/>
    <s v="Qualify Opportunity"/>
    <s v="Ahmedabad"/>
    <s v="Employee Benefits (EB)"/>
    <s v="Mediclaim"/>
    <s v="Group Medical"/>
    <m/>
    <m/>
    <s v="Zoe Rivera"/>
    <d v="2020-01-13T00:00:00"/>
    <s v="Mark"/>
    <s v="Servicer"/>
    <n v="19888"/>
    <n v="128777"/>
    <n v="198882"/>
  </r>
  <r>
    <s v="Namita Bajaj"/>
    <s v="4016 X 185834560 00 000"/>
    <x v="0"/>
    <x v="87"/>
    <d v="2020-11-07T00:00:00"/>
    <x v="3"/>
    <n v="10"/>
    <s v="Mark"/>
    <x v="0"/>
    <s v="Employee Benefits (EB)"/>
    <s v="Renewal"/>
    <n v="24311.1"/>
    <d v="2019-11-08T00:00:00"/>
    <s v="Brokerage"/>
    <x v="0"/>
    <s v="OTHR - Other"/>
    <d v="2020-01-22T00:00:00"/>
    <s v="Other"/>
    <s v="BVGMC"/>
    <s v="OPP1900001393"/>
    <s v="Mark"/>
    <n v="600000"/>
    <n v="100000"/>
    <d v="2019-11-30T00:00:00"/>
    <s v="Qualify Opportunity"/>
    <s v="Ahmedabad"/>
    <s v="Emerging Corporates Group (ECG)"/>
    <s v="Mediclaim"/>
    <s v="Group Medical"/>
    <m/>
    <m/>
    <s v="Christopher Campbell"/>
    <d v="2020-01-22T00:00:00"/>
    <s v="Mark"/>
    <s v="Servicer"/>
    <n v="19888"/>
    <n v="128777"/>
    <n v="198882"/>
  </r>
  <r>
    <s v="Namita Bajaj"/>
    <s v="4016 X 185834560 00 000"/>
    <x v="0"/>
    <x v="87"/>
    <d v="2020-11-07T00:00:00"/>
    <x v="3"/>
    <n v="10"/>
    <s v="Mark"/>
    <x v="0"/>
    <s v="Employee Benefits (EB)"/>
    <s v="Renewal"/>
    <n v="24311.1"/>
    <d v="2019-11-08T00:00:00"/>
    <s v="Brokerage"/>
    <x v="0"/>
    <s v="OTHR - Other"/>
    <d v="2020-01-22T00:00:00"/>
    <s v="Other"/>
    <s v="BVGMC"/>
    <s v="OPP1900001393"/>
    <s v="Mark"/>
    <n v="600000"/>
    <n v="100000"/>
    <d v="2019-11-30T00:00:00"/>
    <s v="Qualify Opportunity"/>
    <s v="Ahmedabad"/>
    <s v="Emerging Corporates Group (ECG)"/>
    <s v="Mediclaim"/>
    <s v="Group Medical"/>
    <m/>
    <m/>
    <s v="Zoe Rivera"/>
    <d v="2020-01-13T00:00:00"/>
    <s v="Mark"/>
    <s v="Servicer"/>
    <n v="19888"/>
    <n v="128777"/>
    <n v="198882"/>
  </r>
  <r>
    <s v="Namita Bajaj"/>
    <s v="4016 X 185834560 00 000"/>
    <x v="0"/>
    <x v="87"/>
    <d v="2020-11-07T00:00:00"/>
    <x v="3"/>
    <n v="10"/>
    <s v="Mark"/>
    <x v="0"/>
    <s v="Employee Benefits (EB)"/>
    <s v="Renewal"/>
    <n v="24311.1"/>
    <d v="2019-11-08T00:00:00"/>
    <s v="Brokerage"/>
    <x v="0"/>
    <s v="OTHR - Other"/>
    <d v="2020-01-22T00:00:00"/>
    <s v="Other"/>
    <s v="BV GPA"/>
    <s v="OPP1900001394"/>
    <s v="Mark"/>
    <n v="210000"/>
    <n v="35000"/>
    <d v="2019-11-30T00:00:00"/>
    <s v="Qualify Opportunity"/>
    <s v="Ahmedabad"/>
    <s v="Emerging Corporates Group (ECG)"/>
    <s v="Mediclaim"/>
    <s v="Group Personal Accident"/>
    <m/>
    <m/>
    <s v="Christopher Campbell"/>
    <d v="2020-01-22T00:00:00"/>
    <s v="Mark"/>
    <s v="Servicer"/>
    <n v="19888"/>
    <n v="128777"/>
    <n v="198882"/>
  </r>
  <r>
    <s v="Namita Bajaj"/>
    <s v="4016 X 185834560 00 000"/>
    <x v="0"/>
    <x v="87"/>
    <d v="2020-11-07T00:00:00"/>
    <x v="3"/>
    <n v="10"/>
    <s v="Mark"/>
    <x v="0"/>
    <s v="Employee Benefits (EB)"/>
    <s v="Renewal"/>
    <n v="24311.1"/>
    <d v="2019-11-08T00:00:00"/>
    <s v="Brokerage"/>
    <x v="0"/>
    <s v="OTHR - Other"/>
    <d v="2020-01-22T00:00:00"/>
    <s v="Other"/>
    <s v="BV GPA"/>
    <s v="OPP1900001394"/>
    <s v="Mark"/>
    <n v="210000"/>
    <n v="35000"/>
    <d v="2019-11-30T00:00:00"/>
    <s v="Qualify Opportunity"/>
    <s v="Ahmedabad"/>
    <s v="Emerging Corporates Group (ECG)"/>
    <s v="Mediclaim"/>
    <s v="Group Personal Accident"/>
    <m/>
    <m/>
    <s v="Zoe Rivera"/>
    <d v="2020-01-13T00:00:00"/>
    <s v="Mark"/>
    <s v="Servicer"/>
    <n v="19888"/>
    <n v="128777"/>
    <n v="198882"/>
  </r>
  <r>
    <s v="Namita Bajaj"/>
    <s v="4016 X 185834560 00 000"/>
    <x v="0"/>
    <x v="87"/>
    <d v="2020-11-07T00:00:00"/>
    <x v="3"/>
    <n v="10"/>
    <s v="Mark"/>
    <x v="0"/>
    <s v="Employee Benefits (EB)"/>
    <s v="Renewal"/>
    <n v="24311.1"/>
    <d v="2019-11-08T00:00:00"/>
    <s v="Brokerage"/>
    <x v="0"/>
    <s v="OTHR - Other"/>
    <d v="2020-01-22T00:00:00"/>
    <s v="Other"/>
    <s v="OP-GMC"/>
    <s v="OPP1900001803"/>
    <s v="Mark"/>
    <n v="5000000"/>
    <n v="250000"/>
    <d v="2019-11-30T00:00:00"/>
    <s v="Qualify Opportunity"/>
    <s v="Ahmedabad"/>
    <s v="Employee Benefits (EB)"/>
    <s v="Mediclaim"/>
    <s v="Group Medical"/>
    <m/>
    <m/>
    <s v="Christopher Campbell"/>
    <d v="2020-01-22T00:00:00"/>
    <s v="Mark"/>
    <s v="Servicer"/>
    <n v="19888"/>
    <n v="128777"/>
    <n v="198882"/>
  </r>
  <r>
    <s v="Namita Bajaj"/>
    <s v="4016 X 185834560 00 000"/>
    <x v="0"/>
    <x v="87"/>
    <d v="2020-11-07T00:00:00"/>
    <x v="3"/>
    <n v="10"/>
    <s v="Mark"/>
    <x v="0"/>
    <s v="Employee Benefits (EB)"/>
    <s v="Renewal"/>
    <n v="24311.1"/>
    <d v="2019-11-08T00:00:00"/>
    <s v="Brokerage"/>
    <x v="0"/>
    <s v="OTHR - Other"/>
    <d v="2020-01-22T00:00:00"/>
    <s v="Other"/>
    <s v="OP-GMC"/>
    <s v="OPP1900001803"/>
    <s v="Mark"/>
    <n v="5000000"/>
    <n v="250000"/>
    <d v="2019-11-30T00:00:00"/>
    <s v="Qualify Opportunity"/>
    <s v="Ahmedabad"/>
    <s v="Employee Benefits (EB)"/>
    <s v="Mediclaim"/>
    <s v="Group Medical"/>
    <m/>
    <m/>
    <s v="Zoe Rivera"/>
    <d v="2020-01-13T00:00:00"/>
    <s v="Mark"/>
    <s v="Servicer"/>
    <n v="19888"/>
    <n v="128777"/>
    <n v="198882"/>
  </r>
  <r>
    <s v="Nikita Joshi"/>
    <n v="3.1242E+18"/>
    <x v="0"/>
    <x v="77"/>
    <d v="2019-07-01T00:00:00"/>
    <x v="4"/>
    <n v="3"/>
    <s v="Animesh Rawat"/>
    <x v="0"/>
    <s v="Global Client Network (GNB Inward)"/>
    <s v="Renewal"/>
    <n v="42416.75"/>
    <d v="2019-07-01T00:00:00"/>
    <s v="Brokerage"/>
    <x v="0"/>
    <s v="OTHR - Other"/>
    <d v="2020-01-22T00:00:00"/>
    <s v="Other"/>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F55461-9743-4C67-AB92-4F1ABFC1597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9:E24" firstHeaderRow="1" firstDataRow="1" firstDataCol="1"/>
  <pivotFields count="41">
    <pivotField showAll="0"/>
    <pivotField dataField="1" showAll="0"/>
    <pivotField showAll="0">
      <items count="3">
        <item x="0"/>
        <item x="1"/>
        <item t="default"/>
      </items>
    </pivotField>
    <pivotField numFmtId="14" showAll="0">
      <items count="306">
        <item x="165"/>
        <item x="162"/>
        <item x="161"/>
        <item x="171"/>
        <item x="163"/>
        <item x="230"/>
        <item x="231"/>
        <item x="218"/>
        <item x="228"/>
        <item x="229"/>
        <item x="217"/>
        <item x="232"/>
        <item x="249"/>
        <item x="166"/>
        <item x="172"/>
        <item x="227"/>
        <item x="234"/>
        <item x="219"/>
        <item x="174"/>
        <item x="140"/>
        <item x="283"/>
        <item x="220"/>
        <item x="153"/>
        <item x="233"/>
        <item x="209"/>
        <item x="142"/>
        <item x="36"/>
        <item x="235"/>
        <item x="46"/>
        <item x="164"/>
        <item x="82"/>
        <item x="37"/>
        <item x="261"/>
        <item x="55"/>
        <item x="128"/>
        <item x="126"/>
        <item x="96"/>
        <item x="49"/>
        <item x="303"/>
        <item x="32"/>
        <item x="279"/>
        <item x="176"/>
        <item x="178"/>
        <item x="146"/>
        <item x="115"/>
        <item x="75"/>
        <item x="97"/>
        <item x="265"/>
        <item x="136"/>
        <item x="100"/>
        <item x="221"/>
        <item x="213"/>
        <item x="116"/>
        <item x="266"/>
        <item x="108"/>
        <item x="110"/>
        <item x="56"/>
        <item x="304"/>
        <item x="27"/>
        <item x="183"/>
        <item x="121"/>
        <item x="69"/>
        <item x="154"/>
        <item x="271"/>
        <item x="280"/>
        <item x="21"/>
        <item x="14"/>
        <item x="29"/>
        <item x="90"/>
        <item x="17"/>
        <item x="145"/>
        <item x="81"/>
        <item x="0"/>
        <item x="236"/>
        <item x="7"/>
        <item x="250"/>
        <item x="237"/>
        <item x="141"/>
        <item x="288"/>
        <item x="15"/>
        <item x="207"/>
        <item x="10"/>
        <item x="130"/>
        <item x="211"/>
        <item x="167"/>
        <item x="204"/>
        <item x="122"/>
        <item x="286"/>
        <item x="263"/>
        <item x="251"/>
        <item x="285"/>
        <item x="139"/>
        <item x="11"/>
        <item x="105"/>
        <item x="262"/>
        <item x="91"/>
        <item x="102"/>
        <item x="238"/>
        <item x="222"/>
        <item x="30"/>
        <item x="175"/>
        <item x="53"/>
        <item x="64"/>
        <item x="215"/>
        <item x="267"/>
        <item x="135"/>
        <item x="189"/>
        <item x="159"/>
        <item x="252"/>
        <item x="244"/>
        <item x="138"/>
        <item x="290"/>
        <item x="133"/>
        <item x="77"/>
        <item x="25"/>
        <item x="257"/>
        <item x="156"/>
        <item x="51"/>
        <item x="22"/>
        <item x="19"/>
        <item x="210"/>
        <item x="39"/>
        <item x="60"/>
        <item x="168"/>
        <item x="24"/>
        <item x="45"/>
        <item x="260"/>
        <item x="245"/>
        <item x="20"/>
        <item x="181"/>
        <item x="2"/>
        <item x="54"/>
        <item x="295"/>
        <item x="294"/>
        <item x="239"/>
        <item x="125"/>
        <item x="26"/>
        <item x="143"/>
        <item x="67"/>
        <item x="42"/>
        <item x="35"/>
        <item x="268"/>
        <item x="287"/>
        <item x="47"/>
        <item x="284"/>
        <item x="240"/>
        <item x="201"/>
        <item x="83"/>
        <item x="33"/>
        <item x="4"/>
        <item x="185"/>
        <item x="79"/>
        <item x="117"/>
        <item x="298"/>
        <item x="40"/>
        <item x="129"/>
        <item x="169"/>
        <item x="198"/>
        <item x="158"/>
        <item x="127"/>
        <item x="157"/>
        <item x="99"/>
        <item x="277"/>
        <item x="259"/>
        <item x="195"/>
        <item x="118"/>
        <item x="13"/>
        <item x="206"/>
        <item x="199"/>
        <item x="302"/>
        <item x="299"/>
        <item x="59"/>
        <item x="196"/>
        <item x="191"/>
        <item x="8"/>
        <item x="177"/>
        <item x="223"/>
        <item x="197"/>
        <item x="214"/>
        <item x="76"/>
        <item x="58"/>
        <item x="98"/>
        <item x="5"/>
        <item x="85"/>
        <item x="120"/>
        <item x="101"/>
        <item x="224"/>
        <item x="182"/>
        <item x="107"/>
        <item x="148"/>
        <item x="150"/>
        <item x="272"/>
        <item x="119"/>
        <item x="84"/>
        <item x="109"/>
        <item x="111"/>
        <item x="57"/>
        <item x="88"/>
        <item x="28"/>
        <item x="149"/>
        <item x="241"/>
        <item x="184"/>
        <item x="112"/>
        <item x="114"/>
        <item x="70"/>
        <item x="61"/>
        <item x="155"/>
        <item x="243"/>
        <item x="170"/>
        <item x="242"/>
        <item x="270"/>
        <item x="95"/>
        <item x="41"/>
        <item x="16"/>
        <item x="72"/>
        <item x="151"/>
        <item x="18"/>
        <item x="300"/>
        <item x="292"/>
        <item x="269"/>
        <item x="200"/>
        <item x="38"/>
        <item x="71"/>
        <item x="73"/>
        <item x="152"/>
        <item x="297"/>
        <item x="246"/>
        <item x="123"/>
        <item x="104"/>
        <item x="92"/>
        <item x="253"/>
        <item x="147"/>
        <item x="1"/>
        <item x="106"/>
        <item x="293"/>
        <item x="208"/>
        <item x="192"/>
        <item x="63"/>
        <item x="9"/>
        <item x="44"/>
        <item x="212"/>
        <item x="274"/>
        <item x="275"/>
        <item x="254"/>
        <item x="103"/>
        <item x="6"/>
        <item x="160"/>
        <item x="225"/>
        <item x="31"/>
        <item x="173"/>
        <item x="65"/>
        <item x="264"/>
        <item x="216"/>
        <item x="258"/>
        <item x="124"/>
        <item x="190"/>
        <item x="194"/>
        <item x="193"/>
        <item x="289"/>
        <item x="256"/>
        <item x="255"/>
        <item x="248"/>
        <item x="226"/>
        <item x="291"/>
        <item x="132"/>
        <item x="134"/>
        <item x="131"/>
        <item x="78"/>
        <item x="66"/>
        <item x="86"/>
        <item x="52"/>
        <item x="12"/>
        <item x="301"/>
        <item x="23"/>
        <item x="48"/>
        <item x="89"/>
        <item x="93"/>
        <item x="180"/>
        <item x="3"/>
        <item x="50"/>
        <item x="205"/>
        <item x="296"/>
        <item x="94"/>
        <item x="247"/>
        <item x="144"/>
        <item x="68"/>
        <item x="203"/>
        <item x="202"/>
        <item x="74"/>
        <item x="62"/>
        <item x="87"/>
        <item x="187"/>
        <item x="34"/>
        <item x="113"/>
        <item x="276"/>
        <item x="281"/>
        <item x="188"/>
        <item x="80"/>
        <item x="43"/>
        <item x="278"/>
        <item x="282"/>
        <item x="137"/>
        <item x="186"/>
        <item x="179"/>
        <item x="273"/>
        <item t="default"/>
      </items>
    </pivotField>
    <pivotField numFmtId="14" showAll="0"/>
    <pivotField showAll="0">
      <items count="8">
        <item x="3"/>
        <item x="5"/>
        <item x="1"/>
        <item x="4"/>
        <item x="0"/>
        <item x="2"/>
        <item x="6"/>
        <item t="default"/>
      </items>
    </pivotField>
    <pivotField showAll="0"/>
    <pivotField showAll="0"/>
    <pivotField showAll="0"/>
    <pivotField showAll="0"/>
    <pivotField showAll="0"/>
    <pivotField showAll="0"/>
    <pivotField numFmtId="14" showAll="0"/>
    <pivotField showAll="0"/>
    <pivotField axis="axisRow" showAll="0">
      <items count="5">
        <item x="2"/>
        <item x="0"/>
        <item x="3"/>
        <item x="1"/>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14"/>
  </rowFields>
  <rowItems count="5">
    <i>
      <x/>
    </i>
    <i>
      <x v="1"/>
    </i>
    <i>
      <x v="2"/>
    </i>
    <i>
      <x v="3"/>
    </i>
    <i t="grand">
      <x/>
    </i>
  </rowItems>
  <colItems count="1">
    <i/>
  </colItems>
  <dataFields count="1">
    <dataField name="Count of policy_number" fld="1"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4AC0DE-1F10-4433-B6D7-BE63609620E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3:E16" firstHeaderRow="1" firstDataRow="1" firstDataCol="1"/>
  <pivotFields count="41">
    <pivotField showAll="0"/>
    <pivotField dataField="1" showAll="0"/>
    <pivotField axis="axisRow" showAll="0">
      <items count="3">
        <item x="0"/>
        <item x="1"/>
        <item t="default"/>
      </items>
    </pivotField>
    <pivotField numFmtId="14" showAll="0">
      <items count="306">
        <item x="165"/>
        <item x="162"/>
        <item x="161"/>
        <item x="171"/>
        <item x="163"/>
        <item x="230"/>
        <item x="231"/>
        <item x="218"/>
        <item x="228"/>
        <item x="229"/>
        <item x="217"/>
        <item x="232"/>
        <item x="249"/>
        <item x="166"/>
        <item x="172"/>
        <item x="227"/>
        <item x="234"/>
        <item x="219"/>
        <item x="174"/>
        <item x="140"/>
        <item x="283"/>
        <item x="220"/>
        <item x="153"/>
        <item x="233"/>
        <item x="209"/>
        <item x="142"/>
        <item x="36"/>
        <item x="235"/>
        <item x="46"/>
        <item x="164"/>
        <item x="82"/>
        <item x="37"/>
        <item x="261"/>
        <item x="55"/>
        <item x="128"/>
        <item x="126"/>
        <item x="96"/>
        <item x="49"/>
        <item x="303"/>
        <item x="32"/>
        <item x="279"/>
        <item x="176"/>
        <item x="178"/>
        <item x="146"/>
        <item x="115"/>
        <item x="75"/>
        <item x="97"/>
        <item x="265"/>
        <item x="136"/>
        <item x="100"/>
        <item x="221"/>
        <item x="213"/>
        <item x="116"/>
        <item x="266"/>
        <item x="108"/>
        <item x="110"/>
        <item x="56"/>
        <item x="304"/>
        <item x="27"/>
        <item x="183"/>
        <item x="121"/>
        <item x="69"/>
        <item x="154"/>
        <item x="271"/>
        <item x="280"/>
        <item x="21"/>
        <item x="14"/>
        <item x="29"/>
        <item x="90"/>
        <item x="17"/>
        <item x="145"/>
        <item x="81"/>
        <item x="0"/>
        <item x="236"/>
        <item x="7"/>
        <item x="250"/>
        <item x="237"/>
        <item x="141"/>
        <item x="288"/>
        <item x="15"/>
        <item x="207"/>
        <item x="10"/>
        <item x="130"/>
        <item x="211"/>
        <item x="167"/>
        <item x="204"/>
        <item x="122"/>
        <item x="286"/>
        <item x="263"/>
        <item x="251"/>
        <item x="285"/>
        <item x="139"/>
        <item x="11"/>
        <item x="105"/>
        <item x="262"/>
        <item x="91"/>
        <item x="102"/>
        <item x="238"/>
        <item x="222"/>
        <item x="30"/>
        <item x="175"/>
        <item x="53"/>
        <item x="64"/>
        <item x="215"/>
        <item x="267"/>
        <item x="135"/>
        <item x="189"/>
        <item x="159"/>
        <item x="252"/>
        <item x="244"/>
        <item x="138"/>
        <item x="290"/>
        <item x="133"/>
        <item x="77"/>
        <item x="25"/>
        <item x="257"/>
        <item x="156"/>
        <item x="51"/>
        <item x="22"/>
        <item x="19"/>
        <item x="210"/>
        <item x="39"/>
        <item x="60"/>
        <item x="168"/>
        <item x="24"/>
        <item x="45"/>
        <item x="260"/>
        <item x="245"/>
        <item x="20"/>
        <item x="181"/>
        <item x="2"/>
        <item x="54"/>
        <item x="295"/>
        <item x="294"/>
        <item x="239"/>
        <item x="125"/>
        <item x="26"/>
        <item x="143"/>
        <item x="67"/>
        <item x="42"/>
        <item x="35"/>
        <item x="268"/>
        <item x="287"/>
        <item x="47"/>
        <item x="284"/>
        <item x="240"/>
        <item x="201"/>
        <item x="83"/>
        <item x="33"/>
        <item x="4"/>
        <item x="185"/>
        <item x="79"/>
        <item x="117"/>
        <item x="298"/>
        <item x="40"/>
        <item x="129"/>
        <item x="169"/>
        <item x="198"/>
        <item x="158"/>
        <item x="127"/>
        <item x="157"/>
        <item x="99"/>
        <item x="277"/>
        <item x="259"/>
        <item x="195"/>
        <item x="118"/>
        <item x="13"/>
        <item x="206"/>
        <item x="199"/>
        <item x="302"/>
        <item x="299"/>
        <item x="59"/>
        <item x="196"/>
        <item x="191"/>
        <item x="8"/>
        <item x="177"/>
        <item x="223"/>
        <item x="197"/>
        <item x="214"/>
        <item x="76"/>
        <item x="58"/>
        <item x="98"/>
        <item x="5"/>
        <item x="85"/>
        <item x="120"/>
        <item x="101"/>
        <item x="224"/>
        <item x="182"/>
        <item x="107"/>
        <item x="148"/>
        <item x="150"/>
        <item x="272"/>
        <item x="119"/>
        <item x="84"/>
        <item x="109"/>
        <item x="111"/>
        <item x="57"/>
        <item x="88"/>
        <item x="28"/>
        <item x="149"/>
        <item x="241"/>
        <item x="184"/>
        <item x="112"/>
        <item x="114"/>
        <item x="70"/>
        <item x="61"/>
        <item x="155"/>
        <item x="243"/>
        <item x="170"/>
        <item x="242"/>
        <item x="270"/>
        <item x="95"/>
        <item x="41"/>
        <item x="16"/>
        <item x="72"/>
        <item x="151"/>
        <item x="18"/>
        <item x="300"/>
        <item x="292"/>
        <item x="269"/>
        <item x="200"/>
        <item x="38"/>
        <item x="71"/>
        <item x="73"/>
        <item x="152"/>
        <item x="297"/>
        <item x="246"/>
        <item x="123"/>
        <item x="104"/>
        <item x="92"/>
        <item x="253"/>
        <item x="147"/>
        <item x="1"/>
        <item x="106"/>
        <item x="293"/>
        <item x="208"/>
        <item x="192"/>
        <item x="63"/>
        <item x="9"/>
        <item x="44"/>
        <item x="212"/>
        <item x="274"/>
        <item x="275"/>
        <item x="254"/>
        <item x="103"/>
        <item x="6"/>
        <item x="160"/>
        <item x="225"/>
        <item x="31"/>
        <item x="173"/>
        <item x="65"/>
        <item x="264"/>
        <item x="216"/>
        <item x="258"/>
        <item x="124"/>
        <item x="190"/>
        <item x="194"/>
        <item x="193"/>
        <item x="289"/>
        <item x="256"/>
        <item x="255"/>
        <item x="248"/>
        <item x="226"/>
        <item x="291"/>
        <item x="132"/>
        <item x="134"/>
        <item x="131"/>
        <item x="78"/>
        <item x="66"/>
        <item x="86"/>
        <item x="52"/>
        <item x="12"/>
        <item x="301"/>
        <item x="23"/>
        <item x="48"/>
        <item x="89"/>
        <item x="93"/>
        <item x="180"/>
        <item x="3"/>
        <item x="50"/>
        <item x="205"/>
        <item x="296"/>
        <item x="94"/>
        <item x="247"/>
        <item x="144"/>
        <item x="68"/>
        <item x="203"/>
        <item x="202"/>
        <item x="74"/>
        <item x="62"/>
        <item x="87"/>
        <item x="187"/>
        <item x="34"/>
        <item x="113"/>
        <item x="276"/>
        <item x="281"/>
        <item x="188"/>
        <item x="80"/>
        <item x="43"/>
        <item x="278"/>
        <item x="282"/>
        <item x="137"/>
        <item x="186"/>
        <item x="179"/>
        <item x="273"/>
        <item t="default"/>
      </items>
    </pivotField>
    <pivotField numFmtId="14" showAll="0"/>
    <pivotField showAll="0">
      <items count="8">
        <item x="3"/>
        <item x="5"/>
        <item x="1"/>
        <item x="4"/>
        <item x="0"/>
        <item x="2"/>
        <item x="6"/>
        <item t="default"/>
      </items>
    </pivotField>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2"/>
  </rowFields>
  <rowItems count="3">
    <i>
      <x/>
    </i>
    <i>
      <x v="1"/>
    </i>
    <i t="grand">
      <x/>
    </i>
  </rowItems>
  <colItems count="1">
    <i/>
  </colItems>
  <dataFields count="1">
    <dataField name="Count of policy_number" fld="1"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F771E4-C9DD-417C-B9F3-D042F7DC347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rowPageCount="1" colPageCount="1"/>
  <pivotFields count="41">
    <pivotField showAll="0"/>
    <pivotField dataField="1" showAll="0"/>
    <pivotField axis="axisPage" showAll="0">
      <items count="3">
        <item x="0"/>
        <item x="1"/>
        <item t="default"/>
      </items>
    </pivotField>
    <pivotField numFmtId="14" showAll="0">
      <items count="306">
        <item x="165"/>
        <item x="162"/>
        <item x="161"/>
        <item x="171"/>
        <item x="163"/>
        <item x="230"/>
        <item x="231"/>
        <item x="218"/>
        <item x="228"/>
        <item x="229"/>
        <item x="217"/>
        <item x="232"/>
        <item x="249"/>
        <item x="166"/>
        <item x="172"/>
        <item x="227"/>
        <item x="234"/>
        <item x="219"/>
        <item x="174"/>
        <item x="140"/>
        <item x="283"/>
        <item x="220"/>
        <item x="153"/>
        <item x="233"/>
        <item x="209"/>
        <item x="142"/>
        <item x="36"/>
        <item x="235"/>
        <item x="46"/>
        <item x="164"/>
        <item x="82"/>
        <item x="37"/>
        <item x="261"/>
        <item x="55"/>
        <item x="128"/>
        <item x="126"/>
        <item x="96"/>
        <item x="49"/>
        <item x="303"/>
        <item x="32"/>
        <item x="279"/>
        <item x="176"/>
        <item x="178"/>
        <item x="146"/>
        <item x="115"/>
        <item x="75"/>
        <item x="97"/>
        <item x="265"/>
        <item x="136"/>
        <item x="100"/>
        <item x="221"/>
        <item x="213"/>
        <item x="116"/>
        <item x="266"/>
        <item x="108"/>
        <item x="110"/>
        <item x="56"/>
        <item x="304"/>
        <item x="27"/>
        <item x="183"/>
        <item x="121"/>
        <item x="69"/>
        <item x="154"/>
        <item x="271"/>
        <item x="280"/>
        <item x="21"/>
        <item x="14"/>
        <item x="29"/>
        <item x="90"/>
        <item x="17"/>
        <item x="145"/>
        <item x="81"/>
        <item x="0"/>
        <item x="236"/>
        <item x="7"/>
        <item x="250"/>
        <item x="237"/>
        <item x="141"/>
        <item x="288"/>
        <item x="15"/>
        <item x="207"/>
        <item x="10"/>
        <item x="130"/>
        <item x="211"/>
        <item x="167"/>
        <item x="204"/>
        <item x="122"/>
        <item x="286"/>
        <item x="263"/>
        <item x="251"/>
        <item x="285"/>
        <item x="139"/>
        <item x="11"/>
        <item x="105"/>
        <item x="262"/>
        <item x="91"/>
        <item x="102"/>
        <item x="238"/>
        <item x="222"/>
        <item x="30"/>
        <item x="175"/>
        <item x="53"/>
        <item x="64"/>
        <item x="215"/>
        <item x="267"/>
        <item x="135"/>
        <item x="189"/>
        <item x="159"/>
        <item x="252"/>
        <item x="244"/>
        <item x="138"/>
        <item x="290"/>
        <item x="133"/>
        <item x="77"/>
        <item x="25"/>
        <item x="257"/>
        <item x="156"/>
        <item x="51"/>
        <item x="22"/>
        <item x="19"/>
        <item x="210"/>
        <item x="39"/>
        <item x="60"/>
        <item x="168"/>
        <item x="24"/>
        <item x="45"/>
        <item x="260"/>
        <item x="245"/>
        <item x="20"/>
        <item x="181"/>
        <item x="2"/>
        <item x="54"/>
        <item x="295"/>
        <item x="294"/>
        <item x="239"/>
        <item x="125"/>
        <item x="26"/>
        <item x="143"/>
        <item x="67"/>
        <item x="42"/>
        <item x="35"/>
        <item x="268"/>
        <item x="287"/>
        <item x="47"/>
        <item x="284"/>
        <item x="240"/>
        <item x="201"/>
        <item x="83"/>
        <item x="33"/>
        <item x="4"/>
        <item x="185"/>
        <item x="79"/>
        <item x="117"/>
        <item x="298"/>
        <item x="40"/>
        <item x="129"/>
        <item x="169"/>
        <item x="198"/>
        <item x="158"/>
        <item x="127"/>
        <item x="157"/>
        <item x="99"/>
        <item x="277"/>
        <item x="259"/>
        <item x="195"/>
        <item x="118"/>
        <item x="13"/>
        <item x="206"/>
        <item x="199"/>
        <item x="302"/>
        <item x="299"/>
        <item x="59"/>
        <item x="196"/>
        <item x="191"/>
        <item x="8"/>
        <item x="177"/>
        <item x="223"/>
        <item x="197"/>
        <item x="214"/>
        <item x="76"/>
        <item x="58"/>
        <item x="98"/>
        <item x="5"/>
        <item x="85"/>
        <item x="120"/>
        <item x="101"/>
        <item x="224"/>
        <item x="182"/>
        <item x="107"/>
        <item x="148"/>
        <item x="150"/>
        <item x="272"/>
        <item x="119"/>
        <item x="84"/>
        <item x="109"/>
        <item x="111"/>
        <item x="57"/>
        <item x="88"/>
        <item x="28"/>
        <item x="149"/>
        <item x="241"/>
        <item x="184"/>
        <item x="112"/>
        <item x="114"/>
        <item x="70"/>
        <item x="61"/>
        <item x="155"/>
        <item x="243"/>
        <item x="170"/>
        <item x="242"/>
        <item x="270"/>
        <item x="95"/>
        <item x="41"/>
        <item x="16"/>
        <item x="72"/>
        <item x="151"/>
        <item x="18"/>
        <item x="300"/>
        <item x="292"/>
        <item x="269"/>
        <item x="200"/>
        <item x="38"/>
        <item x="71"/>
        <item x="73"/>
        <item x="152"/>
        <item x="297"/>
        <item x="246"/>
        <item x="123"/>
        <item x="104"/>
        <item x="92"/>
        <item x="253"/>
        <item x="147"/>
        <item x="1"/>
        <item x="106"/>
        <item x="293"/>
        <item x="208"/>
        <item x="192"/>
        <item x="63"/>
        <item x="9"/>
        <item x="44"/>
        <item x="212"/>
        <item x="274"/>
        <item x="275"/>
        <item x="254"/>
        <item x="103"/>
        <item x="6"/>
        <item x="160"/>
        <item x="225"/>
        <item x="31"/>
        <item x="173"/>
        <item x="65"/>
        <item x="264"/>
        <item x="216"/>
        <item x="258"/>
        <item x="124"/>
        <item x="190"/>
        <item x="194"/>
        <item x="193"/>
        <item x="289"/>
        <item x="256"/>
        <item x="255"/>
        <item x="248"/>
        <item x="226"/>
        <item x="291"/>
        <item x="132"/>
        <item x="134"/>
        <item x="131"/>
        <item x="78"/>
        <item x="66"/>
        <item x="86"/>
        <item x="52"/>
        <item x="12"/>
        <item x="301"/>
        <item x="23"/>
        <item x="48"/>
        <item x="89"/>
        <item x="93"/>
        <item x="180"/>
        <item x="3"/>
        <item x="50"/>
        <item x="205"/>
        <item x="296"/>
        <item x="94"/>
        <item x="247"/>
        <item x="144"/>
        <item x="68"/>
        <item x="203"/>
        <item x="202"/>
        <item x="74"/>
        <item x="62"/>
        <item x="87"/>
        <item x="187"/>
        <item x="34"/>
        <item x="113"/>
        <item x="276"/>
        <item x="281"/>
        <item x="188"/>
        <item x="80"/>
        <item x="43"/>
        <item x="278"/>
        <item x="282"/>
        <item x="137"/>
        <item x="186"/>
        <item x="179"/>
        <item x="273"/>
        <item t="default"/>
      </items>
    </pivotField>
    <pivotField numFmtId="14" showAll="0"/>
    <pivotField showAll="0">
      <items count="8">
        <item x="3"/>
        <item x="5"/>
        <item x="1"/>
        <item x="4"/>
        <item x="0"/>
        <item x="2"/>
        <item x="6"/>
        <item t="default"/>
      </items>
    </pivotField>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pageFields count="1">
    <pageField fld="2" hier="-1"/>
  </pageFields>
  <dataFields count="1">
    <dataField name="Count of policy_numb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228284-EDCD-4286-8BB8-E82811BB36D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2:B29" firstHeaderRow="1" firstDataRow="1" firstDataCol="1"/>
  <pivotFields count="41">
    <pivotField showAll="0"/>
    <pivotField showAll="0"/>
    <pivotField showAll="0">
      <items count="3">
        <item x="0"/>
        <item x="1"/>
        <item t="default"/>
      </items>
    </pivotField>
    <pivotField axis="axisRow" numFmtId="14" showAll="0">
      <items count="306">
        <item x="165"/>
        <item x="162"/>
        <item x="161"/>
        <item x="171"/>
        <item x="163"/>
        <item x="230"/>
        <item x="231"/>
        <item x="218"/>
        <item x="228"/>
        <item x="229"/>
        <item x="217"/>
        <item x="232"/>
        <item x="249"/>
        <item x="166"/>
        <item x="172"/>
        <item x="227"/>
        <item x="234"/>
        <item x="219"/>
        <item x="174"/>
        <item x="140"/>
        <item x="283"/>
        <item x="220"/>
        <item x="153"/>
        <item x="233"/>
        <item x="209"/>
        <item x="142"/>
        <item x="36"/>
        <item x="235"/>
        <item x="46"/>
        <item x="164"/>
        <item x="82"/>
        <item x="37"/>
        <item x="261"/>
        <item x="55"/>
        <item x="128"/>
        <item x="126"/>
        <item x="96"/>
        <item x="49"/>
        <item x="303"/>
        <item x="32"/>
        <item x="279"/>
        <item x="176"/>
        <item x="178"/>
        <item x="146"/>
        <item x="115"/>
        <item x="75"/>
        <item x="97"/>
        <item x="265"/>
        <item x="136"/>
        <item x="100"/>
        <item x="221"/>
        <item x="213"/>
        <item x="116"/>
        <item x="266"/>
        <item x="108"/>
        <item x="110"/>
        <item x="56"/>
        <item x="304"/>
        <item x="27"/>
        <item x="183"/>
        <item x="121"/>
        <item x="69"/>
        <item x="154"/>
        <item x="271"/>
        <item x="280"/>
        <item x="21"/>
        <item x="14"/>
        <item x="29"/>
        <item x="90"/>
        <item x="17"/>
        <item x="145"/>
        <item x="81"/>
        <item x="0"/>
        <item x="236"/>
        <item x="7"/>
        <item x="250"/>
        <item x="237"/>
        <item x="141"/>
        <item x="288"/>
        <item x="15"/>
        <item x="207"/>
        <item x="10"/>
        <item x="130"/>
        <item x="211"/>
        <item x="167"/>
        <item x="204"/>
        <item x="122"/>
        <item x="286"/>
        <item x="263"/>
        <item x="251"/>
        <item x="285"/>
        <item x="139"/>
        <item x="11"/>
        <item x="105"/>
        <item x="262"/>
        <item x="91"/>
        <item x="102"/>
        <item x="238"/>
        <item x="222"/>
        <item x="30"/>
        <item x="175"/>
        <item x="53"/>
        <item x="64"/>
        <item x="215"/>
        <item x="267"/>
        <item x="135"/>
        <item x="189"/>
        <item x="159"/>
        <item x="252"/>
        <item x="244"/>
        <item x="138"/>
        <item x="290"/>
        <item x="133"/>
        <item x="77"/>
        <item x="25"/>
        <item x="257"/>
        <item x="156"/>
        <item x="51"/>
        <item x="22"/>
        <item x="19"/>
        <item x="210"/>
        <item x="39"/>
        <item x="60"/>
        <item x="168"/>
        <item x="24"/>
        <item x="45"/>
        <item x="260"/>
        <item x="245"/>
        <item x="20"/>
        <item x="181"/>
        <item x="2"/>
        <item x="54"/>
        <item x="295"/>
        <item x="294"/>
        <item x="239"/>
        <item x="125"/>
        <item x="26"/>
        <item x="143"/>
        <item x="67"/>
        <item x="42"/>
        <item x="35"/>
        <item x="268"/>
        <item x="287"/>
        <item x="47"/>
        <item x="284"/>
        <item x="240"/>
        <item x="201"/>
        <item x="83"/>
        <item x="33"/>
        <item x="4"/>
        <item x="185"/>
        <item x="79"/>
        <item x="117"/>
        <item x="298"/>
        <item x="40"/>
        <item x="129"/>
        <item x="169"/>
        <item x="198"/>
        <item x="158"/>
        <item x="127"/>
        <item x="157"/>
        <item x="99"/>
        <item x="277"/>
        <item x="259"/>
        <item x="195"/>
        <item x="118"/>
        <item x="13"/>
        <item x="206"/>
        <item x="199"/>
        <item x="302"/>
        <item x="299"/>
        <item x="59"/>
        <item x="196"/>
        <item x="191"/>
        <item x="8"/>
        <item x="177"/>
        <item x="223"/>
        <item x="197"/>
        <item x="214"/>
        <item x="76"/>
        <item x="58"/>
        <item x="98"/>
        <item x="5"/>
        <item x="85"/>
        <item x="120"/>
        <item x="101"/>
        <item x="224"/>
        <item x="182"/>
        <item x="107"/>
        <item x="148"/>
        <item x="150"/>
        <item x="272"/>
        <item x="119"/>
        <item x="84"/>
        <item x="109"/>
        <item x="111"/>
        <item x="57"/>
        <item x="88"/>
        <item x="28"/>
        <item x="149"/>
        <item x="241"/>
        <item x="184"/>
        <item x="112"/>
        <item x="114"/>
        <item x="70"/>
        <item x="61"/>
        <item x="155"/>
        <item x="243"/>
        <item x="170"/>
        <item x="242"/>
        <item x="270"/>
        <item x="95"/>
        <item x="41"/>
        <item x="16"/>
        <item x="72"/>
        <item x="151"/>
        <item x="18"/>
        <item x="300"/>
        <item x="292"/>
        <item x="269"/>
        <item x="200"/>
        <item x="38"/>
        <item x="71"/>
        <item x="73"/>
        <item x="152"/>
        <item x="297"/>
        <item x="246"/>
        <item x="123"/>
        <item x="104"/>
        <item x="92"/>
        <item x="253"/>
        <item x="147"/>
        <item x="1"/>
        <item x="106"/>
        <item x="293"/>
        <item x="208"/>
        <item x="192"/>
        <item x="63"/>
        <item x="9"/>
        <item x="44"/>
        <item x="212"/>
        <item x="274"/>
        <item x="275"/>
        <item x="254"/>
        <item x="103"/>
        <item x="6"/>
        <item x="160"/>
        <item x="225"/>
        <item x="31"/>
        <item x="173"/>
        <item x="65"/>
        <item x="264"/>
        <item x="216"/>
        <item x="258"/>
        <item x="124"/>
        <item x="190"/>
        <item x="194"/>
        <item x="193"/>
        <item x="289"/>
        <item x="256"/>
        <item x="255"/>
        <item x="248"/>
        <item x="226"/>
        <item x="291"/>
        <item x="132"/>
        <item x="134"/>
        <item x="131"/>
        <item x="78"/>
        <item x="66"/>
        <item x="86"/>
        <item x="52"/>
        <item x="12"/>
        <item x="301"/>
        <item x="23"/>
        <item x="48"/>
        <item x="89"/>
        <item x="93"/>
        <item x="180"/>
        <item x="3"/>
        <item x="50"/>
        <item x="205"/>
        <item x="296"/>
        <item x="94"/>
        <item x="247"/>
        <item x="144"/>
        <item x="68"/>
        <item x="203"/>
        <item x="202"/>
        <item x="74"/>
        <item x="62"/>
        <item x="87"/>
        <item x="187"/>
        <item x="34"/>
        <item x="113"/>
        <item x="276"/>
        <item x="281"/>
        <item x="188"/>
        <item x="80"/>
        <item x="43"/>
        <item x="278"/>
        <item x="282"/>
        <item x="137"/>
        <item x="186"/>
        <item x="179"/>
        <item x="273"/>
        <item t="default"/>
      </items>
    </pivotField>
    <pivotField numFmtId="14" showAll="0"/>
    <pivotField showAll="0">
      <items count="8">
        <item x="3"/>
        <item x="5"/>
        <item x="1"/>
        <item x="4"/>
        <item x="0"/>
        <item x="2"/>
        <item x="6"/>
        <item t="default"/>
      </items>
    </pivotField>
    <pivotField showAll="0"/>
    <pivotField showAll="0"/>
    <pivotField showAll="0"/>
    <pivotField showAll="0"/>
    <pivotField showAll="0"/>
    <pivotField dataField="1"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x="3"/>
        <item x="4"/>
        <item sd="0" x="5"/>
        <item t="default"/>
      </items>
    </pivotField>
    <pivotField axis="axisRow" showAll="0">
      <items count="9">
        <item sd="0" x="0"/>
        <item sd="0" x="1"/>
        <item sd="0" x="2"/>
        <item sd="0" x="3"/>
        <item sd="0" x="4"/>
        <item sd="0" x="5"/>
        <item sd="0" x="6"/>
        <item sd="0" x="7"/>
        <item t="default"/>
      </items>
    </pivotField>
  </pivotFields>
  <rowFields count="3">
    <field x="40"/>
    <field x="38"/>
    <field x="3"/>
  </rowFields>
  <rowItems count="7">
    <i>
      <x v="1"/>
    </i>
    <i>
      <x v="2"/>
    </i>
    <i>
      <x v="3"/>
    </i>
    <i>
      <x v="4"/>
    </i>
    <i>
      <x v="5"/>
    </i>
    <i>
      <x v="6"/>
    </i>
    <i t="grand">
      <x/>
    </i>
  </rowItems>
  <colItems count="1">
    <i/>
  </colItems>
  <dataFields count="1">
    <dataField name="Sum of amount" fld="11" baseField="40" baseItem="1"/>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D142FE-6796-465E-AAD4-5042F7AE788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41">
    <pivotField showAll="0"/>
    <pivotField showAll="0"/>
    <pivotField showAll="0">
      <items count="3">
        <item x="0"/>
        <item x="1"/>
        <item t="default"/>
      </items>
    </pivotField>
    <pivotField numFmtId="14" showAll="0">
      <items count="306">
        <item x="165"/>
        <item x="162"/>
        <item x="161"/>
        <item x="171"/>
        <item x="163"/>
        <item x="230"/>
        <item x="231"/>
        <item x="218"/>
        <item x="228"/>
        <item x="229"/>
        <item x="217"/>
        <item x="232"/>
        <item x="249"/>
        <item x="166"/>
        <item x="172"/>
        <item x="227"/>
        <item x="234"/>
        <item x="219"/>
        <item x="174"/>
        <item x="140"/>
        <item x="283"/>
        <item x="220"/>
        <item x="153"/>
        <item x="233"/>
        <item x="209"/>
        <item x="142"/>
        <item x="36"/>
        <item x="235"/>
        <item x="46"/>
        <item x="164"/>
        <item x="82"/>
        <item x="37"/>
        <item x="261"/>
        <item x="55"/>
        <item x="128"/>
        <item x="126"/>
        <item x="96"/>
        <item x="49"/>
        <item x="303"/>
        <item x="32"/>
        <item x="279"/>
        <item x="176"/>
        <item x="178"/>
        <item x="146"/>
        <item x="115"/>
        <item x="75"/>
        <item x="97"/>
        <item x="265"/>
        <item x="136"/>
        <item x="100"/>
        <item x="221"/>
        <item x="213"/>
        <item x="116"/>
        <item x="266"/>
        <item x="108"/>
        <item x="110"/>
        <item x="56"/>
        <item x="304"/>
        <item x="27"/>
        <item x="183"/>
        <item x="121"/>
        <item x="69"/>
        <item x="154"/>
        <item x="271"/>
        <item x="280"/>
        <item x="21"/>
        <item x="14"/>
        <item x="29"/>
        <item x="90"/>
        <item x="17"/>
        <item x="145"/>
        <item x="81"/>
        <item x="0"/>
        <item x="236"/>
        <item x="7"/>
        <item x="250"/>
        <item x="237"/>
        <item x="141"/>
        <item x="288"/>
        <item x="15"/>
        <item x="207"/>
        <item x="10"/>
        <item x="130"/>
        <item x="211"/>
        <item x="167"/>
        <item x="204"/>
        <item x="122"/>
        <item x="286"/>
        <item x="263"/>
        <item x="251"/>
        <item x="285"/>
        <item x="139"/>
        <item x="11"/>
        <item x="105"/>
        <item x="262"/>
        <item x="91"/>
        <item x="102"/>
        <item x="238"/>
        <item x="222"/>
        <item x="30"/>
        <item x="175"/>
        <item x="53"/>
        <item x="64"/>
        <item x="215"/>
        <item x="267"/>
        <item x="135"/>
        <item x="189"/>
        <item x="159"/>
        <item x="252"/>
        <item x="244"/>
        <item x="138"/>
        <item x="290"/>
        <item x="133"/>
        <item x="77"/>
        <item x="25"/>
        <item x="257"/>
        <item x="156"/>
        <item x="51"/>
        <item x="22"/>
        <item x="19"/>
        <item x="210"/>
        <item x="39"/>
        <item x="60"/>
        <item x="168"/>
        <item x="24"/>
        <item x="45"/>
        <item x="260"/>
        <item x="245"/>
        <item x="20"/>
        <item x="181"/>
        <item x="2"/>
        <item x="54"/>
        <item x="295"/>
        <item x="294"/>
        <item x="239"/>
        <item x="125"/>
        <item x="26"/>
        <item x="143"/>
        <item x="67"/>
        <item x="42"/>
        <item x="35"/>
        <item x="268"/>
        <item x="287"/>
        <item x="47"/>
        <item x="284"/>
        <item x="240"/>
        <item x="201"/>
        <item x="83"/>
        <item x="33"/>
        <item x="4"/>
        <item x="185"/>
        <item x="79"/>
        <item x="117"/>
        <item x="298"/>
        <item x="40"/>
        <item x="129"/>
        <item x="169"/>
        <item x="198"/>
        <item x="158"/>
        <item x="127"/>
        <item x="157"/>
        <item x="99"/>
        <item x="277"/>
        <item x="259"/>
        <item x="195"/>
        <item x="118"/>
        <item x="13"/>
        <item x="206"/>
        <item x="199"/>
        <item x="302"/>
        <item x="299"/>
        <item x="59"/>
        <item x="196"/>
        <item x="191"/>
        <item x="8"/>
        <item x="177"/>
        <item x="223"/>
        <item x="197"/>
        <item x="214"/>
        <item x="76"/>
        <item x="58"/>
        <item x="98"/>
        <item x="5"/>
        <item x="85"/>
        <item x="120"/>
        <item x="101"/>
        <item x="224"/>
        <item x="182"/>
        <item x="107"/>
        <item x="148"/>
        <item x="150"/>
        <item x="272"/>
        <item x="119"/>
        <item x="84"/>
        <item x="109"/>
        <item x="111"/>
        <item x="57"/>
        <item x="88"/>
        <item x="28"/>
        <item x="149"/>
        <item x="241"/>
        <item x="184"/>
        <item x="112"/>
        <item x="114"/>
        <item x="70"/>
        <item x="61"/>
        <item x="155"/>
        <item x="243"/>
        <item x="170"/>
        <item x="242"/>
        <item x="270"/>
        <item x="95"/>
        <item x="41"/>
        <item x="16"/>
        <item x="72"/>
        <item x="151"/>
        <item x="18"/>
        <item x="300"/>
        <item x="292"/>
        <item x="269"/>
        <item x="200"/>
        <item x="38"/>
        <item x="71"/>
        <item x="73"/>
        <item x="152"/>
        <item x="297"/>
        <item x="246"/>
        <item x="123"/>
        <item x="104"/>
        <item x="92"/>
        <item x="253"/>
        <item x="147"/>
        <item x="1"/>
        <item x="106"/>
        <item x="293"/>
        <item x="208"/>
        <item x="192"/>
        <item x="63"/>
        <item x="9"/>
        <item x="44"/>
        <item x="212"/>
        <item x="274"/>
        <item x="275"/>
        <item x="254"/>
        <item x="103"/>
        <item x="6"/>
        <item x="160"/>
        <item x="225"/>
        <item x="31"/>
        <item x="173"/>
        <item x="65"/>
        <item x="264"/>
        <item x="216"/>
        <item x="258"/>
        <item x="124"/>
        <item x="190"/>
        <item x="194"/>
        <item x="193"/>
        <item x="289"/>
        <item x="256"/>
        <item x="255"/>
        <item x="248"/>
        <item x="226"/>
        <item x="291"/>
        <item x="132"/>
        <item x="134"/>
        <item x="131"/>
        <item x="78"/>
        <item x="66"/>
        <item x="86"/>
        <item x="52"/>
        <item x="12"/>
        <item x="301"/>
        <item x="23"/>
        <item x="48"/>
        <item x="89"/>
        <item x="93"/>
        <item x="180"/>
        <item x="3"/>
        <item x="50"/>
        <item x="205"/>
        <item x="296"/>
        <item x="94"/>
        <item x="247"/>
        <item x="144"/>
        <item x="68"/>
        <item x="203"/>
        <item x="202"/>
        <item x="74"/>
        <item x="62"/>
        <item x="87"/>
        <item x="187"/>
        <item x="34"/>
        <item x="113"/>
        <item x="276"/>
        <item x="281"/>
        <item x="188"/>
        <item x="80"/>
        <item x="43"/>
        <item x="278"/>
        <item x="282"/>
        <item x="137"/>
        <item x="186"/>
        <item x="179"/>
        <item x="273"/>
        <item t="default"/>
      </items>
    </pivotField>
    <pivotField numFmtId="14" showAll="0"/>
    <pivotField showAll="0">
      <items count="8">
        <item x="3"/>
        <item x="5"/>
        <item x="1"/>
        <item x="4"/>
        <item x="0"/>
        <item x="2"/>
        <item x="6"/>
        <item t="default"/>
      </items>
    </pivotField>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Total Revenue"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33A993-2B1A-4DDF-A06D-E3D9CFCDF5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E9" firstHeaderRow="1" firstDataRow="1" firstDataCol="1"/>
  <pivotFields count="41">
    <pivotField showAll="0"/>
    <pivotField showAll="0"/>
    <pivotField showAll="0">
      <items count="3">
        <item x="0"/>
        <item x="1"/>
        <item t="default"/>
      </items>
    </pivotField>
    <pivotField numFmtId="14" showAll="0">
      <items count="306">
        <item x="165"/>
        <item x="162"/>
        <item x="161"/>
        <item x="171"/>
        <item x="163"/>
        <item x="230"/>
        <item x="231"/>
        <item x="218"/>
        <item x="228"/>
        <item x="229"/>
        <item x="217"/>
        <item x="232"/>
        <item x="249"/>
        <item x="166"/>
        <item x="172"/>
        <item x="227"/>
        <item x="234"/>
        <item x="219"/>
        <item x="174"/>
        <item x="140"/>
        <item x="283"/>
        <item x="220"/>
        <item x="153"/>
        <item x="233"/>
        <item x="209"/>
        <item x="142"/>
        <item x="36"/>
        <item x="235"/>
        <item x="46"/>
        <item x="164"/>
        <item x="82"/>
        <item x="37"/>
        <item x="261"/>
        <item x="55"/>
        <item x="128"/>
        <item x="126"/>
        <item x="96"/>
        <item x="49"/>
        <item x="303"/>
        <item x="32"/>
        <item x="279"/>
        <item x="176"/>
        <item x="178"/>
        <item x="146"/>
        <item x="115"/>
        <item x="75"/>
        <item x="97"/>
        <item x="265"/>
        <item x="136"/>
        <item x="100"/>
        <item x="221"/>
        <item x="213"/>
        <item x="116"/>
        <item x="266"/>
        <item x="108"/>
        <item x="110"/>
        <item x="56"/>
        <item x="304"/>
        <item x="27"/>
        <item x="183"/>
        <item x="121"/>
        <item x="69"/>
        <item x="154"/>
        <item x="271"/>
        <item x="280"/>
        <item x="21"/>
        <item x="14"/>
        <item x="29"/>
        <item x="90"/>
        <item x="17"/>
        <item x="145"/>
        <item x="81"/>
        <item x="0"/>
        <item x="236"/>
        <item x="7"/>
        <item x="250"/>
        <item x="237"/>
        <item x="141"/>
        <item x="288"/>
        <item x="15"/>
        <item x="207"/>
        <item x="10"/>
        <item x="130"/>
        <item x="211"/>
        <item x="167"/>
        <item x="204"/>
        <item x="122"/>
        <item x="286"/>
        <item x="263"/>
        <item x="251"/>
        <item x="285"/>
        <item x="139"/>
        <item x="11"/>
        <item x="105"/>
        <item x="262"/>
        <item x="91"/>
        <item x="102"/>
        <item x="238"/>
        <item x="222"/>
        <item x="30"/>
        <item x="175"/>
        <item x="53"/>
        <item x="64"/>
        <item x="215"/>
        <item x="267"/>
        <item x="135"/>
        <item x="189"/>
        <item x="159"/>
        <item x="252"/>
        <item x="244"/>
        <item x="138"/>
        <item x="290"/>
        <item x="133"/>
        <item x="77"/>
        <item x="25"/>
        <item x="257"/>
        <item x="156"/>
        <item x="51"/>
        <item x="22"/>
        <item x="19"/>
        <item x="210"/>
        <item x="39"/>
        <item x="60"/>
        <item x="168"/>
        <item x="24"/>
        <item x="45"/>
        <item x="260"/>
        <item x="245"/>
        <item x="20"/>
        <item x="181"/>
        <item x="2"/>
        <item x="54"/>
        <item x="295"/>
        <item x="294"/>
        <item x="239"/>
        <item x="125"/>
        <item x="26"/>
        <item x="143"/>
        <item x="67"/>
        <item x="42"/>
        <item x="35"/>
        <item x="268"/>
        <item x="287"/>
        <item x="47"/>
        <item x="284"/>
        <item x="240"/>
        <item x="201"/>
        <item x="83"/>
        <item x="33"/>
        <item x="4"/>
        <item x="185"/>
        <item x="79"/>
        <item x="117"/>
        <item x="298"/>
        <item x="40"/>
        <item x="129"/>
        <item x="169"/>
        <item x="198"/>
        <item x="158"/>
        <item x="127"/>
        <item x="157"/>
        <item x="99"/>
        <item x="277"/>
        <item x="259"/>
        <item x="195"/>
        <item x="118"/>
        <item x="13"/>
        <item x="206"/>
        <item x="199"/>
        <item x="302"/>
        <item x="299"/>
        <item x="59"/>
        <item x="196"/>
        <item x="191"/>
        <item x="8"/>
        <item x="177"/>
        <item x="223"/>
        <item x="197"/>
        <item x="214"/>
        <item x="76"/>
        <item x="58"/>
        <item x="98"/>
        <item x="5"/>
        <item x="85"/>
        <item x="120"/>
        <item x="101"/>
        <item x="224"/>
        <item x="182"/>
        <item x="107"/>
        <item x="148"/>
        <item x="150"/>
        <item x="272"/>
        <item x="119"/>
        <item x="84"/>
        <item x="109"/>
        <item x="111"/>
        <item x="57"/>
        <item x="88"/>
        <item x="28"/>
        <item x="149"/>
        <item x="241"/>
        <item x="184"/>
        <item x="112"/>
        <item x="114"/>
        <item x="70"/>
        <item x="61"/>
        <item x="155"/>
        <item x="243"/>
        <item x="170"/>
        <item x="242"/>
        <item x="270"/>
        <item x="95"/>
        <item x="41"/>
        <item x="16"/>
        <item x="72"/>
        <item x="151"/>
        <item x="18"/>
        <item x="300"/>
        <item x="292"/>
        <item x="269"/>
        <item x="200"/>
        <item x="38"/>
        <item x="71"/>
        <item x="73"/>
        <item x="152"/>
        <item x="297"/>
        <item x="246"/>
        <item x="123"/>
        <item x="104"/>
        <item x="92"/>
        <item x="253"/>
        <item x="147"/>
        <item x="1"/>
        <item x="106"/>
        <item x="293"/>
        <item x="208"/>
        <item x="192"/>
        <item x="63"/>
        <item x="9"/>
        <item x="44"/>
        <item x="212"/>
        <item x="274"/>
        <item x="275"/>
        <item x="254"/>
        <item x="103"/>
        <item x="6"/>
        <item x="160"/>
        <item x="225"/>
        <item x="31"/>
        <item x="173"/>
        <item x="65"/>
        <item x="264"/>
        <item x="216"/>
        <item x="258"/>
        <item x="124"/>
        <item x="190"/>
        <item x="194"/>
        <item x="193"/>
        <item x="289"/>
        <item x="256"/>
        <item x="255"/>
        <item x="248"/>
        <item x="226"/>
        <item x="291"/>
        <item x="132"/>
        <item x="134"/>
        <item x="131"/>
        <item x="78"/>
        <item x="66"/>
        <item x="86"/>
        <item x="52"/>
        <item x="12"/>
        <item x="301"/>
        <item x="23"/>
        <item x="48"/>
        <item x="89"/>
        <item x="93"/>
        <item x="180"/>
        <item x="3"/>
        <item x="50"/>
        <item x="205"/>
        <item x="296"/>
        <item x="94"/>
        <item x="247"/>
        <item x="144"/>
        <item x="68"/>
        <item x="203"/>
        <item x="202"/>
        <item x="74"/>
        <item x="62"/>
        <item x="87"/>
        <item x="187"/>
        <item x="34"/>
        <item x="113"/>
        <item x="276"/>
        <item x="281"/>
        <item x="188"/>
        <item x="80"/>
        <item x="43"/>
        <item x="278"/>
        <item x="282"/>
        <item x="137"/>
        <item x="186"/>
        <item x="179"/>
        <item x="273"/>
        <item t="default"/>
      </items>
    </pivotField>
    <pivotField numFmtId="14" showAll="0"/>
    <pivotField axis="axisRow" showAll="0" sortType="descending">
      <items count="8">
        <item x="3"/>
        <item x="5"/>
        <item x="1"/>
        <item x="4"/>
        <item x="0"/>
        <item x="2"/>
        <item x="6"/>
        <item t="default"/>
      </items>
      <autoSortScope>
        <pivotArea dataOnly="0" outline="0" fieldPosition="0">
          <references count="1">
            <reference field="4294967294" count="1" selected="0">
              <x v="0"/>
            </reference>
          </references>
        </pivotArea>
      </autoSortScope>
    </pivotField>
    <pivotField showAll="0"/>
    <pivotField showAll="0"/>
    <pivotField showAll="0">
      <items count="2">
        <item x="0"/>
        <item t="default"/>
      </items>
    </pivotField>
    <pivotField showAll="0"/>
    <pivotField showAll="0"/>
    <pivotField dataField="1"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5"/>
  </rowFields>
  <rowItems count="8">
    <i>
      <x/>
    </i>
    <i>
      <x v="4"/>
    </i>
    <i>
      <x v="2"/>
    </i>
    <i>
      <x v="3"/>
    </i>
    <i>
      <x v="5"/>
    </i>
    <i>
      <x v="1"/>
    </i>
    <i>
      <x v="6"/>
    </i>
    <i t="grand">
      <x/>
    </i>
  </rowItems>
  <colItems count="1">
    <i/>
  </colItems>
  <dataFields count="1">
    <dataField name="Sum of amount" fld="11"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BFF664-D016-47F0-A16A-6074E9FDA9A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rowPageCount="1" colPageCount="1"/>
  <pivotFields count="41">
    <pivotField showAll="0"/>
    <pivotField dataField="1" showAll="0"/>
    <pivotField showAll="0">
      <items count="3">
        <item x="0"/>
        <item x="1"/>
        <item t="default"/>
      </items>
    </pivotField>
    <pivotField numFmtId="14" showAll="0">
      <items count="306">
        <item x="165"/>
        <item x="162"/>
        <item x="161"/>
        <item x="171"/>
        <item x="163"/>
        <item x="230"/>
        <item x="231"/>
        <item x="218"/>
        <item x="228"/>
        <item x="229"/>
        <item x="217"/>
        <item x="232"/>
        <item x="249"/>
        <item x="166"/>
        <item x="172"/>
        <item x="227"/>
        <item x="234"/>
        <item x="219"/>
        <item x="174"/>
        <item x="140"/>
        <item x="283"/>
        <item x="220"/>
        <item x="153"/>
        <item x="233"/>
        <item x="209"/>
        <item x="142"/>
        <item x="36"/>
        <item x="235"/>
        <item x="46"/>
        <item x="164"/>
        <item x="82"/>
        <item x="37"/>
        <item x="261"/>
        <item x="55"/>
        <item x="128"/>
        <item x="126"/>
        <item x="96"/>
        <item x="49"/>
        <item x="303"/>
        <item x="32"/>
        <item x="279"/>
        <item x="176"/>
        <item x="178"/>
        <item x="146"/>
        <item x="115"/>
        <item x="75"/>
        <item x="97"/>
        <item x="265"/>
        <item x="136"/>
        <item x="100"/>
        <item x="221"/>
        <item x="213"/>
        <item x="116"/>
        <item x="266"/>
        <item x="108"/>
        <item x="110"/>
        <item x="56"/>
        <item x="304"/>
        <item x="27"/>
        <item x="183"/>
        <item x="121"/>
        <item x="69"/>
        <item x="154"/>
        <item x="271"/>
        <item x="280"/>
        <item x="21"/>
        <item x="14"/>
        <item x="29"/>
        <item x="90"/>
        <item x="17"/>
        <item x="145"/>
        <item x="81"/>
        <item x="0"/>
        <item x="236"/>
        <item x="7"/>
        <item x="250"/>
        <item x="237"/>
        <item x="141"/>
        <item x="288"/>
        <item x="15"/>
        <item x="207"/>
        <item x="10"/>
        <item x="130"/>
        <item x="211"/>
        <item x="167"/>
        <item x="204"/>
        <item x="122"/>
        <item x="286"/>
        <item x="263"/>
        <item x="251"/>
        <item x="285"/>
        <item x="139"/>
        <item x="11"/>
        <item x="105"/>
        <item x="262"/>
        <item x="91"/>
        <item x="102"/>
        <item x="238"/>
        <item x="222"/>
        <item x="30"/>
        <item x="175"/>
        <item x="53"/>
        <item x="64"/>
        <item x="215"/>
        <item x="267"/>
        <item x="135"/>
        <item x="189"/>
        <item x="159"/>
        <item x="252"/>
        <item x="244"/>
        <item x="138"/>
        <item x="290"/>
        <item x="133"/>
        <item x="77"/>
        <item x="25"/>
        <item x="257"/>
        <item x="156"/>
        <item x="51"/>
        <item x="22"/>
        <item x="19"/>
        <item x="210"/>
        <item x="39"/>
        <item x="60"/>
        <item x="168"/>
        <item x="24"/>
        <item x="45"/>
        <item x="260"/>
        <item x="245"/>
        <item x="20"/>
        <item x="181"/>
        <item x="2"/>
        <item x="54"/>
        <item x="295"/>
        <item x="294"/>
        <item x="239"/>
        <item x="125"/>
        <item x="26"/>
        <item x="143"/>
        <item x="67"/>
        <item x="42"/>
        <item x="35"/>
        <item x="268"/>
        <item x="287"/>
        <item x="47"/>
        <item x="284"/>
        <item x="240"/>
        <item x="201"/>
        <item x="83"/>
        <item x="33"/>
        <item x="4"/>
        <item x="185"/>
        <item x="79"/>
        <item x="117"/>
        <item x="298"/>
        <item x="40"/>
        <item x="129"/>
        <item x="169"/>
        <item x="198"/>
        <item x="158"/>
        <item x="127"/>
        <item x="157"/>
        <item x="99"/>
        <item x="277"/>
        <item x="259"/>
        <item x="195"/>
        <item x="118"/>
        <item x="13"/>
        <item x="206"/>
        <item x="199"/>
        <item x="302"/>
        <item x="299"/>
        <item x="59"/>
        <item x="196"/>
        <item x="191"/>
        <item x="8"/>
        <item x="177"/>
        <item x="223"/>
        <item x="197"/>
        <item x="214"/>
        <item x="76"/>
        <item x="58"/>
        <item x="98"/>
        <item x="5"/>
        <item x="85"/>
        <item x="120"/>
        <item x="101"/>
        <item x="224"/>
        <item x="182"/>
        <item x="107"/>
        <item x="148"/>
        <item x="150"/>
        <item x="272"/>
        <item x="119"/>
        <item x="84"/>
        <item x="109"/>
        <item x="111"/>
        <item x="57"/>
        <item x="88"/>
        <item x="28"/>
        <item x="149"/>
        <item x="241"/>
        <item x="184"/>
        <item x="112"/>
        <item x="114"/>
        <item x="70"/>
        <item x="61"/>
        <item x="155"/>
        <item x="243"/>
        <item x="170"/>
        <item x="242"/>
        <item x="270"/>
        <item x="95"/>
        <item x="41"/>
        <item x="16"/>
        <item x="72"/>
        <item x="151"/>
        <item x="18"/>
        <item x="300"/>
        <item x="292"/>
        <item x="269"/>
        <item x="200"/>
        <item x="38"/>
        <item x="71"/>
        <item x="73"/>
        <item x="152"/>
        <item x="297"/>
        <item x="246"/>
        <item x="123"/>
        <item x="104"/>
        <item x="92"/>
        <item x="253"/>
        <item x="147"/>
        <item x="1"/>
        <item x="106"/>
        <item x="293"/>
        <item x="208"/>
        <item x="192"/>
        <item x="63"/>
        <item x="9"/>
        <item x="44"/>
        <item x="212"/>
        <item x="274"/>
        <item x="275"/>
        <item x="254"/>
        <item x="103"/>
        <item x="6"/>
        <item x="160"/>
        <item x="225"/>
        <item x="31"/>
        <item x="173"/>
        <item x="65"/>
        <item x="264"/>
        <item x="216"/>
        <item x="258"/>
        <item x="124"/>
        <item x="190"/>
        <item x="194"/>
        <item x="193"/>
        <item x="289"/>
        <item x="256"/>
        <item x="255"/>
        <item x="248"/>
        <item x="226"/>
        <item x="291"/>
        <item x="132"/>
        <item x="134"/>
        <item x="131"/>
        <item x="78"/>
        <item x="66"/>
        <item x="86"/>
        <item x="52"/>
        <item x="12"/>
        <item x="301"/>
        <item x="23"/>
        <item x="48"/>
        <item x="89"/>
        <item x="93"/>
        <item x="180"/>
        <item x="3"/>
        <item x="50"/>
        <item x="205"/>
        <item x="296"/>
        <item x="94"/>
        <item x="247"/>
        <item x="144"/>
        <item x="68"/>
        <item x="203"/>
        <item x="202"/>
        <item x="74"/>
        <item x="62"/>
        <item x="87"/>
        <item x="187"/>
        <item x="34"/>
        <item x="113"/>
        <item x="276"/>
        <item x="281"/>
        <item x="188"/>
        <item x="80"/>
        <item x="43"/>
        <item x="278"/>
        <item x="282"/>
        <item x="137"/>
        <item x="186"/>
        <item x="179"/>
        <item x="273"/>
        <item t="default"/>
      </items>
    </pivotField>
    <pivotField numFmtId="14" showAll="0"/>
    <pivotField showAll="0">
      <items count="8">
        <item x="3"/>
        <item x="5"/>
        <item x="1"/>
        <item x="4"/>
        <item x="0"/>
        <item x="2"/>
        <item x="6"/>
        <item t="default"/>
      </items>
    </pivotField>
    <pivotField showAll="0"/>
    <pivotField showAll="0"/>
    <pivotField showAll="0"/>
    <pivotField showAll="0"/>
    <pivotField showAll="0"/>
    <pivotField showAll="0"/>
    <pivotField numFmtId="14" showAll="0"/>
    <pivotField showAll="0"/>
    <pivotField axis="axisPage" showAll="0">
      <items count="5">
        <item x="2"/>
        <item x="0"/>
        <item x="3"/>
        <item x="1"/>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pageFields count="1">
    <pageField fld="14" item="3" hier="-1"/>
  </pageFields>
  <dataFields count="1">
    <dataField name="Count of policy_numb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3C45F5-FB6B-4750-933E-FA080361367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41">
    <pivotField showAll="0"/>
    <pivotField dataField="1" showAll="0"/>
    <pivotField showAll="0">
      <items count="3">
        <item x="0"/>
        <item x="1"/>
        <item t="default"/>
      </items>
    </pivotField>
    <pivotField numFmtId="14" showAll="0">
      <items count="306">
        <item x="165"/>
        <item x="162"/>
        <item x="161"/>
        <item x="171"/>
        <item x="163"/>
        <item x="230"/>
        <item x="231"/>
        <item x="218"/>
        <item x="228"/>
        <item x="229"/>
        <item x="217"/>
        <item x="232"/>
        <item x="249"/>
        <item x="166"/>
        <item x="172"/>
        <item x="227"/>
        <item x="234"/>
        <item x="219"/>
        <item x="174"/>
        <item x="140"/>
        <item x="283"/>
        <item x="220"/>
        <item x="153"/>
        <item x="233"/>
        <item x="209"/>
        <item x="142"/>
        <item x="36"/>
        <item x="235"/>
        <item x="46"/>
        <item x="164"/>
        <item x="82"/>
        <item x="37"/>
        <item x="261"/>
        <item x="55"/>
        <item x="128"/>
        <item x="126"/>
        <item x="96"/>
        <item x="49"/>
        <item x="303"/>
        <item x="32"/>
        <item x="279"/>
        <item x="176"/>
        <item x="178"/>
        <item x="146"/>
        <item x="115"/>
        <item x="75"/>
        <item x="97"/>
        <item x="265"/>
        <item x="136"/>
        <item x="100"/>
        <item x="221"/>
        <item x="213"/>
        <item x="116"/>
        <item x="266"/>
        <item x="108"/>
        <item x="110"/>
        <item x="56"/>
        <item x="304"/>
        <item x="27"/>
        <item x="183"/>
        <item x="121"/>
        <item x="69"/>
        <item x="154"/>
        <item x="271"/>
        <item x="280"/>
        <item x="21"/>
        <item x="14"/>
        <item x="29"/>
        <item x="90"/>
        <item x="17"/>
        <item x="145"/>
        <item x="81"/>
        <item x="0"/>
        <item x="236"/>
        <item x="7"/>
        <item x="250"/>
        <item x="237"/>
        <item x="141"/>
        <item x="288"/>
        <item x="15"/>
        <item x="207"/>
        <item x="10"/>
        <item x="130"/>
        <item x="211"/>
        <item x="167"/>
        <item x="204"/>
        <item x="122"/>
        <item x="286"/>
        <item x="263"/>
        <item x="251"/>
        <item x="285"/>
        <item x="139"/>
        <item x="11"/>
        <item x="105"/>
        <item x="262"/>
        <item x="91"/>
        <item x="102"/>
        <item x="238"/>
        <item x="222"/>
        <item x="30"/>
        <item x="175"/>
        <item x="53"/>
        <item x="64"/>
        <item x="215"/>
        <item x="267"/>
        <item x="135"/>
        <item x="189"/>
        <item x="159"/>
        <item x="252"/>
        <item x="244"/>
        <item x="138"/>
        <item x="290"/>
        <item x="133"/>
        <item x="77"/>
        <item x="25"/>
        <item x="257"/>
        <item x="156"/>
        <item x="51"/>
        <item x="22"/>
        <item x="19"/>
        <item x="210"/>
        <item x="39"/>
        <item x="60"/>
        <item x="168"/>
        <item x="24"/>
        <item x="45"/>
        <item x="260"/>
        <item x="245"/>
        <item x="20"/>
        <item x="181"/>
        <item x="2"/>
        <item x="54"/>
        <item x="295"/>
        <item x="294"/>
        <item x="239"/>
        <item x="125"/>
        <item x="26"/>
        <item x="143"/>
        <item x="67"/>
        <item x="42"/>
        <item x="35"/>
        <item x="268"/>
        <item x="287"/>
        <item x="47"/>
        <item x="284"/>
        <item x="240"/>
        <item x="201"/>
        <item x="83"/>
        <item x="33"/>
        <item x="4"/>
        <item x="185"/>
        <item x="79"/>
        <item x="117"/>
        <item x="298"/>
        <item x="40"/>
        <item x="129"/>
        <item x="169"/>
        <item x="198"/>
        <item x="158"/>
        <item x="127"/>
        <item x="157"/>
        <item x="99"/>
        <item x="277"/>
        <item x="259"/>
        <item x="195"/>
        <item x="118"/>
        <item x="13"/>
        <item x="206"/>
        <item x="199"/>
        <item x="302"/>
        <item x="299"/>
        <item x="59"/>
        <item x="196"/>
        <item x="191"/>
        <item x="8"/>
        <item x="177"/>
        <item x="223"/>
        <item x="197"/>
        <item x="214"/>
        <item x="76"/>
        <item x="58"/>
        <item x="98"/>
        <item x="5"/>
        <item x="85"/>
        <item x="120"/>
        <item x="101"/>
        <item x="224"/>
        <item x="182"/>
        <item x="107"/>
        <item x="148"/>
        <item x="150"/>
        <item x="272"/>
        <item x="119"/>
        <item x="84"/>
        <item x="109"/>
        <item x="111"/>
        <item x="57"/>
        <item x="88"/>
        <item x="28"/>
        <item x="149"/>
        <item x="241"/>
        <item x="184"/>
        <item x="112"/>
        <item x="114"/>
        <item x="70"/>
        <item x="61"/>
        <item x="155"/>
        <item x="243"/>
        <item x="170"/>
        <item x="242"/>
        <item x="270"/>
        <item x="95"/>
        <item x="41"/>
        <item x="16"/>
        <item x="72"/>
        <item x="151"/>
        <item x="18"/>
        <item x="300"/>
        <item x="292"/>
        <item x="269"/>
        <item x="200"/>
        <item x="38"/>
        <item x="71"/>
        <item x="73"/>
        <item x="152"/>
        <item x="297"/>
        <item x="246"/>
        <item x="123"/>
        <item x="104"/>
        <item x="92"/>
        <item x="253"/>
        <item x="147"/>
        <item x="1"/>
        <item x="106"/>
        <item x="293"/>
        <item x="208"/>
        <item x="192"/>
        <item x="63"/>
        <item x="9"/>
        <item x="44"/>
        <item x="212"/>
        <item x="274"/>
        <item x="275"/>
        <item x="254"/>
        <item x="103"/>
        <item x="6"/>
        <item x="160"/>
        <item x="225"/>
        <item x="31"/>
        <item x="173"/>
        <item x="65"/>
        <item x="264"/>
        <item x="216"/>
        <item x="258"/>
        <item x="124"/>
        <item x="190"/>
        <item x="194"/>
        <item x="193"/>
        <item x="289"/>
        <item x="256"/>
        <item x="255"/>
        <item x="248"/>
        <item x="226"/>
        <item x="291"/>
        <item x="132"/>
        <item x="134"/>
        <item x="131"/>
        <item x="78"/>
        <item x="66"/>
        <item x="86"/>
        <item x="52"/>
        <item x="12"/>
        <item x="301"/>
        <item x="23"/>
        <item x="48"/>
        <item x="89"/>
        <item x="93"/>
        <item x="180"/>
        <item x="3"/>
        <item x="50"/>
        <item x="205"/>
        <item x="296"/>
        <item x="94"/>
        <item x="247"/>
        <item x="144"/>
        <item x="68"/>
        <item x="203"/>
        <item x="202"/>
        <item x="74"/>
        <item x="62"/>
        <item x="87"/>
        <item x="187"/>
        <item x="34"/>
        <item x="113"/>
        <item x="276"/>
        <item x="281"/>
        <item x="188"/>
        <item x="80"/>
        <item x="43"/>
        <item x="278"/>
        <item x="282"/>
        <item x="137"/>
        <item x="186"/>
        <item x="179"/>
        <item x="273"/>
        <item t="default"/>
      </items>
    </pivotField>
    <pivotField numFmtId="14" showAll="0"/>
    <pivotField showAll="0">
      <items count="8">
        <item x="3"/>
        <item x="5"/>
        <item x="1"/>
        <item x="4"/>
        <item x="0"/>
        <item x="2"/>
        <item x="6"/>
        <item t="default"/>
      </items>
    </pivotField>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Total Polici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1D5AD8-FA95-4DD1-A360-EF79E65EFF8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41">
    <pivotField showAll="0"/>
    <pivotField showAll="0"/>
    <pivotField showAll="0">
      <items count="3">
        <item x="0"/>
        <item x="1"/>
        <item t="default"/>
      </items>
    </pivotField>
    <pivotField numFmtId="14" showAll="0">
      <items count="306">
        <item x="165"/>
        <item x="162"/>
        <item x="161"/>
        <item x="171"/>
        <item x="163"/>
        <item x="230"/>
        <item x="231"/>
        <item x="218"/>
        <item x="228"/>
        <item x="229"/>
        <item x="217"/>
        <item x="232"/>
        <item x="249"/>
        <item x="166"/>
        <item x="172"/>
        <item x="227"/>
        <item x="234"/>
        <item x="219"/>
        <item x="174"/>
        <item x="140"/>
        <item x="283"/>
        <item x="220"/>
        <item x="153"/>
        <item x="233"/>
        <item x="209"/>
        <item x="142"/>
        <item x="36"/>
        <item x="235"/>
        <item x="46"/>
        <item x="164"/>
        <item x="82"/>
        <item x="37"/>
        <item x="261"/>
        <item x="55"/>
        <item x="128"/>
        <item x="126"/>
        <item x="96"/>
        <item x="49"/>
        <item x="303"/>
        <item x="32"/>
        <item x="279"/>
        <item x="176"/>
        <item x="178"/>
        <item x="146"/>
        <item x="115"/>
        <item x="75"/>
        <item x="97"/>
        <item x="265"/>
        <item x="136"/>
        <item x="100"/>
        <item x="221"/>
        <item x="213"/>
        <item x="116"/>
        <item x="266"/>
        <item x="108"/>
        <item x="110"/>
        <item x="56"/>
        <item x="304"/>
        <item x="27"/>
        <item x="183"/>
        <item x="121"/>
        <item x="69"/>
        <item x="154"/>
        <item x="271"/>
        <item x="280"/>
        <item x="21"/>
        <item x="14"/>
        <item x="29"/>
        <item x="90"/>
        <item x="17"/>
        <item x="145"/>
        <item x="81"/>
        <item x="0"/>
        <item x="236"/>
        <item x="7"/>
        <item x="250"/>
        <item x="237"/>
        <item x="141"/>
        <item x="288"/>
        <item x="15"/>
        <item x="207"/>
        <item x="10"/>
        <item x="130"/>
        <item x="211"/>
        <item x="167"/>
        <item x="204"/>
        <item x="122"/>
        <item x="286"/>
        <item x="263"/>
        <item x="251"/>
        <item x="285"/>
        <item x="139"/>
        <item x="11"/>
        <item x="105"/>
        <item x="262"/>
        <item x="91"/>
        <item x="102"/>
        <item x="238"/>
        <item x="222"/>
        <item x="30"/>
        <item x="175"/>
        <item x="53"/>
        <item x="64"/>
        <item x="215"/>
        <item x="267"/>
        <item x="135"/>
        <item x="189"/>
        <item x="159"/>
        <item x="252"/>
        <item x="244"/>
        <item x="138"/>
        <item x="290"/>
        <item x="133"/>
        <item x="77"/>
        <item x="25"/>
        <item x="257"/>
        <item x="156"/>
        <item x="51"/>
        <item x="22"/>
        <item x="19"/>
        <item x="210"/>
        <item x="39"/>
        <item x="60"/>
        <item x="168"/>
        <item x="24"/>
        <item x="45"/>
        <item x="260"/>
        <item x="245"/>
        <item x="20"/>
        <item x="181"/>
        <item x="2"/>
        <item x="54"/>
        <item x="295"/>
        <item x="294"/>
        <item x="239"/>
        <item x="125"/>
        <item x="26"/>
        <item x="143"/>
        <item x="67"/>
        <item x="42"/>
        <item x="35"/>
        <item x="268"/>
        <item x="287"/>
        <item x="47"/>
        <item x="284"/>
        <item x="240"/>
        <item x="201"/>
        <item x="83"/>
        <item x="33"/>
        <item x="4"/>
        <item x="185"/>
        <item x="79"/>
        <item x="117"/>
        <item x="298"/>
        <item x="40"/>
        <item x="129"/>
        <item x="169"/>
        <item x="198"/>
        <item x="158"/>
        <item x="127"/>
        <item x="157"/>
        <item x="99"/>
        <item x="277"/>
        <item x="259"/>
        <item x="195"/>
        <item x="118"/>
        <item x="13"/>
        <item x="206"/>
        <item x="199"/>
        <item x="302"/>
        <item x="299"/>
        <item x="59"/>
        <item x="196"/>
        <item x="191"/>
        <item x="8"/>
        <item x="177"/>
        <item x="223"/>
        <item x="197"/>
        <item x="214"/>
        <item x="76"/>
        <item x="58"/>
        <item x="98"/>
        <item x="5"/>
        <item x="85"/>
        <item x="120"/>
        <item x="101"/>
        <item x="224"/>
        <item x="182"/>
        <item x="107"/>
        <item x="148"/>
        <item x="150"/>
        <item x="272"/>
        <item x="119"/>
        <item x="84"/>
        <item x="109"/>
        <item x="111"/>
        <item x="57"/>
        <item x="88"/>
        <item x="28"/>
        <item x="149"/>
        <item x="241"/>
        <item x="184"/>
        <item x="112"/>
        <item x="114"/>
        <item x="70"/>
        <item x="61"/>
        <item x="155"/>
        <item x="243"/>
        <item x="170"/>
        <item x="242"/>
        <item x="270"/>
        <item x="95"/>
        <item x="41"/>
        <item x="16"/>
        <item x="72"/>
        <item x="151"/>
        <item x="18"/>
        <item x="300"/>
        <item x="292"/>
        <item x="269"/>
        <item x="200"/>
        <item x="38"/>
        <item x="71"/>
        <item x="73"/>
        <item x="152"/>
        <item x="297"/>
        <item x="246"/>
        <item x="123"/>
        <item x="104"/>
        <item x="92"/>
        <item x="253"/>
        <item x="147"/>
        <item x="1"/>
        <item x="106"/>
        <item x="293"/>
        <item x="208"/>
        <item x="192"/>
        <item x="63"/>
        <item x="9"/>
        <item x="44"/>
        <item x="212"/>
        <item x="274"/>
        <item x="275"/>
        <item x="254"/>
        <item x="103"/>
        <item x="6"/>
        <item x="160"/>
        <item x="225"/>
        <item x="31"/>
        <item x="173"/>
        <item x="65"/>
        <item x="264"/>
        <item x="216"/>
        <item x="258"/>
        <item x="124"/>
        <item x="190"/>
        <item x="194"/>
        <item x="193"/>
        <item x="289"/>
        <item x="256"/>
        <item x="255"/>
        <item x="248"/>
        <item x="226"/>
        <item x="291"/>
        <item x="132"/>
        <item x="134"/>
        <item x="131"/>
        <item x="78"/>
        <item x="66"/>
        <item x="86"/>
        <item x="52"/>
        <item x="12"/>
        <item x="301"/>
        <item x="23"/>
        <item x="48"/>
        <item x="89"/>
        <item x="93"/>
        <item x="180"/>
        <item x="3"/>
        <item x="50"/>
        <item x="205"/>
        <item x="296"/>
        <item x="94"/>
        <item x="247"/>
        <item x="144"/>
        <item x="68"/>
        <item x="203"/>
        <item x="202"/>
        <item x="74"/>
        <item x="62"/>
        <item x="87"/>
        <item x="187"/>
        <item x="34"/>
        <item x="113"/>
        <item x="276"/>
        <item x="281"/>
        <item x="188"/>
        <item x="80"/>
        <item x="43"/>
        <item x="278"/>
        <item x="282"/>
        <item x="137"/>
        <item x="186"/>
        <item x="179"/>
        <item x="273"/>
        <item t="default"/>
      </items>
    </pivotField>
    <pivotField numFmtId="14" showAll="0"/>
    <pivotField showAll="0">
      <items count="8">
        <item x="3"/>
        <item x="5"/>
        <item x="1"/>
        <item x="4"/>
        <item x="0"/>
        <item x="2"/>
        <item x="6"/>
        <item t="default"/>
      </items>
    </pivotField>
    <pivotField showAll="0"/>
    <pivotField showAll="0"/>
    <pivotField showAll="0"/>
    <pivotField showAll="0"/>
    <pivotField showAll="0"/>
    <pivotField dataField="1"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Sum of 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status" xr10:uid="{5CA51217-3148-4856-A399-424C70F12DC6}" sourceName="policy_status">
  <pivotTables>
    <pivotTable tabId="2" name="PivotTable1"/>
    <pivotTable tabId="2" name="PivotTable11"/>
    <pivotTable tabId="2" name="PivotTable2"/>
    <pivotTable tabId="2" name="PivotTable4"/>
    <pivotTable tabId="2" name="PivotTable6"/>
    <pivotTable tabId="2" name="PivotTable8"/>
    <pivotTable tabId="2" name="PivotTable9"/>
    <pivotTable tabId="2" name="PivotTable5"/>
  </pivotTables>
  <data>
    <tabular pivotCacheId="133591772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group" xr10:uid="{863AB89F-63F6-4253-92E7-FE55D31BCA1F}" sourceName="product_group">
  <pivotTables>
    <pivotTable tabId="2" name="PivotTable1"/>
    <pivotTable tabId="2" name="PivotTable11"/>
    <pivotTable tabId="2" name="PivotTable2"/>
    <pivotTable tabId="2" name="PivotTable3"/>
    <pivotTable tabId="2" name="PivotTable4"/>
    <pivotTable tabId="2" name="PivotTable5"/>
    <pivotTable tabId="2" name="PivotTable6"/>
    <pivotTable tabId="2" name="PivotTable8"/>
    <pivotTable tabId="2" name="PivotTable9"/>
  </pivotTables>
  <data>
    <tabular pivotCacheId="1335917726">
      <items count="7">
        <i x="3" s="1"/>
        <i x="5" s="1"/>
        <i x="1" s="1"/>
        <i x="4" s="1"/>
        <i x="0" s="1"/>
        <i x="2"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olicy_start_date" xr10:uid="{88FBAD46-41F4-44AF-88F9-6583EC8D23CF}" sourceName="Years (policy_start_date)">
  <pivotTables>
    <pivotTable tabId="2" name="PivotTable1"/>
    <pivotTable tabId="2" name="PivotTable11"/>
    <pivotTable tabId="2" name="PivotTable2"/>
    <pivotTable tabId="2" name="PivotTable3"/>
    <pivotTable tabId="2" name="PivotTable4"/>
    <pivotTable tabId="2" name="PivotTable5"/>
    <pivotTable tabId="2" name="PivotTable6"/>
    <pivotTable tabId="2" name="PivotTable8"/>
    <pivotTable tabId="2" name="PivotTable9"/>
  </pivotTables>
  <data>
    <tabular pivotCacheId="1335917726">
      <items count="8">
        <i x="1" s="1"/>
        <i x="2" s="1"/>
        <i x="3" s="1"/>
        <i x="4" s="1"/>
        <i x="5" s="1"/>
        <i x="6" s="1"/>
        <i x="0"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_status" xr10:uid="{8F3A9E7B-717F-4DC5-8292-834175D993C9}" cache="Slicer_policy_status" caption="policy_status" style="SlicerStyleDark1" rowHeight="241300"/>
  <slicer name="product_group" xr10:uid="{37349119-14CE-439C-B046-3CECBD036C71}" cache="Slicer_product_group" caption="product_group" style="SlicerStyleDark1" rowHeight="241300"/>
  <slicer name="Years (policy_start_date)" xr10:uid="{7A43C2F9-ABA4-4D5E-AFD7-9E75FEE1A59F}" cache="Slicer_Years__policy_start_date" caption="Years (policy_start_date)"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90C5C3-BC8D-4CBD-BF2E-76310E14C434}" name="tbl_dashboard" displayName="tbl_dashboard" ref="A1:AL3477" totalsRowShown="0">
  <autoFilter ref="A1:AL3477" xr:uid="{3B90C5C3-BC8D-4CBD-BF2E-76310E14C434}"/>
  <tableColumns count="38">
    <tableColumn id="1" xr3:uid="{0EDD3EC6-B79D-46FA-A3FC-4DDB655B531C}" name="client_name"/>
    <tableColumn id="2" xr3:uid="{4D8F7ED9-4D75-45C9-955E-E024DCB5BCE1}" name="policy_number"/>
    <tableColumn id="3" xr3:uid="{ACA8DC05-4B12-4DD7-BC70-19EEAF09E3AC}" name="policy_status"/>
    <tableColumn id="4" xr3:uid="{4CF93BEF-992C-418D-AFC0-0DA0DD5B8696}" name="policy_start_date" dataDxfId="5"/>
    <tableColumn id="5" xr3:uid="{5B91B442-698A-47CD-BEE4-B4DA5B6034B2}" name="policy_end_date" dataDxfId="4"/>
    <tableColumn id="6" xr3:uid="{7B72E4D9-9EC3-4C44-AF38-1B9F96A49AE7}" name="product_group"/>
    <tableColumn id="7" xr3:uid="{C3686022-84E1-4ED1-853F-837577D62F5E}" name="account_exe_id"/>
    <tableColumn id="8" xr3:uid="{0FDD8C19-98A9-480A-8645-5FCF76A8F977}" name="exe_name"/>
    <tableColumn id="9" xr3:uid="{31298563-6423-4C2B-B1AB-04A907ECD608}" name="branch_name"/>
    <tableColumn id="10" xr3:uid="{03C06541-211F-46C8-B841-FE00262AF965}" name="solution_group"/>
    <tableColumn id="11" xr3:uid="{502CAE68-8F79-4246-8A34-C3F76AD67F8F}" name="income_class"/>
    <tableColumn id="12" xr3:uid="{8E0D2FDE-953C-4B7C-9F51-E2E144EAC408}" name="amount"/>
    <tableColumn id="13" xr3:uid="{3451991B-13A0-4F59-9168-B973E4573FDA}" name="income_due_date" dataDxfId="3"/>
    <tableColumn id="14" xr3:uid="{712A2525-AA63-40FC-9553-60164C84FEC7}" name="revenue_transaction_type"/>
    <tableColumn id="15" xr3:uid="{FAE549BF-A339-4242-AC34-1F86B06725F0}" name="renewal_status"/>
    <tableColumn id="16" xr3:uid="{85F4DEC6-E3E2-4243-8319-19A5656ADBC2}" name="lapse_reason"/>
    <tableColumn id="17" xr3:uid="{E9A2F0E8-A23D-4DD9-9411-2DDFD7598FA6}" name="last_updated_date" dataDxfId="2"/>
    <tableColumn id="18" xr3:uid="{1E7B96AD-5A05-43A9-95C5-AA7DACEED31E}" name="lapse_reason_clean"/>
    <tableColumn id="19" xr3:uid="{12C5DE9F-DC9C-4C39-8C31-28049352EF1B}" name="opportunity_name"/>
    <tableColumn id="20" xr3:uid="{F3F7C2C3-8CEC-4F1F-9987-6A8077395BAE}" name="opportunity_id"/>
    <tableColumn id="21" xr3:uid="{0D14A3BB-1137-4CAB-A49D-4828C9C3760F}" name="account_executive"/>
    <tableColumn id="22" xr3:uid="{55C90EA9-A037-4AD3-B395-364A1E57AEA1}" name="premium_amount"/>
    <tableColumn id="23" xr3:uid="{CFD15121-21CF-4D4C-B54F-1D84D8D055F4}" name="revenue_amount"/>
    <tableColumn id="24" xr3:uid="{CDD52015-EBF2-4C4C-B9A0-403DD8CCE92C}" name="closing_date" dataDxfId="1"/>
    <tableColumn id="25" xr3:uid="{F4F19FE8-5722-447C-965C-C9A79CFA1C4D}" name="stage"/>
    <tableColumn id="26" xr3:uid="{324DD153-132C-480A-9DC4-FBE03AECC2CC}" name="branch"/>
    <tableColumn id="27" xr3:uid="{52D541B7-140A-465F-9F08-7732CD9B1816}" name="specialty"/>
    <tableColumn id="28" xr3:uid="{0776D9E3-231A-43FA-A0E9-6B3290DA1AD3}" name="product_sub_group"/>
    <tableColumn id="29" xr3:uid="{6E9C9382-F2D2-440D-A462-C38A53079F0A}" name="risk_details"/>
    <tableColumn id="30" xr3:uid="{162FF845-4519-41C9-9166-7A8F9CDEB588}" name="invoice_number"/>
    <tableColumn id="31" xr3:uid="{6F330226-1AD6-40BE-9A40-0DF3545D252B}" name="invoice_date"/>
    <tableColumn id="32" xr3:uid="{58FBD705-0B4E-48C7-A02A-D20B4138A4EE}" name="global_attendees"/>
    <tableColumn id="33" xr3:uid="{B523AD2E-4FF0-4C2C-9CF2-7E572DE395DB}" name="meeting_date" dataDxfId="0"/>
    <tableColumn id="34" xr3:uid="{DB446FC0-2E95-4465-80D9-9E948D7BAE04}" name="employee_name"/>
    <tableColumn id="35" xr3:uid="{1D51B861-48AC-4BE1-BCC9-D70F81F2BE3D}" name="new_role2"/>
    <tableColumn id="36" xr3:uid="{7F105E9D-8F6A-4ED5-B97E-DD12BC115EC0}" name="new_budget"/>
    <tableColumn id="37" xr3:uid="{F64F4C28-0C00-4D35-ABD9-066A33E76624}" name="cross_sell_bugdet"/>
    <tableColumn id="38" xr3:uid="{30874744-D245-4BB0-B599-07B50C19233A}" name="renewal_budge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8AE85-9028-401F-B87B-E786770906A0}">
  <dimension ref="A1:AL3477"/>
  <sheetViews>
    <sheetView topLeftCell="T1" zoomScale="66" workbookViewId="0">
      <selection activeCell="A8" sqref="A8"/>
    </sheetView>
  </sheetViews>
  <sheetFormatPr defaultRowHeight="15" x14ac:dyDescent="0.25"/>
  <cols>
    <col min="1" max="1" width="18.140625" customWidth="1"/>
    <col min="2" max="2" width="55.28515625" bestFit="1" customWidth="1"/>
    <col min="3" max="3" width="19.42578125" customWidth="1"/>
    <col min="4" max="4" width="24.42578125" customWidth="1"/>
    <col min="5" max="5" width="23.5703125" customWidth="1"/>
    <col min="6" max="6" width="21.140625" customWidth="1"/>
    <col min="7" max="7" width="23" customWidth="1"/>
    <col min="8" max="8" width="15.85546875" customWidth="1"/>
    <col min="9" max="9" width="19.85546875" customWidth="1"/>
    <col min="10" max="10" width="34.28515625" bestFit="1" customWidth="1"/>
    <col min="11" max="11" width="19.85546875" customWidth="1"/>
    <col min="12" max="12" width="12.28515625" customWidth="1"/>
    <col min="13" max="13" width="25.140625" customWidth="1"/>
    <col min="14" max="14" width="35" customWidth="1"/>
    <col min="15" max="15" width="21.7109375" customWidth="1"/>
    <col min="16" max="16" width="39.140625" bestFit="1" customWidth="1"/>
    <col min="17" max="17" width="26.140625" customWidth="1"/>
    <col min="18" max="18" width="39.140625" bestFit="1" customWidth="1"/>
    <col min="19" max="19" width="28.140625" bestFit="1" customWidth="1"/>
    <col min="20" max="20" width="20.7109375" customWidth="1"/>
    <col min="21" max="21" width="26.5703125" customWidth="1"/>
    <col min="22" max="22" width="23.85546875" customWidth="1"/>
    <col min="23" max="23" width="23.5703125" customWidth="1"/>
    <col min="24" max="24" width="19" customWidth="1"/>
    <col min="25" max="25" width="19" bestFit="1" customWidth="1"/>
    <col min="26" max="26" width="11.85546875" customWidth="1"/>
    <col min="27" max="27" width="34.28515625" bestFit="1" customWidth="1"/>
    <col min="28" max="28" width="32.7109375" bestFit="1" customWidth="1"/>
    <col min="29" max="29" width="44.28515625" bestFit="1" customWidth="1"/>
    <col min="30" max="30" width="22.5703125" customWidth="1"/>
    <col min="31" max="31" width="19" customWidth="1"/>
    <col min="32" max="32" width="24.42578125" customWidth="1"/>
    <col min="33" max="33" width="19.85546875" customWidth="1"/>
    <col min="34" max="34" width="23" customWidth="1"/>
    <col min="35" max="35" width="15.85546875" bestFit="1" customWidth="1"/>
    <col min="36" max="36" width="18.140625" customWidth="1"/>
    <col min="37" max="37" width="25.5703125" customWidth="1"/>
    <col min="38" max="38" width="22.7109375"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t="s">
        <v>39</v>
      </c>
      <c r="C2" t="s">
        <v>40</v>
      </c>
      <c r="D2" s="1">
        <v>43209</v>
      </c>
      <c r="E2" s="1">
        <v>43573</v>
      </c>
      <c r="F2" t="s">
        <v>41</v>
      </c>
      <c r="G2">
        <v>1</v>
      </c>
      <c r="H2" t="s">
        <v>42</v>
      </c>
      <c r="I2" t="s">
        <v>43</v>
      </c>
      <c r="J2" t="s">
        <v>41</v>
      </c>
      <c r="K2" t="s">
        <v>44</v>
      </c>
      <c r="L2">
        <v>32186.720000000001</v>
      </c>
      <c r="M2" s="1">
        <v>43209</v>
      </c>
      <c r="N2" t="s">
        <v>45</v>
      </c>
      <c r="O2" t="s">
        <v>46</v>
      </c>
      <c r="P2" t="s">
        <v>47</v>
      </c>
      <c r="Q2" s="1">
        <v>43852</v>
      </c>
      <c r="R2" t="s">
        <v>48</v>
      </c>
      <c r="S2" t="s">
        <v>49</v>
      </c>
      <c r="T2" t="s">
        <v>50</v>
      </c>
      <c r="U2" t="s">
        <v>42</v>
      </c>
      <c r="V2">
        <v>0</v>
      </c>
      <c r="W2">
        <v>100000</v>
      </c>
      <c r="X2" s="1">
        <v>44012</v>
      </c>
      <c r="Y2" t="s">
        <v>51</v>
      </c>
      <c r="Z2" t="s">
        <v>43</v>
      </c>
      <c r="AA2" t="s">
        <v>41</v>
      </c>
      <c r="AB2" t="s">
        <v>52</v>
      </c>
      <c r="AC2" t="s">
        <v>53</v>
      </c>
      <c r="AF2" t="s">
        <v>54</v>
      </c>
      <c r="AG2" s="1">
        <v>43832</v>
      </c>
      <c r="AH2" t="s">
        <v>42</v>
      </c>
      <c r="AI2" t="s">
        <v>55</v>
      </c>
      <c r="AJ2">
        <v>12788092</v>
      </c>
      <c r="AK2">
        <v>250000</v>
      </c>
      <c r="AL2">
        <v>1500000</v>
      </c>
    </row>
    <row r="3" spans="1:38" x14ac:dyDescent="0.25">
      <c r="A3" t="s">
        <v>38</v>
      </c>
      <c r="B3" t="s">
        <v>39</v>
      </c>
      <c r="C3" t="s">
        <v>40</v>
      </c>
      <c r="D3" s="1">
        <v>43209</v>
      </c>
      <c r="E3" s="1">
        <v>43573</v>
      </c>
      <c r="F3" t="s">
        <v>41</v>
      </c>
      <c r="G3">
        <v>1</v>
      </c>
      <c r="H3" t="s">
        <v>42</v>
      </c>
      <c r="I3" t="s">
        <v>43</v>
      </c>
      <c r="J3" t="s">
        <v>41</v>
      </c>
      <c r="K3" t="s">
        <v>44</v>
      </c>
      <c r="L3">
        <v>32186.720000000001</v>
      </c>
      <c r="M3" s="1">
        <v>43209</v>
      </c>
      <c r="N3" t="s">
        <v>45</v>
      </c>
      <c r="O3" t="s">
        <v>46</v>
      </c>
      <c r="P3" t="s">
        <v>47</v>
      </c>
      <c r="Q3" s="1">
        <v>43852</v>
      </c>
      <c r="R3" t="s">
        <v>48</v>
      </c>
      <c r="S3" t="s">
        <v>49</v>
      </c>
      <c r="T3" t="s">
        <v>50</v>
      </c>
      <c r="U3" t="s">
        <v>42</v>
      </c>
      <c r="V3">
        <v>0</v>
      </c>
      <c r="W3">
        <v>100000</v>
      </c>
      <c r="X3" s="1">
        <v>44012</v>
      </c>
      <c r="Y3" t="s">
        <v>51</v>
      </c>
      <c r="Z3" t="s">
        <v>43</v>
      </c>
      <c r="AA3" t="s">
        <v>41</v>
      </c>
      <c r="AB3" t="s">
        <v>52</v>
      </c>
      <c r="AC3" t="s">
        <v>53</v>
      </c>
      <c r="AF3" t="s">
        <v>56</v>
      </c>
      <c r="AG3" s="1">
        <v>43833</v>
      </c>
      <c r="AH3" t="s">
        <v>42</v>
      </c>
      <c r="AI3" t="s">
        <v>55</v>
      </c>
      <c r="AJ3">
        <v>12788092</v>
      </c>
      <c r="AK3">
        <v>250000</v>
      </c>
      <c r="AL3">
        <v>1500000</v>
      </c>
    </row>
    <row r="4" spans="1:38" x14ac:dyDescent="0.25">
      <c r="A4" t="s">
        <v>38</v>
      </c>
      <c r="B4" t="s">
        <v>39</v>
      </c>
      <c r="C4" t="s">
        <v>40</v>
      </c>
      <c r="D4" s="1">
        <v>43209</v>
      </c>
      <c r="E4" s="1">
        <v>43573</v>
      </c>
      <c r="F4" t="s">
        <v>41</v>
      </c>
      <c r="G4">
        <v>1</v>
      </c>
      <c r="H4" t="s">
        <v>42</v>
      </c>
      <c r="I4" t="s">
        <v>43</v>
      </c>
      <c r="J4" t="s">
        <v>41</v>
      </c>
      <c r="K4" t="s">
        <v>44</v>
      </c>
      <c r="L4">
        <v>32186.720000000001</v>
      </c>
      <c r="M4" s="1">
        <v>43209</v>
      </c>
      <c r="N4" t="s">
        <v>45</v>
      </c>
      <c r="O4" t="s">
        <v>46</v>
      </c>
      <c r="P4" t="s">
        <v>47</v>
      </c>
      <c r="Q4" s="1">
        <v>43852</v>
      </c>
      <c r="R4" t="s">
        <v>48</v>
      </c>
      <c r="S4" t="s">
        <v>49</v>
      </c>
      <c r="T4" t="s">
        <v>50</v>
      </c>
      <c r="U4" t="s">
        <v>42</v>
      </c>
      <c r="V4">
        <v>0</v>
      </c>
      <c r="W4">
        <v>100000</v>
      </c>
      <c r="X4" s="1">
        <v>44012</v>
      </c>
      <c r="Y4" t="s">
        <v>51</v>
      </c>
      <c r="Z4" t="s">
        <v>43</v>
      </c>
      <c r="AA4" t="s">
        <v>41</v>
      </c>
      <c r="AB4" t="s">
        <v>52</v>
      </c>
      <c r="AC4" t="s">
        <v>53</v>
      </c>
      <c r="AF4" t="s">
        <v>57</v>
      </c>
      <c r="AG4" s="1">
        <v>43836</v>
      </c>
      <c r="AH4" t="s">
        <v>42</v>
      </c>
      <c r="AI4" t="s">
        <v>55</v>
      </c>
      <c r="AJ4">
        <v>12788092</v>
      </c>
      <c r="AK4">
        <v>250000</v>
      </c>
      <c r="AL4">
        <v>1500000</v>
      </c>
    </row>
    <row r="5" spans="1:38" x14ac:dyDescent="0.25">
      <c r="A5" t="s">
        <v>38</v>
      </c>
      <c r="B5" t="s">
        <v>39</v>
      </c>
      <c r="C5" t="s">
        <v>40</v>
      </c>
      <c r="D5" s="1">
        <v>43209</v>
      </c>
      <c r="E5" s="1">
        <v>43573</v>
      </c>
      <c r="F5" t="s">
        <v>41</v>
      </c>
      <c r="G5">
        <v>1</v>
      </c>
      <c r="H5" t="s">
        <v>42</v>
      </c>
      <c r="I5" t="s">
        <v>43</v>
      </c>
      <c r="J5" t="s">
        <v>41</v>
      </c>
      <c r="K5" t="s">
        <v>44</v>
      </c>
      <c r="L5">
        <v>32186.720000000001</v>
      </c>
      <c r="M5" s="1">
        <v>43209</v>
      </c>
      <c r="N5" t="s">
        <v>45</v>
      </c>
      <c r="O5" t="s">
        <v>46</v>
      </c>
      <c r="P5" t="s">
        <v>47</v>
      </c>
      <c r="Q5" s="1">
        <v>43852</v>
      </c>
      <c r="R5" t="s">
        <v>48</v>
      </c>
      <c r="S5" t="s">
        <v>49</v>
      </c>
      <c r="T5" t="s">
        <v>50</v>
      </c>
      <c r="U5" t="s">
        <v>42</v>
      </c>
      <c r="V5">
        <v>0</v>
      </c>
      <c r="W5">
        <v>100000</v>
      </c>
      <c r="X5" s="1">
        <v>44012</v>
      </c>
      <c r="Y5" t="s">
        <v>51</v>
      </c>
      <c r="Z5" t="s">
        <v>43</v>
      </c>
      <c r="AA5" t="s">
        <v>41</v>
      </c>
      <c r="AB5" t="s">
        <v>52</v>
      </c>
      <c r="AC5" t="s">
        <v>53</v>
      </c>
      <c r="AF5" t="s">
        <v>58</v>
      </c>
      <c r="AG5" s="1">
        <v>43837</v>
      </c>
      <c r="AH5" t="s">
        <v>42</v>
      </c>
      <c r="AI5" t="s">
        <v>55</v>
      </c>
      <c r="AJ5">
        <v>12788092</v>
      </c>
      <c r="AK5">
        <v>250000</v>
      </c>
      <c r="AL5">
        <v>1500000</v>
      </c>
    </row>
    <row r="6" spans="1:38" x14ac:dyDescent="0.25">
      <c r="A6" t="s">
        <v>38</v>
      </c>
      <c r="B6" t="s">
        <v>39</v>
      </c>
      <c r="C6" t="s">
        <v>40</v>
      </c>
      <c r="D6" s="1">
        <v>43209</v>
      </c>
      <c r="E6" s="1">
        <v>43573</v>
      </c>
      <c r="F6" t="s">
        <v>41</v>
      </c>
      <c r="G6">
        <v>1</v>
      </c>
      <c r="H6" t="s">
        <v>42</v>
      </c>
      <c r="I6" t="s">
        <v>43</v>
      </c>
      <c r="J6" t="s">
        <v>41</v>
      </c>
      <c r="K6" t="s">
        <v>44</v>
      </c>
      <c r="L6">
        <v>32186.720000000001</v>
      </c>
      <c r="M6" s="1">
        <v>43209</v>
      </c>
      <c r="N6" t="s">
        <v>45</v>
      </c>
      <c r="O6" t="s">
        <v>46</v>
      </c>
      <c r="P6" t="s">
        <v>47</v>
      </c>
      <c r="Q6" s="1">
        <v>43852</v>
      </c>
      <c r="R6" t="s">
        <v>48</v>
      </c>
      <c r="S6" t="s">
        <v>49</v>
      </c>
      <c r="T6" t="s">
        <v>50</v>
      </c>
      <c r="U6" t="s">
        <v>42</v>
      </c>
      <c r="V6">
        <v>0</v>
      </c>
      <c r="W6">
        <v>100000</v>
      </c>
      <c r="X6" s="1">
        <v>44012</v>
      </c>
      <c r="Y6" t="s">
        <v>51</v>
      </c>
      <c r="Z6" t="s">
        <v>43</v>
      </c>
      <c r="AA6" t="s">
        <v>41</v>
      </c>
      <c r="AB6" t="s">
        <v>52</v>
      </c>
      <c r="AC6" t="s">
        <v>53</v>
      </c>
      <c r="AF6" t="s">
        <v>59</v>
      </c>
      <c r="AG6" s="1">
        <v>43838</v>
      </c>
      <c r="AH6" t="s">
        <v>42</v>
      </c>
      <c r="AI6" t="s">
        <v>55</v>
      </c>
      <c r="AJ6">
        <v>12788092</v>
      </c>
      <c r="AK6">
        <v>250000</v>
      </c>
      <c r="AL6">
        <v>1500000</v>
      </c>
    </row>
    <row r="7" spans="1:38" x14ac:dyDescent="0.25">
      <c r="A7" t="s">
        <v>38</v>
      </c>
      <c r="B7" t="s">
        <v>39</v>
      </c>
      <c r="C7" t="s">
        <v>40</v>
      </c>
      <c r="D7" s="1">
        <v>43209</v>
      </c>
      <c r="E7" s="1">
        <v>43573</v>
      </c>
      <c r="F7" t="s">
        <v>41</v>
      </c>
      <c r="G7">
        <v>1</v>
      </c>
      <c r="H7" t="s">
        <v>42</v>
      </c>
      <c r="I7" t="s">
        <v>43</v>
      </c>
      <c r="J7" t="s">
        <v>41</v>
      </c>
      <c r="K7" t="s">
        <v>44</v>
      </c>
      <c r="L7">
        <v>32186.720000000001</v>
      </c>
      <c r="M7" s="1">
        <v>43209</v>
      </c>
      <c r="N7" t="s">
        <v>45</v>
      </c>
      <c r="O7" t="s">
        <v>46</v>
      </c>
      <c r="P7" t="s">
        <v>47</v>
      </c>
      <c r="Q7" s="1">
        <v>43852</v>
      </c>
      <c r="R7" t="s">
        <v>48</v>
      </c>
      <c r="S7" t="s">
        <v>60</v>
      </c>
      <c r="T7" t="s">
        <v>61</v>
      </c>
      <c r="U7" t="s">
        <v>42</v>
      </c>
      <c r="V7">
        <v>0</v>
      </c>
      <c r="W7">
        <v>100000</v>
      </c>
      <c r="X7" s="1">
        <v>43921</v>
      </c>
      <c r="Y7" t="s">
        <v>51</v>
      </c>
      <c r="Z7" t="s">
        <v>43</v>
      </c>
      <c r="AA7" t="s">
        <v>41</v>
      </c>
      <c r="AB7" t="s">
        <v>52</v>
      </c>
      <c r="AC7" t="s">
        <v>53</v>
      </c>
      <c r="AF7" t="s">
        <v>54</v>
      </c>
      <c r="AG7" s="1">
        <v>43832</v>
      </c>
      <c r="AH7" t="s">
        <v>42</v>
      </c>
      <c r="AI7" t="s">
        <v>55</v>
      </c>
      <c r="AJ7">
        <v>12788092</v>
      </c>
      <c r="AK7">
        <v>250000</v>
      </c>
      <c r="AL7">
        <v>1500000</v>
      </c>
    </row>
    <row r="8" spans="1:38" x14ac:dyDescent="0.25">
      <c r="A8" t="s">
        <v>38</v>
      </c>
      <c r="B8" t="s">
        <v>39</v>
      </c>
      <c r="C8" t="s">
        <v>40</v>
      </c>
      <c r="D8" s="1">
        <v>43209</v>
      </c>
      <c r="E8" s="1">
        <v>43573</v>
      </c>
      <c r="F8" t="s">
        <v>41</v>
      </c>
      <c r="G8">
        <v>1</v>
      </c>
      <c r="H8" t="s">
        <v>42</v>
      </c>
      <c r="I8" t="s">
        <v>43</v>
      </c>
      <c r="J8" t="s">
        <v>41</v>
      </c>
      <c r="K8" t="s">
        <v>44</v>
      </c>
      <c r="L8">
        <v>32186.720000000001</v>
      </c>
      <c r="M8" s="1">
        <v>43209</v>
      </c>
      <c r="N8" t="s">
        <v>45</v>
      </c>
      <c r="O8" t="s">
        <v>46</v>
      </c>
      <c r="P8" t="s">
        <v>47</v>
      </c>
      <c r="Q8" s="1">
        <v>43852</v>
      </c>
      <c r="R8" t="s">
        <v>48</v>
      </c>
      <c r="S8" t="s">
        <v>60</v>
      </c>
      <c r="T8" t="s">
        <v>61</v>
      </c>
      <c r="U8" t="s">
        <v>42</v>
      </c>
      <c r="V8">
        <v>0</v>
      </c>
      <c r="W8">
        <v>100000</v>
      </c>
      <c r="X8" s="1">
        <v>43921</v>
      </c>
      <c r="Y8" t="s">
        <v>51</v>
      </c>
      <c r="Z8" t="s">
        <v>43</v>
      </c>
      <c r="AA8" t="s">
        <v>41</v>
      </c>
      <c r="AB8" t="s">
        <v>52</v>
      </c>
      <c r="AC8" t="s">
        <v>53</v>
      </c>
      <c r="AF8" t="s">
        <v>56</v>
      </c>
      <c r="AG8" s="1">
        <v>43833</v>
      </c>
      <c r="AH8" t="s">
        <v>42</v>
      </c>
      <c r="AI8" t="s">
        <v>55</v>
      </c>
      <c r="AJ8">
        <v>12788092</v>
      </c>
      <c r="AK8">
        <v>250000</v>
      </c>
      <c r="AL8">
        <v>1500000</v>
      </c>
    </row>
    <row r="9" spans="1:38" x14ac:dyDescent="0.25">
      <c r="A9" t="s">
        <v>38</v>
      </c>
      <c r="B9" t="s">
        <v>39</v>
      </c>
      <c r="C9" t="s">
        <v>40</v>
      </c>
      <c r="D9" s="1">
        <v>43209</v>
      </c>
      <c r="E9" s="1">
        <v>43573</v>
      </c>
      <c r="F9" t="s">
        <v>41</v>
      </c>
      <c r="G9">
        <v>1</v>
      </c>
      <c r="H9" t="s">
        <v>42</v>
      </c>
      <c r="I9" t="s">
        <v>43</v>
      </c>
      <c r="J9" t="s">
        <v>41</v>
      </c>
      <c r="K9" t="s">
        <v>44</v>
      </c>
      <c r="L9">
        <v>32186.720000000001</v>
      </c>
      <c r="M9" s="1">
        <v>43209</v>
      </c>
      <c r="N9" t="s">
        <v>45</v>
      </c>
      <c r="O9" t="s">
        <v>46</v>
      </c>
      <c r="P9" t="s">
        <v>47</v>
      </c>
      <c r="Q9" s="1">
        <v>43852</v>
      </c>
      <c r="R9" t="s">
        <v>48</v>
      </c>
      <c r="S9" t="s">
        <v>60</v>
      </c>
      <c r="T9" t="s">
        <v>61</v>
      </c>
      <c r="U9" t="s">
        <v>42</v>
      </c>
      <c r="V9">
        <v>0</v>
      </c>
      <c r="W9">
        <v>100000</v>
      </c>
      <c r="X9" s="1">
        <v>43921</v>
      </c>
      <c r="Y9" t="s">
        <v>51</v>
      </c>
      <c r="Z9" t="s">
        <v>43</v>
      </c>
      <c r="AA9" t="s">
        <v>41</v>
      </c>
      <c r="AB9" t="s">
        <v>52</v>
      </c>
      <c r="AC9" t="s">
        <v>53</v>
      </c>
      <c r="AF9" t="s">
        <v>57</v>
      </c>
      <c r="AG9" s="1">
        <v>43836</v>
      </c>
      <c r="AH9" t="s">
        <v>42</v>
      </c>
      <c r="AI9" t="s">
        <v>55</v>
      </c>
      <c r="AJ9">
        <v>12788092</v>
      </c>
      <c r="AK9">
        <v>250000</v>
      </c>
      <c r="AL9">
        <v>1500000</v>
      </c>
    </row>
    <row r="10" spans="1:38" x14ac:dyDescent="0.25">
      <c r="A10" t="s">
        <v>38</v>
      </c>
      <c r="B10" t="s">
        <v>39</v>
      </c>
      <c r="C10" t="s">
        <v>40</v>
      </c>
      <c r="D10" s="1">
        <v>43209</v>
      </c>
      <c r="E10" s="1">
        <v>43573</v>
      </c>
      <c r="F10" t="s">
        <v>41</v>
      </c>
      <c r="G10">
        <v>1</v>
      </c>
      <c r="H10" t="s">
        <v>42</v>
      </c>
      <c r="I10" t="s">
        <v>43</v>
      </c>
      <c r="J10" t="s">
        <v>41</v>
      </c>
      <c r="K10" t="s">
        <v>44</v>
      </c>
      <c r="L10">
        <v>32186.720000000001</v>
      </c>
      <c r="M10" s="1">
        <v>43209</v>
      </c>
      <c r="N10" t="s">
        <v>45</v>
      </c>
      <c r="O10" t="s">
        <v>46</v>
      </c>
      <c r="P10" t="s">
        <v>47</v>
      </c>
      <c r="Q10" s="1">
        <v>43852</v>
      </c>
      <c r="R10" t="s">
        <v>48</v>
      </c>
      <c r="S10" t="s">
        <v>60</v>
      </c>
      <c r="T10" t="s">
        <v>61</v>
      </c>
      <c r="U10" t="s">
        <v>42</v>
      </c>
      <c r="V10">
        <v>0</v>
      </c>
      <c r="W10">
        <v>100000</v>
      </c>
      <c r="X10" s="1">
        <v>43921</v>
      </c>
      <c r="Y10" t="s">
        <v>51</v>
      </c>
      <c r="Z10" t="s">
        <v>43</v>
      </c>
      <c r="AA10" t="s">
        <v>41</v>
      </c>
      <c r="AB10" t="s">
        <v>52</v>
      </c>
      <c r="AC10" t="s">
        <v>53</v>
      </c>
      <c r="AF10" t="s">
        <v>58</v>
      </c>
      <c r="AG10" s="1">
        <v>43837</v>
      </c>
      <c r="AH10" t="s">
        <v>42</v>
      </c>
      <c r="AI10" t="s">
        <v>55</v>
      </c>
      <c r="AJ10">
        <v>12788092</v>
      </c>
      <c r="AK10">
        <v>250000</v>
      </c>
      <c r="AL10">
        <v>1500000</v>
      </c>
    </row>
    <row r="11" spans="1:38" x14ac:dyDescent="0.25">
      <c r="A11" t="s">
        <v>38</v>
      </c>
      <c r="B11" t="s">
        <v>39</v>
      </c>
      <c r="C11" t="s">
        <v>40</v>
      </c>
      <c r="D11" s="1">
        <v>43209</v>
      </c>
      <c r="E11" s="1">
        <v>43573</v>
      </c>
      <c r="F11" t="s">
        <v>41</v>
      </c>
      <c r="G11">
        <v>1</v>
      </c>
      <c r="H11" t="s">
        <v>42</v>
      </c>
      <c r="I11" t="s">
        <v>43</v>
      </c>
      <c r="J11" t="s">
        <v>41</v>
      </c>
      <c r="K11" t="s">
        <v>44</v>
      </c>
      <c r="L11">
        <v>32186.720000000001</v>
      </c>
      <c r="M11" s="1">
        <v>43209</v>
      </c>
      <c r="N11" t="s">
        <v>45</v>
      </c>
      <c r="O11" t="s">
        <v>46</v>
      </c>
      <c r="P11" t="s">
        <v>47</v>
      </c>
      <c r="Q11" s="1">
        <v>43852</v>
      </c>
      <c r="R11" t="s">
        <v>48</v>
      </c>
      <c r="S11" t="s">
        <v>60</v>
      </c>
      <c r="T11" t="s">
        <v>61</v>
      </c>
      <c r="U11" t="s">
        <v>42</v>
      </c>
      <c r="V11">
        <v>0</v>
      </c>
      <c r="W11">
        <v>100000</v>
      </c>
      <c r="X11" s="1">
        <v>43921</v>
      </c>
      <c r="Y11" t="s">
        <v>51</v>
      </c>
      <c r="Z11" t="s">
        <v>43</v>
      </c>
      <c r="AA11" t="s">
        <v>41</v>
      </c>
      <c r="AB11" t="s">
        <v>52</v>
      </c>
      <c r="AC11" t="s">
        <v>53</v>
      </c>
      <c r="AF11" t="s">
        <v>59</v>
      </c>
      <c r="AG11" s="1">
        <v>43838</v>
      </c>
      <c r="AH11" t="s">
        <v>42</v>
      </c>
      <c r="AI11" t="s">
        <v>55</v>
      </c>
      <c r="AJ11">
        <v>12788092</v>
      </c>
      <c r="AK11">
        <v>250000</v>
      </c>
      <c r="AL11">
        <v>1500000</v>
      </c>
    </row>
    <row r="12" spans="1:38" x14ac:dyDescent="0.25">
      <c r="A12" t="s">
        <v>38</v>
      </c>
      <c r="B12" t="s">
        <v>39</v>
      </c>
      <c r="C12" t="s">
        <v>40</v>
      </c>
      <c r="D12" s="1">
        <v>43209</v>
      </c>
      <c r="E12" s="1">
        <v>43573</v>
      </c>
      <c r="F12" t="s">
        <v>41</v>
      </c>
      <c r="G12">
        <v>1</v>
      </c>
      <c r="H12" t="s">
        <v>42</v>
      </c>
      <c r="I12" t="s">
        <v>43</v>
      </c>
      <c r="J12" t="s">
        <v>41</v>
      </c>
      <c r="K12" t="s">
        <v>44</v>
      </c>
      <c r="L12">
        <v>32186.720000000001</v>
      </c>
      <c r="M12" s="1">
        <v>43209</v>
      </c>
      <c r="N12" t="s">
        <v>45</v>
      </c>
      <c r="O12" t="s">
        <v>46</v>
      </c>
      <c r="P12" t="s">
        <v>47</v>
      </c>
      <c r="Q12" s="1">
        <v>43852</v>
      </c>
      <c r="R12" t="s">
        <v>48</v>
      </c>
      <c r="S12" t="s">
        <v>62</v>
      </c>
      <c r="T12" t="s">
        <v>63</v>
      </c>
      <c r="U12" t="s">
        <v>42</v>
      </c>
      <c r="V12">
        <v>0</v>
      </c>
      <c r="W12">
        <v>100000</v>
      </c>
      <c r="X12" s="1">
        <v>43982</v>
      </c>
      <c r="Y12" t="s">
        <v>51</v>
      </c>
      <c r="Z12" t="s">
        <v>43</v>
      </c>
      <c r="AA12" t="s">
        <v>41</v>
      </c>
      <c r="AB12" t="s">
        <v>52</v>
      </c>
      <c r="AC12" t="s">
        <v>53</v>
      </c>
      <c r="AF12" t="s">
        <v>54</v>
      </c>
      <c r="AG12" s="1">
        <v>43832</v>
      </c>
      <c r="AH12" t="s">
        <v>42</v>
      </c>
      <c r="AI12" t="s">
        <v>55</v>
      </c>
      <c r="AJ12">
        <v>12788092</v>
      </c>
      <c r="AK12">
        <v>250000</v>
      </c>
      <c r="AL12">
        <v>1500000</v>
      </c>
    </row>
    <row r="13" spans="1:38" x14ac:dyDescent="0.25">
      <c r="A13" t="s">
        <v>38</v>
      </c>
      <c r="B13" t="s">
        <v>39</v>
      </c>
      <c r="C13" t="s">
        <v>40</v>
      </c>
      <c r="D13" s="1">
        <v>43209</v>
      </c>
      <c r="E13" s="1">
        <v>43573</v>
      </c>
      <c r="F13" t="s">
        <v>41</v>
      </c>
      <c r="G13">
        <v>1</v>
      </c>
      <c r="H13" t="s">
        <v>42</v>
      </c>
      <c r="I13" t="s">
        <v>43</v>
      </c>
      <c r="J13" t="s">
        <v>41</v>
      </c>
      <c r="K13" t="s">
        <v>44</v>
      </c>
      <c r="L13">
        <v>32186.720000000001</v>
      </c>
      <c r="M13" s="1">
        <v>43209</v>
      </c>
      <c r="N13" t="s">
        <v>45</v>
      </c>
      <c r="O13" t="s">
        <v>46</v>
      </c>
      <c r="P13" t="s">
        <v>47</v>
      </c>
      <c r="Q13" s="1">
        <v>43852</v>
      </c>
      <c r="R13" t="s">
        <v>48</v>
      </c>
      <c r="S13" t="s">
        <v>62</v>
      </c>
      <c r="T13" t="s">
        <v>63</v>
      </c>
      <c r="U13" t="s">
        <v>42</v>
      </c>
      <c r="V13">
        <v>0</v>
      </c>
      <c r="W13">
        <v>100000</v>
      </c>
      <c r="X13" s="1">
        <v>43982</v>
      </c>
      <c r="Y13" t="s">
        <v>51</v>
      </c>
      <c r="Z13" t="s">
        <v>43</v>
      </c>
      <c r="AA13" t="s">
        <v>41</v>
      </c>
      <c r="AB13" t="s">
        <v>52</v>
      </c>
      <c r="AC13" t="s">
        <v>53</v>
      </c>
      <c r="AF13" t="s">
        <v>56</v>
      </c>
      <c r="AG13" s="1">
        <v>43833</v>
      </c>
      <c r="AH13" t="s">
        <v>42</v>
      </c>
      <c r="AI13" t="s">
        <v>55</v>
      </c>
      <c r="AJ13">
        <v>12788092</v>
      </c>
      <c r="AK13">
        <v>250000</v>
      </c>
      <c r="AL13">
        <v>1500000</v>
      </c>
    </row>
    <row r="14" spans="1:38" x14ac:dyDescent="0.25">
      <c r="A14" t="s">
        <v>38</v>
      </c>
      <c r="B14" t="s">
        <v>39</v>
      </c>
      <c r="C14" t="s">
        <v>40</v>
      </c>
      <c r="D14" s="1">
        <v>43209</v>
      </c>
      <c r="E14" s="1">
        <v>43573</v>
      </c>
      <c r="F14" t="s">
        <v>41</v>
      </c>
      <c r="G14">
        <v>1</v>
      </c>
      <c r="H14" t="s">
        <v>42</v>
      </c>
      <c r="I14" t="s">
        <v>43</v>
      </c>
      <c r="J14" t="s">
        <v>41</v>
      </c>
      <c r="K14" t="s">
        <v>44</v>
      </c>
      <c r="L14">
        <v>32186.720000000001</v>
      </c>
      <c r="M14" s="1">
        <v>43209</v>
      </c>
      <c r="N14" t="s">
        <v>45</v>
      </c>
      <c r="O14" t="s">
        <v>46</v>
      </c>
      <c r="P14" t="s">
        <v>47</v>
      </c>
      <c r="Q14" s="1">
        <v>43852</v>
      </c>
      <c r="R14" t="s">
        <v>48</v>
      </c>
      <c r="S14" t="s">
        <v>62</v>
      </c>
      <c r="T14" t="s">
        <v>63</v>
      </c>
      <c r="U14" t="s">
        <v>42</v>
      </c>
      <c r="V14">
        <v>0</v>
      </c>
      <c r="W14">
        <v>100000</v>
      </c>
      <c r="X14" s="1">
        <v>43982</v>
      </c>
      <c r="Y14" t="s">
        <v>51</v>
      </c>
      <c r="Z14" t="s">
        <v>43</v>
      </c>
      <c r="AA14" t="s">
        <v>41</v>
      </c>
      <c r="AB14" t="s">
        <v>52</v>
      </c>
      <c r="AC14" t="s">
        <v>53</v>
      </c>
      <c r="AF14" t="s">
        <v>57</v>
      </c>
      <c r="AG14" s="1">
        <v>43836</v>
      </c>
      <c r="AH14" t="s">
        <v>42</v>
      </c>
      <c r="AI14" t="s">
        <v>55</v>
      </c>
      <c r="AJ14">
        <v>12788092</v>
      </c>
      <c r="AK14">
        <v>250000</v>
      </c>
      <c r="AL14">
        <v>1500000</v>
      </c>
    </row>
    <row r="15" spans="1:38" x14ac:dyDescent="0.25">
      <c r="A15" t="s">
        <v>38</v>
      </c>
      <c r="B15" t="s">
        <v>39</v>
      </c>
      <c r="C15" t="s">
        <v>40</v>
      </c>
      <c r="D15" s="1">
        <v>43209</v>
      </c>
      <c r="E15" s="1">
        <v>43573</v>
      </c>
      <c r="F15" t="s">
        <v>41</v>
      </c>
      <c r="G15">
        <v>1</v>
      </c>
      <c r="H15" t="s">
        <v>42</v>
      </c>
      <c r="I15" t="s">
        <v>43</v>
      </c>
      <c r="J15" t="s">
        <v>41</v>
      </c>
      <c r="K15" t="s">
        <v>44</v>
      </c>
      <c r="L15">
        <v>32186.720000000001</v>
      </c>
      <c r="M15" s="1">
        <v>43209</v>
      </c>
      <c r="N15" t="s">
        <v>45</v>
      </c>
      <c r="O15" t="s">
        <v>46</v>
      </c>
      <c r="P15" t="s">
        <v>47</v>
      </c>
      <c r="Q15" s="1">
        <v>43852</v>
      </c>
      <c r="R15" t="s">
        <v>48</v>
      </c>
      <c r="S15" t="s">
        <v>62</v>
      </c>
      <c r="T15" t="s">
        <v>63</v>
      </c>
      <c r="U15" t="s">
        <v>42</v>
      </c>
      <c r="V15">
        <v>0</v>
      </c>
      <c r="W15">
        <v>100000</v>
      </c>
      <c r="X15" s="1">
        <v>43982</v>
      </c>
      <c r="Y15" t="s">
        <v>51</v>
      </c>
      <c r="Z15" t="s">
        <v>43</v>
      </c>
      <c r="AA15" t="s">
        <v>41</v>
      </c>
      <c r="AB15" t="s">
        <v>52</v>
      </c>
      <c r="AC15" t="s">
        <v>53</v>
      </c>
      <c r="AF15" t="s">
        <v>58</v>
      </c>
      <c r="AG15" s="1">
        <v>43837</v>
      </c>
      <c r="AH15" t="s">
        <v>42</v>
      </c>
      <c r="AI15" t="s">
        <v>55</v>
      </c>
      <c r="AJ15">
        <v>12788092</v>
      </c>
      <c r="AK15">
        <v>250000</v>
      </c>
      <c r="AL15">
        <v>1500000</v>
      </c>
    </row>
    <row r="16" spans="1:38" x14ac:dyDescent="0.25">
      <c r="A16" t="s">
        <v>38</v>
      </c>
      <c r="B16" t="s">
        <v>39</v>
      </c>
      <c r="C16" t="s">
        <v>40</v>
      </c>
      <c r="D16" s="1">
        <v>43209</v>
      </c>
      <c r="E16" s="1">
        <v>43573</v>
      </c>
      <c r="F16" t="s">
        <v>41</v>
      </c>
      <c r="G16">
        <v>1</v>
      </c>
      <c r="H16" t="s">
        <v>42</v>
      </c>
      <c r="I16" t="s">
        <v>43</v>
      </c>
      <c r="J16" t="s">
        <v>41</v>
      </c>
      <c r="K16" t="s">
        <v>44</v>
      </c>
      <c r="L16">
        <v>32186.720000000001</v>
      </c>
      <c r="M16" s="1">
        <v>43209</v>
      </c>
      <c r="N16" t="s">
        <v>45</v>
      </c>
      <c r="O16" t="s">
        <v>46</v>
      </c>
      <c r="P16" t="s">
        <v>47</v>
      </c>
      <c r="Q16" s="1">
        <v>43852</v>
      </c>
      <c r="R16" t="s">
        <v>48</v>
      </c>
      <c r="S16" t="s">
        <v>62</v>
      </c>
      <c r="T16" t="s">
        <v>63</v>
      </c>
      <c r="U16" t="s">
        <v>42</v>
      </c>
      <c r="V16">
        <v>0</v>
      </c>
      <c r="W16">
        <v>100000</v>
      </c>
      <c r="X16" s="1">
        <v>43982</v>
      </c>
      <c r="Y16" t="s">
        <v>51</v>
      </c>
      <c r="Z16" t="s">
        <v>43</v>
      </c>
      <c r="AA16" t="s">
        <v>41</v>
      </c>
      <c r="AB16" t="s">
        <v>52</v>
      </c>
      <c r="AC16" t="s">
        <v>53</v>
      </c>
      <c r="AF16" t="s">
        <v>59</v>
      </c>
      <c r="AG16" s="1">
        <v>43838</v>
      </c>
      <c r="AH16" t="s">
        <v>42</v>
      </c>
      <c r="AI16" t="s">
        <v>55</v>
      </c>
      <c r="AJ16">
        <v>12788092</v>
      </c>
      <c r="AK16">
        <v>250000</v>
      </c>
      <c r="AL16">
        <v>1500000</v>
      </c>
    </row>
    <row r="17" spans="1:38" x14ac:dyDescent="0.25">
      <c r="A17" t="s">
        <v>38</v>
      </c>
      <c r="B17" t="s">
        <v>39</v>
      </c>
      <c r="C17" t="s">
        <v>40</v>
      </c>
      <c r="D17" s="1">
        <v>43209</v>
      </c>
      <c r="E17" s="1">
        <v>43573</v>
      </c>
      <c r="F17" t="s">
        <v>41</v>
      </c>
      <c r="G17">
        <v>1</v>
      </c>
      <c r="H17" t="s">
        <v>42</v>
      </c>
      <c r="I17" t="s">
        <v>43</v>
      </c>
      <c r="J17" t="s">
        <v>41</v>
      </c>
      <c r="K17" t="s">
        <v>44</v>
      </c>
      <c r="L17">
        <v>32186.720000000001</v>
      </c>
      <c r="M17" s="1">
        <v>43209</v>
      </c>
      <c r="N17" t="s">
        <v>45</v>
      </c>
      <c r="O17" t="s">
        <v>46</v>
      </c>
      <c r="P17" t="s">
        <v>47</v>
      </c>
      <c r="Q17" s="1">
        <v>43852</v>
      </c>
      <c r="R17" t="s">
        <v>48</v>
      </c>
      <c r="S17" t="s">
        <v>64</v>
      </c>
      <c r="T17" t="s">
        <v>65</v>
      </c>
      <c r="U17" t="s">
        <v>42</v>
      </c>
      <c r="V17">
        <v>0</v>
      </c>
      <c r="W17">
        <v>100000</v>
      </c>
      <c r="X17" s="1">
        <v>43921</v>
      </c>
      <c r="Y17" t="s">
        <v>51</v>
      </c>
      <c r="Z17" t="s">
        <v>43</v>
      </c>
      <c r="AA17" t="s">
        <v>41</v>
      </c>
      <c r="AB17" t="s">
        <v>52</v>
      </c>
      <c r="AC17" t="s">
        <v>53</v>
      </c>
      <c r="AF17" t="s">
        <v>54</v>
      </c>
      <c r="AG17" s="1">
        <v>43832</v>
      </c>
      <c r="AH17" t="s">
        <v>42</v>
      </c>
      <c r="AI17" t="s">
        <v>55</v>
      </c>
      <c r="AJ17">
        <v>12788092</v>
      </c>
      <c r="AK17">
        <v>250000</v>
      </c>
      <c r="AL17">
        <v>1500000</v>
      </c>
    </row>
    <row r="18" spans="1:38" x14ac:dyDescent="0.25">
      <c r="A18" t="s">
        <v>38</v>
      </c>
      <c r="B18" t="s">
        <v>39</v>
      </c>
      <c r="C18" t="s">
        <v>40</v>
      </c>
      <c r="D18" s="1">
        <v>43209</v>
      </c>
      <c r="E18" s="1">
        <v>43573</v>
      </c>
      <c r="F18" t="s">
        <v>41</v>
      </c>
      <c r="G18">
        <v>1</v>
      </c>
      <c r="H18" t="s">
        <v>42</v>
      </c>
      <c r="I18" t="s">
        <v>43</v>
      </c>
      <c r="J18" t="s">
        <v>41</v>
      </c>
      <c r="K18" t="s">
        <v>44</v>
      </c>
      <c r="L18">
        <v>32186.720000000001</v>
      </c>
      <c r="M18" s="1">
        <v>43209</v>
      </c>
      <c r="N18" t="s">
        <v>45</v>
      </c>
      <c r="O18" t="s">
        <v>46</v>
      </c>
      <c r="P18" t="s">
        <v>47</v>
      </c>
      <c r="Q18" s="1">
        <v>43852</v>
      </c>
      <c r="R18" t="s">
        <v>48</v>
      </c>
      <c r="S18" t="s">
        <v>64</v>
      </c>
      <c r="T18" t="s">
        <v>65</v>
      </c>
      <c r="U18" t="s">
        <v>42</v>
      </c>
      <c r="V18">
        <v>0</v>
      </c>
      <c r="W18">
        <v>100000</v>
      </c>
      <c r="X18" s="1">
        <v>43921</v>
      </c>
      <c r="Y18" t="s">
        <v>51</v>
      </c>
      <c r="Z18" t="s">
        <v>43</v>
      </c>
      <c r="AA18" t="s">
        <v>41</v>
      </c>
      <c r="AB18" t="s">
        <v>52</v>
      </c>
      <c r="AC18" t="s">
        <v>53</v>
      </c>
      <c r="AF18" t="s">
        <v>56</v>
      </c>
      <c r="AG18" s="1">
        <v>43833</v>
      </c>
      <c r="AH18" t="s">
        <v>42</v>
      </c>
      <c r="AI18" t="s">
        <v>55</v>
      </c>
      <c r="AJ18">
        <v>12788092</v>
      </c>
      <c r="AK18">
        <v>250000</v>
      </c>
      <c r="AL18">
        <v>1500000</v>
      </c>
    </row>
    <row r="19" spans="1:38" x14ac:dyDescent="0.25">
      <c r="A19" t="s">
        <v>38</v>
      </c>
      <c r="B19" t="s">
        <v>39</v>
      </c>
      <c r="C19" t="s">
        <v>40</v>
      </c>
      <c r="D19" s="1">
        <v>43209</v>
      </c>
      <c r="E19" s="1">
        <v>43573</v>
      </c>
      <c r="F19" t="s">
        <v>41</v>
      </c>
      <c r="G19">
        <v>1</v>
      </c>
      <c r="H19" t="s">
        <v>42</v>
      </c>
      <c r="I19" t="s">
        <v>43</v>
      </c>
      <c r="J19" t="s">
        <v>41</v>
      </c>
      <c r="K19" t="s">
        <v>44</v>
      </c>
      <c r="L19">
        <v>32186.720000000001</v>
      </c>
      <c r="M19" s="1">
        <v>43209</v>
      </c>
      <c r="N19" t="s">
        <v>45</v>
      </c>
      <c r="O19" t="s">
        <v>46</v>
      </c>
      <c r="P19" t="s">
        <v>47</v>
      </c>
      <c r="Q19" s="1">
        <v>43852</v>
      </c>
      <c r="R19" t="s">
        <v>48</v>
      </c>
      <c r="S19" t="s">
        <v>64</v>
      </c>
      <c r="T19" t="s">
        <v>65</v>
      </c>
      <c r="U19" t="s">
        <v>42</v>
      </c>
      <c r="V19">
        <v>0</v>
      </c>
      <c r="W19">
        <v>100000</v>
      </c>
      <c r="X19" s="1">
        <v>43921</v>
      </c>
      <c r="Y19" t="s">
        <v>51</v>
      </c>
      <c r="Z19" t="s">
        <v>43</v>
      </c>
      <c r="AA19" t="s">
        <v>41</v>
      </c>
      <c r="AB19" t="s">
        <v>52</v>
      </c>
      <c r="AC19" t="s">
        <v>53</v>
      </c>
      <c r="AF19" t="s">
        <v>57</v>
      </c>
      <c r="AG19" s="1">
        <v>43836</v>
      </c>
      <c r="AH19" t="s">
        <v>42</v>
      </c>
      <c r="AI19" t="s">
        <v>55</v>
      </c>
      <c r="AJ19">
        <v>12788092</v>
      </c>
      <c r="AK19">
        <v>250000</v>
      </c>
      <c r="AL19">
        <v>1500000</v>
      </c>
    </row>
    <row r="20" spans="1:38" x14ac:dyDescent="0.25">
      <c r="A20" t="s">
        <v>38</v>
      </c>
      <c r="B20" t="s">
        <v>39</v>
      </c>
      <c r="C20" t="s">
        <v>40</v>
      </c>
      <c r="D20" s="1">
        <v>43209</v>
      </c>
      <c r="E20" s="1">
        <v>43573</v>
      </c>
      <c r="F20" t="s">
        <v>41</v>
      </c>
      <c r="G20">
        <v>1</v>
      </c>
      <c r="H20" t="s">
        <v>42</v>
      </c>
      <c r="I20" t="s">
        <v>43</v>
      </c>
      <c r="J20" t="s">
        <v>41</v>
      </c>
      <c r="K20" t="s">
        <v>44</v>
      </c>
      <c r="L20">
        <v>32186.720000000001</v>
      </c>
      <c r="M20" s="1">
        <v>43209</v>
      </c>
      <c r="N20" t="s">
        <v>45</v>
      </c>
      <c r="O20" t="s">
        <v>46</v>
      </c>
      <c r="P20" t="s">
        <v>47</v>
      </c>
      <c r="Q20" s="1">
        <v>43852</v>
      </c>
      <c r="R20" t="s">
        <v>48</v>
      </c>
      <c r="S20" t="s">
        <v>64</v>
      </c>
      <c r="T20" t="s">
        <v>65</v>
      </c>
      <c r="U20" t="s">
        <v>42</v>
      </c>
      <c r="V20">
        <v>0</v>
      </c>
      <c r="W20">
        <v>100000</v>
      </c>
      <c r="X20" s="1">
        <v>43921</v>
      </c>
      <c r="Y20" t="s">
        <v>51</v>
      </c>
      <c r="Z20" t="s">
        <v>43</v>
      </c>
      <c r="AA20" t="s">
        <v>41</v>
      </c>
      <c r="AB20" t="s">
        <v>52</v>
      </c>
      <c r="AC20" t="s">
        <v>53</v>
      </c>
      <c r="AF20" t="s">
        <v>58</v>
      </c>
      <c r="AG20" s="1">
        <v>43837</v>
      </c>
      <c r="AH20" t="s">
        <v>42</v>
      </c>
      <c r="AI20" t="s">
        <v>55</v>
      </c>
      <c r="AJ20">
        <v>12788092</v>
      </c>
      <c r="AK20">
        <v>250000</v>
      </c>
      <c r="AL20">
        <v>1500000</v>
      </c>
    </row>
    <row r="21" spans="1:38" x14ac:dyDescent="0.25">
      <c r="A21" t="s">
        <v>38</v>
      </c>
      <c r="B21" t="s">
        <v>39</v>
      </c>
      <c r="C21" t="s">
        <v>40</v>
      </c>
      <c r="D21" s="1">
        <v>43209</v>
      </c>
      <c r="E21" s="1">
        <v>43573</v>
      </c>
      <c r="F21" t="s">
        <v>41</v>
      </c>
      <c r="G21">
        <v>1</v>
      </c>
      <c r="H21" t="s">
        <v>42</v>
      </c>
      <c r="I21" t="s">
        <v>43</v>
      </c>
      <c r="J21" t="s">
        <v>41</v>
      </c>
      <c r="K21" t="s">
        <v>44</v>
      </c>
      <c r="L21">
        <v>32186.720000000001</v>
      </c>
      <c r="M21" s="1">
        <v>43209</v>
      </c>
      <c r="N21" t="s">
        <v>45</v>
      </c>
      <c r="O21" t="s">
        <v>46</v>
      </c>
      <c r="P21" t="s">
        <v>47</v>
      </c>
      <c r="Q21" s="1">
        <v>43852</v>
      </c>
      <c r="R21" t="s">
        <v>48</v>
      </c>
      <c r="S21" t="s">
        <v>64</v>
      </c>
      <c r="T21" t="s">
        <v>65</v>
      </c>
      <c r="U21" t="s">
        <v>42</v>
      </c>
      <c r="V21">
        <v>0</v>
      </c>
      <c r="W21">
        <v>100000</v>
      </c>
      <c r="X21" s="1">
        <v>43921</v>
      </c>
      <c r="Y21" t="s">
        <v>51</v>
      </c>
      <c r="Z21" t="s">
        <v>43</v>
      </c>
      <c r="AA21" t="s">
        <v>41</v>
      </c>
      <c r="AB21" t="s">
        <v>52</v>
      </c>
      <c r="AC21" t="s">
        <v>53</v>
      </c>
      <c r="AF21" t="s">
        <v>59</v>
      </c>
      <c r="AG21" s="1">
        <v>43838</v>
      </c>
      <c r="AH21" t="s">
        <v>42</v>
      </c>
      <c r="AI21" t="s">
        <v>55</v>
      </c>
      <c r="AJ21">
        <v>12788092</v>
      </c>
      <c r="AK21">
        <v>250000</v>
      </c>
      <c r="AL21">
        <v>1500000</v>
      </c>
    </row>
    <row r="22" spans="1:38" x14ac:dyDescent="0.25">
      <c r="A22" t="s">
        <v>66</v>
      </c>
      <c r="B22" s="2">
        <v>2.4142E+18</v>
      </c>
      <c r="C22" t="s">
        <v>40</v>
      </c>
      <c r="D22" s="1">
        <v>43586</v>
      </c>
      <c r="E22" s="1">
        <v>43951</v>
      </c>
      <c r="F22" t="s">
        <v>41</v>
      </c>
      <c r="G22">
        <v>2</v>
      </c>
      <c r="H22" t="s">
        <v>67</v>
      </c>
      <c r="I22" t="s">
        <v>43</v>
      </c>
      <c r="J22" t="s">
        <v>41</v>
      </c>
      <c r="K22" t="s">
        <v>68</v>
      </c>
      <c r="L22">
        <v>23590.71</v>
      </c>
      <c r="M22" s="1">
        <v>43586</v>
      </c>
      <c r="N22" t="s">
        <v>45</v>
      </c>
      <c r="O22" t="s">
        <v>46</v>
      </c>
      <c r="P22" t="s">
        <v>47</v>
      </c>
      <c r="Q22" s="1">
        <v>43852</v>
      </c>
      <c r="R22" t="s">
        <v>48</v>
      </c>
    </row>
    <row r="23" spans="1:38" x14ac:dyDescent="0.25">
      <c r="A23" t="s">
        <v>69</v>
      </c>
      <c r="B23" t="s">
        <v>70</v>
      </c>
      <c r="C23" t="s">
        <v>71</v>
      </c>
      <c r="D23" s="1">
        <v>43356</v>
      </c>
      <c r="E23" s="1">
        <v>43720</v>
      </c>
      <c r="F23" t="s">
        <v>72</v>
      </c>
      <c r="G23">
        <v>1</v>
      </c>
      <c r="H23" t="s">
        <v>42</v>
      </c>
      <c r="I23" t="s">
        <v>43</v>
      </c>
      <c r="J23" t="s">
        <v>73</v>
      </c>
      <c r="K23" t="s">
        <v>44</v>
      </c>
      <c r="L23">
        <v>4611.96</v>
      </c>
      <c r="M23" s="1">
        <v>43356</v>
      </c>
      <c r="N23" t="s">
        <v>45</v>
      </c>
      <c r="O23" t="s">
        <v>46</v>
      </c>
      <c r="P23" t="s">
        <v>47</v>
      </c>
      <c r="Q23" s="1">
        <v>43852</v>
      </c>
      <c r="R23" t="s">
        <v>48</v>
      </c>
    </row>
    <row r="24" spans="1:38" x14ac:dyDescent="0.25">
      <c r="A24" t="s">
        <v>74</v>
      </c>
      <c r="B24">
        <v>12139156</v>
      </c>
      <c r="C24" t="s">
        <v>40</v>
      </c>
      <c r="D24" s="1">
        <v>43721</v>
      </c>
      <c r="E24" s="1">
        <v>44086</v>
      </c>
      <c r="F24" t="s">
        <v>72</v>
      </c>
      <c r="G24">
        <v>1</v>
      </c>
      <c r="H24" t="s">
        <v>42</v>
      </c>
      <c r="I24" t="s">
        <v>43</v>
      </c>
      <c r="J24" t="s">
        <v>73</v>
      </c>
      <c r="K24" t="s">
        <v>44</v>
      </c>
      <c r="L24">
        <v>4975.41</v>
      </c>
      <c r="M24" s="1">
        <v>43721</v>
      </c>
      <c r="N24" t="s">
        <v>45</v>
      </c>
      <c r="O24" t="s">
        <v>44</v>
      </c>
      <c r="P24" t="s">
        <v>47</v>
      </c>
      <c r="Q24" s="1">
        <v>43852</v>
      </c>
      <c r="R24" t="s">
        <v>48</v>
      </c>
    </row>
    <row r="25" spans="1:38" x14ac:dyDescent="0.25">
      <c r="A25" t="s">
        <v>75</v>
      </c>
      <c r="B25">
        <v>2200090892</v>
      </c>
      <c r="C25" t="s">
        <v>40</v>
      </c>
      <c r="D25" s="1">
        <v>43410</v>
      </c>
      <c r="E25" s="1">
        <v>43774</v>
      </c>
      <c r="F25" t="s">
        <v>76</v>
      </c>
      <c r="G25">
        <v>1</v>
      </c>
      <c r="H25" t="s">
        <v>42</v>
      </c>
      <c r="I25" t="s">
        <v>43</v>
      </c>
      <c r="J25" t="s">
        <v>77</v>
      </c>
      <c r="K25" t="s">
        <v>44</v>
      </c>
      <c r="L25">
        <v>1198.8800000000001</v>
      </c>
      <c r="M25" s="1">
        <v>43410</v>
      </c>
      <c r="N25" t="s">
        <v>45</v>
      </c>
      <c r="O25" t="s">
        <v>46</v>
      </c>
      <c r="P25" t="s">
        <v>47</v>
      </c>
      <c r="Q25" s="1">
        <v>43852</v>
      </c>
      <c r="R25" t="s">
        <v>48</v>
      </c>
      <c r="S25" t="s">
        <v>78</v>
      </c>
      <c r="T25" t="s">
        <v>79</v>
      </c>
      <c r="U25" t="s">
        <v>42</v>
      </c>
      <c r="V25">
        <v>1200000</v>
      </c>
      <c r="W25">
        <v>100000</v>
      </c>
      <c r="X25" s="1">
        <v>43921</v>
      </c>
      <c r="Y25" t="s">
        <v>51</v>
      </c>
      <c r="Z25" t="s">
        <v>43</v>
      </c>
      <c r="AA25" t="s">
        <v>80</v>
      </c>
      <c r="AB25" t="s">
        <v>76</v>
      </c>
      <c r="AC25" t="s">
        <v>81</v>
      </c>
      <c r="AF25" t="s">
        <v>54</v>
      </c>
      <c r="AG25" s="1">
        <v>43832</v>
      </c>
      <c r="AH25" t="s">
        <v>42</v>
      </c>
      <c r="AI25" t="s">
        <v>55</v>
      </c>
      <c r="AJ25">
        <v>12788092</v>
      </c>
      <c r="AK25">
        <v>250000</v>
      </c>
      <c r="AL25">
        <v>1500000</v>
      </c>
    </row>
    <row r="26" spans="1:38" x14ac:dyDescent="0.25">
      <c r="A26" t="s">
        <v>75</v>
      </c>
      <c r="B26">
        <v>2200090892</v>
      </c>
      <c r="C26" t="s">
        <v>40</v>
      </c>
      <c r="D26" s="1">
        <v>43410</v>
      </c>
      <c r="E26" s="1">
        <v>43774</v>
      </c>
      <c r="F26" t="s">
        <v>76</v>
      </c>
      <c r="G26">
        <v>1</v>
      </c>
      <c r="H26" t="s">
        <v>42</v>
      </c>
      <c r="I26" t="s">
        <v>43</v>
      </c>
      <c r="J26" t="s">
        <v>77</v>
      </c>
      <c r="K26" t="s">
        <v>44</v>
      </c>
      <c r="L26">
        <v>1198.8800000000001</v>
      </c>
      <c r="M26" s="1">
        <v>43410</v>
      </c>
      <c r="N26" t="s">
        <v>45</v>
      </c>
      <c r="O26" t="s">
        <v>46</v>
      </c>
      <c r="P26" t="s">
        <v>47</v>
      </c>
      <c r="Q26" s="1">
        <v>43852</v>
      </c>
      <c r="R26" t="s">
        <v>48</v>
      </c>
      <c r="S26" t="s">
        <v>78</v>
      </c>
      <c r="T26" t="s">
        <v>79</v>
      </c>
      <c r="U26" t="s">
        <v>42</v>
      </c>
      <c r="V26">
        <v>1200000</v>
      </c>
      <c r="W26">
        <v>100000</v>
      </c>
      <c r="X26" s="1">
        <v>43921</v>
      </c>
      <c r="Y26" t="s">
        <v>51</v>
      </c>
      <c r="Z26" t="s">
        <v>43</v>
      </c>
      <c r="AA26" t="s">
        <v>80</v>
      </c>
      <c r="AB26" t="s">
        <v>76</v>
      </c>
      <c r="AC26" t="s">
        <v>81</v>
      </c>
      <c r="AF26" t="s">
        <v>56</v>
      </c>
      <c r="AG26" s="1">
        <v>43833</v>
      </c>
      <c r="AH26" t="s">
        <v>42</v>
      </c>
      <c r="AI26" t="s">
        <v>55</v>
      </c>
      <c r="AJ26">
        <v>12788092</v>
      </c>
      <c r="AK26">
        <v>250000</v>
      </c>
      <c r="AL26">
        <v>1500000</v>
      </c>
    </row>
    <row r="27" spans="1:38" x14ac:dyDescent="0.25">
      <c r="A27" t="s">
        <v>75</v>
      </c>
      <c r="B27">
        <v>2200090892</v>
      </c>
      <c r="C27" t="s">
        <v>40</v>
      </c>
      <c r="D27" s="1">
        <v>43410</v>
      </c>
      <c r="E27" s="1">
        <v>43774</v>
      </c>
      <c r="F27" t="s">
        <v>76</v>
      </c>
      <c r="G27">
        <v>1</v>
      </c>
      <c r="H27" t="s">
        <v>42</v>
      </c>
      <c r="I27" t="s">
        <v>43</v>
      </c>
      <c r="J27" t="s">
        <v>77</v>
      </c>
      <c r="K27" t="s">
        <v>44</v>
      </c>
      <c r="L27">
        <v>1198.8800000000001</v>
      </c>
      <c r="M27" s="1">
        <v>43410</v>
      </c>
      <c r="N27" t="s">
        <v>45</v>
      </c>
      <c r="O27" t="s">
        <v>46</v>
      </c>
      <c r="P27" t="s">
        <v>47</v>
      </c>
      <c r="Q27" s="1">
        <v>43852</v>
      </c>
      <c r="R27" t="s">
        <v>48</v>
      </c>
      <c r="S27" t="s">
        <v>78</v>
      </c>
      <c r="T27" t="s">
        <v>79</v>
      </c>
      <c r="U27" t="s">
        <v>42</v>
      </c>
      <c r="V27">
        <v>1200000</v>
      </c>
      <c r="W27">
        <v>100000</v>
      </c>
      <c r="X27" s="1">
        <v>43921</v>
      </c>
      <c r="Y27" t="s">
        <v>51</v>
      </c>
      <c r="Z27" t="s">
        <v>43</v>
      </c>
      <c r="AA27" t="s">
        <v>80</v>
      </c>
      <c r="AB27" t="s">
        <v>76</v>
      </c>
      <c r="AC27" t="s">
        <v>81</v>
      </c>
      <c r="AF27" t="s">
        <v>57</v>
      </c>
      <c r="AG27" s="1">
        <v>43836</v>
      </c>
      <c r="AH27" t="s">
        <v>42</v>
      </c>
      <c r="AI27" t="s">
        <v>55</v>
      </c>
      <c r="AJ27">
        <v>12788092</v>
      </c>
      <c r="AK27">
        <v>250000</v>
      </c>
      <c r="AL27">
        <v>1500000</v>
      </c>
    </row>
    <row r="28" spans="1:38" x14ac:dyDescent="0.25">
      <c r="A28" t="s">
        <v>75</v>
      </c>
      <c r="B28">
        <v>2200090892</v>
      </c>
      <c r="C28" t="s">
        <v>40</v>
      </c>
      <c r="D28" s="1">
        <v>43410</v>
      </c>
      <c r="E28" s="1">
        <v>43774</v>
      </c>
      <c r="F28" t="s">
        <v>76</v>
      </c>
      <c r="G28">
        <v>1</v>
      </c>
      <c r="H28" t="s">
        <v>42</v>
      </c>
      <c r="I28" t="s">
        <v>43</v>
      </c>
      <c r="J28" t="s">
        <v>77</v>
      </c>
      <c r="K28" t="s">
        <v>44</v>
      </c>
      <c r="L28">
        <v>1198.8800000000001</v>
      </c>
      <c r="M28" s="1">
        <v>43410</v>
      </c>
      <c r="N28" t="s">
        <v>45</v>
      </c>
      <c r="O28" t="s">
        <v>46</v>
      </c>
      <c r="P28" t="s">
        <v>47</v>
      </c>
      <c r="Q28" s="1">
        <v>43852</v>
      </c>
      <c r="R28" t="s">
        <v>48</v>
      </c>
      <c r="S28" t="s">
        <v>78</v>
      </c>
      <c r="T28" t="s">
        <v>79</v>
      </c>
      <c r="U28" t="s">
        <v>42</v>
      </c>
      <c r="V28">
        <v>1200000</v>
      </c>
      <c r="W28">
        <v>100000</v>
      </c>
      <c r="X28" s="1">
        <v>43921</v>
      </c>
      <c r="Y28" t="s">
        <v>51</v>
      </c>
      <c r="Z28" t="s">
        <v>43</v>
      </c>
      <c r="AA28" t="s">
        <v>80</v>
      </c>
      <c r="AB28" t="s">
        <v>76</v>
      </c>
      <c r="AC28" t="s">
        <v>81</v>
      </c>
      <c r="AF28" t="s">
        <v>58</v>
      </c>
      <c r="AG28" s="1">
        <v>43837</v>
      </c>
      <c r="AH28" t="s">
        <v>42</v>
      </c>
      <c r="AI28" t="s">
        <v>55</v>
      </c>
      <c r="AJ28">
        <v>12788092</v>
      </c>
      <c r="AK28">
        <v>250000</v>
      </c>
      <c r="AL28">
        <v>1500000</v>
      </c>
    </row>
    <row r="29" spans="1:38" x14ac:dyDescent="0.25">
      <c r="A29" t="s">
        <v>75</v>
      </c>
      <c r="B29">
        <v>2200090892</v>
      </c>
      <c r="C29" t="s">
        <v>40</v>
      </c>
      <c r="D29" s="1">
        <v>43410</v>
      </c>
      <c r="E29" s="1">
        <v>43774</v>
      </c>
      <c r="F29" t="s">
        <v>76</v>
      </c>
      <c r="G29">
        <v>1</v>
      </c>
      <c r="H29" t="s">
        <v>42</v>
      </c>
      <c r="I29" t="s">
        <v>43</v>
      </c>
      <c r="J29" t="s">
        <v>77</v>
      </c>
      <c r="K29" t="s">
        <v>44</v>
      </c>
      <c r="L29">
        <v>1198.8800000000001</v>
      </c>
      <c r="M29" s="1">
        <v>43410</v>
      </c>
      <c r="N29" t="s">
        <v>45</v>
      </c>
      <c r="O29" t="s">
        <v>46</v>
      </c>
      <c r="P29" t="s">
        <v>47</v>
      </c>
      <c r="Q29" s="1">
        <v>43852</v>
      </c>
      <c r="R29" t="s">
        <v>48</v>
      </c>
      <c r="S29" t="s">
        <v>78</v>
      </c>
      <c r="T29" t="s">
        <v>79</v>
      </c>
      <c r="U29" t="s">
        <v>42</v>
      </c>
      <c r="V29">
        <v>1200000</v>
      </c>
      <c r="W29">
        <v>100000</v>
      </c>
      <c r="X29" s="1">
        <v>43921</v>
      </c>
      <c r="Y29" t="s">
        <v>51</v>
      </c>
      <c r="Z29" t="s">
        <v>43</v>
      </c>
      <c r="AA29" t="s">
        <v>80</v>
      </c>
      <c r="AB29" t="s">
        <v>76</v>
      </c>
      <c r="AC29" t="s">
        <v>81</v>
      </c>
      <c r="AF29" t="s">
        <v>59</v>
      </c>
      <c r="AG29" s="1">
        <v>43838</v>
      </c>
      <c r="AH29" t="s">
        <v>42</v>
      </c>
      <c r="AI29" t="s">
        <v>55</v>
      </c>
      <c r="AJ29">
        <v>12788092</v>
      </c>
      <c r="AK29">
        <v>250000</v>
      </c>
      <c r="AL29">
        <v>1500000</v>
      </c>
    </row>
    <row r="30" spans="1:38" x14ac:dyDescent="0.25">
      <c r="A30" t="s">
        <v>82</v>
      </c>
      <c r="B30" t="s">
        <v>83</v>
      </c>
      <c r="C30" t="s">
        <v>40</v>
      </c>
      <c r="D30" s="1">
        <v>43497</v>
      </c>
      <c r="E30" s="1">
        <v>43861</v>
      </c>
      <c r="F30" t="s">
        <v>84</v>
      </c>
      <c r="G30">
        <v>10</v>
      </c>
      <c r="H30" t="s">
        <v>85</v>
      </c>
      <c r="I30" t="s">
        <v>43</v>
      </c>
      <c r="J30" t="s">
        <v>86</v>
      </c>
      <c r="K30" t="s">
        <v>44</v>
      </c>
      <c r="L30">
        <v>1825.43</v>
      </c>
      <c r="M30" s="1">
        <v>43497</v>
      </c>
      <c r="N30" t="s">
        <v>45</v>
      </c>
      <c r="O30" t="s">
        <v>46</v>
      </c>
      <c r="P30" t="s">
        <v>47</v>
      </c>
      <c r="Q30" s="1">
        <v>43852</v>
      </c>
      <c r="R30" t="s">
        <v>48</v>
      </c>
      <c r="S30" t="s">
        <v>87</v>
      </c>
      <c r="T30" t="s">
        <v>88</v>
      </c>
      <c r="U30" t="s">
        <v>85</v>
      </c>
      <c r="V30">
        <v>1400000</v>
      </c>
      <c r="W30">
        <v>100000</v>
      </c>
      <c r="X30" s="1">
        <v>43808</v>
      </c>
      <c r="Y30" t="s">
        <v>51</v>
      </c>
      <c r="Z30" t="s">
        <v>43</v>
      </c>
      <c r="AA30" t="s">
        <v>86</v>
      </c>
      <c r="AB30" t="s">
        <v>89</v>
      </c>
      <c r="AC30" t="s">
        <v>90</v>
      </c>
      <c r="AF30" t="s">
        <v>91</v>
      </c>
      <c r="AG30" s="1">
        <v>43852</v>
      </c>
      <c r="AH30" t="s">
        <v>85</v>
      </c>
      <c r="AI30" t="s">
        <v>92</v>
      </c>
      <c r="AJ30">
        <v>19888</v>
      </c>
      <c r="AK30">
        <v>128777</v>
      </c>
      <c r="AL30">
        <v>198882</v>
      </c>
    </row>
    <row r="31" spans="1:38" x14ac:dyDescent="0.25">
      <c r="A31" t="s">
        <v>82</v>
      </c>
      <c r="B31" t="s">
        <v>83</v>
      </c>
      <c r="C31" t="s">
        <v>40</v>
      </c>
      <c r="D31" s="1">
        <v>43497</v>
      </c>
      <c r="E31" s="1">
        <v>43861</v>
      </c>
      <c r="F31" t="s">
        <v>84</v>
      </c>
      <c r="G31">
        <v>10</v>
      </c>
      <c r="H31" t="s">
        <v>85</v>
      </c>
      <c r="I31" t="s">
        <v>43</v>
      </c>
      <c r="J31" t="s">
        <v>86</v>
      </c>
      <c r="K31" t="s">
        <v>44</v>
      </c>
      <c r="L31">
        <v>1825.43</v>
      </c>
      <c r="M31" s="1">
        <v>43497</v>
      </c>
      <c r="N31" t="s">
        <v>45</v>
      </c>
      <c r="O31" t="s">
        <v>46</v>
      </c>
      <c r="P31" t="s">
        <v>47</v>
      </c>
      <c r="Q31" s="1">
        <v>43852</v>
      </c>
      <c r="R31" t="s">
        <v>48</v>
      </c>
      <c r="S31" t="s">
        <v>87</v>
      </c>
      <c r="T31" t="s">
        <v>88</v>
      </c>
      <c r="U31" t="s">
        <v>85</v>
      </c>
      <c r="V31">
        <v>1400000</v>
      </c>
      <c r="W31">
        <v>100000</v>
      </c>
      <c r="X31" s="1">
        <v>43808</v>
      </c>
      <c r="Y31" t="s">
        <v>51</v>
      </c>
      <c r="Z31" t="s">
        <v>43</v>
      </c>
      <c r="AA31" t="s">
        <v>86</v>
      </c>
      <c r="AB31" t="s">
        <v>89</v>
      </c>
      <c r="AC31" t="s">
        <v>90</v>
      </c>
      <c r="AF31" t="s">
        <v>93</v>
      </c>
      <c r="AG31" s="1">
        <v>43843</v>
      </c>
      <c r="AH31" t="s">
        <v>85</v>
      </c>
      <c r="AI31" t="s">
        <v>92</v>
      </c>
      <c r="AJ31">
        <v>19888</v>
      </c>
      <c r="AK31">
        <v>128777</v>
      </c>
      <c r="AL31">
        <v>198882</v>
      </c>
    </row>
    <row r="32" spans="1:38" x14ac:dyDescent="0.25">
      <c r="A32" t="s">
        <v>82</v>
      </c>
      <c r="B32" t="s">
        <v>83</v>
      </c>
      <c r="C32" t="s">
        <v>40</v>
      </c>
      <c r="D32" s="1">
        <v>43497</v>
      </c>
      <c r="E32" s="1">
        <v>43861</v>
      </c>
      <c r="F32" t="s">
        <v>84</v>
      </c>
      <c r="G32">
        <v>10</v>
      </c>
      <c r="H32" t="s">
        <v>85</v>
      </c>
      <c r="I32" t="s">
        <v>43</v>
      </c>
      <c r="J32" t="s">
        <v>86</v>
      </c>
      <c r="K32" t="s">
        <v>44</v>
      </c>
      <c r="L32">
        <v>1825.43</v>
      </c>
      <c r="M32" s="1">
        <v>43497</v>
      </c>
      <c r="N32" t="s">
        <v>45</v>
      </c>
      <c r="O32" t="s">
        <v>46</v>
      </c>
      <c r="P32" t="s">
        <v>47</v>
      </c>
      <c r="Q32" s="1">
        <v>43852</v>
      </c>
      <c r="R32" t="s">
        <v>48</v>
      </c>
      <c r="S32" t="s">
        <v>94</v>
      </c>
      <c r="T32" t="s">
        <v>95</v>
      </c>
      <c r="U32" t="s">
        <v>85</v>
      </c>
      <c r="V32">
        <v>4500000</v>
      </c>
      <c r="W32">
        <v>300000</v>
      </c>
      <c r="X32" s="1">
        <v>43767</v>
      </c>
      <c r="Y32" t="s">
        <v>51</v>
      </c>
      <c r="Z32" t="s">
        <v>43</v>
      </c>
      <c r="AA32" t="s">
        <v>86</v>
      </c>
      <c r="AB32" t="s">
        <v>89</v>
      </c>
      <c r="AC32" t="s">
        <v>90</v>
      </c>
      <c r="AF32" t="s">
        <v>91</v>
      </c>
      <c r="AG32" s="1">
        <v>43852</v>
      </c>
      <c r="AH32" t="s">
        <v>85</v>
      </c>
      <c r="AI32" t="s">
        <v>92</v>
      </c>
      <c r="AJ32">
        <v>19888</v>
      </c>
      <c r="AK32">
        <v>128777</v>
      </c>
      <c r="AL32">
        <v>198882</v>
      </c>
    </row>
    <row r="33" spans="1:38" x14ac:dyDescent="0.25">
      <c r="A33" t="s">
        <v>82</v>
      </c>
      <c r="B33" t="s">
        <v>83</v>
      </c>
      <c r="C33" t="s">
        <v>40</v>
      </c>
      <c r="D33" s="1">
        <v>43497</v>
      </c>
      <c r="E33" s="1">
        <v>43861</v>
      </c>
      <c r="F33" t="s">
        <v>84</v>
      </c>
      <c r="G33">
        <v>10</v>
      </c>
      <c r="H33" t="s">
        <v>85</v>
      </c>
      <c r="I33" t="s">
        <v>43</v>
      </c>
      <c r="J33" t="s">
        <v>86</v>
      </c>
      <c r="K33" t="s">
        <v>44</v>
      </c>
      <c r="L33">
        <v>1825.43</v>
      </c>
      <c r="M33" s="1">
        <v>43497</v>
      </c>
      <c r="N33" t="s">
        <v>45</v>
      </c>
      <c r="O33" t="s">
        <v>46</v>
      </c>
      <c r="P33" t="s">
        <v>47</v>
      </c>
      <c r="Q33" s="1">
        <v>43852</v>
      </c>
      <c r="R33" t="s">
        <v>48</v>
      </c>
      <c r="S33" t="s">
        <v>94</v>
      </c>
      <c r="T33" t="s">
        <v>95</v>
      </c>
      <c r="U33" t="s">
        <v>85</v>
      </c>
      <c r="V33">
        <v>4500000</v>
      </c>
      <c r="W33">
        <v>300000</v>
      </c>
      <c r="X33" s="1">
        <v>43767</v>
      </c>
      <c r="Y33" t="s">
        <v>51</v>
      </c>
      <c r="Z33" t="s">
        <v>43</v>
      </c>
      <c r="AA33" t="s">
        <v>86</v>
      </c>
      <c r="AB33" t="s">
        <v>89</v>
      </c>
      <c r="AC33" t="s">
        <v>90</v>
      </c>
      <c r="AF33" t="s">
        <v>93</v>
      </c>
      <c r="AG33" s="1">
        <v>43843</v>
      </c>
      <c r="AH33" t="s">
        <v>85</v>
      </c>
      <c r="AI33" t="s">
        <v>92</v>
      </c>
      <c r="AJ33">
        <v>19888</v>
      </c>
      <c r="AK33">
        <v>128777</v>
      </c>
      <c r="AL33">
        <v>198882</v>
      </c>
    </row>
    <row r="34" spans="1:38" x14ac:dyDescent="0.25">
      <c r="A34" t="s">
        <v>82</v>
      </c>
      <c r="B34" t="s">
        <v>83</v>
      </c>
      <c r="C34" t="s">
        <v>40</v>
      </c>
      <c r="D34" s="1">
        <v>43497</v>
      </c>
      <c r="E34" s="1">
        <v>43861</v>
      </c>
      <c r="F34" t="s">
        <v>84</v>
      </c>
      <c r="G34">
        <v>10</v>
      </c>
      <c r="H34" t="s">
        <v>85</v>
      </c>
      <c r="I34" t="s">
        <v>43</v>
      </c>
      <c r="J34" t="s">
        <v>86</v>
      </c>
      <c r="K34" t="s">
        <v>44</v>
      </c>
      <c r="L34">
        <v>1825.43</v>
      </c>
      <c r="M34" s="1">
        <v>43497</v>
      </c>
      <c r="N34" t="s">
        <v>45</v>
      </c>
      <c r="O34" t="s">
        <v>46</v>
      </c>
      <c r="P34" t="s">
        <v>47</v>
      </c>
      <c r="Q34" s="1">
        <v>43852</v>
      </c>
      <c r="R34" t="s">
        <v>48</v>
      </c>
      <c r="S34" t="s">
        <v>96</v>
      </c>
      <c r="T34" t="s">
        <v>97</v>
      </c>
      <c r="U34" t="s">
        <v>85</v>
      </c>
      <c r="V34">
        <v>600000</v>
      </c>
      <c r="W34">
        <v>100000</v>
      </c>
      <c r="X34" s="1">
        <v>43799</v>
      </c>
      <c r="Y34" t="s">
        <v>51</v>
      </c>
      <c r="Z34" t="s">
        <v>43</v>
      </c>
      <c r="AA34" t="s">
        <v>98</v>
      </c>
      <c r="AB34" t="s">
        <v>89</v>
      </c>
      <c r="AC34" t="s">
        <v>90</v>
      </c>
      <c r="AF34" t="s">
        <v>91</v>
      </c>
      <c r="AG34" s="1">
        <v>43852</v>
      </c>
      <c r="AH34" t="s">
        <v>85</v>
      </c>
      <c r="AI34" t="s">
        <v>92</v>
      </c>
      <c r="AJ34">
        <v>19888</v>
      </c>
      <c r="AK34">
        <v>128777</v>
      </c>
      <c r="AL34">
        <v>198882</v>
      </c>
    </row>
    <row r="35" spans="1:38" x14ac:dyDescent="0.25">
      <c r="A35" t="s">
        <v>82</v>
      </c>
      <c r="B35" t="s">
        <v>83</v>
      </c>
      <c r="C35" t="s">
        <v>40</v>
      </c>
      <c r="D35" s="1">
        <v>43497</v>
      </c>
      <c r="E35" s="1">
        <v>43861</v>
      </c>
      <c r="F35" t="s">
        <v>84</v>
      </c>
      <c r="G35">
        <v>10</v>
      </c>
      <c r="H35" t="s">
        <v>85</v>
      </c>
      <c r="I35" t="s">
        <v>43</v>
      </c>
      <c r="J35" t="s">
        <v>86</v>
      </c>
      <c r="K35" t="s">
        <v>44</v>
      </c>
      <c r="L35">
        <v>1825.43</v>
      </c>
      <c r="M35" s="1">
        <v>43497</v>
      </c>
      <c r="N35" t="s">
        <v>45</v>
      </c>
      <c r="O35" t="s">
        <v>46</v>
      </c>
      <c r="P35" t="s">
        <v>47</v>
      </c>
      <c r="Q35" s="1">
        <v>43852</v>
      </c>
      <c r="R35" t="s">
        <v>48</v>
      </c>
      <c r="S35" t="s">
        <v>96</v>
      </c>
      <c r="T35" t="s">
        <v>97</v>
      </c>
      <c r="U35" t="s">
        <v>85</v>
      </c>
      <c r="V35">
        <v>600000</v>
      </c>
      <c r="W35">
        <v>100000</v>
      </c>
      <c r="X35" s="1">
        <v>43799</v>
      </c>
      <c r="Y35" t="s">
        <v>51</v>
      </c>
      <c r="Z35" t="s">
        <v>43</v>
      </c>
      <c r="AA35" t="s">
        <v>98</v>
      </c>
      <c r="AB35" t="s">
        <v>89</v>
      </c>
      <c r="AC35" t="s">
        <v>90</v>
      </c>
      <c r="AF35" t="s">
        <v>93</v>
      </c>
      <c r="AG35" s="1">
        <v>43843</v>
      </c>
      <c r="AH35" t="s">
        <v>85</v>
      </c>
      <c r="AI35" t="s">
        <v>92</v>
      </c>
      <c r="AJ35">
        <v>19888</v>
      </c>
      <c r="AK35">
        <v>128777</v>
      </c>
      <c r="AL35">
        <v>198882</v>
      </c>
    </row>
    <row r="36" spans="1:38" x14ac:dyDescent="0.25">
      <c r="A36" t="s">
        <v>82</v>
      </c>
      <c r="B36" t="s">
        <v>83</v>
      </c>
      <c r="C36" t="s">
        <v>40</v>
      </c>
      <c r="D36" s="1">
        <v>43497</v>
      </c>
      <c r="E36" s="1">
        <v>43861</v>
      </c>
      <c r="F36" t="s">
        <v>84</v>
      </c>
      <c r="G36">
        <v>10</v>
      </c>
      <c r="H36" t="s">
        <v>85</v>
      </c>
      <c r="I36" t="s">
        <v>43</v>
      </c>
      <c r="J36" t="s">
        <v>86</v>
      </c>
      <c r="K36" t="s">
        <v>44</v>
      </c>
      <c r="L36">
        <v>1825.43</v>
      </c>
      <c r="M36" s="1">
        <v>43497</v>
      </c>
      <c r="N36" t="s">
        <v>45</v>
      </c>
      <c r="O36" t="s">
        <v>46</v>
      </c>
      <c r="P36" t="s">
        <v>47</v>
      </c>
      <c r="Q36" s="1">
        <v>43852</v>
      </c>
      <c r="R36" t="s">
        <v>48</v>
      </c>
      <c r="S36" t="s">
        <v>99</v>
      </c>
      <c r="T36" t="s">
        <v>100</v>
      </c>
      <c r="U36" t="s">
        <v>85</v>
      </c>
      <c r="V36">
        <v>210000</v>
      </c>
      <c r="W36">
        <v>35000</v>
      </c>
      <c r="X36" s="1">
        <v>43799</v>
      </c>
      <c r="Y36" t="s">
        <v>51</v>
      </c>
      <c r="Z36" t="s">
        <v>43</v>
      </c>
      <c r="AA36" t="s">
        <v>98</v>
      </c>
      <c r="AB36" t="s">
        <v>89</v>
      </c>
      <c r="AC36" t="s">
        <v>101</v>
      </c>
      <c r="AF36" t="s">
        <v>91</v>
      </c>
      <c r="AG36" s="1">
        <v>43852</v>
      </c>
      <c r="AH36" t="s">
        <v>85</v>
      </c>
      <c r="AI36" t="s">
        <v>92</v>
      </c>
      <c r="AJ36">
        <v>19888</v>
      </c>
      <c r="AK36">
        <v>128777</v>
      </c>
      <c r="AL36">
        <v>198882</v>
      </c>
    </row>
    <row r="37" spans="1:38" x14ac:dyDescent="0.25">
      <c r="A37" t="s">
        <v>82</v>
      </c>
      <c r="B37" t="s">
        <v>83</v>
      </c>
      <c r="C37" t="s">
        <v>40</v>
      </c>
      <c r="D37" s="1">
        <v>43497</v>
      </c>
      <c r="E37" s="1">
        <v>43861</v>
      </c>
      <c r="F37" t="s">
        <v>84</v>
      </c>
      <c r="G37">
        <v>10</v>
      </c>
      <c r="H37" t="s">
        <v>85</v>
      </c>
      <c r="I37" t="s">
        <v>43</v>
      </c>
      <c r="J37" t="s">
        <v>86</v>
      </c>
      <c r="K37" t="s">
        <v>44</v>
      </c>
      <c r="L37">
        <v>1825.43</v>
      </c>
      <c r="M37" s="1">
        <v>43497</v>
      </c>
      <c r="N37" t="s">
        <v>45</v>
      </c>
      <c r="O37" t="s">
        <v>46</v>
      </c>
      <c r="P37" t="s">
        <v>47</v>
      </c>
      <c r="Q37" s="1">
        <v>43852</v>
      </c>
      <c r="R37" t="s">
        <v>48</v>
      </c>
      <c r="S37" t="s">
        <v>99</v>
      </c>
      <c r="T37" t="s">
        <v>100</v>
      </c>
      <c r="U37" t="s">
        <v>85</v>
      </c>
      <c r="V37">
        <v>210000</v>
      </c>
      <c r="W37">
        <v>35000</v>
      </c>
      <c r="X37" s="1">
        <v>43799</v>
      </c>
      <c r="Y37" t="s">
        <v>51</v>
      </c>
      <c r="Z37" t="s">
        <v>43</v>
      </c>
      <c r="AA37" t="s">
        <v>98</v>
      </c>
      <c r="AB37" t="s">
        <v>89</v>
      </c>
      <c r="AC37" t="s">
        <v>101</v>
      </c>
      <c r="AF37" t="s">
        <v>93</v>
      </c>
      <c r="AG37" s="1">
        <v>43843</v>
      </c>
      <c r="AH37" t="s">
        <v>85</v>
      </c>
      <c r="AI37" t="s">
        <v>92</v>
      </c>
      <c r="AJ37">
        <v>19888</v>
      </c>
      <c r="AK37">
        <v>128777</v>
      </c>
      <c r="AL37">
        <v>198882</v>
      </c>
    </row>
    <row r="38" spans="1:38" x14ac:dyDescent="0.25">
      <c r="A38" t="s">
        <v>82</v>
      </c>
      <c r="B38" t="s">
        <v>83</v>
      </c>
      <c r="C38" t="s">
        <v>40</v>
      </c>
      <c r="D38" s="1">
        <v>43497</v>
      </c>
      <c r="E38" s="1">
        <v>43861</v>
      </c>
      <c r="F38" t="s">
        <v>84</v>
      </c>
      <c r="G38">
        <v>10</v>
      </c>
      <c r="H38" t="s">
        <v>85</v>
      </c>
      <c r="I38" t="s">
        <v>43</v>
      </c>
      <c r="J38" t="s">
        <v>86</v>
      </c>
      <c r="K38" t="s">
        <v>44</v>
      </c>
      <c r="L38">
        <v>1825.43</v>
      </c>
      <c r="M38" s="1">
        <v>43497</v>
      </c>
      <c r="N38" t="s">
        <v>45</v>
      </c>
      <c r="O38" t="s">
        <v>46</v>
      </c>
      <c r="P38" t="s">
        <v>47</v>
      </c>
      <c r="Q38" s="1">
        <v>43852</v>
      </c>
      <c r="R38" t="s">
        <v>48</v>
      </c>
      <c r="S38" t="s">
        <v>102</v>
      </c>
      <c r="T38" t="s">
        <v>103</v>
      </c>
      <c r="U38" t="s">
        <v>85</v>
      </c>
      <c r="V38">
        <v>5000000</v>
      </c>
      <c r="W38">
        <v>250000</v>
      </c>
      <c r="X38" s="1">
        <v>43799</v>
      </c>
      <c r="Y38" t="s">
        <v>51</v>
      </c>
      <c r="Z38" t="s">
        <v>43</v>
      </c>
      <c r="AA38" t="s">
        <v>86</v>
      </c>
      <c r="AB38" t="s">
        <v>89</v>
      </c>
      <c r="AC38" t="s">
        <v>90</v>
      </c>
      <c r="AF38" t="s">
        <v>91</v>
      </c>
      <c r="AG38" s="1">
        <v>43852</v>
      </c>
      <c r="AH38" t="s">
        <v>85</v>
      </c>
      <c r="AI38" t="s">
        <v>92</v>
      </c>
      <c r="AJ38">
        <v>19888</v>
      </c>
      <c r="AK38">
        <v>128777</v>
      </c>
      <c r="AL38">
        <v>198882</v>
      </c>
    </row>
    <row r="39" spans="1:38" x14ac:dyDescent="0.25">
      <c r="A39" t="s">
        <v>82</v>
      </c>
      <c r="B39" t="s">
        <v>83</v>
      </c>
      <c r="C39" t="s">
        <v>40</v>
      </c>
      <c r="D39" s="1">
        <v>43497</v>
      </c>
      <c r="E39" s="1">
        <v>43861</v>
      </c>
      <c r="F39" t="s">
        <v>84</v>
      </c>
      <c r="G39">
        <v>10</v>
      </c>
      <c r="H39" t="s">
        <v>85</v>
      </c>
      <c r="I39" t="s">
        <v>43</v>
      </c>
      <c r="J39" t="s">
        <v>86</v>
      </c>
      <c r="K39" t="s">
        <v>44</v>
      </c>
      <c r="L39">
        <v>1825.43</v>
      </c>
      <c r="M39" s="1">
        <v>43497</v>
      </c>
      <c r="N39" t="s">
        <v>45</v>
      </c>
      <c r="O39" t="s">
        <v>46</v>
      </c>
      <c r="P39" t="s">
        <v>47</v>
      </c>
      <c r="Q39" s="1">
        <v>43852</v>
      </c>
      <c r="R39" t="s">
        <v>48</v>
      </c>
      <c r="S39" t="s">
        <v>102</v>
      </c>
      <c r="T39" t="s">
        <v>103</v>
      </c>
      <c r="U39" t="s">
        <v>85</v>
      </c>
      <c r="V39">
        <v>5000000</v>
      </c>
      <c r="W39">
        <v>250000</v>
      </c>
      <c r="X39" s="1">
        <v>43799</v>
      </c>
      <c r="Y39" t="s">
        <v>51</v>
      </c>
      <c r="Z39" t="s">
        <v>43</v>
      </c>
      <c r="AA39" t="s">
        <v>86</v>
      </c>
      <c r="AB39" t="s">
        <v>89</v>
      </c>
      <c r="AC39" t="s">
        <v>90</v>
      </c>
      <c r="AF39" t="s">
        <v>93</v>
      </c>
      <c r="AG39" s="1">
        <v>43843</v>
      </c>
      <c r="AH39" t="s">
        <v>85</v>
      </c>
      <c r="AI39" t="s">
        <v>92</v>
      </c>
      <c r="AJ39">
        <v>19888</v>
      </c>
      <c r="AK39">
        <v>128777</v>
      </c>
      <c r="AL39">
        <v>198882</v>
      </c>
    </row>
    <row r="40" spans="1:38" x14ac:dyDescent="0.25">
      <c r="A40" t="s">
        <v>104</v>
      </c>
      <c r="B40" t="s">
        <v>105</v>
      </c>
      <c r="C40" t="s">
        <v>40</v>
      </c>
      <c r="D40" s="1">
        <v>43641</v>
      </c>
      <c r="E40" s="1">
        <v>44006</v>
      </c>
      <c r="F40" t="s">
        <v>84</v>
      </c>
      <c r="G40">
        <v>2</v>
      </c>
      <c r="H40" t="s">
        <v>67</v>
      </c>
      <c r="I40" t="s">
        <v>43</v>
      </c>
      <c r="J40" t="s">
        <v>86</v>
      </c>
      <c r="K40" t="s">
        <v>68</v>
      </c>
      <c r="L40">
        <v>79833.600000000006</v>
      </c>
      <c r="M40" s="1">
        <v>43641</v>
      </c>
      <c r="N40" t="s">
        <v>45</v>
      </c>
      <c r="O40" t="s">
        <v>106</v>
      </c>
      <c r="P40" t="s">
        <v>47</v>
      </c>
      <c r="Q40" s="1">
        <v>43852</v>
      </c>
      <c r="R40" t="s">
        <v>48</v>
      </c>
    </row>
    <row r="41" spans="1:38" x14ac:dyDescent="0.25">
      <c r="A41" t="s">
        <v>107</v>
      </c>
      <c r="B41" t="s">
        <v>105</v>
      </c>
      <c r="C41" t="s">
        <v>40</v>
      </c>
      <c r="D41" s="1">
        <v>43641</v>
      </c>
      <c r="E41" s="1">
        <v>44006</v>
      </c>
      <c r="F41" t="s">
        <v>84</v>
      </c>
      <c r="G41">
        <v>2</v>
      </c>
      <c r="H41" t="s">
        <v>67</v>
      </c>
      <c r="I41" t="s">
        <v>43</v>
      </c>
      <c r="J41" t="s">
        <v>86</v>
      </c>
      <c r="K41" t="s">
        <v>68</v>
      </c>
      <c r="L41">
        <v>11435.86</v>
      </c>
      <c r="M41" s="1">
        <v>43679</v>
      </c>
      <c r="N41" t="s">
        <v>108</v>
      </c>
      <c r="O41" t="s">
        <v>106</v>
      </c>
      <c r="P41" t="s">
        <v>47</v>
      </c>
      <c r="Q41" s="1">
        <v>43852</v>
      </c>
      <c r="R41" t="s">
        <v>48</v>
      </c>
    </row>
    <row r="42" spans="1:38" x14ac:dyDescent="0.25">
      <c r="A42" t="s">
        <v>109</v>
      </c>
      <c r="B42">
        <v>2250010276</v>
      </c>
      <c r="C42" t="s">
        <v>40</v>
      </c>
      <c r="D42" s="1">
        <v>43215</v>
      </c>
      <c r="E42" s="1">
        <v>43579</v>
      </c>
      <c r="F42" t="s">
        <v>76</v>
      </c>
      <c r="G42">
        <v>1</v>
      </c>
      <c r="H42" t="s">
        <v>42</v>
      </c>
      <c r="I42" t="s">
        <v>43</v>
      </c>
      <c r="J42" t="s">
        <v>86</v>
      </c>
      <c r="K42" t="s">
        <v>44</v>
      </c>
      <c r="L42">
        <v>847.38</v>
      </c>
      <c r="M42" s="1">
        <v>43215</v>
      </c>
      <c r="N42" t="s">
        <v>45</v>
      </c>
      <c r="O42" t="s">
        <v>46</v>
      </c>
      <c r="P42" t="s">
        <v>47</v>
      </c>
      <c r="Q42" s="1">
        <v>43852</v>
      </c>
      <c r="R42" t="s">
        <v>48</v>
      </c>
      <c r="S42" t="s">
        <v>78</v>
      </c>
      <c r="T42" t="s">
        <v>79</v>
      </c>
      <c r="U42" t="s">
        <v>42</v>
      </c>
      <c r="V42">
        <v>1200000</v>
      </c>
      <c r="W42">
        <v>100000</v>
      </c>
      <c r="X42" s="1">
        <v>43921</v>
      </c>
      <c r="Y42" t="s">
        <v>51</v>
      </c>
      <c r="Z42" t="s">
        <v>43</v>
      </c>
      <c r="AA42" t="s">
        <v>80</v>
      </c>
      <c r="AB42" t="s">
        <v>76</v>
      </c>
      <c r="AC42" t="s">
        <v>81</v>
      </c>
      <c r="AF42" t="s">
        <v>54</v>
      </c>
      <c r="AG42" s="1">
        <v>43832</v>
      </c>
      <c r="AH42" t="s">
        <v>42</v>
      </c>
      <c r="AI42" t="s">
        <v>55</v>
      </c>
      <c r="AJ42">
        <v>12788092</v>
      </c>
      <c r="AK42">
        <v>250000</v>
      </c>
      <c r="AL42">
        <v>1500000</v>
      </c>
    </row>
    <row r="43" spans="1:38" x14ac:dyDescent="0.25">
      <c r="A43" t="s">
        <v>109</v>
      </c>
      <c r="B43">
        <v>2250010276</v>
      </c>
      <c r="C43" t="s">
        <v>40</v>
      </c>
      <c r="D43" s="1">
        <v>43215</v>
      </c>
      <c r="E43" s="1">
        <v>43579</v>
      </c>
      <c r="F43" t="s">
        <v>76</v>
      </c>
      <c r="G43">
        <v>1</v>
      </c>
      <c r="H43" t="s">
        <v>42</v>
      </c>
      <c r="I43" t="s">
        <v>43</v>
      </c>
      <c r="J43" t="s">
        <v>86</v>
      </c>
      <c r="K43" t="s">
        <v>44</v>
      </c>
      <c r="L43">
        <v>847.38</v>
      </c>
      <c r="M43" s="1">
        <v>43215</v>
      </c>
      <c r="N43" t="s">
        <v>45</v>
      </c>
      <c r="O43" t="s">
        <v>46</v>
      </c>
      <c r="P43" t="s">
        <v>47</v>
      </c>
      <c r="Q43" s="1">
        <v>43852</v>
      </c>
      <c r="R43" t="s">
        <v>48</v>
      </c>
      <c r="S43" t="s">
        <v>78</v>
      </c>
      <c r="T43" t="s">
        <v>79</v>
      </c>
      <c r="U43" t="s">
        <v>42</v>
      </c>
      <c r="V43">
        <v>1200000</v>
      </c>
      <c r="W43">
        <v>100000</v>
      </c>
      <c r="X43" s="1">
        <v>43921</v>
      </c>
      <c r="Y43" t="s">
        <v>51</v>
      </c>
      <c r="Z43" t="s">
        <v>43</v>
      </c>
      <c r="AA43" t="s">
        <v>80</v>
      </c>
      <c r="AB43" t="s">
        <v>76</v>
      </c>
      <c r="AC43" t="s">
        <v>81</v>
      </c>
      <c r="AF43" t="s">
        <v>56</v>
      </c>
      <c r="AG43" s="1">
        <v>43833</v>
      </c>
      <c r="AH43" t="s">
        <v>42</v>
      </c>
      <c r="AI43" t="s">
        <v>55</v>
      </c>
      <c r="AJ43">
        <v>12788092</v>
      </c>
      <c r="AK43">
        <v>250000</v>
      </c>
      <c r="AL43">
        <v>1500000</v>
      </c>
    </row>
    <row r="44" spans="1:38" x14ac:dyDescent="0.25">
      <c r="A44" t="s">
        <v>109</v>
      </c>
      <c r="B44">
        <v>2250010276</v>
      </c>
      <c r="C44" t="s">
        <v>40</v>
      </c>
      <c r="D44" s="1">
        <v>43215</v>
      </c>
      <c r="E44" s="1">
        <v>43579</v>
      </c>
      <c r="F44" t="s">
        <v>76</v>
      </c>
      <c r="G44">
        <v>1</v>
      </c>
      <c r="H44" t="s">
        <v>42</v>
      </c>
      <c r="I44" t="s">
        <v>43</v>
      </c>
      <c r="J44" t="s">
        <v>86</v>
      </c>
      <c r="K44" t="s">
        <v>44</v>
      </c>
      <c r="L44">
        <v>847.38</v>
      </c>
      <c r="M44" s="1">
        <v>43215</v>
      </c>
      <c r="N44" t="s">
        <v>45</v>
      </c>
      <c r="O44" t="s">
        <v>46</v>
      </c>
      <c r="P44" t="s">
        <v>47</v>
      </c>
      <c r="Q44" s="1">
        <v>43852</v>
      </c>
      <c r="R44" t="s">
        <v>48</v>
      </c>
      <c r="S44" t="s">
        <v>78</v>
      </c>
      <c r="T44" t="s">
        <v>79</v>
      </c>
      <c r="U44" t="s">
        <v>42</v>
      </c>
      <c r="V44">
        <v>1200000</v>
      </c>
      <c r="W44">
        <v>100000</v>
      </c>
      <c r="X44" s="1">
        <v>43921</v>
      </c>
      <c r="Y44" t="s">
        <v>51</v>
      </c>
      <c r="Z44" t="s">
        <v>43</v>
      </c>
      <c r="AA44" t="s">
        <v>80</v>
      </c>
      <c r="AB44" t="s">
        <v>76</v>
      </c>
      <c r="AC44" t="s">
        <v>81</v>
      </c>
      <c r="AF44" t="s">
        <v>57</v>
      </c>
      <c r="AG44" s="1">
        <v>43836</v>
      </c>
      <c r="AH44" t="s">
        <v>42</v>
      </c>
      <c r="AI44" t="s">
        <v>55</v>
      </c>
      <c r="AJ44">
        <v>12788092</v>
      </c>
      <c r="AK44">
        <v>250000</v>
      </c>
      <c r="AL44">
        <v>1500000</v>
      </c>
    </row>
    <row r="45" spans="1:38" x14ac:dyDescent="0.25">
      <c r="A45" t="s">
        <v>109</v>
      </c>
      <c r="B45">
        <v>2250010276</v>
      </c>
      <c r="C45" t="s">
        <v>40</v>
      </c>
      <c r="D45" s="1">
        <v>43215</v>
      </c>
      <c r="E45" s="1">
        <v>43579</v>
      </c>
      <c r="F45" t="s">
        <v>76</v>
      </c>
      <c r="G45">
        <v>1</v>
      </c>
      <c r="H45" t="s">
        <v>42</v>
      </c>
      <c r="I45" t="s">
        <v>43</v>
      </c>
      <c r="J45" t="s">
        <v>86</v>
      </c>
      <c r="K45" t="s">
        <v>44</v>
      </c>
      <c r="L45">
        <v>847.38</v>
      </c>
      <c r="M45" s="1">
        <v>43215</v>
      </c>
      <c r="N45" t="s">
        <v>45</v>
      </c>
      <c r="O45" t="s">
        <v>46</v>
      </c>
      <c r="P45" t="s">
        <v>47</v>
      </c>
      <c r="Q45" s="1">
        <v>43852</v>
      </c>
      <c r="R45" t="s">
        <v>48</v>
      </c>
      <c r="S45" t="s">
        <v>78</v>
      </c>
      <c r="T45" t="s">
        <v>79</v>
      </c>
      <c r="U45" t="s">
        <v>42</v>
      </c>
      <c r="V45">
        <v>1200000</v>
      </c>
      <c r="W45">
        <v>100000</v>
      </c>
      <c r="X45" s="1">
        <v>43921</v>
      </c>
      <c r="Y45" t="s">
        <v>51</v>
      </c>
      <c r="Z45" t="s">
        <v>43</v>
      </c>
      <c r="AA45" t="s">
        <v>80</v>
      </c>
      <c r="AB45" t="s">
        <v>76</v>
      </c>
      <c r="AC45" t="s">
        <v>81</v>
      </c>
      <c r="AF45" t="s">
        <v>58</v>
      </c>
      <c r="AG45" s="1">
        <v>43837</v>
      </c>
      <c r="AH45" t="s">
        <v>42</v>
      </c>
      <c r="AI45" t="s">
        <v>55</v>
      </c>
      <c r="AJ45">
        <v>12788092</v>
      </c>
      <c r="AK45">
        <v>250000</v>
      </c>
      <c r="AL45">
        <v>1500000</v>
      </c>
    </row>
    <row r="46" spans="1:38" x14ac:dyDescent="0.25">
      <c r="A46" t="s">
        <v>109</v>
      </c>
      <c r="B46">
        <v>2250010276</v>
      </c>
      <c r="C46" t="s">
        <v>40</v>
      </c>
      <c r="D46" s="1">
        <v>43215</v>
      </c>
      <c r="E46" s="1">
        <v>43579</v>
      </c>
      <c r="F46" t="s">
        <v>76</v>
      </c>
      <c r="G46">
        <v>1</v>
      </c>
      <c r="H46" t="s">
        <v>42</v>
      </c>
      <c r="I46" t="s">
        <v>43</v>
      </c>
      <c r="J46" t="s">
        <v>86</v>
      </c>
      <c r="K46" t="s">
        <v>44</v>
      </c>
      <c r="L46">
        <v>847.38</v>
      </c>
      <c r="M46" s="1">
        <v>43215</v>
      </c>
      <c r="N46" t="s">
        <v>45</v>
      </c>
      <c r="O46" t="s">
        <v>46</v>
      </c>
      <c r="P46" t="s">
        <v>47</v>
      </c>
      <c r="Q46" s="1">
        <v>43852</v>
      </c>
      <c r="R46" t="s">
        <v>48</v>
      </c>
      <c r="S46" t="s">
        <v>78</v>
      </c>
      <c r="T46" t="s">
        <v>79</v>
      </c>
      <c r="U46" t="s">
        <v>42</v>
      </c>
      <c r="V46">
        <v>1200000</v>
      </c>
      <c r="W46">
        <v>100000</v>
      </c>
      <c r="X46" s="1">
        <v>43921</v>
      </c>
      <c r="Y46" t="s">
        <v>51</v>
      </c>
      <c r="Z46" t="s">
        <v>43</v>
      </c>
      <c r="AA46" t="s">
        <v>80</v>
      </c>
      <c r="AB46" t="s">
        <v>76</v>
      </c>
      <c r="AC46" t="s">
        <v>81</v>
      </c>
      <c r="AF46" t="s">
        <v>59</v>
      </c>
      <c r="AG46" s="1">
        <v>43838</v>
      </c>
      <c r="AH46" t="s">
        <v>42</v>
      </c>
      <c r="AI46" t="s">
        <v>55</v>
      </c>
      <c r="AJ46">
        <v>12788092</v>
      </c>
      <c r="AK46">
        <v>250000</v>
      </c>
      <c r="AL46">
        <v>1500000</v>
      </c>
    </row>
    <row r="47" spans="1:38" x14ac:dyDescent="0.25">
      <c r="A47" t="s">
        <v>110</v>
      </c>
      <c r="B47" t="s">
        <v>111</v>
      </c>
      <c r="C47" t="s">
        <v>71</v>
      </c>
      <c r="D47" s="1">
        <v>43215</v>
      </c>
      <c r="E47" s="1">
        <v>43579</v>
      </c>
      <c r="F47" t="s">
        <v>41</v>
      </c>
      <c r="G47">
        <v>1</v>
      </c>
      <c r="H47" t="s">
        <v>42</v>
      </c>
      <c r="I47" t="s">
        <v>43</v>
      </c>
      <c r="J47" t="s">
        <v>41</v>
      </c>
      <c r="K47" t="s">
        <v>44</v>
      </c>
      <c r="L47">
        <v>9900</v>
      </c>
      <c r="M47" s="1">
        <v>43215</v>
      </c>
      <c r="N47" t="s">
        <v>45</v>
      </c>
      <c r="O47" t="s">
        <v>46</v>
      </c>
      <c r="P47" t="s">
        <v>47</v>
      </c>
      <c r="Q47" s="1">
        <v>43852</v>
      </c>
      <c r="R47" t="s">
        <v>48</v>
      </c>
      <c r="S47" t="s">
        <v>49</v>
      </c>
      <c r="T47" t="s">
        <v>50</v>
      </c>
      <c r="U47" t="s">
        <v>42</v>
      </c>
      <c r="V47">
        <v>0</v>
      </c>
      <c r="W47">
        <v>100000</v>
      </c>
      <c r="X47" s="1">
        <v>44012</v>
      </c>
      <c r="Y47" t="s">
        <v>51</v>
      </c>
      <c r="Z47" t="s">
        <v>43</v>
      </c>
      <c r="AA47" t="s">
        <v>41</v>
      </c>
      <c r="AB47" t="s">
        <v>52</v>
      </c>
      <c r="AC47" t="s">
        <v>53</v>
      </c>
      <c r="AF47" t="s">
        <v>54</v>
      </c>
      <c r="AG47" s="1">
        <v>43832</v>
      </c>
      <c r="AH47" t="s">
        <v>42</v>
      </c>
      <c r="AI47" t="s">
        <v>55</v>
      </c>
      <c r="AJ47">
        <v>12788092</v>
      </c>
      <c r="AK47">
        <v>250000</v>
      </c>
      <c r="AL47">
        <v>1500000</v>
      </c>
    </row>
    <row r="48" spans="1:38" x14ac:dyDescent="0.25">
      <c r="A48" t="s">
        <v>110</v>
      </c>
      <c r="B48" t="s">
        <v>111</v>
      </c>
      <c r="C48" t="s">
        <v>71</v>
      </c>
      <c r="D48" s="1">
        <v>43215</v>
      </c>
      <c r="E48" s="1">
        <v>43579</v>
      </c>
      <c r="F48" t="s">
        <v>41</v>
      </c>
      <c r="G48">
        <v>1</v>
      </c>
      <c r="H48" t="s">
        <v>42</v>
      </c>
      <c r="I48" t="s">
        <v>43</v>
      </c>
      <c r="J48" t="s">
        <v>41</v>
      </c>
      <c r="K48" t="s">
        <v>44</v>
      </c>
      <c r="L48">
        <v>9900</v>
      </c>
      <c r="M48" s="1">
        <v>43215</v>
      </c>
      <c r="N48" t="s">
        <v>45</v>
      </c>
      <c r="O48" t="s">
        <v>46</v>
      </c>
      <c r="P48" t="s">
        <v>47</v>
      </c>
      <c r="Q48" s="1">
        <v>43852</v>
      </c>
      <c r="R48" t="s">
        <v>48</v>
      </c>
      <c r="S48" t="s">
        <v>49</v>
      </c>
      <c r="T48" t="s">
        <v>50</v>
      </c>
      <c r="U48" t="s">
        <v>42</v>
      </c>
      <c r="V48">
        <v>0</v>
      </c>
      <c r="W48">
        <v>100000</v>
      </c>
      <c r="X48" s="1">
        <v>44012</v>
      </c>
      <c r="Y48" t="s">
        <v>51</v>
      </c>
      <c r="Z48" t="s">
        <v>43</v>
      </c>
      <c r="AA48" t="s">
        <v>41</v>
      </c>
      <c r="AB48" t="s">
        <v>52</v>
      </c>
      <c r="AC48" t="s">
        <v>53</v>
      </c>
      <c r="AF48" t="s">
        <v>56</v>
      </c>
      <c r="AG48" s="1">
        <v>43833</v>
      </c>
      <c r="AH48" t="s">
        <v>42</v>
      </c>
      <c r="AI48" t="s">
        <v>55</v>
      </c>
      <c r="AJ48">
        <v>12788092</v>
      </c>
      <c r="AK48">
        <v>250000</v>
      </c>
      <c r="AL48">
        <v>1500000</v>
      </c>
    </row>
    <row r="49" spans="1:38" x14ac:dyDescent="0.25">
      <c r="A49" t="s">
        <v>110</v>
      </c>
      <c r="B49" t="s">
        <v>111</v>
      </c>
      <c r="C49" t="s">
        <v>71</v>
      </c>
      <c r="D49" s="1">
        <v>43215</v>
      </c>
      <c r="E49" s="1">
        <v>43579</v>
      </c>
      <c r="F49" t="s">
        <v>41</v>
      </c>
      <c r="G49">
        <v>1</v>
      </c>
      <c r="H49" t="s">
        <v>42</v>
      </c>
      <c r="I49" t="s">
        <v>43</v>
      </c>
      <c r="J49" t="s">
        <v>41</v>
      </c>
      <c r="K49" t="s">
        <v>44</v>
      </c>
      <c r="L49">
        <v>9900</v>
      </c>
      <c r="M49" s="1">
        <v>43215</v>
      </c>
      <c r="N49" t="s">
        <v>45</v>
      </c>
      <c r="O49" t="s">
        <v>46</v>
      </c>
      <c r="P49" t="s">
        <v>47</v>
      </c>
      <c r="Q49" s="1">
        <v>43852</v>
      </c>
      <c r="R49" t="s">
        <v>48</v>
      </c>
      <c r="S49" t="s">
        <v>49</v>
      </c>
      <c r="T49" t="s">
        <v>50</v>
      </c>
      <c r="U49" t="s">
        <v>42</v>
      </c>
      <c r="V49">
        <v>0</v>
      </c>
      <c r="W49">
        <v>100000</v>
      </c>
      <c r="X49" s="1">
        <v>44012</v>
      </c>
      <c r="Y49" t="s">
        <v>51</v>
      </c>
      <c r="Z49" t="s">
        <v>43</v>
      </c>
      <c r="AA49" t="s">
        <v>41</v>
      </c>
      <c r="AB49" t="s">
        <v>52</v>
      </c>
      <c r="AC49" t="s">
        <v>53</v>
      </c>
      <c r="AF49" t="s">
        <v>57</v>
      </c>
      <c r="AG49" s="1">
        <v>43836</v>
      </c>
      <c r="AH49" t="s">
        <v>42</v>
      </c>
      <c r="AI49" t="s">
        <v>55</v>
      </c>
      <c r="AJ49">
        <v>12788092</v>
      </c>
      <c r="AK49">
        <v>250000</v>
      </c>
      <c r="AL49">
        <v>1500000</v>
      </c>
    </row>
    <row r="50" spans="1:38" x14ac:dyDescent="0.25">
      <c r="A50" t="s">
        <v>110</v>
      </c>
      <c r="B50" t="s">
        <v>111</v>
      </c>
      <c r="C50" t="s">
        <v>71</v>
      </c>
      <c r="D50" s="1">
        <v>43215</v>
      </c>
      <c r="E50" s="1">
        <v>43579</v>
      </c>
      <c r="F50" t="s">
        <v>41</v>
      </c>
      <c r="G50">
        <v>1</v>
      </c>
      <c r="H50" t="s">
        <v>42</v>
      </c>
      <c r="I50" t="s">
        <v>43</v>
      </c>
      <c r="J50" t="s">
        <v>41</v>
      </c>
      <c r="K50" t="s">
        <v>44</v>
      </c>
      <c r="L50">
        <v>9900</v>
      </c>
      <c r="M50" s="1">
        <v>43215</v>
      </c>
      <c r="N50" t="s">
        <v>45</v>
      </c>
      <c r="O50" t="s">
        <v>46</v>
      </c>
      <c r="P50" t="s">
        <v>47</v>
      </c>
      <c r="Q50" s="1">
        <v>43852</v>
      </c>
      <c r="R50" t="s">
        <v>48</v>
      </c>
      <c r="S50" t="s">
        <v>49</v>
      </c>
      <c r="T50" t="s">
        <v>50</v>
      </c>
      <c r="U50" t="s">
        <v>42</v>
      </c>
      <c r="V50">
        <v>0</v>
      </c>
      <c r="W50">
        <v>100000</v>
      </c>
      <c r="X50" s="1">
        <v>44012</v>
      </c>
      <c r="Y50" t="s">
        <v>51</v>
      </c>
      <c r="Z50" t="s">
        <v>43</v>
      </c>
      <c r="AA50" t="s">
        <v>41</v>
      </c>
      <c r="AB50" t="s">
        <v>52</v>
      </c>
      <c r="AC50" t="s">
        <v>53</v>
      </c>
      <c r="AF50" t="s">
        <v>58</v>
      </c>
      <c r="AG50" s="1">
        <v>43837</v>
      </c>
      <c r="AH50" t="s">
        <v>42</v>
      </c>
      <c r="AI50" t="s">
        <v>55</v>
      </c>
      <c r="AJ50">
        <v>12788092</v>
      </c>
      <c r="AK50">
        <v>250000</v>
      </c>
      <c r="AL50">
        <v>1500000</v>
      </c>
    </row>
    <row r="51" spans="1:38" x14ac:dyDescent="0.25">
      <c r="A51" t="s">
        <v>110</v>
      </c>
      <c r="B51" t="s">
        <v>111</v>
      </c>
      <c r="C51" t="s">
        <v>71</v>
      </c>
      <c r="D51" s="1">
        <v>43215</v>
      </c>
      <c r="E51" s="1">
        <v>43579</v>
      </c>
      <c r="F51" t="s">
        <v>41</v>
      </c>
      <c r="G51">
        <v>1</v>
      </c>
      <c r="H51" t="s">
        <v>42</v>
      </c>
      <c r="I51" t="s">
        <v>43</v>
      </c>
      <c r="J51" t="s">
        <v>41</v>
      </c>
      <c r="K51" t="s">
        <v>44</v>
      </c>
      <c r="L51">
        <v>9900</v>
      </c>
      <c r="M51" s="1">
        <v>43215</v>
      </c>
      <c r="N51" t="s">
        <v>45</v>
      </c>
      <c r="O51" t="s">
        <v>46</v>
      </c>
      <c r="P51" t="s">
        <v>47</v>
      </c>
      <c r="Q51" s="1">
        <v>43852</v>
      </c>
      <c r="R51" t="s">
        <v>48</v>
      </c>
      <c r="S51" t="s">
        <v>49</v>
      </c>
      <c r="T51" t="s">
        <v>50</v>
      </c>
      <c r="U51" t="s">
        <v>42</v>
      </c>
      <c r="V51">
        <v>0</v>
      </c>
      <c r="W51">
        <v>100000</v>
      </c>
      <c r="X51" s="1">
        <v>44012</v>
      </c>
      <c r="Y51" t="s">
        <v>51</v>
      </c>
      <c r="Z51" t="s">
        <v>43</v>
      </c>
      <c r="AA51" t="s">
        <v>41</v>
      </c>
      <c r="AB51" t="s">
        <v>52</v>
      </c>
      <c r="AC51" t="s">
        <v>53</v>
      </c>
      <c r="AF51" t="s">
        <v>59</v>
      </c>
      <c r="AG51" s="1">
        <v>43838</v>
      </c>
      <c r="AH51" t="s">
        <v>42</v>
      </c>
      <c r="AI51" t="s">
        <v>55</v>
      </c>
      <c r="AJ51">
        <v>12788092</v>
      </c>
      <c r="AK51">
        <v>250000</v>
      </c>
      <c r="AL51">
        <v>1500000</v>
      </c>
    </row>
    <row r="52" spans="1:38" x14ac:dyDescent="0.25">
      <c r="A52" t="s">
        <v>110</v>
      </c>
      <c r="B52" t="s">
        <v>111</v>
      </c>
      <c r="C52" t="s">
        <v>71</v>
      </c>
      <c r="D52" s="1">
        <v>43215</v>
      </c>
      <c r="E52" s="1">
        <v>43579</v>
      </c>
      <c r="F52" t="s">
        <v>41</v>
      </c>
      <c r="G52">
        <v>1</v>
      </c>
      <c r="H52" t="s">
        <v>42</v>
      </c>
      <c r="I52" t="s">
        <v>43</v>
      </c>
      <c r="J52" t="s">
        <v>41</v>
      </c>
      <c r="K52" t="s">
        <v>44</v>
      </c>
      <c r="L52">
        <v>9900</v>
      </c>
      <c r="M52" s="1">
        <v>43215</v>
      </c>
      <c r="N52" t="s">
        <v>45</v>
      </c>
      <c r="O52" t="s">
        <v>46</v>
      </c>
      <c r="P52" t="s">
        <v>47</v>
      </c>
      <c r="Q52" s="1">
        <v>43852</v>
      </c>
      <c r="R52" t="s">
        <v>48</v>
      </c>
      <c r="S52" t="s">
        <v>60</v>
      </c>
      <c r="T52" t="s">
        <v>61</v>
      </c>
      <c r="U52" t="s">
        <v>42</v>
      </c>
      <c r="V52">
        <v>0</v>
      </c>
      <c r="W52">
        <v>100000</v>
      </c>
      <c r="X52" s="1">
        <v>43921</v>
      </c>
      <c r="Y52" t="s">
        <v>51</v>
      </c>
      <c r="Z52" t="s">
        <v>43</v>
      </c>
      <c r="AA52" t="s">
        <v>41</v>
      </c>
      <c r="AB52" t="s">
        <v>52</v>
      </c>
      <c r="AC52" t="s">
        <v>53</v>
      </c>
      <c r="AF52" t="s">
        <v>54</v>
      </c>
      <c r="AG52" s="1">
        <v>43832</v>
      </c>
      <c r="AH52" t="s">
        <v>42</v>
      </c>
      <c r="AI52" t="s">
        <v>55</v>
      </c>
      <c r="AJ52">
        <v>12788092</v>
      </c>
      <c r="AK52">
        <v>250000</v>
      </c>
      <c r="AL52">
        <v>1500000</v>
      </c>
    </row>
    <row r="53" spans="1:38" x14ac:dyDescent="0.25">
      <c r="A53" t="s">
        <v>110</v>
      </c>
      <c r="B53" t="s">
        <v>111</v>
      </c>
      <c r="C53" t="s">
        <v>71</v>
      </c>
      <c r="D53" s="1">
        <v>43215</v>
      </c>
      <c r="E53" s="1">
        <v>43579</v>
      </c>
      <c r="F53" t="s">
        <v>41</v>
      </c>
      <c r="G53">
        <v>1</v>
      </c>
      <c r="H53" t="s">
        <v>42</v>
      </c>
      <c r="I53" t="s">
        <v>43</v>
      </c>
      <c r="J53" t="s">
        <v>41</v>
      </c>
      <c r="K53" t="s">
        <v>44</v>
      </c>
      <c r="L53">
        <v>9900</v>
      </c>
      <c r="M53" s="1">
        <v>43215</v>
      </c>
      <c r="N53" t="s">
        <v>45</v>
      </c>
      <c r="O53" t="s">
        <v>46</v>
      </c>
      <c r="P53" t="s">
        <v>47</v>
      </c>
      <c r="Q53" s="1">
        <v>43852</v>
      </c>
      <c r="R53" t="s">
        <v>48</v>
      </c>
      <c r="S53" t="s">
        <v>60</v>
      </c>
      <c r="T53" t="s">
        <v>61</v>
      </c>
      <c r="U53" t="s">
        <v>42</v>
      </c>
      <c r="V53">
        <v>0</v>
      </c>
      <c r="W53">
        <v>100000</v>
      </c>
      <c r="X53" s="1">
        <v>43921</v>
      </c>
      <c r="Y53" t="s">
        <v>51</v>
      </c>
      <c r="Z53" t="s">
        <v>43</v>
      </c>
      <c r="AA53" t="s">
        <v>41</v>
      </c>
      <c r="AB53" t="s">
        <v>52</v>
      </c>
      <c r="AC53" t="s">
        <v>53</v>
      </c>
      <c r="AF53" t="s">
        <v>56</v>
      </c>
      <c r="AG53" s="1">
        <v>43833</v>
      </c>
      <c r="AH53" t="s">
        <v>42</v>
      </c>
      <c r="AI53" t="s">
        <v>55</v>
      </c>
      <c r="AJ53">
        <v>12788092</v>
      </c>
      <c r="AK53">
        <v>250000</v>
      </c>
      <c r="AL53">
        <v>1500000</v>
      </c>
    </row>
    <row r="54" spans="1:38" x14ac:dyDescent="0.25">
      <c r="A54" t="s">
        <v>110</v>
      </c>
      <c r="B54" t="s">
        <v>111</v>
      </c>
      <c r="C54" t="s">
        <v>71</v>
      </c>
      <c r="D54" s="1">
        <v>43215</v>
      </c>
      <c r="E54" s="1">
        <v>43579</v>
      </c>
      <c r="F54" t="s">
        <v>41</v>
      </c>
      <c r="G54">
        <v>1</v>
      </c>
      <c r="H54" t="s">
        <v>42</v>
      </c>
      <c r="I54" t="s">
        <v>43</v>
      </c>
      <c r="J54" t="s">
        <v>41</v>
      </c>
      <c r="K54" t="s">
        <v>44</v>
      </c>
      <c r="L54">
        <v>9900</v>
      </c>
      <c r="M54" s="1">
        <v>43215</v>
      </c>
      <c r="N54" t="s">
        <v>45</v>
      </c>
      <c r="O54" t="s">
        <v>46</v>
      </c>
      <c r="P54" t="s">
        <v>47</v>
      </c>
      <c r="Q54" s="1">
        <v>43852</v>
      </c>
      <c r="R54" t="s">
        <v>48</v>
      </c>
      <c r="S54" t="s">
        <v>60</v>
      </c>
      <c r="T54" t="s">
        <v>61</v>
      </c>
      <c r="U54" t="s">
        <v>42</v>
      </c>
      <c r="V54">
        <v>0</v>
      </c>
      <c r="W54">
        <v>100000</v>
      </c>
      <c r="X54" s="1">
        <v>43921</v>
      </c>
      <c r="Y54" t="s">
        <v>51</v>
      </c>
      <c r="Z54" t="s">
        <v>43</v>
      </c>
      <c r="AA54" t="s">
        <v>41</v>
      </c>
      <c r="AB54" t="s">
        <v>52</v>
      </c>
      <c r="AC54" t="s">
        <v>53</v>
      </c>
      <c r="AF54" t="s">
        <v>57</v>
      </c>
      <c r="AG54" s="1">
        <v>43836</v>
      </c>
      <c r="AH54" t="s">
        <v>42</v>
      </c>
      <c r="AI54" t="s">
        <v>55</v>
      </c>
      <c r="AJ54">
        <v>12788092</v>
      </c>
      <c r="AK54">
        <v>250000</v>
      </c>
      <c r="AL54">
        <v>1500000</v>
      </c>
    </row>
    <row r="55" spans="1:38" x14ac:dyDescent="0.25">
      <c r="A55" t="s">
        <v>110</v>
      </c>
      <c r="B55" t="s">
        <v>111</v>
      </c>
      <c r="C55" t="s">
        <v>71</v>
      </c>
      <c r="D55" s="1">
        <v>43215</v>
      </c>
      <c r="E55" s="1">
        <v>43579</v>
      </c>
      <c r="F55" t="s">
        <v>41</v>
      </c>
      <c r="G55">
        <v>1</v>
      </c>
      <c r="H55" t="s">
        <v>42</v>
      </c>
      <c r="I55" t="s">
        <v>43</v>
      </c>
      <c r="J55" t="s">
        <v>41</v>
      </c>
      <c r="K55" t="s">
        <v>44</v>
      </c>
      <c r="L55">
        <v>9900</v>
      </c>
      <c r="M55" s="1">
        <v>43215</v>
      </c>
      <c r="N55" t="s">
        <v>45</v>
      </c>
      <c r="O55" t="s">
        <v>46</v>
      </c>
      <c r="P55" t="s">
        <v>47</v>
      </c>
      <c r="Q55" s="1">
        <v>43852</v>
      </c>
      <c r="R55" t="s">
        <v>48</v>
      </c>
      <c r="S55" t="s">
        <v>60</v>
      </c>
      <c r="T55" t="s">
        <v>61</v>
      </c>
      <c r="U55" t="s">
        <v>42</v>
      </c>
      <c r="V55">
        <v>0</v>
      </c>
      <c r="W55">
        <v>100000</v>
      </c>
      <c r="X55" s="1">
        <v>43921</v>
      </c>
      <c r="Y55" t="s">
        <v>51</v>
      </c>
      <c r="Z55" t="s">
        <v>43</v>
      </c>
      <c r="AA55" t="s">
        <v>41</v>
      </c>
      <c r="AB55" t="s">
        <v>52</v>
      </c>
      <c r="AC55" t="s">
        <v>53</v>
      </c>
      <c r="AF55" t="s">
        <v>58</v>
      </c>
      <c r="AG55" s="1">
        <v>43837</v>
      </c>
      <c r="AH55" t="s">
        <v>42</v>
      </c>
      <c r="AI55" t="s">
        <v>55</v>
      </c>
      <c r="AJ55">
        <v>12788092</v>
      </c>
      <c r="AK55">
        <v>250000</v>
      </c>
      <c r="AL55">
        <v>1500000</v>
      </c>
    </row>
    <row r="56" spans="1:38" x14ac:dyDescent="0.25">
      <c r="A56" t="s">
        <v>110</v>
      </c>
      <c r="B56" t="s">
        <v>111</v>
      </c>
      <c r="C56" t="s">
        <v>71</v>
      </c>
      <c r="D56" s="1">
        <v>43215</v>
      </c>
      <c r="E56" s="1">
        <v>43579</v>
      </c>
      <c r="F56" t="s">
        <v>41</v>
      </c>
      <c r="G56">
        <v>1</v>
      </c>
      <c r="H56" t="s">
        <v>42</v>
      </c>
      <c r="I56" t="s">
        <v>43</v>
      </c>
      <c r="J56" t="s">
        <v>41</v>
      </c>
      <c r="K56" t="s">
        <v>44</v>
      </c>
      <c r="L56">
        <v>9900</v>
      </c>
      <c r="M56" s="1">
        <v>43215</v>
      </c>
      <c r="N56" t="s">
        <v>45</v>
      </c>
      <c r="O56" t="s">
        <v>46</v>
      </c>
      <c r="P56" t="s">
        <v>47</v>
      </c>
      <c r="Q56" s="1">
        <v>43852</v>
      </c>
      <c r="R56" t="s">
        <v>48</v>
      </c>
      <c r="S56" t="s">
        <v>60</v>
      </c>
      <c r="T56" t="s">
        <v>61</v>
      </c>
      <c r="U56" t="s">
        <v>42</v>
      </c>
      <c r="V56">
        <v>0</v>
      </c>
      <c r="W56">
        <v>100000</v>
      </c>
      <c r="X56" s="1">
        <v>43921</v>
      </c>
      <c r="Y56" t="s">
        <v>51</v>
      </c>
      <c r="Z56" t="s">
        <v>43</v>
      </c>
      <c r="AA56" t="s">
        <v>41</v>
      </c>
      <c r="AB56" t="s">
        <v>52</v>
      </c>
      <c r="AC56" t="s">
        <v>53</v>
      </c>
      <c r="AF56" t="s">
        <v>59</v>
      </c>
      <c r="AG56" s="1">
        <v>43838</v>
      </c>
      <c r="AH56" t="s">
        <v>42</v>
      </c>
      <c r="AI56" t="s">
        <v>55</v>
      </c>
      <c r="AJ56">
        <v>12788092</v>
      </c>
      <c r="AK56">
        <v>250000</v>
      </c>
      <c r="AL56">
        <v>1500000</v>
      </c>
    </row>
    <row r="57" spans="1:38" x14ac:dyDescent="0.25">
      <c r="A57" t="s">
        <v>110</v>
      </c>
      <c r="B57" t="s">
        <v>111</v>
      </c>
      <c r="C57" t="s">
        <v>71</v>
      </c>
      <c r="D57" s="1">
        <v>43215</v>
      </c>
      <c r="E57" s="1">
        <v>43579</v>
      </c>
      <c r="F57" t="s">
        <v>41</v>
      </c>
      <c r="G57">
        <v>1</v>
      </c>
      <c r="H57" t="s">
        <v>42</v>
      </c>
      <c r="I57" t="s">
        <v>43</v>
      </c>
      <c r="J57" t="s">
        <v>41</v>
      </c>
      <c r="K57" t="s">
        <v>44</v>
      </c>
      <c r="L57">
        <v>9900</v>
      </c>
      <c r="M57" s="1">
        <v>43215</v>
      </c>
      <c r="N57" t="s">
        <v>45</v>
      </c>
      <c r="O57" t="s">
        <v>46</v>
      </c>
      <c r="P57" t="s">
        <v>47</v>
      </c>
      <c r="Q57" s="1">
        <v>43852</v>
      </c>
      <c r="R57" t="s">
        <v>48</v>
      </c>
      <c r="S57" t="s">
        <v>62</v>
      </c>
      <c r="T57" t="s">
        <v>63</v>
      </c>
      <c r="U57" t="s">
        <v>42</v>
      </c>
      <c r="V57">
        <v>0</v>
      </c>
      <c r="W57">
        <v>100000</v>
      </c>
      <c r="X57" s="1">
        <v>43982</v>
      </c>
      <c r="Y57" t="s">
        <v>51</v>
      </c>
      <c r="Z57" t="s">
        <v>43</v>
      </c>
      <c r="AA57" t="s">
        <v>41</v>
      </c>
      <c r="AB57" t="s">
        <v>52</v>
      </c>
      <c r="AC57" t="s">
        <v>53</v>
      </c>
      <c r="AF57" t="s">
        <v>54</v>
      </c>
      <c r="AG57" s="1">
        <v>43832</v>
      </c>
      <c r="AH57" t="s">
        <v>42</v>
      </c>
      <c r="AI57" t="s">
        <v>55</v>
      </c>
      <c r="AJ57">
        <v>12788092</v>
      </c>
      <c r="AK57">
        <v>250000</v>
      </c>
      <c r="AL57">
        <v>1500000</v>
      </c>
    </row>
    <row r="58" spans="1:38" x14ac:dyDescent="0.25">
      <c r="A58" t="s">
        <v>110</v>
      </c>
      <c r="B58" t="s">
        <v>111</v>
      </c>
      <c r="C58" t="s">
        <v>71</v>
      </c>
      <c r="D58" s="1">
        <v>43215</v>
      </c>
      <c r="E58" s="1">
        <v>43579</v>
      </c>
      <c r="F58" t="s">
        <v>41</v>
      </c>
      <c r="G58">
        <v>1</v>
      </c>
      <c r="H58" t="s">
        <v>42</v>
      </c>
      <c r="I58" t="s">
        <v>43</v>
      </c>
      <c r="J58" t="s">
        <v>41</v>
      </c>
      <c r="K58" t="s">
        <v>44</v>
      </c>
      <c r="L58">
        <v>9900</v>
      </c>
      <c r="M58" s="1">
        <v>43215</v>
      </c>
      <c r="N58" t="s">
        <v>45</v>
      </c>
      <c r="O58" t="s">
        <v>46</v>
      </c>
      <c r="P58" t="s">
        <v>47</v>
      </c>
      <c r="Q58" s="1">
        <v>43852</v>
      </c>
      <c r="R58" t="s">
        <v>48</v>
      </c>
      <c r="S58" t="s">
        <v>62</v>
      </c>
      <c r="T58" t="s">
        <v>63</v>
      </c>
      <c r="U58" t="s">
        <v>42</v>
      </c>
      <c r="V58">
        <v>0</v>
      </c>
      <c r="W58">
        <v>100000</v>
      </c>
      <c r="X58" s="1">
        <v>43982</v>
      </c>
      <c r="Y58" t="s">
        <v>51</v>
      </c>
      <c r="Z58" t="s">
        <v>43</v>
      </c>
      <c r="AA58" t="s">
        <v>41</v>
      </c>
      <c r="AB58" t="s">
        <v>52</v>
      </c>
      <c r="AC58" t="s">
        <v>53</v>
      </c>
      <c r="AF58" t="s">
        <v>56</v>
      </c>
      <c r="AG58" s="1">
        <v>43833</v>
      </c>
      <c r="AH58" t="s">
        <v>42</v>
      </c>
      <c r="AI58" t="s">
        <v>55</v>
      </c>
      <c r="AJ58">
        <v>12788092</v>
      </c>
      <c r="AK58">
        <v>250000</v>
      </c>
      <c r="AL58">
        <v>1500000</v>
      </c>
    </row>
    <row r="59" spans="1:38" x14ac:dyDescent="0.25">
      <c r="A59" t="s">
        <v>110</v>
      </c>
      <c r="B59" t="s">
        <v>111</v>
      </c>
      <c r="C59" t="s">
        <v>71</v>
      </c>
      <c r="D59" s="1">
        <v>43215</v>
      </c>
      <c r="E59" s="1">
        <v>43579</v>
      </c>
      <c r="F59" t="s">
        <v>41</v>
      </c>
      <c r="G59">
        <v>1</v>
      </c>
      <c r="H59" t="s">
        <v>42</v>
      </c>
      <c r="I59" t="s">
        <v>43</v>
      </c>
      <c r="J59" t="s">
        <v>41</v>
      </c>
      <c r="K59" t="s">
        <v>44</v>
      </c>
      <c r="L59">
        <v>9900</v>
      </c>
      <c r="M59" s="1">
        <v>43215</v>
      </c>
      <c r="N59" t="s">
        <v>45</v>
      </c>
      <c r="O59" t="s">
        <v>46</v>
      </c>
      <c r="P59" t="s">
        <v>47</v>
      </c>
      <c r="Q59" s="1">
        <v>43852</v>
      </c>
      <c r="R59" t="s">
        <v>48</v>
      </c>
      <c r="S59" t="s">
        <v>62</v>
      </c>
      <c r="T59" t="s">
        <v>63</v>
      </c>
      <c r="U59" t="s">
        <v>42</v>
      </c>
      <c r="V59">
        <v>0</v>
      </c>
      <c r="W59">
        <v>100000</v>
      </c>
      <c r="X59" s="1">
        <v>43982</v>
      </c>
      <c r="Y59" t="s">
        <v>51</v>
      </c>
      <c r="Z59" t="s">
        <v>43</v>
      </c>
      <c r="AA59" t="s">
        <v>41</v>
      </c>
      <c r="AB59" t="s">
        <v>52</v>
      </c>
      <c r="AC59" t="s">
        <v>53</v>
      </c>
      <c r="AF59" t="s">
        <v>57</v>
      </c>
      <c r="AG59" s="1">
        <v>43836</v>
      </c>
      <c r="AH59" t="s">
        <v>42</v>
      </c>
      <c r="AI59" t="s">
        <v>55</v>
      </c>
      <c r="AJ59">
        <v>12788092</v>
      </c>
      <c r="AK59">
        <v>250000</v>
      </c>
      <c r="AL59">
        <v>1500000</v>
      </c>
    </row>
    <row r="60" spans="1:38" x14ac:dyDescent="0.25">
      <c r="A60" t="s">
        <v>110</v>
      </c>
      <c r="B60" t="s">
        <v>111</v>
      </c>
      <c r="C60" t="s">
        <v>71</v>
      </c>
      <c r="D60" s="1">
        <v>43215</v>
      </c>
      <c r="E60" s="1">
        <v>43579</v>
      </c>
      <c r="F60" t="s">
        <v>41</v>
      </c>
      <c r="G60">
        <v>1</v>
      </c>
      <c r="H60" t="s">
        <v>42</v>
      </c>
      <c r="I60" t="s">
        <v>43</v>
      </c>
      <c r="J60" t="s">
        <v>41</v>
      </c>
      <c r="K60" t="s">
        <v>44</v>
      </c>
      <c r="L60">
        <v>9900</v>
      </c>
      <c r="M60" s="1">
        <v>43215</v>
      </c>
      <c r="N60" t="s">
        <v>45</v>
      </c>
      <c r="O60" t="s">
        <v>46</v>
      </c>
      <c r="P60" t="s">
        <v>47</v>
      </c>
      <c r="Q60" s="1">
        <v>43852</v>
      </c>
      <c r="R60" t="s">
        <v>48</v>
      </c>
      <c r="S60" t="s">
        <v>62</v>
      </c>
      <c r="T60" t="s">
        <v>63</v>
      </c>
      <c r="U60" t="s">
        <v>42</v>
      </c>
      <c r="V60">
        <v>0</v>
      </c>
      <c r="W60">
        <v>100000</v>
      </c>
      <c r="X60" s="1">
        <v>43982</v>
      </c>
      <c r="Y60" t="s">
        <v>51</v>
      </c>
      <c r="Z60" t="s">
        <v>43</v>
      </c>
      <c r="AA60" t="s">
        <v>41</v>
      </c>
      <c r="AB60" t="s">
        <v>52</v>
      </c>
      <c r="AC60" t="s">
        <v>53</v>
      </c>
      <c r="AF60" t="s">
        <v>58</v>
      </c>
      <c r="AG60" s="1">
        <v>43837</v>
      </c>
      <c r="AH60" t="s">
        <v>42</v>
      </c>
      <c r="AI60" t="s">
        <v>55</v>
      </c>
      <c r="AJ60">
        <v>12788092</v>
      </c>
      <c r="AK60">
        <v>250000</v>
      </c>
      <c r="AL60">
        <v>1500000</v>
      </c>
    </row>
    <row r="61" spans="1:38" x14ac:dyDescent="0.25">
      <c r="A61" t="s">
        <v>110</v>
      </c>
      <c r="B61" t="s">
        <v>111</v>
      </c>
      <c r="C61" t="s">
        <v>71</v>
      </c>
      <c r="D61" s="1">
        <v>43215</v>
      </c>
      <c r="E61" s="1">
        <v>43579</v>
      </c>
      <c r="F61" t="s">
        <v>41</v>
      </c>
      <c r="G61">
        <v>1</v>
      </c>
      <c r="H61" t="s">
        <v>42</v>
      </c>
      <c r="I61" t="s">
        <v>43</v>
      </c>
      <c r="J61" t="s">
        <v>41</v>
      </c>
      <c r="K61" t="s">
        <v>44</v>
      </c>
      <c r="L61">
        <v>9900</v>
      </c>
      <c r="M61" s="1">
        <v>43215</v>
      </c>
      <c r="N61" t="s">
        <v>45</v>
      </c>
      <c r="O61" t="s">
        <v>46</v>
      </c>
      <c r="P61" t="s">
        <v>47</v>
      </c>
      <c r="Q61" s="1">
        <v>43852</v>
      </c>
      <c r="R61" t="s">
        <v>48</v>
      </c>
      <c r="S61" t="s">
        <v>62</v>
      </c>
      <c r="T61" t="s">
        <v>63</v>
      </c>
      <c r="U61" t="s">
        <v>42</v>
      </c>
      <c r="V61">
        <v>0</v>
      </c>
      <c r="W61">
        <v>100000</v>
      </c>
      <c r="X61" s="1">
        <v>43982</v>
      </c>
      <c r="Y61" t="s">
        <v>51</v>
      </c>
      <c r="Z61" t="s">
        <v>43</v>
      </c>
      <c r="AA61" t="s">
        <v>41</v>
      </c>
      <c r="AB61" t="s">
        <v>52</v>
      </c>
      <c r="AC61" t="s">
        <v>53</v>
      </c>
      <c r="AF61" t="s">
        <v>59</v>
      </c>
      <c r="AG61" s="1">
        <v>43838</v>
      </c>
      <c r="AH61" t="s">
        <v>42</v>
      </c>
      <c r="AI61" t="s">
        <v>55</v>
      </c>
      <c r="AJ61">
        <v>12788092</v>
      </c>
      <c r="AK61">
        <v>250000</v>
      </c>
      <c r="AL61">
        <v>1500000</v>
      </c>
    </row>
    <row r="62" spans="1:38" x14ac:dyDescent="0.25">
      <c r="A62" t="s">
        <v>110</v>
      </c>
      <c r="B62" t="s">
        <v>111</v>
      </c>
      <c r="C62" t="s">
        <v>71</v>
      </c>
      <c r="D62" s="1">
        <v>43215</v>
      </c>
      <c r="E62" s="1">
        <v>43579</v>
      </c>
      <c r="F62" t="s">
        <v>41</v>
      </c>
      <c r="G62">
        <v>1</v>
      </c>
      <c r="H62" t="s">
        <v>42</v>
      </c>
      <c r="I62" t="s">
        <v>43</v>
      </c>
      <c r="J62" t="s">
        <v>41</v>
      </c>
      <c r="K62" t="s">
        <v>44</v>
      </c>
      <c r="L62">
        <v>9900</v>
      </c>
      <c r="M62" s="1">
        <v>43215</v>
      </c>
      <c r="N62" t="s">
        <v>45</v>
      </c>
      <c r="O62" t="s">
        <v>46</v>
      </c>
      <c r="P62" t="s">
        <v>47</v>
      </c>
      <c r="Q62" s="1">
        <v>43852</v>
      </c>
      <c r="R62" t="s">
        <v>48</v>
      </c>
      <c r="S62" t="s">
        <v>64</v>
      </c>
      <c r="T62" t="s">
        <v>65</v>
      </c>
      <c r="U62" t="s">
        <v>42</v>
      </c>
      <c r="V62">
        <v>0</v>
      </c>
      <c r="W62">
        <v>100000</v>
      </c>
      <c r="X62" s="1">
        <v>43921</v>
      </c>
      <c r="Y62" t="s">
        <v>51</v>
      </c>
      <c r="Z62" t="s">
        <v>43</v>
      </c>
      <c r="AA62" t="s">
        <v>41</v>
      </c>
      <c r="AB62" t="s">
        <v>52</v>
      </c>
      <c r="AC62" t="s">
        <v>53</v>
      </c>
      <c r="AF62" t="s">
        <v>54</v>
      </c>
      <c r="AG62" s="1">
        <v>43832</v>
      </c>
      <c r="AH62" t="s">
        <v>42</v>
      </c>
      <c r="AI62" t="s">
        <v>55</v>
      </c>
      <c r="AJ62">
        <v>12788092</v>
      </c>
      <c r="AK62">
        <v>250000</v>
      </c>
      <c r="AL62">
        <v>1500000</v>
      </c>
    </row>
    <row r="63" spans="1:38" x14ac:dyDescent="0.25">
      <c r="A63" t="s">
        <v>110</v>
      </c>
      <c r="B63" t="s">
        <v>111</v>
      </c>
      <c r="C63" t="s">
        <v>71</v>
      </c>
      <c r="D63" s="1">
        <v>43215</v>
      </c>
      <c r="E63" s="1">
        <v>43579</v>
      </c>
      <c r="F63" t="s">
        <v>41</v>
      </c>
      <c r="G63">
        <v>1</v>
      </c>
      <c r="H63" t="s">
        <v>42</v>
      </c>
      <c r="I63" t="s">
        <v>43</v>
      </c>
      <c r="J63" t="s">
        <v>41</v>
      </c>
      <c r="K63" t="s">
        <v>44</v>
      </c>
      <c r="L63">
        <v>9900</v>
      </c>
      <c r="M63" s="1">
        <v>43215</v>
      </c>
      <c r="N63" t="s">
        <v>45</v>
      </c>
      <c r="O63" t="s">
        <v>46</v>
      </c>
      <c r="P63" t="s">
        <v>47</v>
      </c>
      <c r="Q63" s="1">
        <v>43852</v>
      </c>
      <c r="R63" t="s">
        <v>48</v>
      </c>
      <c r="S63" t="s">
        <v>64</v>
      </c>
      <c r="T63" t="s">
        <v>65</v>
      </c>
      <c r="U63" t="s">
        <v>42</v>
      </c>
      <c r="V63">
        <v>0</v>
      </c>
      <c r="W63">
        <v>100000</v>
      </c>
      <c r="X63" s="1">
        <v>43921</v>
      </c>
      <c r="Y63" t="s">
        <v>51</v>
      </c>
      <c r="Z63" t="s">
        <v>43</v>
      </c>
      <c r="AA63" t="s">
        <v>41</v>
      </c>
      <c r="AB63" t="s">
        <v>52</v>
      </c>
      <c r="AC63" t="s">
        <v>53</v>
      </c>
      <c r="AF63" t="s">
        <v>56</v>
      </c>
      <c r="AG63" s="1">
        <v>43833</v>
      </c>
      <c r="AH63" t="s">
        <v>42</v>
      </c>
      <c r="AI63" t="s">
        <v>55</v>
      </c>
      <c r="AJ63">
        <v>12788092</v>
      </c>
      <c r="AK63">
        <v>250000</v>
      </c>
      <c r="AL63">
        <v>1500000</v>
      </c>
    </row>
    <row r="64" spans="1:38" x14ac:dyDescent="0.25">
      <c r="A64" t="s">
        <v>110</v>
      </c>
      <c r="B64" t="s">
        <v>111</v>
      </c>
      <c r="C64" t="s">
        <v>71</v>
      </c>
      <c r="D64" s="1">
        <v>43215</v>
      </c>
      <c r="E64" s="1">
        <v>43579</v>
      </c>
      <c r="F64" t="s">
        <v>41</v>
      </c>
      <c r="G64">
        <v>1</v>
      </c>
      <c r="H64" t="s">
        <v>42</v>
      </c>
      <c r="I64" t="s">
        <v>43</v>
      </c>
      <c r="J64" t="s">
        <v>41</v>
      </c>
      <c r="K64" t="s">
        <v>44</v>
      </c>
      <c r="L64">
        <v>9900</v>
      </c>
      <c r="M64" s="1">
        <v>43215</v>
      </c>
      <c r="N64" t="s">
        <v>45</v>
      </c>
      <c r="O64" t="s">
        <v>46</v>
      </c>
      <c r="P64" t="s">
        <v>47</v>
      </c>
      <c r="Q64" s="1">
        <v>43852</v>
      </c>
      <c r="R64" t="s">
        <v>48</v>
      </c>
      <c r="S64" t="s">
        <v>64</v>
      </c>
      <c r="T64" t="s">
        <v>65</v>
      </c>
      <c r="U64" t="s">
        <v>42</v>
      </c>
      <c r="V64">
        <v>0</v>
      </c>
      <c r="W64">
        <v>100000</v>
      </c>
      <c r="X64" s="1">
        <v>43921</v>
      </c>
      <c r="Y64" t="s">
        <v>51</v>
      </c>
      <c r="Z64" t="s">
        <v>43</v>
      </c>
      <c r="AA64" t="s">
        <v>41</v>
      </c>
      <c r="AB64" t="s">
        <v>52</v>
      </c>
      <c r="AC64" t="s">
        <v>53</v>
      </c>
      <c r="AF64" t="s">
        <v>57</v>
      </c>
      <c r="AG64" s="1">
        <v>43836</v>
      </c>
      <c r="AH64" t="s">
        <v>42</v>
      </c>
      <c r="AI64" t="s">
        <v>55</v>
      </c>
      <c r="AJ64">
        <v>12788092</v>
      </c>
      <c r="AK64">
        <v>250000</v>
      </c>
      <c r="AL64">
        <v>1500000</v>
      </c>
    </row>
    <row r="65" spans="1:38" x14ac:dyDescent="0.25">
      <c r="A65" t="s">
        <v>110</v>
      </c>
      <c r="B65" t="s">
        <v>111</v>
      </c>
      <c r="C65" t="s">
        <v>71</v>
      </c>
      <c r="D65" s="1">
        <v>43215</v>
      </c>
      <c r="E65" s="1">
        <v>43579</v>
      </c>
      <c r="F65" t="s">
        <v>41</v>
      </c>
      <c r="G65">
        <v>1</v>
      </c>
      <c r="H65" t="s">
        <v>42</v>
      </c>
      <c r="I65" t="s">
        <v>43</v>
      </c>
      <c r="J65" t="s">
        <v>41</v>
      </c>
      <c r="K65" t="s">
        <v>44</v>
      </c>
      <c r="L65">
        <v>9900</v>
      </c>
      <c r="M65" s="1">
        <v>43215</v>
      </c>
      <c r="N65" t="s">
        <v>45</v>
      </c>
      <c r="O65" t="s">
        <v>46</v>
      </c>
      <c r="P65" t="s">
        <v>47</v>
      </c>
      <c r="Q65" s="1">
        <v>43852</v>
      </c>
      <c r="R65" t="s">
        <v>48</v>
      </c>
      <c r="S65" t="s">
        <v>64</v>
      </c>
      <c r="T65" t="s">
        <v>65</v>
      </c>
      <c r="U65" t="s">
        <v>42</v>
      </c>
      <c r="V65">
        <v>0</v>
      </c>
      <c r="W65">
        <v>100000</v>
      </c>
      <c r="X65" s="1">
        <v>43921</v>
      </c>
      <c r="Y65" t="s">
        <v>51</v>
      </c>
      <c r="Z65" t="s">
        <v>43</v>
      </c>
      <c r="AA65" t="s">
        <v>41</v>
      </c>
      <c r="AB65" t="s">
        <v>52</v>
      </c>
      <c r="AC65" t="s">
        <v>53</v>
      </c>
      <c r="AF65" t="s">
        <v>58</v>
      </c>
      <c r="AG65" s="1">
        <v>43837</v>
      </c>
      <c r="AH65" t="s">
        <v>42</v>
      </c>
      <c r="AI65" t="s">
        <v>55</v>
      </c>
      <c r="AJ65">
        <v>12788092</v>
      </c>
      <c r="AK65">
        <v>250000</v>
      </c>
      <c r="AL65">
        <v>1500000</v>
      </c>
    </row>
    <row r="66" spans="1:38" x14ac:dyDescent="0.25">
      <c r="A66" t="s">
        <v>110</v>
      </c>
      <c r="B66" t="s">
        <v>111</v>
      </c>
      <c r="C66" t="s">
        <v>71</v>
      </c>
      <c r="D66" s="1">
        <v>43215</v>
      </c>
      <c r="E66" s="1">
        <v>43579</v>
      </c>
      <c r="F66" t="s">
        <v>41</v>
      </c>
      <c r="G66">
        <v>1</v>
      </c>
      <c r="H66" t="s">
        <v>42</v>
      </c>
      <c r="I66" t="s">
        <v>43</v>
      </c>
      <c r="J66" t="s">
        <v>41</v>
      </c>
      <c r="K66" t="s">
        <v>44</v>
      </c>
      <c r="L66">
        <v>9900</v>
      </c>
      <c r="M66" s="1">
        <v>43215</v>
      </c>
      <c r="N66" t="s">
        <v>45</v>
      </c>
      <c r="O66" t="s">
        <v>46</v>
      </c>
      <c r="P66" t="s">
        <v>47</v>
      </c>
      <c r="Q66" s="1">
        <v>43852</v>
      </c>
      <c r="R66" t="s">
        <v>48</v>
      </c>
      <c r="S66" t="s">
        <v>64</v>
      </c>
      <c r="T66" t="s">
        <v>65</v>
      </c>
      <c r="U66" t="s">
        <v>42</v>
      </c>
      <c r="V66">
        <v>0</v>
      </c>
      <c r="W66">
        <v>100000</v>
      </c>
      <c r="X66" s="1">
        <v>43921</v>
      </c>
      <c r="Y66" t="s">
        <v>51</v>
      </c>
      <c r="Z66" t="s">
        <v>43</v>
      </c>
      <c r="AA66" t="s">
        <v>41</v>
      </c>
      <c r="AB66" t="s">
        <v>52</v>
      </c>
      <c r="AC66" t="s">
        <v>53</v>
      </c>
      <c r="AF66" t="s">
        <v>59</v>
      </c>
      <c r="AG66" s="1">
        <v>43838</v>
      </c>
      <c r="AH66" t="s">
        <v>42</v>
      </c>
      <c r="AI66" t="s">
        <v>55</v>
      </c>
      <c r="AJ66">
        <v>12788092</v>
      </c>
      <c r="AK66">
        <v>250000</v>
      </c>
      <c r="AL66">
        <v>1500000</v>
      </c>
    </row>
    <row r="67" spans="1:38" x14ac:dyDescent="0.25">
      <c r="A67" t="s">
        <v>112</v>
      </c>
      <c r="B67" t="s">
        <v>113</v>
      </c>
      <c r="C67" t="s">
        <v>40</v>
      </c>
      <c r="D67" s="1">
        <v>43476</v>
      </c>
      <c r="E67" s="1">
        <v>43840</v>
      </c>
      <c r="F67" t="s">
        <v>41</v>
      </c>
      <c r="G67">
        <v>1</v>
      </c>
      <c r="H67" t="s">
        <v>42</v>
      </c>
      <c r="I67" t="s">
        <v>43</v>
      </c>
      <c r="J67" t="s">
        <v>41</v>
      </c>
      <c r="K67" t="s">
        <v>44</v>
      </c>
      <c r="L67">
        <v>8250</v>
      </c>
      <c r="M67" s="1">
        <v>43476</v>
      </c>
      <c r="N67" t="s">
        <v>45</v>
      </c>
      <c r="O67" t="s">
        <v>44</v>
      </c>
      <c r="P67" t="s">
        <v>47</v>
      </c>
      <c r="Q67" s="1">
        <v>43852</v>
      </c>
      <c r="R67" t="s">
        <v>48</v>
      </c>
      <c r="S67" t="s">
        <v>49</v>
      </c>
      <c r="T67" t="s">
        <v>50</v>
      </c>
      <c r="U67" t="s">
        <v>42</v>
      </c>
      <c r="V67">
        <v>0</v>
      </c>
      <c r="W67">
        <v>100000</v>
      </c>
      <c r="X67" s="1">
        <v>44012</v>
      </c>
      <c r="Y67" t="s">
        <v>51</v>
      </c>
      <c r="Z67" t="s">
        <v>43</v>
      </c>
      <c r="AA67" t="s">
        <v>41</v>
      </c>
      <c r="AB67" t="s">
        <v>52</v>
      </c>
      <c r="AC67" t="s">
        <v>53</v>
      </c>
      <c r="AF67" t="s">
        <v>54</v>
      </c>
      <c r="AG67" s="1">
        <v>43832</v>
      </c>
      <c r="AH67" t="s">
        <v>42</v>
      </c>
      <c r="AI67" t="s">
        <v>55</v>
      </c>
      <c r="AJ67">
        <v>12788092</v>
      </c>
      <c r="AK67">
        <v>250000</v>
      </c>
      <c r="AL67">
        <v>1500000</v>
      </c>
    </row>
    <row r="68" spans="1:38" x14ac:dyDescent="0.25">
      <c r="A68" t="s">
        <v>112</v>
      </c>
      <c r="B68" t="s">
        <v>113</v>
      </c>
      <c r="C68" t="s">
        <v>40</v>
      </c>
      <c r="D68" s="1">
        <v>43476</v>
      </c>
      <c r="E68" s="1">
        <v>43840</v>
      </c>
      <c r="F68" t="s">
        <v>41</v>
      </c>
      <c r="G68">
        <v>1</v>
      </c>
      <c r="H68" t="s">
        <v>42</v>
      </c>
      <c r="I68" t="s">
        <v>43</v>
      </c>
      <c r="J68" t="s">
        <v>41</v>
      </c>
      <c r="K68" t="s">
        <v>44</v>
      </c>
      <c r="L68">
        <v>8250</v>
      </c>
      <c r="M68" s="1">
        <v>43476</v>
      </c>
      <c r="N68" t="s">
        <v>45</v>
      </c>
      <c r="O68" t="s">
        <v>44</v>
      </c>
      <c r="P68" t="s">
        <v>47</v>
      </c>
      <c r="Q68" s="1">
        <v>43852</v>
      </c>
      <c r="R68" t="s">
        <v>48</v>
      </c>
      <c r="S68" t="s">
        <v>49</v>
      </c>
      <c r="T68" t="s">
        <v>50</v>
      </c>
      <c r="U68" t="s">
        <v>42</v>
      </c>
      <c r="V68">
        <v>0</v>
      </c>
      <c r="W68">
        <v>100000</v>
      </c>
      <c r="X68" s="1">
        <v>44012</v>
      </c>
      <c r="Y68" t="s">
        <v>51</v>
      </c>
      <c r="Z68" t="s">
        <v>43</v>
      </c>
      <c r="AA68" t="s">
        <v>41</v>
      </c>
      <c r="AB68" t="s">
        <v>52</v>
      </c>
      <c r="AC68" t="s">
        <v>53</v>
      </c>
      <c r="AF68" t="s">
        <v>56</v>
      </c>
      <c r="AG68" s="1">
        <v>43833</v>
      </c>
      <c r="AH68" t="s">
        <v>42</v>
      </c>
      <c r="AI68" t="s">
        <v>55</v>
      </c>
      <c r="AJ68">
        <v>12788092</v>
      </c>
      <c r="AK68">
        <v>250000</v>
      </c>
      <c r="AL68">
        <v>1500000</v>
      </c>
    </row>
    <row r="69" spans="1:38" x14ac:dyDescent="0.25">
      <c r="A69" t="s">
        <v>112</v>
      </c>
      <c r="B69" t="s">
        <v>113</v>
      </c>
      <c r="C69" t="s">
        <v>40</v>
      </c>
      <c r="D69" s="1">
        <v>43476</v>
      </c>
      <c r="E69" s="1">
        <v>43840</v>
      </c>
      <c r="F69" t="s">
        <v>41</v>
      </c>
      <c r="G69">
        <v>1</v>
      </c>
      <c r="H69" t="s">
        <v>42</v>
      </c>
      <c r="I69" t="s">
        <v>43</v>
      </c>
      <c r="J69" t="s">
        <v>41</v>
      </c>
      <c r="K69" t="s">
        <v>44</v>
      </c>
      <c r="L69">
        <v>8250</v>
      </c>
      <c r="M69" s="1">
        <v>43476</v>
      </c>
      <c r="N69" t="s">
        <v>45</v>
      </c>
      <c r="O69" t="s">
        <v>44</v>
      </c>
      <c r="P69" t="s">
        <v>47</v>
      </c>
      <c r="Q69" s="1">
        <v>43852</v>
      </c>
      <c r="R69" t="s">
        <v>48</v>
      </c>
      <c r="S69" t="s">
        <v>49</v>
      </c>
      <c r="T69" t="s">
        <v>50</v>
      </c>
      <c r="U69" t="s">
        <v>42</v>
      </c>
      <c r="V69">
        <v>0</v>
      </c>
      <c r="W69">
        <v>100000</v>
      </c>
      <c r="X69" s="1">
        <v>44012</v>
      </c>
      <c r="Y69" t="s">
        <v>51</v>
      </c>
      <c r="Z69" t="s">
        <v>43</v>
      </c>
      <c r="AA69" t="s">
        <v>41</v>
      </c>
      <c r="AB69" t="s">
        <v>52</v>
      </c>
      <c r="AC69" t="s">
        <v>53</v>
      </c>
      <c r="AF69" t="s">
        <v>57</v>
      </c>
      <c r="AG69" s="1">
        <v>43836</v>
      </c>
      <c r="AH69" t="s">
        <v>42</v>
      </c>
      <c r="AI69" t="s">
        <v>55</v>
      </c>
      <c r="AJ69">
        <v>12788092</v>
      </c>
      <c r="AK69">
        <v>250000</v>
      </c>
      <c r="AL69">
        <v>1500000</v>
      </c>
    </row>
    <row r="70" spans="1:38" x14ac:dyDescent="0.25">
      <c r="A70" t="s">
        <v>112</v>
      </c>
      <c r="B70" t="s">
        <v>113</v>
      </c>
      <c r="C70" t="s">
        <v>40</v>
      </c>
      <c r="D70" s="1">
        <v>43476</v>
      </c>
      <c r="E70" s="1">
        <v>43840</v>
      </c>
      <c r="F70" t="s">
        <v>41</v>
      </c>
      <c r="G70">
        <v>1</v>
      </c>
      <c r="H70" t="s">
        <v>42</v>
      </c>
      <c r="I70" t="s">
        <v>43</v>
      </c>
      <c r="J70" t="s">
        <v>41</v>
      </c>
      <c r="K70" t="s">
        <v>44</v>
      </c>
      <c r="L70">
        <v>8250</v>
      </c>
      <c r="M70" s="1">
        <v>43476</v>
      </c>
      <c r="N70" t="s">
        <v>45</v>
      </c>
      <c r="O70" t="s">
        <v>44</v>
      </c>
      <c r="P70" t="s">
        <v>47</v>
      </c>
      <c r="Q70" s="1">
        <v>43852</v>
      </c>
      <c r="R70" t="s">
        <v>48</v>
      </c>
      <c r="S70" t="s">
        <v>49</v>
      </c>
      <c r="T70" t="s">
        <v>50</v>
      </c>
      <c r="U70" t="s">
        <v>42</v>
      </c>
      <c r="V70">
        <v>0</v>
      </c>
      <c r="W70">
        <v>100000</v>
      </c>
      <c r="X70" s="1">
        <v>44012</v>
      </c>
      <c r="Y70" t="s">
        <v>51</v>
      </c>
      <c r="Z70" t="s">
        <v>43</v>
      </c>
      <c r="AA70" t="s">
        <v>41</v>
      </c>
      <c r="AB70" t="s">
        <v>52</v>
      </c>
      <c r="AC70" t="s">
        <v>53</v>
      </c>
      <c r="AF70" t="s">
        <v>58</v>
      </c>
      <c r="AG70" s="1">
        <v>43837</v>
      </c>
      <c r="AH70" t="s">
        <v>42</v>
      </c>
      <c r="AI70" t="s">
        <v>55</v>
      </c>
      <c r="AJ70">
        <v>12788092</v>
      </c>
      <c r="AK70">
        <v>250000</v>
      </c>
      <c r="AL70">
        <v>1500000</v>
      </c>
    </row>
    <row r="71" spans="1:38" x14ac:dyDescent="0.25">
      <c r="A71" t="s">
        <v>112</v>
      </c>
      <c r="B71" t="s">
        <v>113</v>
      </c>
      <c r="C71" t="s">
        <v>40</v>
      </c>
      <c r="D71" s="1">
        <v>43476</v>
      </c>
      <c r="E71" s="1">
        <v>43840</v>
      </c>
      <c r="F71" t="s">
        <v>41</v>
      </c>
      <c r="G71">
        <v>1</v>
      </c>
      <c r="H71" t="s">
        <v>42</v>
      </c>
      <c r="I71" t="s">
        <v>43</v>
      </c>
      <c r="J71" t="s">
        <v>41</v>
      </c>
      <c r="K71" t="s">
        <v>44</v>
      </c>
      <c r="L71">
        <v>8250</v>
      </c>
      <c r="M71" s="1">
        <v>43476</v>
      </c>
      <c r="N71" t="s">
        <v>45</v>
      </c>
      <c r="O71" t="s">
        <v>44</v>
      </c>
      <c r="P71" t="s">
        <v>47</v>
      </c>
      <c r="Q71" s="1">
        <v>43852</v>
      </c>
      <c r="R71" t="s">
        <v>48</v>
      </c>
      <c r="S71" t="s">
        <v>49</v>
      </c>
      <c r="T71" t="s">
        <v>50</v>
      </c>
      <c r="U71" t="s">
        <v>42</v>
      </c>
      <c r="V71">
        <v>0</v>
      </c>
      <c r="W71">
        <v>100000</v>
      </c>
      <c r="X71" s="1">
        <v>44012</v>
      </c>
      <c r="Y71" t="s">
        <v>51</v>
      </c>
      <c r="Z71" t="s">
        <v>43</v>
      </c>
      <c r="AA71" t="s">
        <v>41</v>
      </c>
      <c r="AB71" t="s">
        <v>52</v>
      </c>
      <c r="AC71" t="s">
        <v>53</v>
      </c>
      <c r="AF71" t="s">
        <v>59</v>
      </c>
      <c r="AG71" s="1">
        <v>43838</v>
      </c>
      <c r="AH71" t="s">
        <v>42</v>
      </c>
      <c r="AI71" t="s">
        <v>55</v>
      </c>
      <c r="AJ71">
        <v>12788092</v>
      </c>
      <c r="AK71">
        <v>250000</v>
      </c>
      <c r="AL71">
        <v>1500000</v>
      </c>
    </row>
    <row r="72" spans="1:38" x14ac:dyDescent="0.25">
      <c r="A72" t="s">
        <v>112</v>
      </c>
      <c r="B72" t="s">
        <v>113</v>
      </c>
      <c r="C72" t="s">
        <v>40</v>
      </c>
      <c r="D72" s="1">
        <v>43476</v>
      </c>
      <c r="E72" s="1">
        <v>43840</v>
      </c>
      <c r="F72" t="s">
        <v>41</v>
      </c>
      <c r="G72">
        <v>1</v>
      </c>
      <c r="H72" t="s">
        <v>42</v>
      </c>
      <c r="I72" t="s">
        <v>43</v>
      </c>
      <c r="J72" t="s">
        <v>41</v>
      </c>
      <c r="K72" t="s">
        <v>44</v>
      </c>
      <c r="L72">
        <v>8250</v>
      </c>
      <c r="M72" s="1">
        <v>43476</v>
      </c>
      <c r="N72" t="s">
        <v>45</v>
      </c>
      <c r="O72" t="s">
        <v>44</v>
      </c>
      <c r="P72" t="s">
        <v>47</v>
      </c>
      <c r="Q72" s="1">
        <v>43852</v>
      </c>
      <c r="R72" t="s">
        <v>48</v>
      </c>
      <c r="S72" t="s">
        <v>60</v>
      </c>
      <c r="T72" t="s">
        <v>61</v>
      </c>
      <c r="U72" t="s">
        <v>42</v>
      </c>
      <c r="V72">
        <v>0</v>
      </c>
      <c r="W72">
        <v>100000</v>
      </c>
      <c r="X72" s="1">
        <v>43921</v>
      </c>
      <c r="Y72" t="s">
        <v>51</v>
      </c>
      <c r="Z72" t="s">
        <v>43</v>
      </c>
      <c r="AA72" t="s">
        <v>41</v>
      </c>
      <c r="AB72" t="s">
        <v>52</v>
      </c>
      <c r="AC72" t="s">
        <v>53</v>
      </c>
      <c r="AF72" t="s">
        <v>54</v>
      </c>
      <c r="AG72" s="1">
        <v>43832</v>
      </c>
      <c r="AH72" t="s">
        <v>42</v>
      </c>
      <c r="AI72" t="s">
        <v>55</v>
      </c>
      <c r="AJ72">
        <v>12788092</v>
      </c>
      <c r="AK72">
        <v>250000</v>
      </c>
      <c r="AL72">
        <v>1500000</v>
      </c>
    </row>
    <row r="73" spans="1:38" x14ac:dyDescent="0.25">
      <c r="A73" t="s">
        <v>112</v>
      </c>
      <c r="B73" t="s">
        <v>113</v>
      </c>
      <c r="C73" t="s">
        <v>40</v>
      </c>
      <c r="D73" s="1">
        <v>43476</v>
      </c>
      <c r="E73" s="1">
        <v>43840</v>
      </c>
      <c r="F73" t="s">
        <v>41</v>
      </c>
      <c r="G73">
        <v>1</v>
      </c>
      <c r="H73" t="s">
        <v>42</v>
      </c>
      <c r="I73" t="s">
        <v>43</v>
      </c>
      <c r="J73" t="s">
        <v>41</v>
      </c>
      <c r="K73" t="s">
        <v>44</v>
      </c>
      <c r="L73">
        <v>8250</v>
      </c>
      <c r="M73" s="1">
        <v>43476</v>
      </c>
      <c r="N73" t="s">
        <v>45</v>
      </c>
      <c r="O73" t="s">
        <v>44</v>
      </c>
      <c r="P73" t="s">
        <v>47</v>
      </c>
      <c r="Q73" s="1">
        <v>43852</v>
      </c>
      <c r="R73" t="s">
        <v>48</v>
      </c>
      <c r="S73" t="s">
        <v>60</v>
      </c>
      <c r="T73" t="s">
        <v>61</v>
      </c>
      <c r="U73" t="s">
        <v>42</v>
      </c>
      <c r="V73">
        <v>0</v>
      </c>
      <c r="W73">
        <v>100000</v>
      </c>
      <c r="X73" s="1">
        <v>43921</v>
      </c>
      <c r="Y73" t="s">
        <v>51</v>
      </c>
      <c r="Z73" t="s">
        <v>43</v>
      </c>
      <c r="AA73" t="s">
        <v>41</v>
      </c>
      <c r="AB73" t="s">
        <v>52</v>
      </c>
      <c r="AC73" t="s">
        <v>53</v>
      </c>
      <c r="AF73" t="s">
        <v>56</v>
      </c>
      <c r="AG73" s="1">
        <v>43833</v>
      </c>
      <c r="AH73" t="s">
        <v>42</v>
      </c>
      <c r="AI73" t="s">
        <v>55</v>
      </c>
      <c r="AJ73">
        <v>12788092</v>
      </c>
      <c r="AK73">
        <v>250000</v>
      </c>
      <c r="AL73">
        <v>1500000</v>
      </c>
    </row>
    <row r="74" spans="1:38" x14ac:dyDescent="0.25">
      <c r="A74" t="s">
        <v>112</v>
      </c>
      <c r="B74" t="s">
        <v>113</v>
      </c>
      <c r="C74" t="s">
        <v>40</v>
      </c>
      <c r="D74" s="1">
        <v>43476</v>
      </c>
      <c r="E74" s="1">
        <v>43840</v>
      </c>
      <c r="F74" t="s">
        <v>41</v>
      </c>
      <c r="G74">
        <v>1</v>
      </c>
      <c r="H74" t="s">
        <v>42</v>
      </c>
      <c r="I74" t="s">
        <v>43</v>
      </c>
      <c r="J74" t="s">
        <v>41</v>
      </c>
      <c r="K74" t="s">
        <v>44</v>
      </c>
      <c r="L74">
        <v>8250</v>
      </c>
      <c r="M74" s="1">
        <v>43476</v>
      </c>
      <c r="N74" t="s">
        <v>45</v>
      </c>
      <c r="O74" t="s">
        <v>44</v>
      </c>
      <c r="P74" t="s">
        <v>47</v>
      </c>
      <c r="Q74" s="1">
        <v>43852</v>
      </c>
      <c r="R74" t="s">
        <v>48</v>
      </c>
      <c r="S74" t="s">
        <v>60</v>
      </c>
      <c r="T74" t="s">
        <v>61</v>
      </c>
      <c r="U74" t="s">
        <v>42</v>
      </c>
      <c r="V74">
        <v>0</v>
      </c>
      <c r="W74">
        <v>100000</v>
      </c>
      <c r="X74" s="1">
        <v>43921</v>
      </c>
      <c r="Y74" t="s">
        <v>51</v>
      </c>
      <c r="Z74" t="s">
        <v>43</v>
      </c>
      <c r="AA74" t="s">
        <v>41</v>
      </c>
      <c r="AB74" t="s">
        <v>52</v>
      </c>
      <c r="AC74" t="s">
        <v>53</v>
      </c>
      <c r="AF74" t="s">
        <v>57</v>
      </c>
      <c r="AG74" s="1">
        <v>43836</v>
      </c>
      <c r="AH74" t="s">
        <v>42</v>
      </c>
      <c r="AI74" t="s">
        <v>55</v>
      </c>
      <c r="AJ74">
        <v>12788092</v>
      </c>
      <c r="AK74">
        <v>250000</v>
      </c>
      <c r="AL74">
        <v>1500000</v>
      </c>
    </row>
    <row r="75" spans="1:38" x14ac:dyDescent="0.25">
      <c r="A75" t="s">
        <v>112</v>
      </c>
      <c r="B75" t="s">
        <v>113</v>
      </c>
      <c r="C75" t="s">
        <v>40</v>
      </c>
      <c r="D75" s="1">
        <v>43476</v>
      </c>
      <c r="E75" s="1">
        <v>43840</v>
      </c>
      <c r="F75" t="s">
        <v>41</v>
      </c>
      <c r="G75">
        <v>1</v>
      </c>
      <c r="H75" t="s">
        <v>42</v>
      </c>
      <c r="I75" t="s">
        <v>43</v>
      </c>
      <c r="J75" t="s">
        <v>41</v>
      </c>
      <c r="K75" t="s">
        <v>44</v>
      </c>
      <c r="L75">
        <v>8250</v>
      </c>
      <c r="M75" s="1">
        <v>43476</v>
      </c>
      <c r="N75" t="s">
        <v>45</v>
      </c>
      <c r="O75" t="s">
        <v>44</v>
      </c>
      <c r="P75" t="s">
        <v>47</v>
      </c>
      <c r="Q75" s="1">
        <v>43852</v>
      </c>
      <c r="R75" t="s">
        <v>48</v>
      </c>
      <c r="S75" t="s">
        <v>60</v>
      </c>
      <c r="T75" t="s">
        <v>61</v>
      </c>
      <c r="U75" t="s">
        <v>42</v>
      </c>
      <c r="V75">
        <v>0</v>
      </c>
      <c r="W75">
        <v>100000</v>
      </c>
      <c r="X75" s="1">
        <v>43921</v>
      </c>
      <c r="Y75" t="s">
        <v>51</v>
      </c>
      <c r="Z75" t="s">
        <v>43</v>
      </c>
      <c r="AA75" t="s">
        <v>41</v>
      </c>
      <c r="AB75" t="s">
        <v>52</v>
      </c>
      <c r="AC75" t="s">
        <v>53</v>
      </c>
      <c r="AF75" t="s">
        <v>58</v>
      </c>
      <c r="AG75" s="1">
        <v>43837</v>
      </c>
      <c r="AH75" t="s">
        <v>42</v>
      </c>
      <c r="AI75" t="s">
        <v>55</v>
      </c>
      <c r="AJ75">
        <v>12788092</v>
      </c>
      <c r="AK75">
        <v>250000</v>
      </c>
      <c r="AL75">
        <v>1500000</v>
      </c>
    </row>
    <row r="76" spans="1:38" x14ac:dyDescent="0.25">
      <c r="A76" t="s">
        <v>112</v>
      </c>
      <c r="B76" t="s">
        <v>113</v>
      </c>
      <c r="C76" t="s">
        <v>40</v>
      </c>
      <c r="D76" s="1">
        <v>43476</v>
      </c>
      <c r="E76" s="1">
        <v>43840</v>
      </c>
      <c r="F76" t="s">
        <v>41</v>
      </c>
      <c r="G76">
        <v>1</v>
      </c>
      <c r="H76" t="s">
        <v>42</v>
      </c>
      <c r="I76" t="s">
        <v>43</v>
      </c>
      <c r="J76" t="s">
        <v>41</v>
      </c>
      <c r="K76" t="s">
        <v>44</v>
      </c>
      <c r="L76">
        <v>8250</v>
      </c>
      <c r="M76" s="1">
        <v>43476</v>
      </c>
      <c r="N76" t="s">
        <v>45</v>
      </c>
      <c r="O76" t="s">
        <v>44</v>
      </c>
      <c r="P76" t="s">
        <v>47</v>
      </c>
      <c r="Q76" s="1">
        <v>43852</v>
      </c>
      <c r="R76" t="s">
        <v>48</v>
      </c>
      <c r="S76" t="s">
        <v>60</v>
      </c>
      <c r="T76" t="s">
        <v>61</v>
      </c>
      <c r="U76" t="s">
        <v>42</v>
      </c>
      <c r="V76">
        <v>0</v>
      </c>
      <c r="W76">
        <v>100000</v>
      </c>
      <c r="X76" s="1">
        <v>43921</v>
      </c>
      <c r="Y76" t="s">
        <v>51</v>
      </c>
      <c r="Z76" t="s">
        <v>43</v>
      </c>
      <c r="AA76" t="s">
        <v>41</v>
      </c>
      <c r="AB76" t="s">
        <v>52</v>
      </c>
      <c r="AC76" t="s">
        <v>53</v>
      </c>
      <c r="AF76" t="s">
        <v>59</v>
      </c>
      <c r="AG76" s="1">
        <v>43838</v>
      </c>
      <c r="AH76" t="s">
        <v>42</v>
      </c>
      <c r="AI76" t="s">
        <v>55</v>
      </c>
      <c r="AJ76">
        <v>12788092</v>
      </c>
      <c r="AK76">
        <v>250000</v>
      </c>
      <c r="AL76">
        <v>1500000</v>
      </c>
    </row>
    <row r="77" spans="1:38" x14ac:dyDescent="0.25">
      <c r="A77" t="s">
        <v>112</v>
      </c>
      <c r="B77" t="s">
        <v>113</v>
      </c>
      <c r="C77" t="s">
        <v>40</v>
      </c>
      <c r="D77" s="1">
        <v>43476</v>
      </c>
      <c r="E77" s="1">
        <v>43840</v>
      </c>
      <c r="F77" t="s">
        <v>41</v>
      </c>
      <c r="G77">
        <v>1</v>
      </c>
      <c r="H77" t="s">
        <v>42</v>
      </c>
      <c r="I77" t="s">
        <v>43</v>
      </c>
      <c r="J77" t="s">
        <v>41</v>
      </c>
      <c r="K77" t="s">
        <v>44</v>
      </c>
      <c r="L77">
        <v>8250</v>
      </c>
      <c r="M77" s="1">
        <v>43476</v>
      </c>
      <c r="N77" t="s">
        <v>45</v>
      </c>
      <c r="O77" t="s">
        <v>44</v>
      </c>
      <c r="P77" t="s">
        <v>47</v>
      </c>
      <c r="Q77" s="1">
        <v>43852</v>
      </c>
      <c r="R77" t="s">
        <v>48</v>
      </c>
      <c r="S77" t="s">
        <v>62</v>
      </c>
      <c r="T77" t="s">
        <v>63</v>
      </c>
      <c r="U77" t="s">
        <v>42</v>
      </c>
      <c r="V77">
        <v>0</v>
      </c>
      <c r="W77">
        <v>100000</v>
      </c>
      <c r="X77" s="1">
        <v>43982</v>
      </c>
      <c r="Y77" t="s">
        <v>51</v>
      </c>
      <c r="Z77" t="s">
        <v>43</v>
      </c>
      <c r="AA77" t="s">
        <v>41</v>
      </c>
      <c r="AB77" t="s">
        <v>52</v>
      </c>
      <c r="AC77" t="s">
        <v>53</v>
      </c>
      <c r="AF77" t="s">
        <v>54</v>
      </c>
      <c r="AG77" s="1">
        <v>43832</v>
      </c>
      <c r="AH77" t="s">
        <v>42</v>
      </c>
      <c r="AI77" t="s">
        <v>55</v>
      </c>
      <c r="AJ77">
        <v>12788092</v>
      </c>
      <c r="AK77">
        <v>250000</v>
      </c>
      <c r="AL77">
        <v>1500000</v>
      </c>
    </row>
    <row r="78" spans="1:38" x14ac:dyDescent="0.25">
      <c r="A78" t="s">
        <v>112</v>
      </c>
      <c r="B78" t="s">
        <v>113</v>
      </c>
      <c r="C78" t="s">
        <v>40</v>
      </c>
      <c r="D78" s="1">
        <v>43476</v>
      </c>
      <c r="E78" s="1">
        <v>43840</v>
      </c>
      <c r="F78" t="s">
        <v>41</v>
      </c>
      <c r="G78">
        <v>1</v>
      </c>
      <c r="H78" t="s">
        <v>42</v>
      </c>
      <c r="I78" t="s">
        <v>43</v>
      </c>
      <c r="J78" t="s">
        <v>41</v>
      </c>
      <c r="K78" t="s">
        <v>44</v>
      </c>
      <c r="L78">
        <v>8250</v>
      </c>
      <c r="M78" s="1">
        <v>43476</v>
      </c>
      <c r="N78" t="s">
        <v>45</v>
      </c>
      <c r="O78" t="s">
        <v>44</v>
      </c>
      <c r="P78" t="s">
        <v>47</v>
      </c>
      <c r="Q78" s="1">
        <v>43852</v>
      </c>
      <c r="R78" t="s">
        <v>48</v>
      </c>
      <c r="S78" t="s">
        <v>62</v>
      </c>
      <c r="T78" t="s">
        <v>63</v>
      </c>
      <c r="U78" t="s">
        <v>42</v>
      </c>
      <c r="V78">
        <v>0</v>
      </c>
      <c r="W78">
        <v>100000</v>
      </c>
      <c r="X78" s="1">
        <v>43982</v>
      </c>
      <c r="Y78" t="s">
        <v>51</v>
      </c>
      <c r="Z78" t="s">
        <v>43</v>
      </c>
      <c r="AA78" t="s">
        <v>41</v>
      </c>
      <c r="AB78" t="s">
        <v>52</v>
      </c>
      <c r="AC78" t="s">
        <v>53</v>
      </c>
      <c r="AF78" t="s">
        <v>56</v>
      </c>
      <c r="AG78" s="1">
        <v>43833</v>
      </c>
      <c r="AH78" t="s">
        <v>42</v>
      </c>
      <c r="AI78" t="s">
        <v>55</v>
      </c>
      <c r="AJ78">
        <v>12788092</v>
      </c>
      <c r="AK78">
        <v>250000</v>
      </c>
      <c r="AL78">
        <v>1500000</v>
      </c>
    </row>
    <row r="79" spans="1:38" x14ac:dyDescent="0.25">
      <c r="A79" t="s">
        <v>112</v>
      </c>
      <c r="B79" t="s">
        <v>113</v>
      </c>
      <c r="C79" t="s">
        <v>40</v>
      </c>
      <c r="D79" s="1">
        <v>43476</v>
      </c>
      <c r="E79" s="1">
        <v>43840</v>
      </c>
      <c r="F79" t="s">
        <v>41</v>
      </c>
      <c r="G79">
        <v>1</v>
      </c>
      <c r="H79" t="s">
        <v>42</v>
      </c>
      <c r="I79" t="s">
        <v>43</v>
      </c>
      <c r="J79" t="s">
        <v>41</v>
      </c>
      <c r="K79" t="s">
        <v>44</v>
      </c>
      <c r="L79">
        <v>8250</v>
      </c>
      <c r="M79" s="1">
        <v>43476</v>
      </c>
      <c r="N79" t="s">
        <v>45</v>
      </c>
      <c r="O79" t="s">
        <v>44</v>
      </c>
      <c r="P79" t="s">
        <v>47</v>
      </c>
      <c r="Q79" s="1">
        <v>43852</v>
      </c>
      <c r="R79" t="s">
        <v>48</v>
      </c>
      <c r="S79" t="s">
        <v>62</v>
      </c>
      <c r="T79" t="s">
        <v>63</v>
      </c>
      <c r="U79" t="s">
        <v>42</v>
      </c>
      <c r="V79">
        <v>0</v>
      </c>
      <c r="W79">
        <v>100000</v>
      </c>
      <c r="X79" s="1">
        <v>43982</v>
      </c>
      <c r="Y79" t="s">
        <v>51</v>
      </c>
      <c r="Z79" t="s">
        <v>43</v>
      </c>
      <c r="AA79" t="s">
        <v>41</v>
      </c>
      <c r="AB79" t="s">
        <v>52</v>
      </c>
      <c r="AC79" t="s">
        <v>53</v>
      </c>
      <c r="AF79" t="s">
        <v>57</v>
      </c>
      <c r="AG79" s="1">
        <v>43836</v>
      </c>
      <c r="AH79" t="s">
        <v>42</v>
      </c>
      <c r="AI79" t="s">
        <v>55</v>
      </c>
      <c r="AJ79">
        <v>12788092</v>
      </c>
      <c r="AK79">
        <v>250000</v>
      </c>
      <c r="AL79">
        <v>1500000</v>
      </c>
    </row>
    <row r="80" spans="1:38" x14ac:dyDescent="0.25">
      <c r="A80" t="s">
        <v>112</v>
      </c>
      <c r="B80" t="s">
        <v>113</v>
      </c>
      <c r="C80" t="s">
        <v>40</v>
      </c>
      <c r="D80" s="1">
        <v>43476</v>
      </c>
      <c r="E80" s="1">
        <v>43840</v>
      </c>
      <c r="F80" t="s">
        <v>41</v>
      </c>
      <c r="G80">
        <v>1</v>
      </c>
      <c r="H80" t="s">
        <v>42</v>
      </c>
      <c r="I80" t="s">
        <v>43</v>
      </c>
      <c r="J80" t="s">
        <v>41</v>
      </c>
      <c r="K80" t="s">
        <v>44</v>
      </c>
      <c r="L80">
        <v>8250</v>
      </c>
      <c r="M80" s="1">
        <v>43476</v>
      </c>
      <c r="N80" t="s">
        <v>45</v>
      </c>
      <c r="O80" t="s">
        <v>44</v>
      </c>
      <c r="P80" t="s">
        <v>47</v>
      </c>
      <c r="Q80" s="1">
        <v>43852</v>
      </c>
      <c r="R80" t="s">
        <v>48</v>
      </c>
      <c r="S80" t="s">
        <v>62</v>
      </c>
      <c r="T80" t="s">
        <v>63</v>
      </c>
      <c r="U80" t="s">
        <v>42</v>
      </c>
      <c r="V80">
        <v>0</v>
      </c>
      <c r="W80">
        <v>100000</v>
      </c>
      <c r="X80" s="1">
        <v>43982</v>
      </c>
      <c r="Y80" t="s">
        <v>51</v>
      </c>
      <c r="Z80" t="s">
        <v>43</v>
      </c>
      <c r="AA80" t="s">
        <v>41</v>
      </c>
      <c r="AB80" t="s">
        <v>52</v>
      </c>
      <c r="AC80" t="s">
        <v>53</v>
      </c>
      <c r="AF80" t="s">
        <v>58</v>
      </c>
      <c r="AG80" s="1">
        <v>43837</v>
      </c>
      <c r="AH80" t="s">
        <v>42</v>
      </c>
      <c r="AI80" t="s">
        <v>55</v>
      </c>
      <c r="AJ80">
        <v>12788092</v>
      </c>
      <c r="AK80">
        <v>250000</v>
      </c>
      <c r="AL80">
        <v>1500000</v>
      </c>
    </row>
    <row r="81" spans="1:38" x14ac:dyDescent="0.25">
      <c r="A81" t="s">
        <v>112</v>
      </c>
      <c r="B81" t="s">
        <v>113</v>
      </c>
      <c r="C81" t="s">
        <v>40</v>
      </c>
      <c r="D81" s="1">
        <v>43476</v>
      </c>
      <c r="E81" s="1">
        <v>43840</v>
      </c>
      <c r="F81" t="s">
        <v>41</v>
      </c>
      <c r="G81">
        <v>1</v>
      </c>
      <c r="H81" t="s">
        <v>42</v>
      </c>
      <c r="I81" t="s">
        <v>43</v>
      </c>
      <c r="J81" t="s">
        <v>41</v>
      </c>
      <c r="K81" t="s">
        <v>44</v>
      </c>
      <c r="L81">
        <v>8250</v>
      </c>
      <c r="M81" s="1">
        <v>43476</v>
      </c>
      <c r="N81" t="s">
        <v>45</v>
      </c>
      <c r="O81" t="s">
        <v>44</v>
      </c>
      <c r="P81" t="s">
        <v>47</v>
      </c>
      <c r="Q81" s="1">
        <v>43852</v>
      </c>
      <c r="R81" t="s">
        <v>48</v>
      </c>
      <c r="S81" t="s">
        <v>62</v>
      </c>
      <c r="T81" t="s">
        <v>63</v>
      </c>
      <c r="U81" t="s">
        <v>42</v>
      </c>
      <c r="V81">
        <v>0</v>
      </c>
      <c r="W81">
        <v>100000</v>
      </c>
      <c r="X81" s="1">
        <v>43982</v>
      </c>
      <c r="Y81" t="s">
        <v>51</v>
      </c>
      <c r="Z81" t="s">
        <v>43</v>
      </c>
      <c r="AA81" t="s">
        <v>41</v>
      </c>
      <c r="AB81" t="s">
        <v>52</v>
      </c>
      <c r="AC81" t="s">
        <v>53</v>
      </c>
      <c r="AF81" t="s">
        <v>59</v>
      </c>
      <c r="AG81" s="1">
        <v>43838</v>
      </c>
      <c r="AH81" t="s">
        <v>42</v>
      </c>
      <c r="AI81" t="s">
        <v>55</v>
      </c>
      <c r="AJ81">
        <v>12788092</v>
      </c>
      <c r="AK81">
        <v>250000</v>
      </c>
      <c r="AL81">
        <v>1500000</v>
      </c>
    </row>
    <row r="82" spans="1:38" x14ac:dyDescent="0.25">
      <c r="A82" t="s">
        <v>112</v>
      </c>
      <c r="B82" t="s">
        <v>113</v>
      </c>
      <c r="C82" t="s">
        <v>40</v>
      </c>
      <c r="D82" s="1">
        <v>43476</v>
      </c>
      <c r="E82" s="1">
        <v>43840</v>
      </c>
      <c r="F82" t="s">
        <v>41</v>
      </c>
      <c r="G82">
        <v>1</v>
      </c>
      <c r="H82" t="s">
        <v>42</v>
      </c>
      <c r="I82" t="s">
        <v>43</v>
      </c>
      <c r="J82" t="s">
        <v>41</v>
      </c>
      <c r="K82" t="s">
        <v>44</v>
      </c>
      <c r="L82">
        <v>8250</v>
      </c>
      <c r="M82" s="1">
        <v>43476</v>
      </c>
      <c r="N82" t="s">
        <v>45</v>
      </c>
      <c r="O82" t="s">
        <v>44</v>
      </c>
      <c r="P82" t="s">
        <v>47</v>
      </c>
      <c r="Q82" s="1">
        <v>43852</v>
      </c>
      <c r="R82" t="s">
        <v>48</v>
      </c>
      <c r="S82" t="s">
        <v>64</v>
      </c>
      <c r="T82" t="s">
        <v>65</v>
      </c>
      <c r="U82" t="s">
        <v>42</v>
      </c>
      <c r="V82">
        <v>0</v>
      </c>
      <c r="W82">
        <v>100000</v>
      </c>
      <c r="X82" s="1">
        <v>43921</v>
      </c>
      <c r="Y82" t="s">
        <v>51</v>
      </c>
      <c r="Z82" t="s">
        <v>43</v>
      </c>
      <c r="AA82" t="s">
        <v>41</v>
      </c>
      <c r="AB82" t="s">
        <v>52</v>
      </c>
      <c r="AC82" t="s">
        <v>53</v>
      </c>
      <c r="AF82" t="s">
        <v>54</v>
      </c>
      <c r="AG82" s="1">
        <v>43832</v>
      </c>
      <c r="AH82" t="s">
        <v>42</v>
      </c>
      <c r="AI82" t="s">
        <v>55</v>
      </c>
      <c r="AJ82">
        <v>12788092</v>
      </c>
      <c r="AK82">
        <v>250000</v>
      </c>
      <c r="AL82">
        <v>1500000</v>
      </c>
    </row>
    <row r="83" spans="1:38" x14ac:dyDescent="0.25">
      <c r="A83" t="s">
        <v>112</v>
      </c>
      <c r="B83" t="s">
        <v>113</v>
      </c>
      <c r="C83" t="s">
        <v>40</v>
      </c>
      <c r="D83" s="1">
        <v>43476</v>
      </c>
      <c r="E83" s="1">
        <v>43840</v>
      </c>
      <c r="F83" t="s">
        <v>41</v>
      </c>
      <c r="G83">
        <v>1</v>
      </c>
      <c r="H83" t="s">
        <v>42</v>
      </c>
      <c r="I83" t="s">
        <v>43</v>
      </c>
      <c r="J83" t="s">
        <v>41</v>
      </c>
      <c r="K83" t="s">
        <v>44</v>
      </c>
      <c r="L83">
        <v>8250</v>
      </c>
      <c r="M83" s="1">
        <v>43476</v>
      </c>
      <c r="N83" t="s">
        <v>45</v>
      </c>
      <c r="O83" t="s">
        <v>44</v>
      </c>
      <c r="P83" t="s">
        <v>47</v>
      </c>
      <c r="Q83" s="1">
        <v>43852</v>
      </c>
      <c r="R83" t="s">
        <v>48</v>
      </c>
      <c r="S83" t="s">
        <v>64</v>
      </c>
      <c r="T83" t="s">
        <v>65</v>
      </c>
      <c r="U83" t="s">
        <v>42</v>
      </c>
      <c r="V83">
        <v>0</v>
      </c>
      <c r="W83">
        <v>100000</v>
      </c>
      <c r="X83" s="1">
        <v>43921</v>
      </c>
      <c r="Y83" t="s">
        <v>51</v>
      </c>
      <c r="Z83" t="s">
        <v>43</v>
      </c>
      <c r="AA83" t="s">
        <v>41</v>
      </c>
      <c r="AB83" t="s">
        <v>52</v>
      </c>
      <c r="AC83" t="s">
        <v>53</v>
      </c>
      <c r="AF83" t="s">
        <v>56</v>
      </c>
      <c r="AG83" s="1">
        <v>43833</v>
      </c>
      <c r="AH83" t="s">
        <v>42</v>
      </c>
      <c r="AI83" t="s">
        <v>55</v>
      </c>
      <c r="AJ83">
        <v>12788092</v>
      </c>
      <c r="AK83">
        <v>250000</v>
      </c>
      <c r="AL83">
        <v>1500000</v>
      </c>
    </row>
    <row r="84" spans="1:38" x14ac:dyDescent="0.25">
      <c r="A84" t="s">
        <v>112</v>
      </c>
      <c r="B84" t="s">
        <v>113</v>
      </c>
      <c r="C84" t="s">
        <v>40</v>
      </c>
      <c r="D84" s="1">
        <v>43476</v>
      </c>
      <c r="E84" s="1">
        <v>43840</v>
      </c>
      <c r="F84" t="s">
        <v>41</v>
      </c>
      <c r="G84">
        <v>1</v>
      </c>
      <c r="H84" t="s">
        <v>42</v>
      </c>
      <c r="I84" t="s">
        <v>43</v>
      </c>
      <c r="J84" t="s">
        <v>41</v>
      </c>
      <c r="K84" t="s">
        <v>44</v>
      </c>
      <c r="L84">
        <v>8250</v>
      </c>
      <c r="M84" s="1">
        <v>43476</v>
      </c>
      <c r="N84" t="s">
        <v>45</v>
      </c>
      <c r="O84" t="s">
        <v>44</v>
      </c>
      <c r="P84" t="s">
        <v>47</v>
      </c>
      <c r="Q84" s="1">
        <v>43852</v>
      </c>
      <c r="R84" t="s">
        <v>48</v>
      </c>
      <c r="S84" t="s">
        <v>64</v>
      </c>
      <c r="T84" t="s">
        <v>65</v>
      </c>
      <c r="U84" t="s">
        <v>42</v>
      </c>
      <c r="V84">
        <v>0</v>
      </c>
      <c r="W84">
        <v>100000</v>
      </c>
      <c r="X84" s="1">
        <v>43921</v>
      </c>
      <c r="Y84" t="s">
        <v>51</v>
      </c>
      <c r="Z84" t="s">
        <v>43</v>
      </c>
      <c r="AA84" t="s">
        <v>41</v>
      </c>
      <c r="AB84" t="s">
        <v>52</v>
      </c>
      <c r="AC84" t="s">
        <v>53</v>
      </c>
      <c r="AF84" t="s">
        <v>57</v>
      </c>
      <c r="AG84" s="1">
        <v>43836</v>
      </c>
      <c r="AH84" t="s">
        <v>42</v>
      </c>
      <c r="AI84" t="s">
        <v>55</v>
      </c>
      <c r="AJ84">
        <v>12788092</v>
      </c>
      <c r="AK84">
        <v>250000</v>
      </c>
      <c r="AL84">
        <v>1500000</v>
      </c>
    </row>
    <row r="85" spans="1:38" x14ac:dyDescent="0.25">
      <c r="A85" t="s">
        <v>112</v>
      </c>
      <c r="B85" t="s">
        <v>113</v>
      </c>
      <c r="C85" t="s">
        <v>40</v>
      </c>
      <c r="D85" s="1">
        <v>43476</v>
      </c>
      <c r="E85" s="1">
        <v>43840</v>
      </c>
      <c r="F85" t="s">
        <v>41</v>
      </c>
      <c r="G85">
        <v>1</v>
      </c>
      <c r="H85" t="s">
        <v>42</v>
      </c>
      <c r="I85" t="s">
        <v>43</v>
      </c>
      <c r="J85" t="s">
        <v>41</v>
      </c>
      <c r="K85" t="s">
        <v>44</v>
      </c>
      <c r="L85">
        <v>8250</v>
      </c>
      <c r="M85" s="1">
        <v>43476</v>
      </c>
      <c r="N85" t="s">
        <v>45</v>
      </c>
      <c r="O85" t="s">
        <v>44</v>
      </c>
      <c r="P85" t="s">
        <v>47</v>
      </c>
      <c r="Q85" s="1">
        <v>43852</v>
      </c>
      <c r="R85" t="s">
        <v>48</v>
      </c>
      <c r="S85" t="s">
        <v>64</v>
      </c>
      <c r="T85" t="s">
        <v>65</v>
      </c>
      <c r="U85" t="s">
        <v>42</v>
      </c>
      <c r="V85">
        <v>0</v>
      </c>
      <c r="W85">
        <v>100000</v>
      </c>
      <c r="X85" s="1">
        <v>43921</v>
      </c>
      <c r="Y85" t="s">
        <v>51</v>
      </c>
      <c r="Z85" t="s">
        <v>43</v>
      </c>
      <c r="AA85" t="s">
        <v>41</v>
      </c>
      <c r="AB85" t="s">
        <v>52</v>
      </c>
      <c r="AC85" t="s">
        <v>53</v>
      </c>
      <c r="AF85" t="s">
        <v>58</v>
      </c>
      <c r="AG85" s="1">
        <v>43837</v>
      </c>
      <c r="AH85" t="s">
        <v>42</v>
      </c>
      <c r="AI85" t="s">
        <v>55</v>
      </c>
      <c r="AJ85">
        <v>12788092</v>
      </c>
      <c r="AK85">
        <v>250000</v>
      </c>
      <c r="AL85">
        <v>1500000</v>
      </c>
    </row>
    <row r="86" spans="1:38" x14ac:dyDescent="0.25">
      <c r="A86" t="s">
        <v>112</v>
      </c>
      <c r="B86" t="s">
        <v>113</v>
      </c>
      <c r="C86" t="s">
        <v>40</v>
      </c>
      <c r="D86" s="1">
        <v>43476</v>
      </c>
      <c r="E86" s="1">
        <v>43840</v>
      </c>
      <c r="F86" t="s">
        <v>41</v>
      </c>
      <c r="G86">
        <v>1</v>
      </c>
      <c r="H86" t="s">
        <v>42</v>
      </c>
      <c r="I86" t="s">
        <v>43</v>
      </c>
      <c r="J86" t="s">
        <v>41</v>
      </c>
      <c r="K86" t="s">
        <v>44</v>
      </c>
      <c r="L86">
        <v>8250</v>
      </c>
      <c r="M86" s="1">
        <v>43476</v>
      </c>
      <c r="N86" t="s">
        <v>45</v>
      </c>
      <c r="O86" t="s">
        <v>44</v>
      </c>
      <c r="P86" t="s">
        <v>47</v>
      </c>
      <c r="Q86" s="1">
        <v>43852</v>
      </c>
      <c r="R86" t="s">
        <v>48</v>
      </c>
      <c r="S86" t="s">
        <v>64</v>
      </c>
      <c r="T86" t="s">
        <v>65</v>
      </c>
      <c r="U86" t="s">
        <v>42</v>
      </c>
      <c r="V86">
        <v>0</v>
      </c>
      <c r="W86">
        <v>100000</v>
      </c>
      <c r="X86" s="1">
        <v>43921</v>
      </c>
      <c r="Y86" t="s">
        <v>51</v>
      </c>
      <c r="Z86" t="s">
        <v>43</v>
      </c>
      <c r="AA86" t="s">
        <v>41</v>
      </c>
      <c r="AB86" t="s">
        <v>52</v>
      </c>
      <c r="AC86" t="s">
        <v>53</v>
      </c>
      <c r="AF86" t="s">
        <v>59</v>
      </c>
      <c r="AG86" s="1">
        <v>43838</v>
      </c>
      <c r="AH86" t="s">
        <v>42</v>
      </c>
      <c r="AI86" t="s">
        <v>55</v>
      </c>
      <c r="AJ86">
        <v>12788092</v>
      </c>
      <c r="AK86">
        <v>250000</v>
      </c>
      <c r="AL86">
        <v>1500000</v>
      </c>
    </row>
    <row r="87" spans="1:38" x14ac:dyDescent="0.25">
      <c r="A87" t="s">
        <v>114</v>
      </c>
      <c r="B87" s="2">
        <v>91001900000000</v>
      </c>
      <c r="C87" t="s">
        <v>40</v>
      </c>
      <c r="D87" s="1">
        <v>43215</v>
      </c>
      <c r="E87" s="1">
        <v>43579</v>
      </c>
      <c r="F87" t="s">
        <v>72</v>
      </c>
      <c r="G87">
        <v>1</v>
      </c>
      <c r="H87" t="s">
        <v>42</v>
      </c>
      <c r="I87" t="s">
        <v>43</v>
      </c>
      <c r="J87" t="s">
        <v>115</v>
      </c>
      <c r="K87" t="s">
        <v>44</v>
      </c>
      <c r="L87">
        <v>4093.2</v>
      </c>
      <c r="M87" s="1">
        <v>43215</v>
      </c>
      <c r="N87" t="s">
        <v>45</v>
      </c>
      <c r="O87" t="s">
        <v>46</v>
      </c>
      <c r="P87" t="s">
        <v>47</v>
      </c>
      <c r="Q87" s="1">
        <v>43852</v>
      </c>
      <c r="R87" t="s">
        <v>48</v>
      </c>
    </row>
    <row r="88" spans="1:38" x14ac:dyDescent="0.25">
      <c r="A88" t="s">
        <v>116</v>
      </c>
      <c r="B88">
        <v>2280062933</v>
      </c>
      <c r="C88" t="s">
        <v>40</v>
      </c>
      <c r="D88" s="1">
        <v>43605</v>
      </c>
      <c r="E88" s="1">
        <v>43970</v>
      </c>
      <c r="F88" t="s">
        <v>76</v>
      </c>
      <c r="G88">
        <v>1</v>
      </c>
      <c r="H88" t="s">
        <v>42</v>
      </c>
      <c r="I88" t="s">
        <v>43</v>
      </c>
      <c r="J88" t="s">
        <v>77</v>
      </c>
      <c r="K88" t="s">
        <v>44</v>
      </c>
      <c r="L88">
        <v>8117</v>
      </c>
      <c r="M88" s="1">
        <v>43850</v>
      </c>
      <c r="N88" t="s">
        <v>45</v>
      </c>
      <c r="O88" t="s">
        <v>44</v>
      </c>
      <c r="P88" t="s">
        <v>47</v>
      </c>
      <c r="Q88" s="1">
        <v>43852</v>
      </c>
      <c r="R88" t="s">
        <v>48</v>
      </c>
      <c r="S88" t="s">
        <v>78</v>
      </c>
      <c r="T88" t="s">
        <v>79</v>
      </c>
      <c r="U88" t="s">
        <v>42</v>
      </c>
      <c r="V88">
        <v>1200000</v>
      </c>
      <c r="W88">
        <v>100000</v>
      </c>
      <c r="X88" s="1">
        <v>43921</v>
      </c>
      <c r="Y88" t="s">
        <v>51</v>
      </c>
      <c r="Z88" t="s">
        <v>43</v>
      </c>
      <c r="AA88" t="s">
        <v>80</v>
      </c>
      <c r="AB88" t="s">
        <v>76</v>
      </c>
      <c r="AC88" t="s">
        <v>81</v>
      </c>
      <c r="AF88" t="s">
        <v>54</v>
      </c>
      <c r="AG88" s="1">
        <v>43832</v>
      </c>
      <c r="AH88" t="s">
        <v>42</v>
      </c>
      <c r="AI88" t="s">
        <v>55</v>
      </c>
      <c r="AJ88">
        <v>12788092</v>
      </c>
      <c r="AK88">
        <v>250000</v>
      </c>
      <c r="AL88">
        <v>1500000</v>
      </c>
    </row>
    <row r="89" spans="1:38" x14ac:dyDescent="0.25">
      <c r="A89" t="s">
        <v>116</v>
      </c>
      <c r="B89">
        <v>2280062933</v>
      </c>
      <c r="C89" t="s">
        <v>40</v>
      </c>
      <c r="D89" s="1">
        <v>43605</v>
      </c>
      <c r="E89" s="1">
        <v>43970</v>
      </c>
      <c r="F89" t="s">
        <v>76</v>
      </c>
      <c r="G89">
        <v>1</v>
      </c>
      <c r="H89" t="s">
        <v>42</v>
      </c>
      <c r="I89" t="s">
        <v>43</v>
      </c>
      <c r="J89" t="s">
        <v>77</v>
      </c>
      <c r="K89" t="s">
        <v>44</v>
      </c>
      <c r="L89">
        <v>8117</v>
      </c>
      <c r="M89" s="1">
        <v>43850</v>
      </c>
      <c r="N89" t="s">
        <v>45</v>
      </c>
      <c r="O89" t="s">
        <v>44</v>
      </c>
      <c r="P89" t="s">
        <v>47</v>
      </c>
      <c r="Q89" s="1">
        <v>43852</v>
      </c>
      <c r="R89" t="s">
        <v>48</v>
      </c>
      <c r="S89" t="s">
        <v>78</v>
      </c>
      <c r="T89" t="s">
        <v>79</v>
      </c>
      <c r="U89" t="s">
        <v>42</v>
      </c>
      <c r="V89">
        <v>1200000</v>
      </c>
      <c r="W89">
        <v>100000</v>
      </c>
      <c r="X89" s="1">
        <v>43921</v>
      </c>
      <c r="Y89" t="s">
        <v>51</v>
      </c>
      <c r="Z89" t="s">
        <v>43</v>
      </c>
      <c r="AA89" t="s">
        <v>80</v>
      </c>
      <c r="AB89" t="s">
        <v>76</v>
      </c>
      <c r="AC89" t="s">
        <v>81</v>
      </c>
      <c r="AF89" t="s">
        <v>56</v>
      </c>
      <c r="AG89" s="1">
        <v>43833</v>
      </c>
      <c r="AH89" t="s">
        <v>42</v>
      </c>
      <c r="AI89" t="s">
        <v>55</v>
      </c>
      <c r="AJ89">
        <v>12788092</v>
      </c>
      <c r="AK89">
        <v>250000</v>
      </c>
      <c r="AL89">
        <v>1500000</v>
      </c>
    </row>
    <row r="90" spans="1:38" x14ac:dyDescent="0.25">
      <c r="A90" t="s">
        <v>116</v>
      </c>
      <c r="B90">
        <v>2280062933</v>
      </c>
      <c r="C90" t="s">
        <v>40</v>
      </c>
      <c r="D90" s="1">
        <v>43605</v>
      </c>
      <c r="E90" s="1">
        <v>43970</v>
      </c>
      <c r="F90" t="s">
        <v>76</v>
      </c>
      <c r="G90">
        <v>1</v>
      </c>
      <c r="H90" t="s">
        <v>42</v>
      </c>
      <c r="I90" t="s">
        <v>43</v>
      </c>
      <c r="J90" t="s">
        <v>77</v>
      </c>
      <c r="K90" t="s">
        <v>44</v>
      </c>
      <c r="L90">
        <v>8117</v>
      </c>
      <c r="M90" s="1">
        <v>43850</v>
      </c>
      <c r="N90" t="s">
        <v>45</v>
      </c>
      <c r="O90" t="s">
        <v>44</v>
      </c>
      <c r="P90" t="s">
        <v>47</v>
      </c>
      <c r="Q90" s="1">
        <v>43852</v>
      </c>
      <c r="R90" t="s">
        <v>48</v>
      </c>
      <c r="S90" t="s">
        <v>78</v>
      </c>
      <c r="T90" t="s">
        <v>79</v>
      </c>
      <c r="U90" t="s">
        <v>42</v>
      </c>
      <c r="V90">
        <v>1200000</v>
      </c>
      <c r="W90">
        <v>100000</v>
      </c>
      <c r="X90" s="1">
        <v>43921</v>
      </c>
      <c r="Y90" t="s">
        <v>51</v>
      </c>
      <c r="Z90" t="s">
        <v>43</v>
      </c>
      <c r="AA90" t="s">
        <v>80</v>
      </c>
      <c r="AB90" t="s">
        <v>76</v>
      </c>
      <c r="AC90" t="s">
        <v>81</v>
      </c>
      <c r="AF90" t="s">
        <v>57</v>
      </c>
      <c r="AG90" s="1">
        <v>43836</v>
      </c>
      <c r="AH90" t="s">
        <v>42</v>
      </c>
      <c r="AI90" t="s">
        <v>55</v>
      </c>
      <c r="AJ90">
        <v>12788092</v>
      </c>
      <c r="AK90">
        <v>250000</v>
      </c>
      <c r="AL90">
        <v>1500000</v>
      </c>
    </row>
    <row r="91" spans="1:38" x14ac:dyDescent="0.25">
      <c r="A91" t="s">
        <v>116</v>
      </c>
      <c r="B91">
        <v>2280062933</v>
      </c>
      <c r="C91" t="s">
        <v>40</v>
      </c>
      <c r="D91" s="1">
        <v>43605</v>
      </c>
      <c r="E91" s="1">
        <v>43970</v>
      </c>
      <c r="F91" t="s">
        <v>76</v>
      </c>
      <c r="G91">
        <v>1</v>
      </c>
      <c r="H91" t="s">
        <v>42</v>
      </c>
      <c r="I91" t="s">
        <v>43</v>
      </c>
      <c r="J91" t="s">
        <v>77</v>
      </c>
      <c r="K91" t="s">
        <v>44</v>
      </c>
      <c r="L91">
        <v>8117</v>
      </c>
      <c r="M91" s="1">
        <v>43850</v>
      </c>
      <c r="N91" t="s">
        <v>45</v>
      </c>
      <c r="O91" t="s">
        <v>44</v>
      </c>
      <c r="P91" t="s">
        <v>47</v>
      </c>
      <c r="Q91" s="1">
        <v>43852</v>
      </c>
      <c r="R91" t="s">
        <v>48</v>
      </c>
      <c r="S91" t="s">
        <v>78</v>
      </c>
      <c r="T91" t="s">
        <v>79</v>
      </c>
      <c r="U91" t="s">
        <v>42</v>
      </c>
      <c r="V91">
        <v>1200000</v>
      </c>
      <c r="W91">
        <v>100000</v>
      </c>
      <c r="X91" s="1">
        <v>43921</v>
      </c>
      <c r="Y91" t="s">
        <v>51</v>
      </c>
      <c r="Z91" t="s">
        <v>43</v>
      </c>
      <c r="AA91" t="s">
        <v>80</v>
      </c>
      <c r="AB91" t="s">
        <v>76</v>
      </c>
      <c r="AC91" t="s">
        <v>81</v>
      </c>
      <c r="AF91" t="s">
        <v>58</v>
      </c>
      <c r="AG91" s="1">
        <v>43837</v>
      </c>
      <c r="AH91" t="s">
        <v>42</v>
      </c>
      <c r="AI91" t="s">
        <v>55</v>
      </c>
      <c r="AJ91">
        <v>12788092</v>
      </c>
      <c r="AK91">
        <v>250000</v>
      </c>
      <c r="AL91">
        <v>1500000</v>
      </c>
    </row>
    <row r="92" spans="1:38" x14ac:dyDescent="0.25">
      <c r="A92" t="s">
        <v>116</v>
      </c>
      <c r="B92">
        <v>2280062933</v>
      </c>
      <c r="C92" t="s">
        <v>40</v>
      </c>
      <c r="D92" s="1">
        <v>43605</v>
      </c>
      <c r="E92" s="1">
        <v>43970</v>
      </c>
      <c r="F92" t="s">
        <v>76</v>
      </c>
      <c r="G92">
        <v>1</v>
      </c>
      <c r="H92" t="s">
        <v>42</v>
      </c>
      <c r="I92" t="s">
        <v>43</v>
      </c>
      <c r="J92" t="s">
        <v>77</v>
      </c>
      <c r="K92" t="s">
        <v>44</v>
      </c>
      <c r="L92">
        <v>8117</v>
      </c>
      <c r="M92" s="1">
        <v>43850</v>
      </c>
      <c r="N92" t="s">
        <v>45</v>
      </c>
      <c r="O92" t="s">
        <v>44</v>
      </c>
      <c r="P92" t="s">
        <v>47</v>
      </c>
      <c r="Q92" s="1">
        <v>43852</v>
      </c>
      <c r="R92" t="s">
        <v>48</v>
      </c>
      <c r="S92" t="s">
        <v>78</v>
      </c>
      <c r="T92" t="s">
        <v>79</v>
      </c>
      <c r="U92" t="s">
        <v>42</v>
      </c>
      <c r="V92">
        <v>1200000</v>
      </c>
      <c r="W92">
        <v>100000</v>
      </c>
      <c r="X92" s="1">
        <v>43921</v>
      </c>
      <c r="Y92" t="s">
        <v>51</v>
      </c>
      <c r="Z92" t="s">
        <v>43</v>
      </c>
      <c r="AA92" t="s">
        <v>80</v>
      </c>
      <c r="AB92" t="s">
        <v>76</v>
      </c>
      <c r="AC92" t="s">
        <v>81</v>
      </c>
      <c r="AF92" t="s">
        <v>59</v>
      </c>
      <c r="AG92" s="1">
        <v>43838</v>
      </c>
      <c r="AH92" t="s">
        <v>42</v>
      </c>
      <c r="AI92" t="s">
        <v>55</v>
      </c>
      <c r="AJ92">
        <v>12788092</v>
      </c>
      <c r="AK92">
        <v>250000</v>
      </c>
      <c r="AL92">
        <v>1500000</v>
      </c>
    </row>
    <row r="93" spans="1:38" x14ac:dyDescent="0.25">
      <c r="A93" t="s">
        <v>117</v>
      </c>
      <c r="B93" t="s">
        <v>118</v>
      </c>
      <c r="C93" t="s">
        <v>71</v>
      </c>
      <c r="D93" s="1">
        <v>43240</v>
      </c>
      <c r="E93" s="1">
        <v>43604</v>
      </c>
      <c r="F93" t="s">
        <v>76</v>
      </c>
      <c r="G93">
        <v>1</v>
      </c>
      <c r="H93" t="s">
        <v>42</v>
      </c>
      <c r="I93" t="s">
        <v>43</v>
      </c>
      <c r="J93" t="s">
        <v>77</v>
      </c>
      <c r="K93" t="s">
        <v>44</v>
      </c>
      <c r="L93">
        <v>6101.25</v>
      </c>
      <c r="M93" s="1">
        <v>43240</v>
      </c>
      <c r="N93" t="s">
        <v>45</v>
      </c>
      <c r="O93" t="s">
        <v>46</v>
      </c>
      <c r="P93" t="s">
        <v>47</v>
      </c>
      <c r="Q93" s="1">
        <v>43852</v>
      </c>
      <c r="R93" t="s">
        <v>48</v>
      </c>
      <c r="S93" t="s">
        <v>78</v>
      </c>
      <c r="T93" t="s">
        <v>79</v>
      </c>
      <c r="U93" t="s">
        <v>42</v>
      </c>
      <c r="V93">
        <v>1200000</v>
      </c>
      <c r="W93">
        <v>100000</v>
      </c>
      <c r="X93" s="1">
        <v>43921</v>
      </c>
      <c r="Y93" t="s">
        <v>51</v>
      </c>
      <c r="Z93" t="s">
        <v>43</v>
      </c>
      <c r="AA93" t="s">
        <v>80</v>
      </c>
      <c r="AB93" t="s">
        <v>76</v>
      </c>
      <c r="AC93" t="s">
        <v>81</v>
      </c>
      <c r="AF93" t="s">
        <v>54</v>
      </c>
      <c r="AG93" s="1">
        <v>43832</v>
      </c>
      <c r="AH93" t="s">
        <v>42</v>
      </c>
      <c r="AI93" t="s">
        <v>55</v>
      </c>
      <c r="AJ93">
        <v>12788092</v>
      </c>
      <c r="AK93">
        <v>250000</v>
      </c>
      <c r="AL93">
        <v>1500000</v>
      </c>
    </row>
    <row r="94" spans="1:38" x14ac:dyDescent="0.25">
      <c r="A94" t="s">
        <v>117</v>
      </c>
      <c r="B94" t="s">
        <v>118</v>
      </c>
      <c r="C94" t="s">
        <v>71</v>
      </c>
      <c r="D94" s="1">
        <v>43240</v>
      </c>
      <c r="E94" s="1">
        <v>43604</v>
      </c>
      <c r="F94" t="s">
        <v>76</v>
      </c>
      <c r="G94">
        <v>1</v>
      </c>
      <c r="H94" t="s">
        <v>42</v>
      </c>
      <c r="I94" t="s">
        <v>43</v>
      </c>
      <c r="J94" t="s">
        <v>77</v>
      </c>
      <c r="K94" t="s">
        <v>44</v>
      </c>
      <c r="L94">
        <v>6101.25</v>
      </c>
      <c r="M94" s="1">
        <v>43240</v>
      </c>
      <c r="N94" t="s">
        <v>45</v>
      </c>
      <c r="O94" t="s">
        <v>46</v>
      </c>
      <c r="P94" t="s">
        <v>47</v>
      </c>
      <c r="Q94" s="1">
        <v>43852</v>
      </c>
      <c r="R94" t="s">
        <v>48</v>
      </c>
      <c r="S94" t="s">
        <v>78</v>
      </c>
      <c r="T94" t="s">
        <v>79</v>
      </c>
      <c r="U94" t="s">
        <v>42</v>
      </c>
      <c r="V94">
        <v>1200000</v>
      </c>
      <c r="W94">
        <v>100000</v>
      </c>
      <c r="X94" s="1">
        <v>43921</v>
      </c>
      <c r="Y94" t="s">
        <v>51</v>
      </c>
      <c r="Z94" t="s">
        <v>43</v>
      </c>
      <c r="AA94" t="s">
        <v>80</v>
      </c>
      <c r="AB94" t="s">
        <v>76</v>
      </c>
      <c r="AC94" t="s">
        <v>81</v>
      </c>
      <c r="AF94" t="s">
        <v>56</v>
      </c>
      <c r="AG94" s="1">
        <v>43833</v>
      </c>
      <c r="AH94" t="s">
        <v>42</v>
      </c>
      <c r="AI94" t="s">
        <v>55</v>
      </c>
      <c r="AJ94">
        <v>12788092</v>
      </c>
      <c r="AK94">
        <v>250000</v>
      </c>
      <c r="AL94">
        <v>1500000</v>
      </c>
    </row>
    <row r="95" spans="1:38" x14ac:dyDescent="0.25">
      <c r="A95" t="s">
        <v>117</v>
      </c>
      <c r="B95" t="s">
        <v>118</v>
      </c>
      <c r="C95" t="s">
        <v>71</v>
      </c>
      <c r="D95" s="1">
        <v>43240</v>
      </c>
      <c r="E95" s="1">
        <v>43604</v>
      </c>
      <c r="F95" t="s">
        <v>76</v>
      </c>
      <c r="G95">
        <v>1</v>
      </c>
      <c r="H95" t="s">
        <v>42</v>
      </c>
      <c r="I95" t="s">
        <v>43</v>
      </c>
      <c r="J95" t="s">
        <v>77</v>
      </c>
      <c r="K95" t="s">
        <v>44</v>
      </c>
      <c r="L95">
        <v>6101.25</v>
      </c>
      <c r="M95" s="1">
        <v>43240</v>
      </c>
      <c r="N95" t="s">
        <v>45</v>
      </c>
      <c r="O95" t="s">
        <v>46</v>
      </c>
      <c r="P95" t="s">
        <v>47</v>
      </c>
      <c r="Q95" s="1">
        <v>43852</v>
      </c>
      <c r="R95" t="s">
        <v>48</v>
      </c>
      <c r="S95" t="s">
        <v>78</v>
      </c>
      <c r="T95" t="s">
        <v>79</v>
      </c>
      <c r="U95" t="s">
        <v>42</v>
      </c>
      <c r="V95">
        <v>1200000</v>
      </c>
      <c r="W95">
        <v>100000</v>
      </c>
      <c r="X95" s="1">
        <v>43921</v>
      </c>
      <c r="Y95" t="s">
        <v>51</v>
      </c>
      <c r="Z95" t="s">
        <v>43</v>
      </c>
      <c r="AA95" t="s">
        <v>80</v>
      </c>
      <c r="AB95" t="s">
        <v>76</v>
      </c>
      <c r="AC95" t="s">
        <v>81</v>
      </c>
      <c r="AF95" t="s">
        <v>57</v>
      </c>
      <c r="AG95" s="1">
        <v>43836</v>
      </c>
      <c r="AH95" t="s">
        <v>42</v>
      </c>
      <c r="AI95" t="s">
        <v>55</v>
      </c>
      <c r="AJ95">
        <v>12788092</v>
      </c>
      <c r="AK95">
        <v>250000</v>
      </c>
      <c r="AL95">
        <v>1500000</v>
      </c>
    </row>
    <row r="96" spans="1:38" x14ac:dyDescent="0.25">
      <c r="A96" t="s">
        <v>117</v>
      </c>
      <c r="B96" t="s">
        <v>118</v>
      </c>
      <c r="C96" t="s">
        <v>71</v>
      </c>
      <c r="D96" s="1">
        <v>43240</v>
      </c>
      <c r="E96" s="1">
        <v>43604</v>
      </c>
      <c r="F96" t="s">
        <v>76</v>
      </c>
      <c r="G96">
        <v>1</v>
      </c>
      <c r="H96" t="s">
        <v>42</v>
      </c>
      <c r="I96" t="s">
        <v>43</v>
      </c>
      <c r="J96" t="s">
        <v>77</v>
      </c>
      <c r="K96" t="s">
        <v>44</v>
      </c>
      <c r="L96">
        <v>6101.25</v>
      </c>
      <c r="M96" s="1">
        <v>43240</v>
      </c>
      <c r="N96" t="s">
        <v>45</v>
      </c>
      <c r="O96" t="s">
        <v>46</v>
      </c>
      <c r="P96" t="s">
        <v>47</v>
      </c>
      <c r="Q96" s="1">
        <v>43852</v>
      </c>
      <c r="R96" t="s">
        <v>48</v>
      </c>
      <c r="S96" t="s">
        <v>78</v>
      </c>
      <c r="T96" t="s">
        <v>79</v>
      </c>
      <c r="U96" t="s">
        <v>42</v>
      </c>
      <c r="V96">
        <v>1200000</v>
      </c>
      <c r="W96">
        <v>100000</v>
      </c>
      <c r="X96" s="1">
        <v>43921</v>
      </c>
      <c r="Y96" t="s">
        <v>51</v>
      </c>
      <c r="Z96" t="s">
        <v>43</v>
      </c>
      <c r="AA96" t="s">
        <v>80</v>
      </c>
      <c r="AB96" t="s">
        <v>76</v>
      </c>
      <c r="AC96" t="s">
        <v>81</v>
      </c>
      <c r="AF96" t="s">
        <v>58</v>
      </c>
      <c r="AG96" s="1">
        <v>43837</v>
      </c>
      <c r="AH96" t="s">
        <v>42</v>
      </c>
      <c r="AI96" t="s">
        <v>55</v>
      </c>
      <c r="AJ96">
        <v>12788092</v>
      </c>
      <c r="AK96">
        <v>250000</v>
      </c>
      <c r="AL96">
        <v>1500000</v>
      </c>
    </row>
    <row r="97" spans="1:38" x14ac:dyDescent="0.25">
      <c r="A97" t="s">
        <v>117</v>
      </c>
      <c r="B97" t="s">
        <v>118</v>
      </c>
      <c r="C97" t="s">
        <v>71</v>
      </c>
      <c r="D97" s="1">
        <v>43240</v>
      </c>
      <c r="E97" s="1">
        <v>43604</v>
      </c>
      <c r="F97" t="s">
        <v>76</v>
      </c>
      <c r="G97">
        <v>1</v>
      </c>
      <c r="H97" t="s">
        <v>42</v>
      </c>
      <c r="I97" t="s">
        <v>43</v>
      </c>
      <c r="J97" t="s">
        <v>77</v>
      </c>
      <c r="K97" t="s">
        <v>44</v>
      </c>
      <c r="L97">
        <v>6101.25</v>
      </c>
      <c r="M97" s="1">
        <v>43240</v>
      </c>
      <c r="N97" t="s">
        <v>45</v>
      </c>
      <c r="O97" t="s">
        <v>46</v>
      </c>
      <c r="P97" t="s">
        <v>47</v>
      </c>
      <c r="Q97" s="1">
        <v>43852</v>
      </c>
      <c r="R97" t="s">
        <v>48</v>
      </c>
      <c r="S97" t="s">
        <v>78</v>
      </c>
      <c r="T97" t="s">
        <v>79</v>
      </c>
      <c r="U97" t="s">
        <v>42</v>
      </c>
      <c r="V97">
        <v>1200000</v>
      </c>
      <c r="W97">
        <v>100000</v>
      </c>
      <c r="X97" s="1">
        <v>43921</v>
      </c>
      <c r="Y97" t="s">
        <v>51</v>
      </c>
      <c r="Z97" t="s">
        <v>43</v>
      </c>
      <c r="AA97" t="s">
        <v>80</v>
      </c>
      <c r="AB97" t="s">
        <v>76</v>
      </c>
      <c r="AC97" t="s">
        <v>81</v>
      </c>
      <c r="AF97" t="s">
        <v>59</v>
      </c>
      <c r="AG97" s="1">
        <v>43838</v>
      </c>
      <c r="AH97" t="s">
        <v>42</v>
      </c>
      <c r="AI97" t="s">
        <v>55</v>
      </c>
      <c r="AJ97">
        <v>12788092</v>
      </c>
      <c r="AK97">
        <v>250000</v>
      </c>
      <c r="AL97">
        <v>1500000</v>
      </c>
    </row>
    <row r="98" spans="1:38" x14ac:dyDescent="0.25">
      <c r="A98" t="s">
        <v>119</v>
      </c>
      <c r="B98" t="s">
        <v>120</v>
      </c>
      <c r="C98" t="s">
        <v>40</v>
      </c>
      <c r="D98" s="1">
        <v>43263</v>
      </c>
      <c r="E98" s="1">
        <v>43627</v>
      </c>
      <c r="F98" t="s">
        <v>41</v>
      </c>
      <c r="G98">
        <v>9</v>
      </c>
      <c r="H98" t="s">
        <v>121</v>
      </c>
      <c r="I98" t="s">
        <v>43</v>
      </c>
      <c r="J98" t="s">
        <v>122</v>
      </c>
      <c r="K98" t="s">
        <v>44</v>
      </c>
      <c r="L98">
        <v>1980</v>
      </c>
      <c r="M98" s="1">
        <v>43263</v>
      </c>
      <c r="N98" t="s">
        <v>45</v>
      </c>
      <c r="O98" t="s">
        <v>106</v>
      </c>
      <c r="P98" t="s">
        <v>47</v>
      </c>
      <c r="Q98" s="1">
        <v>43852</v>
      </c>
      <c r="R98" t="s">
        <v>48</v>
      </c>
    </row>
    <row r="99" spans="1:38" x14ac:dyDescent="0.25">
      <c r="A99" t="s">
        <v>123</v>
      </c>
      <c r="B99" t="s">
        <v>120</v>
      </c>
      <c r="C99" t="s">
        <v>40</v>
      </c>
      <c r="D99" s="1">
        <v>43263</v>
      </c>
      <c r="E99" s="1">
        <v>43627</v>
      </c>
      <c r="F99" t="s">
        <v>41</v>
      </c>
      <c r="G99">
        <v>9</v>
      </c>
      <c r="H99" t="s">
        <v>121</v>
      </c>
      <c r="I99" t="s">
        <v>43</v>
      </c>
      <c r="J99" t="s">
        <v>122</v>
      </c>
      <c r="K99" t="s">
        <v>44</v>
      </c>
      <c r="L99">
        <v>1980</v>
      </c>
      <c r="M99" s="1">
        <v>43475</v>
      </c>
      <c r="N99" t="s">
        <v>108</v>
      </c>
      <c r="O99" t="s">
        <v>106</v>
      </c>
      <c r="P99" t="s">
        <v>47</v>
      </c>
      <c r="Q99" s="1">
        <v>43852</v>
      </c>
      <c r="R99" t="s">
        <v>48</v>
      </c>
    </row>
    <row r="100" spans="1:38" x14ac:dyDescent="0.25">
      <c r="A100" t="s">
        <v>124</v>
      </c>
      <c r="B100" s="2">
        <v>3.1142E+18</v>
      </c>
      <c r="C100" t="s">
        <v>40</v>
      </c>
      <c r="D100" s="1">
        <v>43703</v>
      </c>
      <c r="E100" s="1">
        <v>44068</v>
      </c>
      <c r="F100" t="s">
        <v>76</v>
      </c>
      <c r="G100">
        <v>3</v>
      </c>
      <c r="H100" t="s">
        <v>125</v>
      </c>
      <c r="I100" t="s">
        <v>43</v>
      </c>
      <c r="J100" t="s">
        <v>126</v>
      </c>
      <c r="K100" t="s">
        <v>127</v>
      </c>
      <c r="L100">
        <v>2089.25</v>
      </c>
      <c r="M100" s="1">
        <v>43703</v>
      </c>
      <c r="N100" t="s">
        <v>45</v>
      </c>
      <c r="O100" t="s">
        <v>46</v>
      </c>
      <c r="P100" t="s">
        <v>47</v>
      </c>
      <c r="Q100" s="1">
        <v>43852</v>
      </c>
      <c r="R100" t="s">
        <v>48</v>
      </c>
    </row>
    <row r="101" spans="1:38" x14ac:dyDescent="0.25">
      <c r="A101" t="s">
        <v>128</v>
      </c>
      <c r="B101" t="s">
        <v>129</v>
      </c>
      <c r="C101" t="s">
        <v>40</v>
      </c>
      <c r="D101" s="1">
        <v>43466</v>
      </c>
      <c r="E101" s="1">
        <v>43830</v>
      </c>
      <c r="F101" t="s">
        <v>41</v>
      </c>
      <c r="G101">
        <v>3</v>
      </c>
      <c r="H101" t="s">
        <v>125</v>
      </c>
      <c r="I101" t="s">
        <v>43</v>
      </c>
      <c r="J101" t="s">
        <v>126</v>
      </c>
      <c r="K101" t="s">
        <v>127</v>
      </c>
      <c r="L101">
        <v>21768.61</v>
      </c>
      <c r="M101" s="1">
        <v>43466</v>
      </c>
      <c r="N101" t="s">
        <v>45</v>
      </c>
      <c r="O101" t="s">
        <v>46</v>
      </c>
      <c r="P101" t="s">
        <v>47</v>
      </c>
      <c r="Q101" s="1">
        <v>43852</v>
      </c>
      <c r="R101" t="s">
        <v>48</v>
      </c>
      <c r="S101" t="s">
        <v>41</v>
      </c>
      <c r="T101" t="s">
        <v>130</v>
      </c>
      <c r="U101" t="s">
        <v>125</v>
      </c>
      <c r="V101">
        <v>0</v>
      </c>
      <c r="W101">
        <v>100000</v>
      </c>
      <c r="X101" s="1">
        <v>43769</v>
      </c>
      <c r="Y101" t="s">
        <v>131</v>
      </c>
      <c r="Z101" t="s">
        <v>43</v>
      </c>
      <c r="AA101" t="s">
        <v>41</v>
      </c>
      <c r="AB101" t="s">
        <v>132</v>
      </c>
      <c r="AC101" t="s">
        <v>133</v>
      </c>
      <c r="AF101" t="s">
        <v>134</v>
      </c>
      <c r="AG101" s="1">
        <v>43843</v>
      </c>
      <c r="AH101" t="s">
        <v>125</v>
      </c>
      <c r="AI101" t="s">
        <v>92</v>
      </c>
      <c r="AJ101">
        <v>1278023</v>
      </c>
      <c r="AK101">
        <v>12365300</v>
      </c>
      <c r="AL101">
        <v>12900</v>
      </c>
    </row>
    <row r="102" spans="1:38" x14ac:dyDescent="0.25">
      <c r="A102" t="s">
        <v>128</v>
      </c>
      <c r="B102" t="s">
        <v>129</v>
      </c>
      <c r="C102" t="s">
        <v>40</v>
      </c>
      <c r="D102" s="1">
        <v>43466</v>
      </c>
      <c r="E102" s="1">
        <v>43830</v>
      </c>
      <c r="F102" t="s">
        <v>41</v>
      </c>
      <c r="G102">
        <v>3</v>
      </c>
      <c r="H102" t="s">
        <v>125</v>
      </c>
      <c r="I102" t="s">
        <v>43</v>
      </c>
      <c r="J102" t="s">
        <v>126</v>
      </c>
      <c r="K102" t="s">
        <v>127</v>
      </c>
      <c r="L102">
        <v>21768.61</v>
      </c>
      <c r="M102" s="1">
        <v>43466</v>
      </c>
      <c r="N102" t="s">
        <v>45</v>
      </c>
      <c r="O102" t="s">
        <v>46</v>
      </c>
      <c r="P102" t="s">
        <v>47</v>
      </c>
      <c r="Q102" s="1">
        <v>43852</v>
      </c>
      <c r="R102" t="s">
        <v>48</v>
      </c>
      <c r="S102" t="s">
        <v>41</v>
      </c>
      <c r="T102" t="s">
        <v>130</v>
      </c>
      <c r="U102" t="s">
        <v>125</v>
      </c>
      <c r="V102">
        <v>0</v>
      </c>
      <c r="W102">
        <v>100000</v>
      </c>
      <c r="X102" s="1">
        <v>43769</v>
      </c>
      <c r="Y102" t="s">
        <v>131</v>
      </c>
      <c r="Z102" t="s">
        <v>43</v>
      </c>
      <c r="AA102" t="s">
        <v>41</v>
      </c>
      <c r="AB102" t="s">
        <v>132</v>
      </c>
      <c r="AC102" t="s">
        <v>133</v>
      </c>
      <c r="AF102" t="s">
        <v>135</v>
      </c>
      <c r="AG102" s="1">
        <v>43843</v>
      </c>
      <c r="AH102" t="s">
        <v>125</v>
      </c>
      <c r="AI102" t="s">
        <v>92</v>
      </c>
      <c r="AJ102">
        <v>1278023</v>
      </c>
      <c r="AK102">
        <v>12365300</v>
      </c>
      <c r="AL102">
        <v>12900</v>
      </c>
    </row>
    <row r="103" spans="1:38" x14ac:dyDescent="0.25">
      <c r="A103" t="s">
        <v>128</v>
      </c>
      <c r="B103" t="s">
        <v>129</v>
      </c>
      <c r="C103" t="s">
        <v>40</v>
      </c>
      <c r="D103" s="1">
        <v>43466</v>
      </c>
      <c r="E103" s="1">
        <v>43830</v>
      </c>
      <c r="F103" t="s">
        <v>41</v>
      </c>
      <c r="G103">
        <v>3</v>
      </c>
      <c r="H103" t="s">
        <v>125</v>
      </c>
      <c r="I103" t="s">
        <v>43</v>
      </c>
      <c r="J103" t="s">
        <v>126</v>
      </c>
      <c r="K103" t="s">
        <v>127</v>
      </c>
      <c r="L103">
        <v>21768.61</v>
      </c>
      <c r="M103" s="1">
        <v>43466</v>
      </c>
      <c r="N103" t="s">
        <v>45</v>
      </c>
      <c r="O103" t="s">
        <v>46</v>
      </c>
      <c r="P103" t="s">
        <v>47</v>
      </c>
      <c r="Q103" s="1">
        <v>43852</v>
      </c>
      <c r="R103" t="s">
        <v>48</v>
      </c>
      <c r="S103" t="s">
        <v>41</v>
      </c>
      <c r="T103" t="s">
        <v>130</v>
      </c>
      <c r="U103" t="s">
        <v>125</v>
      </c>
      <c r="V103">
        <v>0</v>
      </c>
      <c r="W103">
        <v>100000</v>
      </c>
      <c r="X103" s="1">
        <v>43769</v>
      </c>
      <c r="Y103" t="s">
        <v>131</v>
      </c>
      <c r="Z103" t="s">
        <v>43</v>
      </c>
      <c r="AA103" t="s">
        <v>41</v>
      </c>
      <c r="AB103" t="s">
        <v>132</v>
      </c>
      <c r="AC103" t="s">
        <v>133</v>
      </c>
      <c r="AF103" t="s">
        <v>136</v>
      </c>
      <c r="AG103" s="1">
        <v>43839</v>
      </c>
      <c r="AH103" t="s">
        <v>125</v>
      </c>
      <c r="AI103" t="s">
        <v>92</v>
      </c>
      <c r="AJ103">
        <v>1278023</v>
      </c>
      <c r="AK103">
        <v>12365300</v>
      </c>
      <c r="AL103">
        <v>12900</v>
      </c>
    </row>
    <row r="104" spans="1:38" x14ac:dyDescent="0.25">
      <c r="A104" t="s">
        <v>128</v>
      </c>
      <c r="B104" t="s">
        <v>129</v>
      </c>
      <c r="C104" t="s">
        <v>40</v>
      </c>
      <c r="D104" s="1">
        <v>43466</v>
      </c>
      <c r="E104" s="1">
        <v>43830</v>
      </c>
      <c r="F104" t="s">
        <v>41</v>
      </c>
      <c r="G104">
        <v>3</v>
      </c>
      <c r="H104" t="s">
        <v>125</v>
      </c>
      <c r="I104" t="s">
        <v>43</v>
      </c>
      <c r="J104" t="s">
        <v>126</v>
      </c>
      <c r="K104" t="s">
        <v>127</v>
      </c>
      <c r="L104">
        <v>21768.61</v>
      </c>
      <c r="M104" s="1">
        <v>43466</v>
      </c>
      <c r="N104" t="s">
        <v>45</v>
      </c>
      <c r="O104" t="s">
        <v>46</v>
      </c>
      <c r="P104" t="s">
        <v>47</v>
      </c>
      <c r="Q104" s="1">
        <v>43852</v>
      </c>
      <c r="R104" t="s">
        <v>48</v>
      </c>
      <c r="S104" t="s">
        <v>41</v>
      </c>
      <c r="T104" t="s">
        <v>130</v>
      </c>
      <c r="U104" t="s">
        <v>125</v>
      </c>
      <c r="V104">
        <v>0</v>
      </c>
      <c r="W104">
        <v>100000</v>
      </c>
      <c r="X104" s="1">
        <v>43769</v>
      </c>
      <c r="Y104" t="s">
        <v>131</v>
      </c>
      <c r="Z104" t="s">
        <v>43</v>
      </c>
      <c r="AA104" t="s">
        <v>41</v>
      </c>
      <c r="AB104" t="s">
        <v>132</v>
      </c>
      <c r="AC104" t="s">
        <v>133</v>
      </c>
      <c r="AF104" t="s">
        <v>137</v>
      </c>
      <c r="AG104" s="1">
        <v>43840</v>
      </c>
      <c r="AH104" t="s">
        <v>125</v>
      </c>
      <c r="AI104" t="s">
        <v>92</v>
      </c>
      <c r="AJ104">
        <v>1278023</v>
      </c>
      <c r="AK104">
        <v>12365300</v>
      </c>
      <c r="AL104">
        <v>12900</v>
      </c>
    </row>
    <row r="105" spans="1:38" x14ac:dyDescent="0.25">
      <c r="A105" t="s">
        <v>128</v>
      </c>
      <c r="B105" t="s">
        <v>129</v>
      </c>
      <c r="C105" t="s">
        <v>40</v>
      </c>
      <c r="D105" s="1">
        <v>43466</v>
      </c>
      <c r="E105" s="1">
        <v>43830</v>
      </c>
      <c r="F105" t="s">
        <v>41</v>
      </c>
      <c r="G105">
        <v>3</v>
      </c>
      <c r="H105" t="s">
        <v>125</v>
      </c>
      <c r="I105" t="s">
        <v>43</v>
      </c>
      <c r="J105" t="s">
        <v>126</v>
      </c>
      <c r="K105" t="s">
        <v>127</v>
      </c>
      <c r="L105">
        <v>21768.61</v>
      </c>
      <c r="M105" s="1">
        <v>43466</v>
      </c>
      <c r="N105" t="s">
        <v>45</v>
      </c>
      <c r="O105" t="s">
        <v>46</v>
      </c>
      <c r="P105" t="s">
        <v>47</v>
      </c>
      <c r="Q105" s="1">
        <v>43852</v>
      </c>
      <c r="R105" t="s">
        <v>48</v>
      </c>
      <c r="S105" t="s">
        <v>138</v>
      </c>
      <c r="T105" t="s">
        <v>139</v>
      </c>
      <c r="U105" t="s">
        <v>125</v>
      </c>
      <c r="V105">
        <v>0</v>
      </c>
      <c r="W105">
        <v>10000</v>
      </c>
      <c r="X105" s="1">
        <v>43738</v>
      </c>
      <c r="Y105" t="s">
        <v>140</v>
      </c>
      <c r="Z105" t="s">
        <v>43</v>
      </c>
      <c r="AA105" t="s">
        <v>41</v>
      </c>
      <c r="AB105" t="s">
        <v>132</v>
      </c>
      <c r="AC105" t="s">
        <v>132</v>
      </c>
      <c r="AF105" t="s">
        <v>134</v>
      </c>
      <c r="AG105" s="1">
        <v>43843</v>
      </c>
      <c r="AH105" t="s">
        <v>125</v>
      </c>
      <c r="AI105" t="s">
        <v>92</v>
      </c>
      <c r="AJ105">
        <v>1278023</v>
      </c>
      <c r="AK105">
        <v>12365300</v>
      </c>
      <c r="AL105">
        <v>12900</v>
      </c>
    </row>
    <row r="106" spans="1:38" x14ac:dyDescent="0.25">
      <c r="A106" t="s">
        <v>128</v>
      </c>
      <c r="B106" t="s">
        <v>129</v>
      </c>
      <c r="C106" t="s">
        <v>40</v>
      </c>
      <c r="D106" s="1">
        <v>43466</v>
      </c>
      <c r="E106" s="1">
        <v>43830</v>
      </c>
      <c r="F106" t="s">
        <v>41</v>
      </c>
      <c r="G106">
        <v>3</v>
      </c>
      <c r="H106" t="s">
        <v>125</v>
      </c>
      <c r="I106" t="s">
        <v>43</v>
      </c>
      <c r="J106" t="s">
        <v>126</v>
      </c>
      <c r="K106" t="s">
        <v>127</v>
      </c>
      <c r="L106">
        <v>21768.61</v>
      </c>
      <c r="M106" s="1">
        <v>43466</v>
      </c>
      <c r="N106" t="s">
        <v>45</v>
      </c>
      <c r="O106" t="s">
        <v>46</v>
      </c>
      <c r="P106" t="s">
        <v>47</v>
      </c>
      <c r="Q106" s="1">
        <v>43852</v>
      </c>
      <c r="R106" t="s">
        <v>48</v>
      </c>
      <c r="S106" t="s">
        <v>138</v>
      </c>
      <c r="T106" t="s">
        <v>139</v>
      </c>
      <c r="U106" t="s">
        <v>125</v>
      </c>
      <c r="V106">
        <v>0</v>
      </c>
      <c r="W106">
        <v>10000</v>
      </c>
      <c r="X106" s="1">
        <v>43738</v>
      </c>
      <c r="Y106" t="s">
        <v>140</v>
      </c>
      <c r="Z106" t="s">
        <v>43</v>
      </c>
      <c r="AA106" t="s">
        <v>41</v>
      </c>
      <c r="AB106" t="s">
        <v>132</v>
      </c>
      <c r="AC106" t="s">
        <v>132</v>
      </c>
      <c r="AF106" t="s">
        <v>135</v>
      </c>
      <c r="AG106" s="1">
        <v>43843</v>
      </c>
      <c r="AH106" t="s">
        <v>125</v>
      </c>
      <c r="AI106" t="s">
        <v>92</v>
      </c>
      <c r="AJ106">
        <v>1278023</v>
      </c>
      <c r="AK106">
        <v>12365300</v>
      </c>
      <c r="AL106">
        <v>12900</v>
      </c>
    </row>
    <row r="107" spans="1:38" x14ac:dyDescent="0.25">
      <c r="A107" t="s">
        <v>128</v>
      </c>
      <c r="B107" t="s">
        <v>129</v>
      </c>
      <c r="C107" t="s">
        <v>40</v>
      </c>
      <c r="D107" s="1">
        <v>43466</v>
      </c>
      <c r="E107" s="1">
        <v>43830</v>
      </c>
      <c r="F107" t="s">
        <v>41</v>
      </c>
      <c r="G107">
        <v>3</v>
      </c>
      <c r="H107" t="s">
        <v>125</v>
      </c>
      <c r="I107" t="s">
        <v>43</v>
      </c>
      <c r="J107" t="s">
        <v>126</v>
      </c>
      <c r="K107" t="s">
        <v>127</v>
      </c>
      <c r="L107">
        <v>21768.61</v>
      </c>
      <c r="M107" s="1">
        <v>43466</v>
      </c>
      <c r="N107" t="s">
        <v>45</v>
      </c>
      <c r="O107" t="s">
        <v>46</v>
      </c>
      <c r="P107" t="s">
        <v>47</v>
      </c>
      <c r="Q107" s="1">
        <v>43852</v>
      </c>
      <c r="R107" t="s">
        <v>48</v>
      </c>
      <c r="S107" t="s">
        <v>138</v>
      </c>
      <c r="T107" t="s">
        <v>139</v>
      </c>
      <c r="U107" t="s">
        <v>125</v>
      </c>
      <c r="V107">
        <v>0</v>
      </c>
      <c r="W107">
        <v>10000</v>
      </c>
      <c r="X107" s="1">
        <v>43738</v>
      </c>
      <c r="Y107" t="s">
        <v>140</v>
      </c>
      <c r="Z107" t="s">
        <v>43</v>
      </c>
      <c r="AA107" t="s">
        <v>41</v>
      </c>
      <c r="AB107" t="s">
        <v>132</v>
      </c>
      <c r="AC107" t="s">
        <v>132</v>
      </c>
      <c r="AF107" t="s">
        <v>136</v>
      </c>
      <c r="AG107" s="1">
        <v>43839</v>
      </c>
      <c r="AH107" t="s">
        <v>125</v>
      </c>
      <c r="AI107" t="s">
        <v>92</v>
      </c>
      <c r="AJ107">
        <v>1278023</v>
      </c>
      <c r="AK107">
        <v>12365300</v>
      </c>
      <c r="AL107">
        <v>12900</v>
      </c>
    </row>
    <row r="108" spans="1:38" x14ac:dyDescent="0.25">
      <c r="A108" t="s">
        <v>128</v>
      </c>
      <c r="B108" t="s">
        <v>129</v>
      </c>
      <c r="C108" t="s">
        <v>40</v>
      </c>
      <c r="D108" s="1">
        <v>43466</v>
      </c>
      <c r="E108" s="1">
        <v>43830</v>
      </c>
      <c r="F108" t="s">
        <v>41</v>
      </c>
      <c r="G108">
        <v>3</v>
      </c>
      <c r="H108" t="s">
        <v>125</v>
      </c>
      <c r="I108" t="s">
        <v>43</v>
      </c>
      <c r="J108" t="s">
        <v>126</v>
      </c>
      <c r="K108" t="s">
        <v>127</v>
      </c>
      <c r="L108">
        <v>21768.61</v>
      </c>
      <c r="M108" s="1">
        <v>43466</v>
      </c>
      <c r="N108" t="s">
        <v>45</v>
      </c>
      <c r="O108" t="s">
        <v>46</v>
      </c>
      <c r="P108" t="s">
        <v>47</v>
      </c>
      <c r="Q108" s="1">
        <v>43852</v>
      </c>
      <c r="R108" t="s">
        <v>48</v>
      </c>
      <c r="S108" t="s">
        <v>138</v>
      </c>
      <c r="T108" t="s">
        <v>139</v>
      </c>
      <c r="U108" t="s">
        <v>125</v>
      </c>
      <c r="V108">
        <v>0</v>
      </c>
      <c r="W108">
        <v>10000</v>
      </c>
      <c r="X108" s="1">
        <v>43738</v>
      </c>
      <c r="Y108" t="s">
        <v>140</v>
      </c>
      <c r="Z108" t="s">
        <v>43</v>
      </c>
      <c r="AA108" t="s">
        <v>41</v>
      </c>
      <c r="AB108" t="s">
        <v>132</v>
      </c>
      <c r="AC108" t="s">
        <v>132</v>
      </c>
      <c r="AF108" t="s">
        <v>137</v>
      </c>
      <c r="AG108" s="1">
        <v>43840</v>
      </c>
      <c r="AH108" t="s">
        <v>125</v>
      </c>
      <c r="AI108" t="s">
        <v>92</v>
      </c>
      <c r="AJ108">
        <v>1278023</v>
      </c>
      <c r="AK108">
        <v>12365300</v>
      </c>
      <c r="AL108">
        <v>12900</v>
      </c>
    </row>
    <row r="109" spans="1:38" x14ac:dyDescent="0.25">
      <c r="A109" t="s">
        <v>141</v>
      </c>
      <c r="B109" t="s">
        <v>142</v>
      </c>
      <c r="C109" t="s">
        <v>40</v>
      </c>
      <c r="D109" s="1">
        <v>43466</v>
      </c>
      <c r="E109" s="1">
        <v>43830</v>
      </c>
      <c r="F109" t="s">
        <v>77</v>
      </c>
      <c r="G109">
        <v>3</v>
      </c>
      <c r="H109" t="s">
        <v>125</v>
      </c>
      <c r="I109" t="s">
        <v>43</v>
      </c>
      <c r="J109" t="s">
        <v>126</v>
      </c>
      <c r="K109" t="s">
        <v>127</v>
      </c>
      <c r="L109">
        <v>12019.2</v>
      </c>
      <c r="M109" s="1">
        <v>43466</v>
      </c>
      <c r="N109" t="s">
        <v>45</v>
      </c>
      <c r="O109" t="s">
        <v>46</v>
      </c>
      <c r="P109" t="s">
        <v>47</v>
      </c>
      <c r="Q109" s="1">
        <v>43852</v>
      </c>
      <c r="R109" t="s">
        <v>48</v>
      </c>
    </row>
    <row r="110" spans="1:38" x14ac:dyDescent="0.25">
      <c r="A110" t="s">
        <v>143</v>
      </c>
      <c r="B110">
        <v>640002371</v>
      </c>
      <c r="C110" t="s">
        <v>40</v>
      </c>
      <c r="D110" s="1">
        <v>43191</v>
      </c>
      <c r="E110" s="1">
        <v>43555</v>
      </c>
      <c r="F110" t="s">
        <v>76</v>
      </c>
      <c r="G110">
        <v>3</v>
      </c>
      <c r="H110" t="s">
        <v>125</v>
      </c>
      <c r="I110" t="s">
        <v>43</v>
      </c>
      <c r="J110" t="s">
        <v>126</v>
      </c>
      <c r="K110" t="s">
        <v>44</v>
      </c>
      <c r="L110">
        <v>66937.72</v>
      </c>
      <c r="M110" s="1">
        <v>43191</v>
      </c>
      <c r="N110" t="s">
        <v>45</v>
      </c>
      <c r="O110" t="s">
        <v>46</v>
      </c>
      <c r="P110" t="s">
        <v>47</v>
      </c>
      <c r="Q110" s="1">
        <v>43852</v>
      </c>
      <c r="R110" t="s">
        <v>48</v>
      </c>
    </row>
    <row r="111" spans="1:38" x14ac:dyDescent="0.25">
      <c r="A111" t="s">
        <v>144</v>
      </c>
      <c r="B111" t="s">
        <v>145</v>
      </c>
      <c r="C111" t="s">
        <v>40</v>
      </c>
      <c r="D111" s="1">
        <v>43231</v>
      </c>
      <c r="E111" s="1">
        <v>43595</v>
      </c>
      <c r="F111" t="s">
        <v>41</v>
      </c>
      <c r="G111">
        <v>3</v>
      </c>
      <c r="H111" t="s">
        <v>125</v>
      </c>
      <c r="I111" t="s">
        <v>43</v>
      </c>
      <c r="J111" t="s">
        <v>126</v>
      </c>
      <c r="K111" t="s">
        <v>44</v>
      </c>
      <c r="L111">
        <v>78374.84</v>
      </c>
      <c r="M111" s="1">
        <v>43231</v>
      </c>
      <c r="N111" t="s">
        <v>45</v>
      </c>
      <c r="O111" t="s">
        <v>46</v>
      </c>
      <c r="P111" t="s">
        <v>47</v>
      </c>
      <c r="Q111" s="1">
        <v>43852</v>
      </c>
      <c r="R111" t="s">
        <v>48</v>
      </c>
      <c r="S111" t="s">
        <v>41</v>
      </c>
      <c r="T111" t="s">
        <v>130</v>
      </c>
      <c r="U111" t="s">
        <v>125</v>
      </c>
      <c r="V111">
        <v>0</v>
      </c>
      <c r="W111">
        <v>100000</v>
      </c>
      <c r="X111" s="1">
        <v>43769</v>
      </c>
      <c r="Y111" t="s">
        <v>131</v>
      </c>
      <c r="Z111" t="s">
        <v>43</v>
      </c>
      <c r="AA111" t="s">
        <v>41</v>
      </c>
      <c r="AB111" t="s">
        <v>132</v>
      </c>
      <c r="AC111" t="s">
        <v>133</v>
      </c>
      <c r="AF111" t="s">
        <v>134</v>
      </c>
      <c r="AG111" s="1">
        <v>43843</v>
      </c>
      <c r="AH111" t="s">
        <v>125</v>
      </c>
      <c r="AI111" t="s">
        <v>92</v>
      </c>
      <c r="AJ111">
        <v>1278023</v>
      </c>
      <c r="AK111">
        <v>12365300</v>
      </c>
      <c r="AL111">
        <v>12900</v>
      </c>
    </row>
    <row r="112" spans="1:38" x14ac:dyDescent="0.25">
      <c r="A112" t="s">
        <v>144</v>
      </c>
      <c r="B112" t="s">
        <v>145</v>
      </c>
      <c r="C112" t="s">
        <v>40</v>
      </c>
      <c r="D112" s="1">
        <v>43231</v>
      </c>
      <c r="E112" s="1">
        <v>43595</v>
      </c>
      <c r="F112" t="s">
        <v>41</v>
      </c>
      <c r="G112">
        <v>3</v>
      </c>
      <c r="H112" t="s">
        <v>125</v>
      </c>
      <c r="I112" t="s">
        <v>43</v>
      </c>
      <c r="J112" t="s">
        <v>126</v>
      </c>
      <c r="K112" t="s">
        <v>44</v>
      </c>
      <c r="L112">
        <v>78374.84</v>
      </c>
      <c r="M112" s="1">
        <v>43231</v>
      </c>
      <c r="N112" t="s">
        <v>45</v>
      </c>
      <c r="O112" t="s">
        <v>46</v>
      </c>
      <c r="P112" t="s">
        <v>47</v>
      </c>
      <c r="Q112" s="1">
        <v>43852</v>
      </c>
      <c r="R112" t="s">
        <v>48</v>
      </c>
      <c r="S112" t="s">
        <v>41</v>
      </c>
      <c r="T112" t="s">
        <v>130</v>
      </c>
      <c r="U112" t="s">
        <v>125</v>
      </c>
      <c r="V112">
        <v>0</v>
      </c>
      <c r="W112">
        <v>100000</v>
      </c>
      <c r="X112" s="1">
        <v>43769</v>
      </c>
      <c r="Y112" t="s">
        <v>131</v>
      </c>
      <c r="Z112" t="s">
        <v>43</v>
      </c>
      <c r="AA112" t="s">
        <v>41</v>
      </c>
      <c r="AB112" t="s">
        <v>132</v>
      </c>
      <c r="AC112" t="s">
        <v>133</v>
      </c>
      <c r="AF112" t="s">
        <v>135</v>
      </c>
      <c r="AG112" s="1">
        <v>43843</v>
      </c>
      <c r="AH112" t="s">
        <v>125</v>
      </c>
      <c r="AI112" t="s">
        <v>92</v>
      </c>
      <c r="AJ112">
        <v>1278023</v>
      </c>
      <c r="AK112">
        <v>12365300</v>
      </c>
      <c r="AL112">
        <v>12900</v>
      </c>
    </row>
    <row r="113" spans="1:38" x14ac:dyDescent="0.25">
      <c r="A113" t="s">
        <v>144</v>
      </c>
      <c r="B113" t="s">
        <v>145</v>
      </c>
      <c r="C113" t="s">
        <v>40</v>
      </c>
      <c r="D113" s="1">
        <v>43231</v>
      </c>
      <c r="E113" s="1">
        <v>43595</v>
      </c>
      <c r="F113" t="s">
        <v>41</v>
      </c>
      <c r="G113">
        <v>3</v>
      </c>
      <c r="H113" t="s">
        <v>125</v>
      </c>
      <c r="I113" t="s">
        <v>43</v>
      </c>
      <c r="J113" t="s">
        <v>126</v>
      </c>
      <c r="K113" t="s">
        <v>44</v>
      </c>
      <c r="L113">
        <v>78374.84</v>
      </c>
      <c r="M113" s="1">
        <v>43231</v>
      </c>
      <c r="N113" t="s">
        <v>45</v>
      </c>
      <c r="O113" t="s">
        <v>46</v>
      </c>
      <c r="P113" t="s">
        <v>47</v>
      </c>
      <c r="Q113" s="1">
        <v>43852</v>
      </c>
      <c r="R113" t="s">
        <v>48</v>
      </c>
      <c r="S113" t="s">
        <v>41</v>
      </c>
      <c r="T113" t="s">
        <v>130</v>
      </c>
      <c r="U113" t="s">
        <v>125</v>
      </c>
      <c r="V113">
        <v>0</v>
      </c>
      <c r="W113">
        <v>100000</v>
      </c>
      <c r="X113" s="1">
        <v>43769</v>
      </c>
      <c r="Y113" t="s">
        <v>131</v>
      </c>
      <c r="Z113" t="s">
        <v>43</v>
      </c>
      <c r="AA113" t="s">
        <v>41</v>
      </c>
      <c r="AB113" t="s">
        <v>132</v>
      </c>
      <c r="AC113" t="s">
        <v>133</v>
      </c>
      <c r="AF113" t="s">
        <v>136</v>
      </c>
      <c r="AG113" s="1">
        <v>43839</v>
      </c>
      <c r="AH113" t="s">
        <v>125</v>
      </c>
      <c r="AI113" t="s">
        <v>92</v>
      </c>
      <c r="AJ113">
        <v>1278023</v>
      </c>
      <c r="AK113">
        <v>12365300</v>
      </c>
      <c r="AL113">
        <v>12900</v>
      </c>
    </row>
    <row r="114" spans="1:38" x14ac:dyDescent="0.25">
      <c r="A114" t="s">
        <v>144</v>
      </c>
      <c r="B114" t="s">
        <v>145</v>
      </c>
      <c r="C114" t="s">
        <v>40</v>
      </c>
      <c r="D114" s="1">
        <v>43231</v>
      </c>
      <c r="E114" s="1">
        <v>43595</v>
      </c>
      <c r="F114" t="s">
        <v>41</v>
      </c>
      <c r="G114">
        <v>3</v>
      </c>
      <c r="H114" t="s">
        <v>125</v>
      </c>
      <c r="I114" t="s">
        <v>43</v>
      </c>
      <c r="J114" t="s">
        <v>126</v>
      </c>
      <c r="K114" t="s">
        <v>44</v>
      </c>
      <c r="L114">
        <v>78374.84</v>
      </c>
      <c r="M114" s="1">
        <v>43231</v>
      </c>
      <c r="N114" t="s">
        <v>45</v>
      </c>
      <c r="O114" t="s">
        <v>46</v>
      </c>
      <c r="P114" t="s">
        <v>47</v>
      </c>
      <c r="Q114" s="1">
        <v>43852</v>
      </c>
      <c r="R114" t="s">
        <v>48</v>
      </c>
      <c r="S114" t="s">
        <v>41</v>
      </c>
      <c r="T114" t="s">
        <v>130</v>
      </c>
      <c r="U114" t="s">
        <v>125</v>
      </c>
      <c r="V114">
        <v>0</v>
      </c>
      <c r="W114">
        <v>100000</v>
      </c>
      <c r="X114" s="1">
        <v>43769</v>
      </c>
      <c r="Y114" t="s">
        <v>131</v>
      </c>
      <c r="Z114" t="s">
        <v>43</v>
      </c>
      <c r="AA114" t="s">
        <v>41</v>
      </c>
      <c r="AB114" t="s">
        <v>132</v>
      </c>
      <c r="AC114" t="s">
        <v>133</v>
      </c>
      <c r="AF114" t="s">
        <v>137</v>
      </c>
      <c r="AG114" s="1">
        <v>43840</v>
      </c>
      <c r="AH114" t="s">
        <v>125</v>
      </c>
      <c r="AI114" t="s">
        <v>92</v>
      </c>
      <c r="AJ114">
        <v>1278023</v>
      </c>
      <c r="AK114">
        <v>12365300</v>
      </c>
      <c r="AL114">
        <v>12900</v>
      </c>
    </row>
    <row r="115" spans="1:38" x14ac:dyDescent="0.25">
      <c r="A115" t="s">
        <v>144</v>
      </c>
      <c r="B115" t="s">
        <v>145</v>
      </c>
      <c r="C115" t="s">
        <v>40</v>
      </c>
      <c r="D115" s="1">
        <v>43231</v>
      </c>
      <c r="E115" s="1">
        <v>43595</v>
      </c>
      <c r="F115" t="s">
        <v>41</v>
      </c>
      <c r="G115">
        <v>3</v>
      </c>
      <c r="H115" t="s">
        <v>125</v>
      </c>
      <c r="I115" t="s">
        <v>43</v>
      </c>
      <c r="J115" t="s">
        <v>126</v>
      </c>
      <c r="K115" t="s">
        <v>44</v>
      </c>
      <c r="L115">
        <v>78374.84</v>
      </c>
      <c r="M115" s="1">
        <v>43231</v>
      </c>
      <c r="N115" t="s">
        <v>45</v>
      </c>
      <c r="O115" t="s">
        <v>46</v>
      </c>
      <c r="P115" t="s">
        <v>47</v>
      </c>
      <c r="Q115" s="1">
        <v>43852</v>
      </c>
      <c r="R115" t="s">
        <v>48</v>
      </c>
      <c r="S115" t="s">
        <v>138</v>
      </c>
      <c r="T115" t="s">
        <v>139</v>
      </c>
      <c r="U115" t="s">
        <v>125</v>
      </c>
      <c r="V115">
        <v>0</v>
      </c>
      <c r="W115">
        <v>10000</v>
      </c>
      <c r="X115" s="1">
        <v>43738</v>
      </c>
      <c r="Y115" t="s">
        <v>140</v>
      </c>
      <c r="Z115" t="s">
        <v>43</v>
      </c>
      <c r="AA115" t="s">
        <v>41</v>
      </c>
      <c r="AB115" t="s">
        <v>132</v>
      </c>
      <c r="AC115" t="s">
        <v>132</v>
      </c>
      <c r="AF115" t="s">
        <v>134</v>
      </c>
      <c r="AG115" s="1">
        <v>43843</v>
      </c>
      <c r="AH115" t="s">
        <v>125</v>
      </c>
      <c r="AI115" t="s">
        <v>92</v>
      </c>
      <c r="AJ115">
        <v>1278023</v>
      </c>
      <c r="AK115">
        <v>12365300</v>
      </c>
      <c r="AL115">
        <v>12900</v>
      </c>
    </row>
    <row r="116" spans="1:38" x14ac:dyDescent="0.25">
      <c r="A116" t="s">
        <v>144</v>
      </c>
      <c r="B116" t="s">
        <v>145</v>
      </c>
      <c r="C116" t="s">
        <v>40</v>
      </c>
      <c r="D116" s="1">
        <v>43231</v>
      </c>
      <c r="E116" s="1">
        <v>43595</v>
      </c>
      <c r="F116" t="s">
        <v>41</v>
      </c>
      <c r="G116">
        <v>3</v>
      </c>
      <c r="H116" t="s">
        <v>125</v>
      </c>
      <c r="I116" t="s">
        <v>43</v>
      </c>
      <c r="J116" t="s">
        <v>126</v>
      </c>
      <c r="K116" t="s">
        <v>44</v>
      </c>
      <c r="L116">
        <v>78374.84</v>
      </c>
      <c r="M116" s="1">
        <v>43231</v>
      </c>
      <c r="N116" t="s">
        <v>45</v>
      </c>
      <c r="O116" t="s">
        <v>46</v>
      </c>
      <c r="P116" t="s">
        <v>47</v>
      </c>
      <c r="Q116" s="1">
        <v>43852</v>
      </c>
      <c r="R116" t="s">
        <v>48</v>
      </c>
      <c r="S116" t="s">
        <v>138</v>
      </c>
      <c r="T116" t="s">
        <v>139</v>
      </c>
      <c r="U116" t="s">
        <v>125</v>
      </c>
      <c r="V116">
        <v>0</v>
      </c>
      <c r="W116">
        <v>10000</v>
      </c>
      <c r="X116" s="1">
        <v>43738</v>
      </c>
      <c r="Y116" t="s">
        <v>140</v>
      </c>
      <c r="Z116" t="s">
        <v>43</v>
      </c>
      <c r="AA116" t="s">
        <v>41</v>
      </c>
      <c r="AB116" t="s">
        <v>132</v>
      </c>
      <c r="AC116" t="s">
        <v>132</v>
      </c>
      <c r="AF116" t="s">
        <v>135</v>
      </c>
      <c r="AG116" s="1">
        <v>43843</v>
      </c>
      <c r="AH116" t="s">
        <v>125</v>
      </c>
      <c r="AI116" t="s">
        <v>92</v>
      </c>
      <c r="AJ116">
        <v>1278023</v>
      </c>
      <c r="AK116">
        <v>12365300</v>
      </c>
      <c r="AL116">
        <v>12900</v>
      </c>
    </row>
    <row r="117" spans="1:38" x14ac:dyDescent="0.25">
      <c r="A117" t="s">
        <v>144</v>
      </c>
      <c r="B117" t="s">
        <v>145</v>
      </c>
      <c r="C117" t="s">
        <v>40</v>
      </c>
      <c r="D117" s="1">
        <v>43231</v>
      </c>
      <c r="E117" s="1">
        <v>43595</v>
      </c>
      <c r="F117" t="s">
        <v>41</v>
      </c>
      <c r="G117">
        <v>3</v>
      </c>
      <c r="H117" t="s">
        <v>125</v>
      </c>
      <c r="I117" t="s">
        <v>43</v>
      </c>
      <c r="J117" t="s">
        <v>126</v>
      </c>
      <c r="K117" t="s">
        <v>44</v>
      </c>
      <c r="L117">
        <v>78374.84</v>
      </c>
      <c r="M117" s="1">
        <v>43231</v>
      </c>
      <c r="N117" t="s">
        <v>45</v>
      </c>
      <c r="O117" t="s">
        <v>46</v>
      </c>
      <c r="P117" t="s">
        <v>47</v>
      </c>
      <c r="Q117" s="1">
        <v>43852</v>
      </c>
      <c r="R117" t="s">
        <v>48</v>
      </c>
      <c r="S117" t="s">
        <v>138</v>
      </c>
      <c r="T117" t="s">
        <v>139</v>
      </c>
      <c r="U117" t="s">
        <v>125</v>
      </c>
      <c r="V117">
        <v>0</v>
      </c>
      <c r="W117">
        <v>10000</v>
      </c>
      <c r="X117" s="1">
        <v>43738</v>
      </c>
      <c r="Y117" t="s">
        <v>140</v>
      </c>
      <c r="Z117" t="s">
        <v>43</v>
      </c>
      <c r="AA117" t="s">
        <v>41</v>
      </c>
      <c r="AB117" t="s">
        <v>132</v>
      </c>
      <c r="AC117" t="s">
        <v>132</v>
      </c>
      <c r="AF117" t="s">
        <v>136</v>
      </c>
      <c r="AG117" s="1">
        <v>43839</v>
      </c>
      <c r="AH117" t="s">
        <v>125</v>
      </c>
      <c r="AI117" t="s">
        <v>92</v>
      </c>
      <c r="AJ117">
        <v>1278023</v>
      </c>
      <c r="AK117">
        <v>12365300</v>
      </c>
      <c r="AL117">
        <v>12900</v>
      </c>
    </row>
    <row r="118" spans="1:38" x14ac:dyDescent="0.25">
      <c r="A118" t="s">
        <v>144</v>
      </c>
      <c r="B118" t="s">
        <v>145</v>
      </c>
      <c r="C118" t="s">
        <v>40</v>
      </c>
      <c r="D118" s="1">
        <v>43231</v>
      </c>
      <c r="E118" s="1">
        <v>43595</v>
      </c>
      <c r="F118" t="s">
        <v>41</v>
      </c>
      <c r="G118">
        <v>3</v>
      </c>
      <c r="H118" t="s">
        <v>125</v>
      </c>
      <c r="I118" t="s">
        <v>43</v>
      </c>
      <c r="J118" t="s">
        <v>126</v>
      </c>
      <c r="K118" t="s">
        <v>44</v>
      </c>
      <c r="L118">
        <v>78374.84</v>
      </c>
      <c r="M118" s="1">
        <v>43231</v>
      </c>
      <c r="N118" t="s">
        <v>45</v>
      </c>
      <c r="O118" t="s">
        <v>46</v>
      </c>
      <c r="P118" t="s">
        <v>47</v>
      </c>
      <c r="Q118" s="1">
        <v>43852</v>
      </c>
      <c r="R118" t="s">
        <v>48</v>
      </c>
      <c r="S118" t="s">
        <v>138</v>
      </c>
      <c r="T118" t="s">
        <v>139</v>
      </c>
      <c r="U118" t="s">
        <v>125</v>
      </c>
      <c r="V118">
        <v>0</v>
      </c>
      <c r="W118">
        <v>10000</v>
      </c>
      <c r="X118" s="1">
        <v>43738</v>
      </c>
      <c r="Y118" t="s">
        <v>140</v>
      </c>
      <c r="Z118" t="s">
        <v>43</v>
      </c>
      <c r="AA118" t="s">
        <v>41</v>
      </c>
      <c r="AB118" t="s">
        <v>132</v>
      </c>
      <c r="AC118" t="s">
        <v>132</v>
      </c>
      <c r="AF118" t="s">
        <v>137</v>
      </c>
      <c r="AG118" s="1">
        <v>43840</v>
      </c>
      <c r="AH118" t="s">
        <v>125</v>
      </c>
      <c r="AI118" t="s">
        <v>92</v>
      </c>
      <c r="AJ118">
        <v>1278023</v>
      </c>
      <c r="AK118">
        <v>12365300</v>
      </c>
      <c r="AL118">
        <v>12900</v>
      </c>
    </row>
    <row r="119" spans="1:38" x14ac:dyDescent="0.25">
      <c r="A119" t="s">
        <v>146</v>
      </c>
      <c r="B119" t="s">
        <v>147</v>
      </c>
      <c r="C119" t="s">
        <v>71</v>
      </c>
      <c r="D119" s="1">
        <v>43191</v>
      </c>
      <c r="E119" s="1">
        <v>43555</v>
      </c>
      <c r="F119" t="s">
        <v>84</v>
      </c>
      <c r="G119">
        <v>10</v>
      </c>
      <c r="H119" t="s">
        <v>85</v>
      </c>
      <c r="I119" t="s">
        <v>43</v>
      </c>
      <c r="J119" t="s">
        <v>86</v>
      </c>
      <c r="K119" t="s">
        <v>44</v>
      </c>
      <c r="L119">
        <v>60000</v>
      </c>
      <c r="M119" s="1">
        <v>43191</v>
      </c>
      <c r="N119" t="s">
        <v>45</v>
      </c>
      <c r="O119" t="s">
        <v>46</v>
      </c>
      <c r="P119" t="s">
        <v>47</v>
      </c>
      <c r="Q119" s="1">
        <v>43852</v>
      </c>
      <c r="R119" t="s">
        <v>48</v>
      </c>
      <c r="S119" t="s">
        <v>87</v>
      </c>
      <c r="T119" t="s">
        <v>88</v>
      </c>
      <c r="U119" t="s">
        <v>85</v>
      </c>
      <c r="V119">
        <v>1400000</v>
      </c>
      <c r="W119">
        <v>100000</v>
      </c>
      <c r="X119" s="1">
        <v>43808</v>
      </c>
      <c r="Y119" t="s">
        <v>51</v>
      </c>
      <c r="Z119" t="s">
        <v>43</v>
      </c>
      <c r="AA119" t="s">
        <v>86</v>
      </c>
      <c r="AB119" t="s">
        <v>89</v>
      </c>
      <c r="AC119" t="s">
        <v>90</v>
      </c>
      <c r="AF119" t="s">
        <v>91</v>
      </c>
      <c r="AG119" s="1">
        <v>43852</v>
      </c>
      <c r="AH119" t="s">
        <v>85</v>
      </c>
      <c r="AI119" t="s">
        <v>92</v>
      </c>
      <c r="AJ119">
        <v>19888</v>
      </c>
      <c r="AK119">
        <v>128777</v>
      </c>
      <c r="AL119">
        <v>198882</v>
      </c>
    </row>
    <row r="120" spans="1:38" x14ac:dyDescent="0.25">
      <c r="A120" t="s">
        <v>146</v>
      </c>
      <c r="B120" t="s">
        <v>147</v>
      </c>
      <c r="C120" t="s">
        <v>71</v>
      </c>
      <c r="D120" s="1">
        <v>43191</v>
      </c>
      <c r="E120" s="1">
        <v>43555</v>
      </c>
      <c r="F120" t="s">
        <v>84</v>
      </c>
      <c r="G120">
        <v>10</v>
      </c>
      <c r="H120" t="s">
        <v>85</v>
      </c>
      <c r="I120" t="s">
        <v>43</v>
      </c>
      <c r="J120" t="s">
        <v>86</v>
      </c>
      <c r="K120" t="s">
        <v>44</v>
      </c>
      <c r="L120">
        <v>60000</v>
      </c>
      <c r="M120" s="1">
        <v>43191</v>
      </c>
      <c r="N120" t="s">
        <v>45</v>
      </c>
      <c r="O120" t="s">
        <v>46</v>
      </c>
      <c r="P120" t="s">
        <v>47</v>
      </c>
      <c r="Q120" s="1">
        <v>43852</v>
      </c>
      <c r="R120" t="s">
        <v>48</v>
      </c>
      <c r="S120" t="s">
        <v>87</v>
      </c>
      <c r="T120" t="s">
        <v>88</v>
      </c>
      <c r="U120" t="s">
        <v>85</v>
      </c>
      <c r="V120">
        <v>1400000</v>
      </c>
      <c r="W120">
        <v>100000</v>
      </c>
      <c r="X120" s="1">
        <v>43808</v>
      </c>
      <c r="Y120" t="s">
        <v>51</v>
      </c>
      <c r="Z120" t="s">
        <v>43</v>
      </c>
      <c r="AA120" t="s">
        <v>86</v>
      </c>
      <c r="AB120" t="s">
        <v>89</v>
      </c>
      <c r="AC120" t="s">
        <v>90</v>
      </c>
      <c r="AF120" t="s">
        <v>93</v>
      </c>
      <c r="AG120" s="1">
        <v>43843</v>
      </c>
      <c r="AH120" t="s">
        <v>85</v>
      </c>
      <c r="AI120" t="s">
        <v>92</v>
      </c>
      <c r="AJ120">
        <v>19888</v>
      </c>
      <c r="AK120">
        <v>128777</v>
      </c>
      <c r="AL120">
        <v>198882</v>
      </c>
    </row>
    <row r="121" spans="1:38" x14ac:dyDescent="0.25">
      <c r="A121" t="s">
        <v>146</v>
      </c>
      <c r="B121" t="s">
        <v>147</v>
      </c>
      <c r="C121" t="s">
        <v>71</v>
      </c>
      <c r="D121" s="1">
        <v>43191</v>
      </c>
      <c r="E121" s="1">
        <v>43555</v>
      </c>
      <c r="F121" t="s">
        <v>84</v>
      </c>
      <c r="G121">
        <v>10</v>
      </c>
      <c r="H121" t="s">
        <v>85</v>
      </c>
      <c r="I121" t="s">
        <v>43</v>
      </c>
      <c r="J121" t="s">
        <v>86</v>
      </c>
      <c r="K121" t="s">
        <v>44</v>
      </c>
      <c r="L121">
        <v>60000</v>
      </c>
      <c r="M121" s="1">
        <v>43191</v>
      </c>
      <c r="N121" t="s">
        <v>45</v>
      </c>
      <c r="O121" t="s">
        <v>46</v>
      </c>
      <c r="P121" t="s">
        <v>47</v>
      </c>
      <c r="Q121" s="1">
        <v>43852</v>
      </c>
      <c r="R121" t="s">
        <v>48</v>
      </c>
      <c r="S121" t="s">
        <v>94</v>
      </c>
      <c r="T121" t="s">
        <v>95</v>
      </c>
      <c r="U121" t="s">
        <v>85</v>
      </c>
      <c r="V121">
        <v>4500000</v>
      </c>
      <c r="W121">
        <v>300000</v>
      </c>
      <c r="X121" s="1">
        <v>43767</v>
      </c>
      <c r="Y121" t="s">
        <v>51</v>
      </c>
      <c r="Z121" t="s">
        <v>43</v>
      </c>
      <c r="AA121" t="s">
        <v>86</v>
      </c>
      <c r="AB121" t="s">
        <v>89</v>
      </c>
      <c r="AC121" t="s">
        <v>90</v>
      </c>
      <c r="AF121" t="s">
        <v>91</v>
      </c>
      <c r="AG121" s="1">
        <v>43852</v>
      </c>
      <c r="AH121" t="s">
        <v>85</v>
      </c>
      <c r="AI121" t="s">
        <v>92</v>
      </c>
      <c r="AJ121">
        <v>19888</v>
      </c>
      <c r="AK121">
        <v>128777</v>
      </c>
      <c r="AL121">
        <v>198882</v>
      </c>
    </row>
    <row r="122" spans="1:38" x14ac:dyDescent="0.25">
      <c r="A122" t="s">
        <v>146</v>
      </c>
      <c r="B122" t="s">
        <v>147</v>
      </c>
      <c r="C122" t="s">
        <v>71</v>
      </c>
      <c r="D122" s="1">
        <v>43191</v>
      </c>
      <c r="E122" s="1">
        <v>43555</v>
      </c>
      <c r="F122" t="s">
        <v>84</v>
      </c>
      <c r="G122">
        <v>10</v>
      </c>
      <c r="H122" t="s">
        <v>85</v>
      </c>
      <c r="I122" t="s">
        <v>43</v>
      </c>
      <c r="J122" t="s">
        <v>86</v>
      </c>
      <c r="K122" t="s">
        <v>44</v>
      </c>
      <c r="L122">
        <v>60000</v>
      </c>
      <c r="M122" s="1">
        <v>43191</v>
      </c>
      <c r="N122" t="s">
        <v>45</v>
      </c>
      <c r="O122" t="s">
        <v>46</v>
      </c>
      <c r="P122" t="s">
        <v>47</v>
      </c>
      <c r="Q122" s="1">
        <v>43852</v>
      </c>
      <c r="R122" t="s">
        <v>48</v>
      </c>
      <c r="S122" t="s">
        <v>94</v>
      </c>
      <c r="T122" t="s">
        <v>95</v>
      </c>
      <c r="U122" t="s">
        <v>85</v>
      </c>
      <c r="V122">
        <v>4500000</v>
      </c>
      <c r="W122">
        <v>300000</v>
      </c>
      <c r="X122" s="1">
        <v>43767</v>
      </c>
      <c r="Y122" t="s">
        <v>51</v>
      </c>
      <c r="Z122" t="s">
        <v>43</v>
      </c>
      <c r="AA122" t="s">
        <v>86</v>
      </c>
      <c r="AB122" t="s">
        <v>89</v>
      </c>
      <c r="AC122" t="s">
        <v>90</v>
      </c>
      <c r="AF122" t="s">
        <v>93</v>
      </c>
      <c r="AG122" s="1">
        <v>43843</v>
      </c>
      <c r="AH122" t="s">
        <v>85</v>
      </c>
      <c r="AI122" t="s">
        <v>92</v>
      </c>
      <c r="AJ122">
        <v>19888</v>
      </c>
      <c r="AK122">
        <v>128777</v>
      </c>
      <c r="AL122">
        <v>198882</v>
      </c>
    </row>
    <row r="123" spans="1:38" x14ac:dyDescent="0.25">
      <c r="A123" t="s">
        <v>146</v>
      </c>
      <c r="B123" t="s">
        <v>147</v>
      </c>
      <c r="C123" t="s">
        <v>71</v>
      </c>
      <c r="D123" s="1">
        <v>43191</v>
      </c>
      <c r="E123" s="1">
        <v>43555</v>
      </c>
      <c r="F123" t="s">
        <v>84</v>
      </c>
      <c r="G123">
        <v>10</v>
      </c>
      <c r="H123" t="s">
        <v>85</v>
      </c>
      <c r="I123" t="s">
        <v>43</v>
      </c>
      <c r="J123" t="s">
        <v>86</v>
      </c>
      <c r="K123" t="s">
        <v>44</v>
      </c>
      <c r="L123">
        <v>60000</v>
      </c>
      <c r="M123" s="1">
        <v>43191</v>
      </c>
      <c r="N123" t="s">
        <v>45</v>
      </c>
      <c r="O123" t="s">
        <v>46</v>
      </c>
      <c r="P123" t="s">
        <v>47</v>
      </c>
      <c r="Q123" s="1">
        <v>43852</v>
      </c>
      <c r="R123" t="s">
        <v>48</v>
      </c>
      <c r="S123" t="s">
        <v>96</v>
      </c>
      <c r="T123" t="s">
        <v>97</v>
      </c>
      <c r="U123" t="s">
        <v>85</v>
      </c>
      <c r="V123">
        <v>600000</v>
      </c>
      <c r="W123">
        <v>100000</v>
      </c>
      <c r="X123" s="1">
        <v>43799</v>
      </c>
      <c r="Y123" t="s">
        <v>51</v>
      </c>
      <c r="Z123" t="s">
        <v>43</v>
      </c>
      <c r="AA123" t="s">
        <v>98</v>
      </c>
      <c r="AB123" t="s">
        <v>89</v>
      </c>
      <c r="AC123" t="s">
        <v>90</v>
      </c>
      <c r="AF123" t="s">
        <v>91</v>
      </c>
      <c r="AG123" s="1">
        <v>43852</v>
      </c>
      <c r="AH123" t="s">
        <v>85</v>
      </c>
      <c r="AI123" t="s">
        <v>92</v>
      </c>
      <c r="AJ123">
        <v>19888</v>
      </c>
      <c r="AK123">
        <v>128777</v>
      </c>
      <c r="AL123">
        <v>198882</v>
      </c>
    </row>
    <row r="124" spans="1:38" x14ac:dyDescent="0.25">
      <c r="A124" t="s">
        <v>146</v>
      </c>
      <c r="B124" t="s">
        <v>147</v>
      </c>
      <c r="C124" t="s">
        <v>71</v>
      </c>
      <c r="D124" s="1">
        <v>43191</v>
      </c>
      <c r="E124" s="1">
        <v>43555</v>
      </c>
      <c r="F124" t="s">
        <v>84</v>
      </c>
      <c r="G124">
        <v>10</v>
      </c>
      <c r="H124" t="s">
        <v>85</v>
      </c>
      <c r="I124" t="s">
        <v>43</v>
      </c>
      <c r="J124" t="s">
        <v>86</v>
      </c>
      <c r="K124" t="s">
        <v>44</v>
      </c>
      <c r="L124">
        <v>60000</v>
      </c>
      <c r="M124" s="1">
        <v>43191</v>
      </c>
      <c r="N124" t="s">
        <v>45</v>
      </c>
      <c r="O124" t="s">
        <v>46</v>
      </c>
      <c r="P124" t="s">
        <v>47</v>
      </c>
      <c r="Q124" s="1">
        <v>43852</v>
      </c>
      <c r="R124" t="s">
        <v>48</v>
      </c>
      <c r="S124" t="s">
        <v>96</v>
      </c>
      <c r="T124" t="s">
        <v>97</v>
      </c>
      <c r="U124" t="s">
        <v>85</v>
      </c>
      <c r="V124">
        <v>600000</v>
      </c>
      <c r="W124">
        <v>100000</v>
      </c>
      <c r="X124" s="1">
        <v>43799</v>
      </c>
      <c r="Y124" t="s">
        <v>51</v>
      </c>
      <c r="Z124" t="s">
        <v>43</v>
      </c>
      <c r="AA124" t="s">
        <v>98</v>
      </c>
      <c r="AB124" t="s">
        <v>89</v>
      </c>
      <c r="AC124" t="s">
        <v>90</v>
      </c>
      <c r="AF124" t="s">
        <v>93</v>
      </c>
      <c r="AG124" s="1">
        <v>43843</v>
      </c>
      <c r="AH124" t="s">
        <v>85</v>
      </c>
      <c r="AI124" t="s">
        <v>92</v>
      </c>
      <c r="AJ124">
        <v>19888</v>
      </c>
      <c r="AK124">
        <v>128777</v>
      </c>
      <c r="AL124">
        <v>198882</v>
      </c>
    </row>
    <row r="125" spans="1:38" x14ac:dyDescent="0.25">
      <c r="A125" t="s">
        <v>146</v>
      </c>
      <c r="B125" t="s">
        <v>147</v>
      </c>
      <c r="C125" t="s">
        <v>71</v>
      </c>
      <c r="D125" s="1">
        <v>43191</v>
      </c>
      <c r="E125" s="1">
        <v>43555</v>
      </c>
      <c r="F125" t="s">
        <v>84</v>
      </c>
      <c r="G125">
        <v>10</v>
      </c>
      <c r="H125" t="s">
        <v>85</v>
      </c>
      <c r="I125" t="s">
        <v>43</v>
      </c>
      <c r="J125" t="s">
        <v>86</v>
      </c>
      <c r="K125" t="s">
        <v>44</v>
      </c>
      <c r="L125">
        <v>60000</v>
      </c>
      <c r="M125" s="1">
        <v>43191</v>
      </c>
      <c r="N125" t="s">
        <v>45</v>
      </c>
      <c r="O125" t="s">
        <v>46</v>
      </c>
      <c r="P125" t="s">
        <v>47</v>
      </c>
      <c r="Q125" s="1">
        <v>43852</v>
      </c>
      <c r="R125" t="s">
        <v>48</v>
      </c>
      <c r="S125" t="s">
        <v>99</v>
      </c>
      <c r="T125" t="s">
        <v>100</v>
      </c>
      <c r="U125" t="s">
        <v>85</v>
      </c>
      <c r="V125">
        <v>210000</v>
      </c>
      <c r="W125">
        <v>35000</v>
      </c>
      <c r="X125" s="1">
        <v>43799</v>
      </c>
      <c r="Y125" t="s">
        <v>51</v>
      </c>
      <c r="Z125" t="s">
        <v>43</v>
      </c>
      <c r="AA125" t="s">
        <v>98</v>
      </c>
      <c r="AB125" t="s">
        <v>89</v>
      </c>
      <c r="AC125" t="s">
        <v>101</v>
      </c>
      <c r="AF125" t="s">
        <v>91</v>
      </c>
      <c r="AG125" s="1">
        <v>43852</v>
      </c>
      <c r="AH125" t="s">
        <v>85</v>
      </c>
      <c r="AI125" t="s">
        <v>92</v>
      </c>
      <c r="AJ125">
        <v>19888</v>
      </c>
      <c r="AK125">
        <v>128777</v>
      </c>
      <c r="AL125">
        <v>198882</v>
      </c>
    </row>
    <row r="126" spans="1:38" x14ac:dyDescent="0.25">
      <c r="A126" t="s">
        <v>146</v>
      </c>
      <c r="B126" t="s">
        <v>147</v>
      </c>
      <c r="C126" t="s">
        <v>71</v>
      </c>
      <c r="D126" s="1">
        <v>43191</v>
      </c>
      <c r="E126" s="1">
        <v>43555</v>
      </c>
      <c r="F126" t="s">
        <v>84</v>
      </c>
      <c r="G126">
        <v>10</v>
      </c>
      <c r="H126" t="s">
        <v>85</v>
      </c>
      <c r="I126" t="s">
        <v>43</v>
      </c>
      <c r="J126" t="s">
        <v>86</v>
      </c>
      <c r="K126" t="s">
        <v>44</v>
      </c>
      <c r="L126">
        <v>60000</v>
      </c>
      <c r="M126" s="1">
        <v>43191</v>
      </c>
      <c r="N126" t="s">
        <v>45</v>
      </c>
      <c r="O126" t="s">
        <v>46</v>
      </c>
      <c r="P126" t="s">
        <v>47</v>
      </c>
      <c r="Q126" s="1">
        <v>43852</v>
      </c>
      <c r="R126" t="s">
        <v>48</v>
      </c>
      <c r="S126" t="s">
        <v>99</v>
      </c>
      <c r="T126" t="s">
        <v>100</v>
      </c>
      <c r="U126" t="s">
        <v>85</v>
      </c>
      <c r="V126">
        <v>210000</v>
      </c>
      <c r="W126">
        <v>35000</v>
      </c>
      <c r="X126" s="1">
        <v>43799</v>
      </c>
      <c r="Y126" t="s">
        <v>51</v>
      </c>
      <c r="Z126" t="s">
        <v>43</v>
      </c>
      <c r="AA126" t="s">
        <v>98</v>
      </c>
      <c r="AB126" t="s">
        <v>89</v>
      </c>
      <c r="AC126" t="s">
        <v>101</v>
      </c>
      <c r="AF126" t="s">
        <v>93</v>
      </c>
      <c r="AG126" s="1">
        <v>43843</v>
      </c>
      <c r="AH126" t="s">
        <v>85</v>
      </c>
      <c r="AI126" t="s">
        <v>92</v>
      </c>
      <c r="AJ126">
        <v>19888</v>
      </c>
      <c r="AK126">
        <v>128777</v>
      </c>
      <c r="AL126">
        <v>198882</v>
      </c>
    </row>
    <row r="127" spans="1:38" x14ac:dyDescent="0.25">
      <c r="A127" t="s">
        <v>146</v>
      </c>
      <c r="B127" t="s">
        <v>147</v>
      </c>
      <c r="C127" t="s">
        <v>71</v>
      </c>
      <c r="D127" s="1">
        <v>43191</v>
      </c>
      <c r="E127" s="1">
        <v>43555</v>
      </c>
      <c r="F127" t="s">
        <v>84</v>
      </c>
      <c r="G127">
        <v>10</v>
      </c>
      <c r="H127" t="s">
        <v>85</v>
      </c>
      <c r="I127" t="s">
        <v>43</v>
      </c>
      <c r="J127" t="s">
        <v>86</v>
      </c>
      <c r="K127" t="s">
        <v>44</v>
      </c>
      <c r="L127">
        <v>60000</v>
      </c>
      <c r="M127" s="1">
        <v>43191</v>
      </c>
      <c r="N127" t="s">
        <v>45</v>
      </c>
      <c r="O127" t="s">
        <v>46</v>
      </c>
      <c r="P127" t="s">
        <v>47</v>
      </c>
      <c r="Q127" s="1">
        <v>43852</v>
      </c>
      <c r="R127" t="s">
        <v>48</v>
      </c>
      <c r="S127" t="s">
        <v>102</v>
      </c>
      <c r="T127" t="s">
        <v>103</v>
      </c>
      <c r="U127" t="s">
        <v>85</v>
      </c>
      <c r="V127">
        <v>5000000</v>
      </c>
      <c r="W127">
        <v>250000</v>
      </c>
      <c r="X127" s="1">
        <v>43799</v>
      </c>
      <c r="Y127" t="s">
        <v>51</v>
      </c>
      <c r="Z127" t="s">
        <v>43</v>
      </c>
      <c r="AA127" t="s">
        <v>86</v>
      </c>
      <c r="AB127" t="s">
        <v>89</v>
      </c>
      <c r="AC127" t="s">
        <v>90</v>
      </c>
      <c r="AF127" t="s">
        <v>91</v>
      </c>
      <c r="AG127" s="1">
        <v>43852</v>
      </c>
      <c r="AH127" t="s">
        <v>85</v>
      </c>
      <c r="AI127" t="s">
        <v>92</v>
      </c>
      <c r="AJ127">
        <v>19888</v>
      </c>
      <c r="AK127">
        <v>128777</v>
      </c>
      <c r="AL127">
        <v>198882</v>
      </c>
    </row>
    <row r="128" spans="1:38" x14ac:dyDescent="0.25">
      <c r="A128" t="s">
        <v>146</v>
      </c>
      <c r="B128" t="s">
        <v>147</v>
      </c>
      <c r="C128" t="s">
        <v>71</v>
      </c>
      <c r="D128" s="1">
        <v>43191</v>
      </c>
      <c r="E128" s="1">
        <v>43555</v>
      </c>
      <c r="F128" t="s">
        <v>84</v>
      </c>
      <c r="G128">
        <v>10</v>
      </c>
      <c r="H128" t="s">
        <v>85</v>
      </c>
      <c r="I128" t="s">
        <v>43</v>
      </c>
      <c r="J128" t="s">
        <v>86</v>
      </c>
      <c r="K128" t="s">
        <v>44</v>
      </c>
      <c r="L128">
        <v>60000</v>
      </c>
      <c r="M128" s="1">
        <v>43191</v>
      </c>
      <c r="N128" t="s">
        <v>45</v>
      </c>
      <c r="O128" t="s">
        <v>46</v>
      </c>
      <c r="P128" t="s">
        <v>47</v>
      </c>
      <c r="Q128" s="1">
        <v>43852</v>
      </c>
      <c r="R128" t="s">
        <v>48</v>
      </c>
      <c r="S128" t="s">
        <v>102</v>
      </c>
      <c r="T128" t="s">
        <v>103</v>
      </c>
      <c r="U128" t="s">
        <v>85</v>
      </c>
      <c r="V128">
        <v>5000000</v>
      </c>
      <c r="W128">
        <v>250000</v>
      </c>
      <c r="X128" s="1">
        <v>43799</v>
      </c>
      <c r="Y128" t="s">
        <v>51</v>
      </c>
      <c r="Z128" t="s">
        <v>43</v>
      </c>
      <c r="AA128" t="s">
        <v>86</v>
      </c>
      <c r="AB128" t="s">
        <v>89</v>
      </c>
      <c r="AC128" t="s">
        <v>90</v>
      </c>
      <c r="AF128" t="s">
        <v>93</v>
      </c>
      <c r="AG128" s="1">
        <v>43843</v>
      </c>
      <c r="AH128" t="s">
        <v>85</v>
      </c>
      <c r="AI128" t="s">
        <v>92</v>
      </c>
      <c r="AJ128">
        <v>19888</v>
      </c>
      <c r="AK128">
        <v>128777</v>
      </c>
      <c r="AL128">
        <v>198882</v>
      </c>
    </row>
    <row r="129" spans="1:38" x14ac:dyDescent="0.25">
      <c r="A129" t="s">
        <v>148</v>
      </c>
      <c r="B129" t="s">
        <v>149</v>
      </c>
      <c r="C129" t="s">
        <v>40</v>
      </c>
      <c r="D129" s="1">
        <v>43556</v>
      </c>
      <c r="E129" s="1">
        <v>43921</v>
      </c>
      <c r="F129" t="s">
        <v>84</v>
      </c>
      <c r="G129">
        <v>10</v>
      </c>
      <c r="H129" t="s">
        <v>85</v>
      </c>
      <c r="I129" t="s">
        <v>43</v>
      </c>
      <c r="J129" t="s">
        <v>86</v>
      </c>
      <c r="K129" t="s">
        <v>44</v>
      </c>
      <c r="L129">
        <v>60000</v>
      </c>
      <c r="M129" s="1">
        <v>43556</v>
      </c>
      <c r="N129" t="s">
        <v>45</v>
      </c>
      <c r="O129" t="s">
        <v>44</v>
      </c>
      <c r="P129" t="s">
        <v>47</v>
      </c>
      <c r="Q129" s="1">
        <v>43852</v>
      </c>
      <c r="R129" t="s">
        <v>48</v>
      </c>
      <c r="S129" t="s">
        <v>87</v>
      </c>
      <c r="T129" t="s">
        <v>88</v>
      </c>
      <c r="U129" t="s">
        <v>85</v>
      </c>
      <c r="V129">
        <v>1400000</v>
      </c>
      <c r="W129">
        <v>100000</v>
      </c>
      <c r="X129" s="1">
        <v>43808</v>
      </c>
      <c r="Y129" t="s">
        <v>51</v>
      </c>
      <c r="Z129" t="s">
        <v>43</v>
      </c>
      <c r="AA129" t="s">
        <v>86</v>
      </c>
      <c r="AB129" t="s">
        <v>89</v>
      </c>
      <c r="AC129" t="s">
        <v>90</v>
      </c>
      <c r="AF129" t="s">
        <v>91</v>
      </c>
      <c r="AG129" s="1">
        <v>43852</v>
      </c>
      <c r="AH129" t="s">
        <v>85</v>
      </c>
      <c r="AI129" t="s">
        <v>92</v>
      </c>
      <c r="AJ129">
        <v>19888</v>
      </c>
      <c r="AK129">
        <v>128777</v>
      </c>
      <c r="AL129">
        <v>198882</v>
      </c>
    </row>
    <row r="130" spans="1:38" x14ac:dyDescent="0.25">
      <c r="A130" t="s">
        <v>148</v>
      </c>
      <c r="B130" t="s">
        <v>149</v>
      </c>
      <c r="C130" t="s">
        <v>40</v>
      </c>
      <c r="D130" s="1">
        <v>43556</v>
      </c>
      <c r="E130" s="1">
        <v>43921</v>
      </c>
      <c r="F130" t="s">
        <v>84</v>
      </c>
      <c r="G130">
        <v>10</v>
      </c>
      <c r="H130" t="s">
        <v>85</v>
      </c>
      <c r="I130" t="s">
        <v>43</v>
      </c>
      <c r="J130" t="s">
        <v>86</v>
      </c>
      <c r="K130" t="s">
        <v>44</v>
      </c>
      <c r="L130">
        <v>60000</v>
      </c>
      <c r="M130" s="1">
        <v>43556</v>
      </c>
      <c r="N130" t="s">
        <v>45</v>
      </c>
      <c r="O130" t="s">
        <v>44</v>
      </c>
      <c r="P130" t="s">
        <v>47</v>
      </c>
      <c r="Q130" s="1">
        <v>43852</v>
      </c>
      <c r="R130" t="s">
        <v>48</v>
      </c>
      <c r="S130" t="s">
        <v>87</v>
      </c>
      <c r="T130" t="s">
        <v>88</v>
      </c>
      <c r="U130" t="s">
        <v>85</v>
      </c>
      <c r="V130">
        <v>1400000</v>
      </c>
      <c r="W130">
        <v>100000</v>
      </c>
      <c r="X130" s="1">
        <v>43808</v>
      </c>
      <c r="Y130" t="s">
        <v>51</v>
      </c>
      <c r="Z130" t="s">
        <v>43</v>
      </c>
      <c r="AA130" t="s">
        <v>86</v>
      </c>
      <c r="AB130" t="s">
        <v>89</v>
      </c>
      <c r="AC130" t="s">
        <v>90</v>
      </c>
      <c r="AF130" t="s">
        <v>93</v>
      </c>
      <c r="AG130" s="1">
        <v>43843</v>
      </c>
      <c r="AH130" t="s">
        <v>85</v>
      </c>
      <c r="AI130" t="s">
        <v>92</v>
      </c>
      <c r="AJ130">
        <v>19888</v>
      </c>
      <c r="AK130">
        <v>128777</v>
      </c>
      <c r="AL130">
        <v>198882</v>
      </c>
    </row>
    <row r="131" spans="1:38" x14ac:dyDescent="0.25">
      <c r="A131" t="s">
        <v>148</v>
      </c>
      <c r="B131" t="s">
        <v>149</v>
      </c>
      <c r="C131" t="s">
        <v>40</v>
      </c>
      <c r="D131" s="1">
        <v>43556</v>
      </c>
      <c r="E131" s="1">
        <v>43921</v>
      </c>
      <c r="F131" t="s">
        <v>84</v>
      </c>
      <c r="G131">
        <v>10</v>
      </c>
      <c r="H131" t="s">
        <v>85</v>
      </c>
      <c r="I131" t="s">
        <v>43</v>
      </c>
      <c r="J131" t="s">
        <v>86</v>
      </c>
      <c r="K131" t="s">
        <v>44</v>
      </c>
      <c r="L131">
        <v>60000</v>
      </c>
      <c r="M131" s="1">
        <v>43556</v>
      </c>
      <c r="N131" t="s">
        <v>45</v>
      </c>
      <c r="O131" t="s">
        <v>44</v>
      </c>
      <c r="P131" t="s">
        <v>47</v>
      </c>
      <c r="Q131" s="1">
        <v>43852</v>
      </c>
      <c r="R131" t="s">
        <v>48</v>
      </c>
      <c r="S131" t="s">
        <v>94</v>
      </c>
      <c r="T131" t="s">
        <v>95</v>
      </c>
      <c r="U131" t="s">
        <v>85</v>
      </c>
      <c r="V131">
        <v>4500000</v>
      </c>
      <c r="W131">
        <v>300000</v>
      </c>
      <c r="X131" s="1">
        <v>43767</v>
      </c>
      <c r="Y131" t="s">
        <v>51</v>
      </c>
      <c r="Z131" t="s">
        <v>43</v>
      </c>
      <c r="AA131" t="s">
        <v>86</v>
      </c>
      <c r="AB131" t="s">
        <v>89</v>
      </c>
      <c r="AC131" t="s">
        <v>90</v>
      </c>
      <c r="AF131" t="s">
        <v>91</v>
      </c>
      <c r="AG131" s="1">
        <v>43852</v>
      </c>
      <c r="AH131" t="s">
        <v>85</v>
      </c>
      <c r="AI131" t="s">
        <v>92</v>
      </c>
      <c r="AJ131">
        <v>19888</v>
      </c>
      <c r="AK131">
        <v>128777</v>
      </c>
      <c r="AL131">
        <v>198882</v>
      </c>
    </row>
    <row r="132" spans="1:38" x14ac:dyDescent="0.25">
      <c r="A132" t="s">
        <v>148</v>
      </c>
      <c r="B132" t="s">
        <v>149</v>
      </c>
      <c r="C132" t="s">
        <v>40</v>
      </c>
      <c r="D132" s="1">
        <v>43556</v>
      </c>
      <c r="E132" s="1">
        <v>43921</v>
      </c>
      <c r="F132" t="s">
        <v>84</v>
      </c>
      <c r="G132">
        <v>10</v>
      </c>
      <c r="H132" t="s">
        <v>85</v>
      </c>
      <c r="I132" t="s">
        <v>43</v>
      </c>
      <c r="J132" t="s">
        <v>86</v>
      </c>
      <c r="K132" t="s">
        <v>44</v>
      </c>
      <c r="L132">
        <v>60000</v>
      </c>
      <c r="M132" s="1">
        <v>43556</v>
      </c>
      <c r="N132" t="s">
        <v>45</v>
      </c>
      <c r="O132" t="s">
        <v>44</v>
      </c>
      <c r="P132" t="s">
        <v>47</v>
      </c>
      <c r="Q132" s="1">
        <v>43852</v>
      </c>
      <c r="R132" t="s">
        <v>48</v>
      </c>
      <c r="S132" t="s">
        <v>94</v>
      </c>
      <c r="T132" t="s">
        <v>95</v>
      </c>
      <c r="U132" t="s">
        <v>85</v>
      </c>
      <c r="V132">
        <v>4500000</v>
      </c>
      <c r="W132">
        <v>300000</v>
      </c>
      <c r="X132" s="1">
        <v>43767</v>
      </c>
      <c r="Y132" t="s">
        <v>51</v>
      </c>
      <c r="Z132" t="s">
        <v>43</v>
      </c>
      <c r="AA132" t="s">
        <v>86</v>
      </c>
      <c r="AB132" t="s">
        <v>89</v>
      </c>
      <c r="AC132" t="s">
        <v>90</v>
      </c>
      <c r="AF132" t="s">
        <v>93</v>
      </c>
      <c r="AG132" s="1">
        <v>43843</v>
      </c>
      <c r="AH132" t="s">
        <v>85</v>
      </c>
      <c r="AI132" t="s">
        <v>92</v>
      </c>
      <c r="AJ132">
        <v>19888</v>
      </c>
      <c r="AK132">
        <v>128777</v>
      </c>
      <c r="AL132">
        <v>198882</v>
      </c>
    </row>
    <row r="133" spans="1:38" x14ac:dyDescent="0.25">
      <c r="A133" t="s">
        <v>148</v>
      </c>
      <c r="B133" t="s">
        <v>149</v>
      </c>
      <c r="C133" t="s">
        <v>40</v>
      </c>
      <c r="D133" s="1">
        <v>43556</v>
      </c>
      <c r="E133" s="1">
        <v>43921</v>
      </c>
      <c r="F133" t="s">
        <v>84</v>
      </c>
      <c r="G133">
        <v>10</v>
      </c>
      <c r="H133" t="s">
        <v>85</v>
      </c>
      <c r="I133" t="s">
        <v>43</v>
      </c>
      <c r="J133" t="s">
        <v>86</v>
      </c>
      <c r="K133" t="s">
        <v>44</v>
      </c>
      <c r="L133">
        <v>60000</v>
      </c>
      <c r="M133" s="1">
        <v>43556</v>
      </c>
      <c r="N133" t="s">
        <v>45</v>
      </c>
      <c r="O133" t="s">
        <v>44</v>
      </c>
      <c r="P133" t="s">
        <v>47</v>
      </c>
      <c r="Q133" s="1">
        <v>43852</v>
      </c>
      <c r="R133" t="s">
        <v>48</v>
      </c>
      <c r="S133" t="s">
        <v>96</v>
      </c>
      <c r="T133" t="s">
        <v>97</v>
      </c>
      <c r="U133" t="s">
        <v>85</v>
      </c>
      <c r="V133">
        <v>600000</v>
      </c>
      <c r="W133">
        <v>100000</v>
      </c>
      <c r="X133" s="1">
        <v>43799</v>
      </c>
      <c r="Y133" t="s">
        <v>51</v>
      </c>
      <c r="Z133" t="s">
        <v>43</v>
      </c>
      <c r="AA133" t="s">
        <v>98</v>
      </c>
      <c r="AB133" t="s">
        <v>89</v>
      </c>
      <c r="AC133" t="s">
        <v>90</v>
      </c>
      <c r="AF133" t="s">
        <v>91</v>
      </c>
      <c r="AG133" s="1">
        <v>43852</v>
      </c>
      <c r="AH133" t="s">
        <v>85</v>
      </c>
      <c r="AI133" t="s">
        <v>92</v>
      </c>
      <c r="AJ133">
        <v>19888</v>
      </c>
      <c r="AK133">
        <v>128777</v>
      </c>
      <c r="AL133">
        <v>198882</v>
      </c>
    </row>
    <row r="134" spans="1:38" x14ac:dyDescent="0.25">
      <c r="A134" t="s">
        <v>148</v>
      </c>
      <c r="B134" t="s">
        <v>149</v>
      </c>
      <c r="C134" t="s">
        <v>40</v>
      </c>
      <c r="D134" s="1">
        <v>43556</v>
      </c>
      <c r="E134" s="1">
        <v>43921</v>
      </c>
      <c r="F134" t="s">
        <v>84</v>
      </c>
      <c r="G134">
        <v>10</v>
      </c>
      <c r="H134" t="s">
        <v>85</v>
      </c>
      <c r="I134" t="s">
        <v>43</v>
      </c>
      <c r="J134" t="s">
        <v>86</v>
      </c>
      <c r="K134" t="s">
        <v>44</v>
      </c>
      <c r="L134">
        <v>60000</v>
      </c>
      <c r="M134" s="1">
        <v>43556</v>
      </c>
      <c r="N134" t="s">
        <v>45</v>
      </c>
      <c r="O134" t="s">
        <v>44</v>
      </c>
      <c r="P134" t="s">
        <v>47</v>
      </c>
      <c r="Q134" s="1">
        <v>43852</v>
      </c>
      <c r="R134" t="s">
        <v>48</v>
      </c>
      <c r="S134" t="s">
        <v>96</v>
      </c>
      <c r="T134" t="s">
        <v>97</v>
      </c>
      <c r="U134" t="s">
        <v>85</v>
      </c>
      <c r="V134">
        <v>600000</v>
      </c>
      <c r="W134">
        <v>100000</v>
      </c>
      <c r="X134" s="1">
        <v>43799</v>
      </c>
      <c r="Y134" t="s">
        <v>51</v>
      </c>
      <c r="Z134" t="s">
        <v>43</v>
      </c>
      <c r="AA134" t="s">
        <v>98</v>
      </c>
      <c r="AB134" t="s">
        <v>89</v>
      </c>
      <c r="AC134" t="s">
        <v>90</v>
      </c>
      <c r="AF134" t="s">
        <v>93</v>
      </c>
      <c r="AG134" s="1">
        <v>43843</v>
      </c>
      <c r="AH134" t="s">
        <v>85</v>
      </c>
      <c r="AI134" t="s">
        <v>92</v>
      </c>
      <c r="AJ134">
        <v>19888</v>
      </c>
      <c r="AK134">
        <v>128777</v>
      </c>
      <c r="AL134">
        <v>198882</v>
      </c>
    </row>
    <row r="135" spans="1:38" x14ac:dyDescent="0.25">
      <c r="A135" t="s">
        <v>148</v>
      </c>
      <c r="B135" t="s">
        <v>149</v>
      </c>
      <c r="C135" t="s">
        <v>40</v>
      </c>
      <c r="D135" s="1">
        <v>43556</v>
      </c>
      <c r="E135" s="1">
        <v>43921</v>
      </c>
      <c r="F135" t="s">
        <v>84</v>
      </c>
      <c r="G135">
        <v>10</v>
      </c>
      <c r="H135" t="s">
        <v>85</v>
      </c>
      <c r="I135" t="s">
        <v>43</v>
      </c>
      <c r="J135" t="s">
        <v>86</v>
      </c>
      <c r="K135" t="s">
        <v>44</v>
      </c>
      <c r="L135">
        <v>60000</v>
      </c>
      <c r="M135" s="1">
        <v>43556</v>
      </c>
      <c r="N135" t="s">
        <v>45</v>
      </c>
      <c r="O135" t="s">
        <v>44</v>
      </c>
      <c r="P135" t="s">
        <v>47</v>
      </c>
      <c r="Q135" s="1">
        <v>43852</v>
      </c>
      <c r="R135" t="s">
        <v>48</v>
      </c>
      <c r="S135" t="s">
        <v>99</v>
      </c>
      <c r="T135" t="s">
        <v>100</v>
      </c>
      <c r="U135" t="s">
        <v>85</v>
      </c>
      <c r="V135">
        <v>210000</v>
      </c>
      <c r="W135">
        <v>35000</v>
      </c>
      <c r="X135" s="1">
        <v>43799</v>
      </c>
      <c r="Y135" t="s">
        <v>51</v>
      </c>
      <c r="Z135" t="s">
        <v>43</v>
      </c>
      <c r="AA135" t="s">
        <v>98</v>
      </c>
      <c r="AB135" t="s">
        <v>89</v>
      </c>
      <c r="AC135" t="s">
        <v>101</v>
      </c>
      <c r="AF135" t="s">
        <v>91</v>
      </c>
      <c r="AG135" s="1">
        <v>43852</v>
      </c>
      <c r="AH135" t="s">
        <v>85</v>
      </c>
      <c r="AI135" t="s">
        <v>92</v>
      </c>
      <c r="AJ135">
        <v>19888</v>
      </c>
      <c r="AK135">
        <v>128777</v>
      </c>
      <c r="AL135">
        <v>198882</v>
      </c>
    </row>
    <row r="136" spans="1:38" x14ac:dyDescent="0.25">
      <c r="A136" t="s">
        <v>148</v>
      </c>
      <c r="B136" t="s">
        <v>149</v>
      </c>
      <c r="C136" t="s">
        <v>40</v>
      </c>
      <c r="D136" s="1">
        <v>43556</v>
      </c>
      <c r="E136" s="1">
        <v>43921</v>
      </c>
      <c r="F136" t="s">
        <v>84</v>
      </c>
      <c r="G136">
        <v>10</v>
      </c>
      <c r="H136" t="s">
        <v>85</v>
      </c>
      <c r="I136" t="s">
        <v>43</v>
      </c>
      <c r="J136" t="s">
        <v>86</v>
      </c>
      <c r="K136" t="s">
        <v>44</v>
      </c>
      <c r="L136">
        <v>60000</v>
      </c>
      <c r="M136" s="1">
        <v>43556</v>
      </c>
      <c r="N136" t="s">
        <v>45</v>
      </c>
      <c r="O136" t="s">
        <v>44</v>
      </c>
      <c r="P136" t="s">
        <v>47</v>
      </c>
      <c r="Q136" s="1">
        <v>43852</v>
      </c>
      <c r="R136" t="s">
        <v>48</v>
      </c>
      <c r="S136" t="s">
        <v>99</v>
      </c>
      <c r="T136" t="s">
        <v>100</v>
      </c>
      <c r="U136" t="s">
        <v>85</v>
      </c>
      <c r="V136">
        <v>210000</v>
      </c>
      <c r="W136">
        <v>35000</v>
      </c>
      <c r="X136" s="1">
        <v>43799</v>
      </c>
      <c r="Y136" t="s">
        <v>51</v>
      </c>
      <c r="Z136" t="s">
        <v>43</v>
      </c>
      <c r="AA136" t="s">
        <v>98</v>
      </c>
      <c r="AB136" t="s">
        <v>89</v>
      </c>
      <c r="AC136" t="s">
        <v>101</v>
      </c>
      <c r="AF136" t="s">
        <v>93</v>
      </c>
      <c r="AG136" s="1">
        <v>43843</v>
      </c>
      <c r="AH136" t="s">
        <v>85</v>
      </c>
      <c r="AI136" t="s">
        <v>92</v>
      </c>
      <c r="AJ136">
        <v>19888</v>
      </c>
      <c r="AK136">
        <v>128777</v>
      </c>
      <c r="AL136">
        <v>198882</v>
      </c>
    </row>
    <row r="137" spans="1:38" x14ac:dyDescent="0.25">
      <c r="A137" t="s">
        <v>148</v>
      </c>
      <c r="B137" t="s">
        <v>149</v>
      </c>
      <c r="C137" t="s">
        <v>40</v>
      </c>
      <c r="D137" s="1">
        <v>43556</v>
      </c>
      <c r="E137" s="1">
        <v>43921</v>
      </c>
      <c r="F137" t="s">
        <v>84</v>
      </c>
      <c r="G137">
        <v>10</v>
      </c>
      <c r="H137" t="s">
        <v>85</v>
      </c>
      <c r="I137" t="s">
        <v>43</v>
      </c>
      <c r="J137" t="s">
        <v>86</v>
      </c>
      <c r="K137" t="s">
        <v>44</v>
      </c>
      <c r="L137">
        <v>60000</v>
      </c>
      <c r="M137" s="1">
        <v>43556</v>
      </c>
      <c r="N137" t="s">
        <v>45</v>
      </c>
      <c r="O137" t="s">
        <v>44</v>
      </c>
      <c r="P137" t="s">
        <v>47</v>
      </c>
      <c r="Q137" s="1">
        <v>43852</v>
      </c>
      <c r="R137" t="s">
        <v>48</v>
      </c>
      <c r="S137" t="s">
        <v>102</v>
      </c>
      <c r="T137" t="s">
        <v>103</v>
      </c>
      <c r="U137" t="s">
        <v>85</v>
      </c>
      <c r="V137">
        <v>5000000</v>
      </c>
      <c r="W137">
        <v>250000</v>
      </c>
      <c r="X137" s="1">
        <v>43799</v>
      </c>
      <c r="Y137" t="s">
        <v>51</v>
      </c>
      <c r="Z137" t="s">
        <v>43</v>
      </c>
      <c r="AA137" t="s">
        <v>86</v>
      </c>
      <c r="AB137" t="s">
        <v>89</v>
      </c>
      <c r="AC137" t="s">
        <v>90</v>
      </c>
      <c r="AF137" t="s">
        <v>91</v>
      </c>
      <c r="AG137" s="1">
        <v>43852</v>
      </c>
      <c r="AH137" t="s">
        <v>85</v>
      </c>
      <c r="AI137" t="s">
        <v>92</v>
      </c>
      <c r="AJ137">
        <v>19888</v>
      </c>
      <c r="AK137">
        <v>128777</v>
      </c>
      <c r="AL137">
        <v>198882</v>
      </c>
    </row>
    <row r="138" spans="1:38" x14ac:dyDescent="0.25">
      <c r="A138" t="s">
        <v>148</v>
      </c>
      <c r="B138" t="s">
        <v>149</v>
      </c>
      <c r="C138" t="s">
        <v>40</v>
      </c>
      <c r="D138" s="1">
        <v>43556</v>
      </c>
      <c r="E138" s="1">
        <v>43921</v>
      </c>
      <c r="F138" t="s">
        <v>84</v>
      </c>
      <c r="G138">
        <v>10</v>
      </c>
      <c r="H138" t="s">
        <v>85</v>
      </c>
      <c r="I138" t="s">
        <v>43</v>
      </c>
      <c r="J138" t="s">
        <v>86</v>
      </c>
      <c r="K138" t="s">
        <v>44</v>
      </c>
      <c r="L138">
        <v>60000</v>
      </c>
      <c r="M138" s="1">
        <v>43556</v>
      </c>
      <c r="N138" t="s">
        <v>45</v>
      </c>
      <c r="O138" t="s">
        <v>44</v>
      </c>
      <c r="P138" t="s">
        <v>47</v>
      </c>
      <c r="Q138" s="1">
        <v>43852</v>
      </c>
      <c r="R138" t="s">
        <v>48</v>
      </c>
      <c r="S138" t="s">
        <v>102</v>
      </c>
      <c r="T138" t="s">
        <v>103</v>
      </c>
      <c r="U138" t="s">
        <v>85</v>
      </c>
      <c r="V138">
        <v>5000000</v>
      </c>
      <c r="W138">
        <v>250000</v>
      </c>
      <c r="X138" s="1">
        <v>43799</v>
      </c>
      <c r="Y138" t="s">
        <v>51</v>
      </c>
      <c r="Z138" t="s">
        <v>43</v>
      </c>
      <c r="AA138" t="s">
        <v>86</v>
      </c>
      <c r="AB138" t="s">
        <v>89</v>
      </c>
      <c r="AC138" t="s">
        <v>90</v>
      </c>
      <c r="AF138" t="s">
        <v>93</v>
      </c>
      <c r="AG138" s="1">
        <v>43843</v>
      </c>
      <c r="AH138" t="s">
        <v>85</v>
      </c>
      <c r="AI138" t="s">
        <v>92</v>
      </c>
      <c r="AJ138">
        <v>19888</v>
      </c>
      <c r="AK138">
        <v>128777</v>
      </c>
      <c r="AL138">
        <v>198882</v>
      </c>
    </row>
    <row r="139" spans="1:38" x14ac:dyDescent="0.25">
      <c r="A139" t="s">
        <v>150</v>
      </c>
      <c r="B139" t="s">
        <v>149</v>
      </c>
      <c r="C139" t="s">
        <v>40</v>
      </c>
      <c r="D139" s="1">
        <v>43556</v>
      </c>
      <c r="E139" s="1">
        <v>43921</v>
      </c>
      <c r="F139" t="s">
        <v>84</v>
      </c>
      <c r="G139">
        <v>10</v>
      </c>
      <c r="H139" t="s">
        <v>85</v>
      </c>
      <c r="I139" t="s">
        <v>43</v>
      </c>
      <c r="J139" t="s">
        <v>86</v>
      </c>
      <c r="K139" t="s">
        <v>44</v>
      </c>
      <c r="L139">
        <v>60000</v>
      </c>
      <c r="M139" s="1">
        <v>43556</v>
      </c>
      <c r="N139" t="s">
        <v>45</v>
      </c>
      <c r="O139" t="s">
        <v>44</v>
      </c>
      <c r="P139" t="s">
        <v>47</v>
      </c>
      <c r="Q139" s="1">
        <v>43852</v>
      </c>
      <c r="R139" t="s">
        <v>48</v>
      </c>
      <c r="S139" t="s">
        <v>87</v>
      </c>
      <c r="T139" t="s">
        <v>88</v>
      </c>
      <c r="U139" t="s">
        <v>85</v>
      </c>
      <c r="V139">
        <v>1400000</v>
      </c>
      <c r="W139">
        <v>100000</v>
      </c>
      <c r="X139" s="1">
        <v>43808</v>
      </c>
      <c r="Y139" t="s">
        <v>51</v>
      </c>
      <c r="Z139" t="s">
        <v>43</v>
      </c>
      <c r="AA139" t="s">
        <v>86</v>
      </c>
      <c r="AB139" t="s">
        <v>89</v>
      </c>
      <c r="AC139" t="s">
        <v>90</v>
      </c>
      <c r="AF139" t="s">
        <v>91</v>
      </c>
      <c r="AG139" s="1">
        <v>43852</v>
      </c>
      <c r="AH139" t="s">
        <v>85</v>
      </c>
      <c r="AI139" t="s">
        <v>92</v>
      </c>
      <c r="AJ139">
        <v>19888</v>
      </c>
      <c r="AK139">
        <v>128777</v>
      </c>
      <c r="AL139">
        <v>198882</v>
      </c>
    </row>
    <row r="140" spans="1:38" x14ac:dyDescent="0.25">
      <c r="A140" t="s">
        <v>150</v>
      </c>
      <c r="B140" t="s">
        <v>149</v>
      </c>
      <c r="C140" t="s">
        <v>40</v>
      </c>
      <c r="D140" s="1">
        <v>43556</v>
      </c>
      <c r="E140" s="1">
        <v>43921</v>
      </c>
      <c r="F140" t="s">
        <v>84</v>
      </c>
      <c r="G140">
        <v>10</v>
      </c>
      <c r="H140" t="s">
        <v>85</v>
      </c>
      <c r="I140" t="s">
        <v>43</v>
      </c>
      <c r="J140" t="s">
        <v>86</v>
      </c>
      <c r="K140" t="s">
        <v>44</v>
      </c>
      <c r="L140">
        <v>60000</v>
      </c>
      <c r="M140" s="1">
        <v>43556</v>
      </c>
      <c r="N140" t="s">
        <v>45</v>
      </c>
      <c r="O140" t="s">
        <v>44</v>
      </c>
      <c r="P140" t="s">
        <v>47</v>
      </c>
      <c r="Q140" s="1">
        <v>43852</v>
      </c>
      <c r="R140" t="s">
        <v>48</v>
      </c>
      <c r="S140" t="s">
        <v>87</v>
      </c>
      <c r="T140" t="s">
        <v>88</v>
      </c>
      <c r="U140" t="s">
        <v>85</v>
      </c>
      <c r="V140">
        <v>1400000</v>
      </c>
      <c r="W140">
        <v>100000</v>
      </c>
      <c r="X140" s="1">
        <v>43808</v>
      </c>
      <c r="Y140" t="s">
        <v>51</v>
      </c>
      <c r="Z140" t="s">
        <v>43</v>
      </c>
      <c r="AA140" t="s">
        <v>86</v>
      </c>
      <c r="AB140" t="s">
        <v>89</v>
      </c>
      <c r="AC140" t="s">
        <v>90</v>
      </c>
      <c r="AF140" t="s">
        <v>93</v>
      </c>
      <c r="AG140" s="1">
        <v>43843</v>
      </c>
      <c r="AH140" t="s">
        <v>85</v>
      </c>
      <c r="AI140" t="s">
        <v>92</v>
      </c>
      <c r="AJ140">
        <v>19888</v>
      </c>
      <c r="AK140">
        <v>128777</v>
      </c>
      <c r="AL140">
        <v>198882</v>
      </c>
    </row>
    <row r="141" spans="1:38" x14ac:dyDescent="0.25">
      <c r="A141" t="s">
        <v>150</v>
      </c>
      <c r="B141" t="s">
        <v>149</v>
      </c>
      <c r="C141" t="s">
        <v>40</v>
      </c>
      <c r="D141" s="1">
        <v>43556</v>
      </c>
      <c r="E141" s="1">
        <v>43921</v>
      </c>
      <c r="F141" t="s">
        <v>84</v>
      </c>
      <c r="G141">
        <v>10</v>
      </c>
      <c r="H141" t="s">
        <v>85</v>
      </c>
      <c r="I141" t="s">
        <v>43</v>
      </c>
      <c r="J141" t="s">
        <v>86</v>
      </c>
      <c r="K141" t="s">
        <v>44</v>
      </c>
      <c r="L141">
        <v>60000</v>
      </c>
      <c r="M141" s="1">
        <v>43556</v>
      </c>
      <c r="N141" t="s">
        <v>45</v>
      </c>
      <c r="O141" t="s">
        <v>44</v>
      </c>
      <c r="P141" t="s">
        <v>47</v>
      </c>
      <c r="Q141" s="1">
        <v>43852</v>
      </c>
      <c r="R141" t="s">
        <v>48</v>
      </c>
      <c r="S141" t="s">
        <v>94</v>
      </c>
      <c r="T141" t="s">
        <v>95</v>
      </c>
      <c r="U141" t="s">
        <v>85</v>
      </c>
      <c r="V141">
        <v>4500000</v>
      </c>
      <c r="W141">
        <v>300000</v>
      </c>
      <c r="X141" s="1">
        <v>43767</v>
      </c>
      <c r="Y141" t="s">
        <v>51</v>
      </c>
      <c r="Z141" t="s">
        <v>43</v>
      </c>
      <c r="AA141" t="s">
        <v>86</v>
      </c>
      <c r="AB141" t="s">
        <v>89</v>
      </c>
      <c r="AC141" t="s">
        <v>90</v>
      </c>
      <c r="AF141" t="s">
        <v>91</v>
      </c>
      <c r="AG141" s="1">
        <v>43852</v>
      </c>
      <c r="AH141" t="s">
        <v>85</v>
      </c>
      <c r="AI141" t="s">
        <v>92</v>
      </c>
      <c r="AJ141">
        <v>19888</v>
      </c>
      <c r="AK141">
        <v>128777</v>
      </c>
      <c r="AL141">
        <v>198882</v>
      </c>
    </row>
    <row r="142" spans="1:38" x14ac:dyDescent="0.25">
      <c r="A142" t="s">
        <v>150</v>
      </c>
      <c r="B142" t="s">
        <v>149</v>
      </c>
      <c r="C142" t="s">
        <v>40</v>
      </c>
      <c r="D142" s="1">
        <v>43556</v>
      </c>
      <c r="E142" s="1">
        <v>43921</v>
      </c>
      <c r="F142" t="s">
        <v>84</v>
      </c>
      <c r="G142">
        <v>10</v>
      </c>
      <c r="H142" t="s">
        <v>85</v>
      </c>
      <c r="I142" t="s">
        <v>43</v>
      </c>
      <c r="J142" t="s">
        <v>86</v>
      </c>
      <c r="K142" t="s">
        <v>44</v>
      </c>
      <c r="L142">
        <v>60000</v>
      </c>
      <c r="M142" s="1">
        <v>43556</v>
      </c>
      <c r="N142" t="s">
        <v>45</v>
      </c>
      <c r="O142" t="s">
        <v>44</v>
      </c>
      <c r="P142" t="s">
        <v>47</v>
      </c>
      <c r="Q142" s="1">
        <v>43852</v>
      </c>
      <c r="R142" t="s">
        <v>48</v>
      </c>
      <c r="S142" t="s">
        <v>94</v>
      </c>
      <c r="T142" t="s">
        <v>95</v>
      </c>
      <c r="U142" t="s">
        <v>85</v>
      </c>
      <c r="V142">
        <v>4500000</v>
      </c>
      <c r="W142">
        <v>300000</v>
      </c>
      <c r="X142" s="1">
        <v>43767</v>
      </c>
      <c r="Y142" t="s">
        <v>51</v>
      </c>
      <c r="Z142" t="s">
        <v>43</v>
      </c>
      <c r="AA142" t="s">
        <v>86</v>
      </c>
      <c r="AB142" t="s">
        <v>89</v>
      </c>
      <c r="AC142" t="s">
        <v>90</v>
      </c>
      <c r="AF142" t="s">
        <v>93</v>
      </c>
      <c r="AG142" s="1">
        <v>43843</v>
      </c>
      <c r="AH142" t="s">
        <v>85</v>
      </c>
      <c r="AI142" t="s">
        <v>92</v>
      </c>
      <c r="AJ142">
        <v>19888</v>
      </c>
      <c r="AK142">
        <v>128777</v>
      </c>
      <c r="AL142">
        <v>198882</v>
      </c>
    </row>
    <row r="143" spans="1:38" x14ac:dyDescent="0.25">
      <c r="A143" t="s">
        <v>150</v>
      </c>
      <c r="B143" t="s">
        <v>149</v>
      </c>
      <c r="C143" t="s">
        <v>40</v>
      </c>
      <c r="D143" s="1">
        <v>43556</v>
      </c>
      <c r="E143" s="1">
        <v>43921</v>
      </c>
      <c r="F143" t="s">
        <v>84</v>
      </c>
      <c r="G143">
        <v>10</v>
      </c>
      <c r="H143" t="s">
        <v>85</v>
      </c>
      <c r="I143" t="s">
        <v>43</v>
      </c>
      <c r="J143" t="s">
        <v>86</v>
      </c>
      <c r="K143" t="s">
        <v>44</v>
      </c>
      <c r="L143">
        <v>60000</v>
      </c>
      <c r="M143" s="1">
        <v>43556</v>
      </c>
      <c r="N143" t="s">
        <v>45</v>
      </c>
      <c r="O143" t="s">
        <v>44</v>
      </c>
      <c r="P143" t="s">
        <v>47</v>
      </c>
      <c r="Q143" s="1">
        <v>43852</v>
      </c>
      <c r="R143" t="s">
        <v>48</v>
      </c>
      <c r="S143" t="s">
        <v>96</v>
      </c>
      <c r="T143" t="s">
        <v>97</v>
      </c>
      <c r="U143" t="s">
        <v>85</v>
      </c>
      <c r="V143">
        <v>600000</v>
      </c>
      <c r="W143">
        <v>100000</v>
      </c>
      <c r="X143" s="1">
        <v>43799</v>
      </c>
      <c r="Y143" t="s">
        <v>51</v>
      </c>
      <c r="Z143" t="s">
        <v>43</v>
      </c>
      <c r="AA143" t="s">
        <v>98</v>
      </c>
      <c r="AB143" t="s">
        <v>89</v>
      </c>
      <c r="AC143" t="s">
        <v>90</v>
      </c>
      <c r="AF143" t="s">
        <v>91</v>
      </c>
      <c r="AG143" s="1">
        <v>43852</v>
      </c>
      <c r="AH143" t="s">
        <v>85</v>
      </c>
      <c r="AI143" t="s">
        <v>92</v>
      </c>
      <c r="AJ143">
        <v>19888</v>
      </c>
      <c r="AK143">
        <v>128777</v>
      </c>
      <c r="AL143">
        <v>198882</v>
      </c>
    </row>
    <row r="144" spans="1:38" x14ac:dyDescent="0.25">
      <c r="A144" t="s">
        <v>150</v>
      </c>
      <c r="B144" t="s">
        <v>149</v>
      </c>
      <c r="C144" t="s">
        <v>40</v>
      </c>
      <c r="D144" s="1">
        <v>43556</v>
      </c>
      <c r="E144" s="1">
        <v>43921</v>
      </c>
      <c r="F144" t="s">
        <v>84</v>
      </c>
      <c r="G144">
        <v>10</v>
      </c>
      <c r="H144" t="s">
        <v>85</v>
      </c>
      <c r="I144" t="s">
        <v>43</v>
      </c>
      <c r="J144" t="s">
        <v>86</v>
      </c>
      <c r="K144" t="s">
        <v>44</v>
      </c>
      <c r="L144">
        <v>60000</v>
      </c>
      <c r="M144" s="1">
        <v>43556</v>
      </c>
      <c r="N144" t="s">
        <v>45</v>
      </c>
      <c r="O144" t="s">
        <v>44</v>
      </c>
      <c r="P144" t="s">
        <v>47</v>
      </c>
      <c r="Q144" s="1">
        <v>43852</v>
      </c>
      <c r="R144" t="s">
        <v>48</v>
      </c>
      <c r="S144" t="s">
        <v>96</v>
      </c>
      <c r="T144" t="s">
        <v>97</v>
      </c>
      <c r="U144" t="s">
        <v>85</v>
      </c>
      <c r="V144">
        <v>600000</v>
      </c>
      <c r="W144">
        <v>100000</v>
      </c>
      <c r="X144" s="1">
        <v>43799</v>
      </c>
      <c r="Y144" t="s">
        <v>51</v>
      </c>
      <c r="Z144" t="s">
        <v>43</v>
      </c>
      <c r="AA144" t="s">
        <v>98</v>
      </c>
      <c r="AB144" t="s">
        <v>89</v>
      </c>
      <c r="AC144" t="s">
        <v>90</v>
      </c>
      <c r="AF144" t="s">
        <v>93</v>
      </c>
      <c r="AG144" s="1">
        <v>43843</v>
      </c>
      <c r="AH144" t="s">
        <v>85</v>
      </c>
      <c r="AI144" t="s">
        <v>92</v>
      </c>
      <c r="AJ144">
        <v>19888</v>
      </c>
      <c r="AK144">
        <v>128777</v>
      </c>
      <c r="AL144">
        <v>198882</v>
      </c>
    </row>
    <row r="145" spans="1:38" x14ac:dyDescent="0.25">
      <c r="A145" t="s">
        <v>150</v>
      </c>
      <c r="B145" t="s">
        <v>149</v>
      </c>
      <c r="C145" t="s">
        <v>40</v>
      </c>
      <c r="D145" s="1">
        <v>43556</v>
      </c>
      <c r="E145" s="1">
        <v>43921</v>
      </c>
      <c r="F145" t="s">
        <v>84</v>
      </c>
      <c r="G145">
        <v>10</v>
      </c>
      <c r="H145" t="s">
        <v>85</v>
      </c>
      <c r="I145" t="s">
        <v>43</v>
      </c>
      <c r="J145" t="s">
        <v>86</v>
      </c>
      <c r="K145" t="s">
        <v>44</v>
      </c>
      <c r="L145">
        <v>60000</v>
      </c>
      <c r="M145" s="1">
        <v>43556</v>
      </c>
      <c r="N145" t="s">
        <v>45</v>
      </c>
      <c r="O145" t="s">
        <v>44</v>
      </c>
      <c r="P145" t="s">
        <v>47</v>
      </c>
      <c r="Q145" s="1">
        <v>43852</v>
      </c>
      <c r="R145" t="s">
        <v>48</v>
      </c>
      <c r="S145" t="s">
        <v>99</v>
      </c>
      <c r="T145" t="s">
        <v>100</v>
      </c>
      <c r="U145" t="s">
        <v>85</v>
      </c>
      <c r="V145">
        <v>210000</v>
      </c>
      <c r="W145">
        <v>35000</v>
      </c>
      <c r="X145" s="1">
        <v>43799</v>
      </c>
      <c r="Y145" t="s">
        <v>51</v>
      </c>
      <c r="Z145" t="s">
        <v>43</v>
      </c>
      <c r="AA145" t="s">
        <v>98</v>
      </c>
      <c r="AB145" t="s">
        <v>89</v>
      </c>
      <c r="AC145" t="s">
        <v>101</v>
      </c>
      <c r="AF145" t="s">
        <v>91</v>
      </c>
      <c r="AG145" s="1">
        <v>43852</v>
      </c>
      <c r="AH145" t="s">
        <v>85</v>
      </c>
      <c r="AI145" t="s">
        <v>92</v>
      </c>
      <c r="AJ145">
        <v>19888</v>
      </c>
      <c r="AK145">
        <v>128777</v>
      </c>
      <c r="AL145">
        <v>198882</v>
      </c>
    </row>
    <row r="146" spans="1:38" x14ac:dyDescent="0.25">
      <c r="A146" t="s">
        <v>150</v>
      </c>
      <c r="B146" t="s">
        <v>149</v>
      </c>
      <c r="C146" t="s">
        <v>40</v>
      </c>
      <c r="D146" s="1">
        <v>43556</v>
      </c>
      <c r="E146" s="1">
        <v>43921</v>
      </c>
      <c r="F146" t="s">
        <v>84</v>
      </c>
      <c r="G146">
        <v>10</v>
      </c>
      <c r="H146" t="s">
        <v>85</v>
      </c>
      <c r="I146" t="s">
        <v>43</v>
      </c>
      <c r="J146" t="s">
        <v>86</v>
      </c>
      <c r="K146" t="s">
        <v>44</v>
      </c>
      <c r="L146">
        <v>60000</v>
      </c>
      <c r="M146" s="1">
        <v>43556</v>
      </c>
      <c r="N146" t="s">
        <v>45</v>
      </c>
      <c r="O146" t="s">
        <v>44</v>
      </c>
      <c r="P146" t="s">
        <v>47</v>
      </c>
      <c r="Q146" s="1">
        <v>43852</v>
      </c>
      <c r="R146" t="s">
        <v>48</v>
      </c>
      <c r="S146" t="s">
        <v>99</v>
      </c>
      <c r="T146" t="s">
        <v>100</v>
      </c>
      <c r="U146" t="s">
        <v>85</v>
      </c>
      <c r="V146">
        <v>210000</v>
      </c>
      <c r="W146">
        <v>35000</v>
      </c>
      <c r="X146" s="1">
        <v>43799</v>
      </c>
      <c r="Y146" t="s">
        <v>51</v>
      </c>
      <c r="Z146" t="s">
        <v>43</v>
      </c>
      <c r="AA146" t="s">
        <v>98</v>
      </c>
      <c r="AB146" t="s">
        <v>89</v>
      </c>
      <c r="AC146" t="s">
        <v>101</v>
      </c>
      <c r="AF146" t="s">
        <v>93</v>
      </c>
      <c r="AG146" s="1">
        <v>43843</v>
      </c>
      <c r="AH146" t="s">
        <v>85</v>
      </c>
      <c r="AI146" t="s">
        <v>92</v>
      </c>
      <c r="AJ146">
        <v>19888</v>
      </c>
      <c r="AK146">
        <v>128777</v>
      </c>
      <c r="AL146">
        <v>198882</v>
      </c>
    </row>
    <row r="147" spans="1:38" x14ac:dyDescent="0.25">
      <c r="A147" t="s">
        <v>150</v>
      </c>
      <c r="B147" t="s">
        <v>149</v>
      </c>
      <c r="C147" t="s">
        <v>40</v>
      </c>
      <c r="D147" s="1">
        <v>43556</v>
      </c>
      <c r="E147" s="1">
        <v>43921</v>
      </c>
      <c r="F147" t="s">
        <v>84</v>
      </c>
      <c r="G147">
        <v>10</v>
      </c>
      <c r="H147" t="s">
        <v>85</v>
      </c>
      <c r="I147" t="s">
        <v>43</v>
      </c>
      <c r="J147" t="s">
        <v>86</v>
      </c>
      <c r="K147" t="s">
        <v>44</v>
      </c>
      <c r="L147">
        <v>60000</v>
      </c>
      <c r="M147" s="1">
        <v>43556</v>
      </c>
      <c r="N147" t="s">
        <v>45</v>
      </c>
      <c r="O147" t="s">
        <v>44</v>
      </c>
      <c r="P147" t="s">
        <v>47</v>
      </c>
      <c r="Q147" s="1">
        <v>43852</v>
      </c>
      <c r="R147" t="s">
        <v>48</v>
      </c>
      <c r="S147" t="s">
        <v>102</v>
      </c>
      <c r="T147" t="s">
        <v>103</v>
      </c>
      <c r="U147" t="s">
        <v>85</v>
      </c>
      <c r="V147">
        <v>5000000</v>
      </c>
      <c r="W147">
        <v>250000</v>
      </c>
      <c r="X147" s="1">
        <v>43799</v>
      </c>
      <c r="Y147" t="s">
        <v>51</v>
      </c>
      <c r="Z147" t="s">
        <v>43</v>
      </c>
      <c r="AA147" t="s">
        <v>86</v>
      </c>
      <c r="AB147" t="s">
        <v>89</v>
      </c>
      <c r="AC147" t="s">
        <v>90</v>
      </c>
      <c r="AF147" t="s">
        <v>91</v>
      </c>
      <c r="AG147" s="1">
        <v>43852</v>
      </c>
      <c r="AH147" t="s">
        <v>85</v>
      </c>
      <c r="AI147" t="s">
        <v>92</v>
      </c>
      <c r="AJ147">
        <v>19888</v>
      </c>
      <c r="AK147">
        <v>128777</v>
      </c>
      <c r="AL147">
        <v>198882</v>
      </c>
    </row>
    <row r="148" spans="1:38" x14ac:dyDescent="0.25">
      <c r="A148" t="s">
        <v>150</v>
      </c>
      <c r="B148" t="s">
        <v>149</v>
      </c>
      <c r="C148" t="s">
        <v>40</v>
      </c>
      <c r="D148" s="1">
        <v>43556</v>
      </c>
      <c r="E148" s="1">
        <v>43921</v>
      </c>
      <c r="F148" t="s">
        <v>84</v>
      </c>
      <c r="G148">
        <v>10</v>
      </c>
      <c r="H148" t="s">
        <v>85</v>
      </c>
      <c r="I148" t="s">
        <v>43</v>
      </c>
      <c r="J148" t="s">
        <v>86</v>
      </c>
      <c r="K148" t="s">
        <v>44</v>
      </c>
      <c r="L148">
        <v>60000</v>
      </c>
      <c r="M148" s="1">
        <v>43556</v>
      </c>
      <c r="N148" t="s">
        <v>45</v>
      </c>
      <c r="O148" t="s">
        <v>44</v>
      </c>
      <c r="P148" t="s">
        <v>47</v>
      </c>
      <c r="Q148" s="1">
        <v>43852</v>
      </c>
      <c r="R148" t="s">
        <v>48</v>
      </c>
      <c r="S148" t="s">
        <v>102</v>
      </c>
      <c r="T148" t="s">
        <v>103</v>
      </c>
      <c r="U148" t="s">
        <v>85</v>
      </c>
      <c r="V148">
        <v>5000000</v>
      </c>
      <c r="W148">
        <v>250000</v>
      </c>
      <c r="X148" s="1">
        <v>43799</v>
      </c>
      <c r="Y148" t="s">
        <v>51</v>
      </c>
      <c r="Z148" t="s">
        <v>43</v>
      </c>
      <c r="AA148" t="s">
        <v>86</v>
      </c>
      <c r="AB148" t="s">
        <v>89</v>
      </c>
      <c r="AC148" t="s">
        <v>90</v>
      </c>
      <c r="AF148" t="s">
        <v>93</v>
      </c>
      <c r="AG148" s="1">
        <v>43843</v>
      </c>
      <c r="AH148" t="s">
        <v>85</v>
      </c>
      <c r="AI148" t="s">
        <v>92</v>
      </c>
      <c r="AJ148">
        <v>19888</v>
      </c>
      <c r="AK148">
        <v>128777</v>
      </c>
      <c r="AL148">
        <v>198882</v>
      </c>
    </row>
    <row r="149" spans="1:38" x14ac:dyDescent="0.25">
      <c r="A149" t="s">
        <v>151</v>
      </c>
      <c r="B149">
        <v>2250002346</v>
      </c>
      <c r="C149" t="s">
        <v>40</v>
      </c>
      <c r="D149" s="1">
        <v>43191</v>
      </c>
      <c r="E149" s="1">
        <v>43555</v>
      </c>
      <c r="F149" t="s">
        <v>76</v>
      </c>
      <c r="G149">
        <v>3</v>
      </c>
      <c r="H149" t="s">
        <v>125</v>
      </c>
      <c r="I149" t="s">
        <v>43</v>
      </c>
      <c r="J149" t="s">
        <v>126</v>
      </c>
      <c r="K149" t="s">
        <v>44</v>
      </c>
      <c r="L149">
        <v>4715.63</v>
      </c>
      <c r="M149" s="1">
        <v>43191</v>
      </c>
      <c r="N149" t="s">
        <v>45</v>
      </c>
      <c r="O149" t="s">
        <v>46</v>
      </c>
      <c r="P149" t="s">
        <v>47</v>
      </c>
      <c r="Q149" s="1">
        <v>43852</v>
      </c>
      <c r="R149" t="s">
        <v>48</v>
      </c>
    </row>
    <row r="150" spans="1:38" x14ac:dyDescent="0.25">
      <c r="A150" t="s">
        <v>152</v>
      </c>
      <c r="B150" s="2">
        <v>3.1242E+18</v>
      </c>
      <c r="C150" t="s">
        <v>40</v>
      </c>
      <c r="D150" s="1">
        <v>43191</v>
      </c>
      <c r="E150" s="1">
        <v>43555</v>
      </c>
      <c r="F150" t="s">
        <v>77</v>
      </c>
      <c r="G150">
        <v>3</v>
      </c>
      <c r="H150" t="s">
        <v>125</v>
      </c>
      <c r="I150" t="s">
        <v>43</v>
      </c>
      <c r="J150" t="s">
        <v>126</v>
      </c>
      <c r="K150" t="s">
        <v>44</v>
      </c>
      <c r="L150">
        <v>22755.25</v>
      </c>
      <c r="M150" s="1">
        <v>43191</v>
      </c>
      <c r="N150" t="s">
        <v>45</v>
      </c>
      <c r="O150" t="s">
        <v>46</v>
      </c>
      <c r="P150" t="s">
        <v>47</v>
      </c>
      <c r="Q150" s="1">
        <v>43852</v>
      </c>
      <c r="R150" t="s">
        <v>48</v>
      </c>
    </row>
    <row r="151" spans="1:38" x14ac:dyDescent="0.25">
      <c r="A151" t="s">
        <v>153</v>
      </c>
      <c r="B151" t="s">
        <v>154</v>
      </c>
      <c r="C151" t="s">
        <v>40</v>
      </c>
      <c r="D151" s="1">
        <v>43191</v>
      </c>
      <c r="E151" s="1">
        <v>43555</v>
      </c>
      <c r="F151" t="s">
        <v>77</v>
      </c>
      <c r="G151">
        <v>12</v>
      </c>
      <c r="H151" t="s">
        <v>155</v>
      </c>
      <c r="I151" t="s">
        <v>43</v>
      </c>
      <c r="J151" t="s">
        <v>126</v>
      </c>
      <c r="K151" t="s">
        <v>44</v>
      </c>
      <c r="L151">
        <v>26443.63</v>
      </c>
      <c r="M151" s="1">
        <v>43191</v>
      </c>
      <c r="N151" t="s">
        <v>45</v>
      </c>
      <c r="O151" t="s">
        <v>46</v>
      </c>
      <c r="P151" t="s">
        <v>47</v>
      </c>
      <c r="Q151" s="1">
        <v>43852</v>
      </c>
      <c r="R151" t="s">
        <v>48</v>
      </c>
      <c r="S151" t="s">
        <v>156</v>
      </c>
      <c r="T151" t="s">
        <v>157</v>
      </c>
      <c r="U151" t="s">
        <v>155</v>
      </c>
      <c r="V151">
        <v>500000</v>
      </c>
      <c r="W151">
        <v>75000</v>
      </c>
      <c r="X151" s="1">
        <v>43982</v>
      </c>
      <c r="Y151" t="s">
        <v>51</v>
      </c>
      <c r="Z151" t="s">
        <v>43</v>
      </c>
      <c r="AA151" t="s">
        <v>77</v>
      </c>
      <c r="AB151" t="s">
        <v>158</v>
      </c>
      <c r="AC151" t="s">
        <v>159</v>
      </c>
      <c r="AF151" t="s">
        <v>160</v>
      </c>
      <c r="AG151" s="1">
        <v>43851</v>
      </c>
    </row>
    <row r="152" spans="1:38" x14ac:dyDescent="0.25">
      <c r="A152" t="s">
        <v>153</v>
      </c>
      <c r="B152" t="s">
        <v>154</v>
      </c>
      <c r="C152" t="s">
        <v>40</v>
      </c>
      <c r="D152" s="1">
        <v>43191</v>
      </c>
      <c r="E152" s="1">
        <v>43555</v>
      </c>
      <c r="F152" t="s">
        <v>77</v>
      </c>
      <c r="G152">
        <v>12</v>
      </c>
      <c r="H152" t="s">
        <v>155</v>
      </c>
      <c r="I152" t="s">
        <v>43</v>
      </c>
      <c r="J152" t="s">
        <v>126</v>
      </c>
      <c r="K152" t="s">
        <v>44</v>
      </c>
      <c r="L152">
        <v>26443.63</v>
      </c>
      <c r="M152" s="1">
        <v>43191</v>
      </c>
      <c r="N152" t="s">
        <v>45</v>
      </c>
      <c r="O152" t="s">
        <v>46</v>
      </c>
      <c r="P152" t="s">
        <v>47</v>
      </c>
      <c r="Q152" s="1">
        <v>43852</v>
      </c>
      <c r="R152" t="s">
        <v>48</v>
      </c>
      <c r="S152" t="s">
        <v>156</v>
      </c>
      <c r="T152" t="s">
        <v>157</v>
      </c>
      <c r="U152" t="s">
        <v>155</v>
      </c>
      <c r="V152">
        <v>500000</v>
      </c>
      <c r="W152">
        <v>75000</v>
      </c>
      <c r="X152" s="1">
        <v>43982</v>
      </c>
      <c r="Y152" t="s">
        <v>51</v>
      </c>
      <c r="Z152" t="s">
        <v>43</v>
      </c>
      <c r="AA152" t="s">
        <v>77</v>
      </c>
      <c r="AB152" t="s">
        <v>158</v>
      </c>
      <c r="AC152" t="s">
        <v>159</v>
      </c>
      <c r="AF152" t="s">
        <v>161</v>
      </c>
      <c r="AG152" s="1">
        <v>43851</v>
      </c>
    </row>
    <row r="153" spans="1:38" x14ac:dyDescent="0.25">
      <c r="A153" t="s">
        <v>153</v>
      </c>
      <c r="B153" t="s">
        <v>154</v>
      </c>
      <c r="C153" t="s">
        <v>40</v>
      </c>
      <c r="D153" s="1">
        <v>43191</v>
      </c>
      <c r="E153" s="1">
        <v>43555</v>
      </c>
      <c r="F153" t="s">
        <v>77</v>
      </c>
      <c r="G153">
        <v>12</v>
      </c>
      <c r="H153" t="s">
        <v>155</v>
      </c>
      <c r="I153" t="s">
        <v>43</v>
      </c>
      <c r="J153" t="s">
        <v>126</v>
      </c>
      <c r="K153" t="s">
        <v>44</v>
      </c>
      <c r="L153">
        <v>26443.63</v>
      </c>
      <c r="M153" s="1">
        <v>43191</v>
      </c>
      <c r="N153" t="s">
        <v>45</v>
      </c>
      <c r="O153" t="s">
        <v>46</v>
      </c>
      <c r="P153" t="s">
        <v>47</v>
      </c>
      <c r="Q153" s="1">
        <v>43852</v>
      </c>
      <c r="R153" t="s">
        <v>48</v>
      </c>
      <c r="S153" t="s">
        <v>156</v>
      </c>
      <c r="T153" t="s">
        <v>157</v>
      </c>
      <c r="U153" t="s">
        <v>155</v>
      </c>
      <c r="V153">
        <v>500000</v>
      </c>
      <c r="W153">
        <v>75000</v>
      </c>
      <c r="X153" s="1">
        <v>43982</v>
      </c>
      <c r="Y153" t="s">
        <v>51</v>
      </c>
      <c r="Z153" t="s">
        <v>43</v>
      </c>
      <c r="AA153" t="s">
        <v>77</v>
      </c>
      <c r="AB153" t="s">
        <v>158</v>
      </c>
      <c r="AC153" t="s">
        <v>159</v>
      </c>
      <c r="AF153" t="s">
        <v>162</v>
      </c>
      <c r="AG153" s="1">
        <v>43851</v>
      </c>
    </row>
    <row r="154" spans="1:38" x14ac:dyDescent="0.25">
      <c r="A154" t="s">
        <v>153</v>
      </c>
      <c r="B154" t="s">
        <v>154</v>
      </c>
      <c r="C154" t="s">
        <v>40</v>
      </c>
      <c r="D154" s="1">
        <v>43191</v>
      </c>
      <c r="E154" s="1">
        <v>43555</v>
      </c>
      <c r="F154" t="s">
        <v>77</v>
      </c>
      <c r="G154">
        <v>12</v>
      </c>
      <c r="H154" t="s">
        <v>155</v>
      </c>
      <c r="I154" t="s">
        <v>43</v>
      </c>
      <c r="J154" t="s">
        <v>126</v>
      </c>
      <c r="K154" t="s">
        <v>44</v>
      </c>
      <c r="L154">
        <v>26443.63</v>
      </c>
      <c r="M154" s="1">
        <v>43191</v>
      </c>
      <c r="N154" t="s">
        <v>45</v>
      </c>
      <c r="O154" t="s">
        <v>46</v>
      </c>
      <c r="P154" t="s">
        <v>47</v>
      </c>
      <c r="Q154" s="1">
        <v>43852</v>
      </c>
      <c r="R154" t="s">
        <v>48</v>
      </c>
      <c r="S154" t="s">
        <v>156</v>
      </c>
      <c r="T154" t="s">
        <v>157</v>
      </c>
      <c r="U154" t="s">
        <v>155</v>
      </c>
      <c r="V154">
        <v>500000</v>
      </c>
      <c r="W154">
        <v>75000</v>
      </c>
      <c r="X154" s="1">
        <v>43982</v>
      </c>
      <c r="Y154" t="s">
        <v>51</v>
      </c>
      <c r="Z154" t="s">
        <v>43</v>
      </c>
      <c r="AA154" t="s">
        <v>77</v>
      </c>
      <c r="AB154" t="s">
        <v>158</v>
      </c>
      <c r="AC154" t="s">
        <v>159</v>
      </c>
      <c r="AF154" t="s">
        <v>163</v>
      </c>
      <c r="AG154" s="1">
        <v>43852</v>
      </c>
    </row>
    <row r="155" spans="1:38" x14ac:dyDescent="0.25">
      <c r="A155" t="s">
        <v>153</v>
      </c>
      <c r="B155" t="s">
        <v>154</v>
      </c>
      <c r="C155" t="s">
        <v>40</v>
      </c>
      <c r="D155" s="1">
        <v>43191</v>
      </c>
      <c r="E155" s="1">
        <v>43555</v>
      </c>
      <c r="F155" t="s">
        <v>77</v>
      </c>
      <c r="G155">
        <v>12</v>
      </c>
      <c r="H155" t="s">
        <v>155</v>
      </c>
      <c r="I155" t="s">
        <v>43</v>
      </c>
      <c r="J155" t="s">
        <v>126</v>
      </c>
      <c r="K155" t="s">
        <v>44</v>
      </c>
      <c r="L155">
        <v>26443.63</v>
      </c>
      <c r="M155" s="1">
        <v>43191</v>
      </c>
      <c r="N155" t="s">
        <v>45</v>
      </c>
      <c r="O155" t="s">
        <v>46</v>
      </c>
      <c r="P155" t="s">
        <v>47</v>
      </c>
      <c r="Q155" s="1">
        <v>43852</v>
      </c>
      <c r="R155" t="s">
        <v>48</v>
      </c>
      <c r="S155" t="s">
        <v>164</v>
      </c>
      <c r="T155" t="s">
        <v>165</v>
      </c>
      <c r="U155" t="s">
        <v>155</v>
      </c>
      <c r="V155">
        <v>0</v>
      </c>
      <c r="W155">
        <v>50000</v>
      </c>
      <c r="X155" s="1">
        <v>43921</v>
      </c>
      <c r="Y155" t="s">
        <v>51</v>
      </c>
      <c r="Z155" t="s">
        <v>43</v>
      </c>
      <c r="AA155" t="s">
        <v>77</v>
      </c>
      <c r="AB155" t="s">
        <v>158</v>
      </c>
      <c r="AC155" t="s">
        <v>166</v>
      </c>
      <c r="AF155" t="s">
        <v>160</v>
      </c>
      <c r="AG155" s="1">
        <v>43851</v>
      </c>
    </row>
    <row r="156" spans="1:38" x14ac:dyDescent="0.25">
      <c r="A156" t="s">
        <v>153</v>
      </c>
      <c r="B156" t="s">
        <v>154</v>
      </c>
      <c r="C156" t="s">
        <v>40</v>
      </c>
      <c r="D156" s="1">
        <v>43191</v>
      </c>
      <c r="E156" s="1">
        <v>43555</v>
      </c>
      <c r="F156" t="s">
        <v>77</v>
      </c>
      <c r="G156">
        <v>12</v>
      </c>
      <c r="H156" t="s">
        <v>155</v>
      </c>
      <c r="I156" t="s">
        <v>43</v>
      </c>
      <c r="J156" t="s">
        <v>126</v>
      </c>
      <c r="K156" t="s">
        <v>44</v>
      </c>
      <c r="L156">
        <v>26443.63</v>
      </c>
      <c r="M156" s="1">
        <v>43191</v>
      </c>
      <c r="N156" t="s">
        <v>45</v>
      </c>
      <c r="O156" t="s">
        <v>46</v>
      </c>
      <c r="P156" t="s">
        <v>47</v>
      </c>
      <c r="Q156" s="1">
        <v>43852</v>
      </c>
      <c r="R156" t="s">
        <v>48</v>
      </c>
      <c r="S156" t="s">
        <v>164</v>
      </c>
      <c r="T156" t="s">
        <v>165</v>
      </c>
      <c r="U156" t="s">
        <v>155</v>
      </c>
      <c r="V156">
        <v>0</v>
      </c>
      <c r="W156">
        <v>50000</v>
      </c>
      <c r="X156" s="1">
        <v>43921</v>
      </c>
      <c r="Y156" t="s">
        <v>51</v>
      </c>
      <c r="Z156" t="s">
        <v>43</v>
      </c>
      <c r="AA156" t="s">
        <v>77</v>
      </c>
      <c r="AB156" t="s">
        <v>158</v>
      </c>
      <c r="AC156" t="s">
        <v>166</v>
      </c>
      <c r="AF156" t="s">
        <v>161</v>
      </c>
      <c r="AG156" s="1">
        <v>43851</v>
      </c>
    </row>
    <row r="157" spans="1:38" x14ac:dyDescent="0.25">
      <c r="A157" t="s">
        <v>153</v>
      </c>
      <c r="B157" t="s">
        <v>154</v>
      </c>
      <c r="C157" t="s">
        <v>40</v>
      </c>
      <c r="D157" s="1">
        <v>43191</v>
      </c>
      <c r="E157" s="1">
        <v>43555</v>
      </c>
      <c r="F157" t="s">
        <v>77</v>
      </c>
      <c r="G157">
        <v>12</v>
      </c>
      <c r="H157" t="s">
        <v>155</v>
      </c>
      <c r="I157" t="s">
        <v>43</v>
      </c>
      <c r="J157" t="s">
        <v>126</v>
      </c>
      <c r="K157" t="s">
        <v>44</v>
      </c>
      <c r="L157">
        <v>26443.63</v>
      </c>
      <c r="M157" s="1">
        <v>43191</v>
      </c>
      <c r="N157" t="s">
        <v>45</v>
      </c>
      <c r="O157" t="s">
        <v>46</v>
      </c>
      <c r="P157" t="s">
        <v>47</v>
      </c>
      <c r="Q157" s="1">
        <v>43852</v>
      </c>
      <c r="R157" t="s">
        <v>48</v>
      </c>
      <c r="S157" t="s">
        <v>164</v>
      </c>
      <c r="T157" t="s">
        <v>165</v>
      </c>
      <c r="U157" t="s">
        <v>155</v>
      </c>
      <c r="V157">
        <v>0</v>
      </c>
      <c r="W157">
        <v>50000</v>
      </c>
      <c r="X157" s="1">
        <v>43921</v>
      </c>
      <c r="Y157" t="s">
        <v>51</v>
      </c>
      <c r="Z157" t="s">
        <v>43</v>
      </c>
      <c r="AA157" t="s">
        <v>77</v>
      </c>
      <c r="AB157" t="s">
        <v>158</v>
      </c>
      <c r="AC157" t="s">
        <v>166</v>
      </c>
      <c r="AF157" t="s">
        <v>162</v>
      </c>
      <c r="AG157" s="1">
        <v>43851</v>
      </c>
    </row>
    <row r="158" spans="1:38" x14ac:dyDescent="0.25">
      <c r="A158" t="s">
        <v>153</v>
      </c>
      <c r="B158" t="s">
        <v>154</v>
      </c>
      <c r="C158" t="s">
        <v>40</v>
      </c>
      <c r="D158" s="1">
        <v>43191</v>
      </c>
      <c r="E158" s="1">
        <v>43555</v>
      </c>
      <c r="F158" t="s">
        <v>77</v>
      </c>
      <c r="G158">
        <v>12</v>
      </c>
      <c r="H158" t="s">
        <v>155</v>
      </c>
      <c r="I158" t="s">
        <v>43</v>
      </c>
      <c r="J158" t="s">
        <v>126</v>
      </c>
      <c r="K158" t="s">
        <v>44</v>
      </c>
      <c r="L158">
        <v>26443.63</v>
      </c>
      <c r="M158" s="1">
        <v>43191</v>
      </c>
      <c r="N158" t="s">
        <v>45</v>
      </c>
      <c r="O158" t="s">
        <v>46</v>
      </c>
      <c r="P158" t="s">
        <v>47</v>
      </c>
      <c r="Q158" s="1">
        <v>43852</v>
      </c>
      <c r="R158" t="s">
        <v>48</v>
      </c>
      <c r="S158" t="s">
        <v>164</v>
      </c>
      <c r="T158" t="s">
        <v>165</v>
      </c>
      <c r="U158" t="s">
        <v>155</v>
      </c>
      <c r="V158">
        <v>0</v>
      </c>
      <c r="W158">
        <v>50000</v>
      </c>
      <c r="X158" s="1">
        <v>43921</v>
      </c>
      <c r="Y158" t="s">
        <v>51</v>
      </c>
      <c r="Z158" t="s">
        <v>43</v>
      </c>
      <c r="AA158" t="s">
        <v>77</v>
      </c>
      <c r="AB158" t="s">
        <v>158</v>
      </c>
      <c r="AC158" t="s">
        <v>166</v>
      </c>
      <c r="AF158" t="s">
        <v>163</v>
      </c>
      <c r="AG158" s="1">
        <v>43852</v>
      </c>
    </row>
    <row r="159" spans="1:38" x14ac:dyDescent="0.25">
      <c r="A159" t="s">
        <v>167</v>
      </c>
      <c r="B159" t="s">
        <v>168</v>
      </c>
      <c r="C159" t="s">
        <v>71</v>
      </c>
      <c r="D159" s="1">
        <v>43196</v>
      </c>
      <c r="E159" s="1">
        <v>43560</v>
      </c>
      <c r="F159" t="s">
        <v>41</v>
      </c>
      <c r="G159">
        <v>1</v>
      </c>
      <c r="H159" t="s">
        <v>42</v>
      </c>
      <c r="I159" t="s">
        <v>43</v>
      </c>
      <c r="J159" t="s">
        <v>41</v>
      </c>
      <c r="K159" t="s">
        <v>44</v>
      </c>
      <c r="L159">
        <v>49499.839999999997</v>
      </c>
      <c r="M159" s="1">
        <v>43196</v>
      </c>
      <c r="N159" t="s">
        <v>45</v>
      </c>
      <c r="O159" t="s">
        <v>106</v>
      </c>
      <c r="P159" t="s">
        <v>47</v>
      </c>
      <c r="Q159" s="1">
        <v>43852</v>
      </c>
      <c r="R159" t="s">
        <v>48</v>
      </c>
      <c r="S159" t="s">
        <v>49</v>
      </c>
      <c r="T159" t="s">
        <v>50</v>
      </c>
      <c r="U159" t="s">
        <v>42</v>
      </c>
      <c r="V159">
        <v>0</v>
      </c>
      <c r="W159">
        <v>100000</v>
      </c>
      <c r="X159" s="1">
        <v>44012</v>
      </c>
      <c r="Y159" t="s">
        <v>51</v>
      </c>
      <c r="Z159" t="s">
        <v>43</v>
      </c>
      <c r="AA159" t="s">
        <v>41</v>
      </c>
      <c r="AB159" t="s">
        <v>52</v>
      </c>
      <c r="AC159" t="s">
        <v>53</v>
      </c>
      <c r="AF159" t="s">
        <v>54</v>
      </c>
      <c r="AG159" s="1">
        <v>43832</v>
      </c>
      <c r="AH159" t="s">
        <v>42</v>
      </c>
      <c r="AI159" t="s">
        <v>55</v>
      </c>
      <c r="AJ159">
        <v>12788092</v>
      </c>
      <c r="AK159">
        <v>250000</v>
      </c>
      <c r="AL159">
        <v>1500000</v>
      </c>
    </row>
    <row r="160" spans="1:38" x14ac:dyDescent="0.25">
      <c r="A160" t="s">
        <v>167</v>
      </c>
      <c r="B160" t="s">
        <v>168</v>
      </c>
      <c r="C160" t="s">
        <v>71</v>
      </c>
      <c r="D160" s="1">
        <v>43196</v>
      </c>
      <c r="E160" s="1">
        <v>43560</v>
      </c>
      <c r="F160" t="s">
        <v>41</v>
      </c>
      <c r="G160">
        <v>1</v>
      </c>
      <c r="H160" t="s">
        <v>42</v>
      </c>
      <c r="I160" t="s">
        <v>43</v>
      </c>
      <c r="J160" t="s">
        <v>41</v>
      </c>
      <c r="K160" t="s">
        <v>44</v>
      </c>
      <c r="L160">
        <v>49499.839999999997</v>
      </c>
      <c r="M160" s="1">
        <v>43196</v>
      </c>
      <c r="N160" t="s">
        <v>45</v>
      </c>
      <c r="O160" t="s">
        <v>106</v>
      </c>
      <c r="P160" t="s">
        <v>47</v>
      </c>
      <c r="Q160" s="1">
        <v>43852</v>
      </c>
      <c r="R160" t="s">
        <v>48</v>
      </c>
      <c r="S160" t="s">
        <v>49</v>
      </c>
      <c r="T160" t="s">
        <v>50</v>
      </c>
      <c r="U160" t="s">
        <v>42</v>
      </c>
      <c r="V160">
        <v>0</v>
      </c>
      <c r="W160">
        <v>100000</v>
      </c>
      <c r="X160" s="1">
        <v>44012</v>
      </c>
      <c r="Y160" t="s">
        <v>51</v>
      </c>
      <c r="Z160" t="s">
        <v>43</v>
      </c>
      <c r="AA160" t="s">
        <v>41</v>
      </c>
      <c r="AB160" t="s">
        <v>52</v>
      </c>
      <c r="AC160" t="s">
        <v>53</v>
      </c>
      <c r="AF160" t="s">
        <v>56</v>
      </c>
      <c r="AG160" s="1">
        <v>43833</v>
      </c>
      <c r="AH160" t="s">
        <v>42</v>
      </c>
      <c r="AI160" t="s">
        <v>55</v>
      </c>
      <c r="AJ160">
        <v>12788092</v>
      </c>
      <c r="AK160">
        <v>250000</v>
      </c>
      <c r="AL160">
        <v>1500000</v>
      </c>
    </row>
    <row r="161" spans="1:38" x14ac:dyDescent="0.25">
      <c r="A161" t="s">
        <v>167</v>
      </c>
      <c r="B161" t="s">
        <v>168</v>
      </c>
      <c r="C161" t="s">
        <v>71</v>
      </c>
      <c r="D161" s="1">
        <v>43196</v>
      </c>
      <c r="E161" s="1">
        <v>43560</v>
      </c>
      <c r="F161" t="s">
        <v>41</v>
      </c>
      <c r="G161">
        <v>1</v>
      </c>
      <c r="H161" t="s">
        <v>42</v>
      </c>
      <c r="I161" t="s">
        <v>43</v>
      </c>
      <c r="J161" t="s">
        <v>41</v>
      </c>
      <c r="K161" t="s">
        <v>44</v>
      </c>
      <c r="L161">
        <v>49499.839999999997</v>
      </c>
      <c r="M161" s="1">
        <v>43196</v>
      </c>
      <c r="N161" t="s">
        <v>45</v>
      </c>
      <c r="O161" t="s">
        <v>106</v>
      </c>
      <c r="P161" t="s">
        <v>47</v>
      </c>
      <c r="Q161" s="1">
        <v>43852</v>
      </c>
      <c r="R161" t="s">
        <v>48</v>
      </c>
      <c r="S161" t="s">
        <v>49</v>
      </c>
      <c r="T161" t="s">
        <v>50</v>
      </c>
      <c r="U161" t="s">
        <v>42</v>
      </c>
      <c r="V161">
        <v>0</v>
      </c>
      <c r="W161">
        <v>100000</v>
      </c>
      <c r="X161" s="1">
        <v>44012</v>
      </c>
      <c r="Y161" t="s">
        <v>51</v>
      </c>
      <c r="Z161" t="s">
        <v>43</v>
      </c>
      <c r="AA161" t="s">
        <v>41</v>
      </c>
      <c r="AB161" t="s">
        <v>52</v>
      </c>
      <c r="AC161" t="s">
        <v>53</v>
      </c>
      <c r="AF161" t="s">
        <v>57</v>
      </c>
      <c r="AG161" s="1">
        <v>43836</v>
      </c>
      <c r="AH161" t="s">
        <v>42</v>
      </c>
      <c r="AI161" t="s">
        <v>55</v>
      </c>
      <c r="AJ161">
        <v>12788092</v>
      </c>
      <c r="AK161">
        <v>250000</v>
      </c>
      <c r="AL161">
        <v>1500000</v>
      </c>
    </row>
    <row r="162" spans="1:38" x14ac:dyDescent="0.25">
      <c r="A162" t="s">
        <v>167</v>
      </c>
      <c r="B162" t="s">
        <v>168</v>
      </c>
      <c r="C162" t="s">
        <v>71</v>
      </c>
      <c r="D162" s="1">
        <v>43196</v>
      </c>
      <c r="E162" s="1">
        <v>43560</v>
      </c>
      <c r="F162" t="s">
        <v>41</v>
      </c>
      <c r="G162">
        <v>1</v>
      </c>
      <c r="H162" t="s">
        <v>42</v>
      </c>
      <c r="I162" t="s">
        <v>43</v>
      </c>
      <c r="J162" t="s">
        <v>41</v>
      </c>
      <c r="K162" t="s">
        <v>44</v>
      </c>
      <c r="L162">
        <v>49499.839999999997</v>
      </c>
      <c r="M162" s="1">
        <v>43196</v>
      </c>
      <c r="N162" t="s">
        <v>45</v>
      </c>
      <c r="O162" t="s">
        <v>106</v>
      </c>
      <c r="P162" t="s">
        <v>47</v>
      </c>
      <c r="Q162" s="1">
        <v>43852</v>
      </c>
      <c r="R162" t="s">
        <v>48</v>
      </c>
      <c r="S162" t="s">
        <v>49</v>
      </c>
      <c r="T162" t="s">
        <v>50</v>
      </c>
      <c r="U162" t="s">
        <v>42</v>
      </c>
      <c r="V162">
        <v>0</v>
      </c>
      <c r="W162">
        <v>100000</v>
      </c>
      <c r="X162" s="1">
        <v>44012</v>
      </c>
      <c r="Y162" t="s">
        <v>51</v>
      </c>
      <c r="Z162" t="s">
        <v>43</v>
      </c>
      <c r="AA162" t="s">
        <v>41</v>
      </c>
      <c r="AB162" t="s">
        <v>52</v>
      </c>
      <c r="AC162" t="s">
        <v>53</v>
      </c>
      <c r="AF162" t="s">
        <v>58</v>
      </c>
      <c r="AG162" s="1">
        <v>43837</v>
      </c>
      <c r="AH162" t="s">
        <v>42</v>
      </c>
      <c r="AI162" t="s">
        <v>55</v>
      </c>
      <c r="AJ162">
        <v>12788092</v>
      </c>
      <c r="AK162">
        <v>250000</v>
      </c>
      <c r="AL162">
        <v>1500000</v>
      </c>
    </row>
    <row r="163" spans="1:38" x14ac:dyDescent="0.25">
      <c r="A163" t="s">
        <v>167</v>
      </c>
      <c r="B163" t="s">
        <v>168</v>
      </c>
      <c r="C163" t="s">
        <v>71</v>
      </c>
      <c r="D163" s="1">
        <v>43196</v>
      </c>
      <c r="E163" s="1">
        <v>43560</v>
      </c>
      <c r="F163" t="s">
        <v>41</v>
      </c>
      <c r="G163">
        <v>1</v>
      </c>
      <c r="H163" t="s">
        <v>42</v>
      </c>
      <c r="I163" t="s">
        <v>43</v>
      </c>
      <c r="J163" t="s">
        <v>41</v>
      </c>
      <c r="K163" t="s">
        <v>44</v>
      </c>
      <c r="L163">
        <v>49499.839999999997</v>
      </c>
      <c r="M163" s="1">
        <v>43196</v>
      </c>
      <c r="N163" t="s">
        <v>45</v>
      </c>
      <c r="O163" t="s">
        <v>106</v>
      </c>
      <c r="P163" t="s">
        <v>47</v>
      </c>
      <c r="Q163" s="1">
        <v>43852</v>
      </c>
      <c r="R163" t="s">
        <v>48</v>
      </c>
      <c r="S163" t="s">
        <v>49</v>
      </c>
      <c r="T163" t="s">
        <v>50</v>
      </c>
      <c r="U163" t="s">
        <v>42</v>
      </c>
      <c r="V163">
        <v>0</v>
      </c>
      <c r="W163">
        <v>100000</v>
      </c>
      <c r="X163" s="1">
        <v>44012</v>
      </c>
      <c r="Y163" t="s">
        <v>51</v>
      </c>
      <c r="Z163" t="s">
        <v>43</v>
      </c>
      <c r="AA163" t="s">
        <v>41</v>
      </c>
      <c r="AB163" t="s">
        <v>52</v>
      </c>
      <c r="AC163" t="s">
        <v>53</v>
      </c>
      <c r="AF163" t="s">
        <v>59</v>
      </c>
      <c r="AG163" s="1">
        <v>43838</v>
      </c>
      <c r="AH163" t="s">
        <v>42</v>
      </c>
      <c r="AI163" t="s">
        <v>55</v>
      </c>
      <c r="AJ163">
        <v>12788092</v>
      </c>
      <c r="AK163">
        <v>250000</v>
      </c>
      <c r="AL163">
        <v>1500000</v>
      </c>
    </row>
    <row r="164" spans="1:38" x14ac:dyDescent="0.25">
      <c r="A164" t="s">
        <v>167</v>
      </c>
      <c r="B164" t="s">
        <v>168</v>
      </c>
      <c r="C164" t="s">
        <v>71</v>
      </c>
      <c r="D164" s="1">
        <v>43196</v>
      </c>
      <c r="E164" s="1">
        <v>43560</v>
      </c>
      <c r="F164" t="s">
        <v>41</v>
      </c>
      <c r="G164">
        <v>1</v>
      </c>
      <c r="H164" t="s">
        <v>42</v>
      </c>
      <c r="I164" t="s">
        <v>43</v>
      </c>
      <c r="J164" t="s">
        <v>41</v>
      </c>
      <c r="K164" t="s">
        <v>44</v>
      </c>
      <c r="L164">
        <v>49499.839999999997</v>
      </c>
      <c r="M164" s="1">
        <v>43196</v>
      </c>
      <c r="N164" t="s">
        <v>45</v>
      </c>
      <c r="O164" t="s">
        <v>106</v>
      </c>
      <c r="P164" t="s">
        <v>47</v>
      </c>
      <c r="Q164" s="1">
        <v>43852</v>
      </c>
      <c r="R164" t="s">
        <v>48</v>
      </c>
      <c r="S164" t="s">
        <v>60</v>
      </c>
      <c r="T164" t="s">
        <v>61</v>
      </c>
      <c r="U164" t="s">
        <v>42</v>
      </c>
      <c r="V164">
        <v>0</v>
      </c>
      <c r="W164">
        <v>100000</v>
      </c>
      <c r="X164" s="1">
        <v>43921</v>
      </c>
      <c r="Y164" t="s">
        <v>51</v>
      </c>
      <c r="Z164" t="s">
        <v>43</v>
      </c>
      <c r="AA164" t="s">
        <v>41</v>
      </c>
      <c r="AB164" t="s">
        <v>52</v>
      </c>
      <c r="AC164" t="s">
        <v>53</v>
      </c>
      <c r="AF164" t="s">
        <v>54</v>
      </c>
      <c r="AG164" s="1">
        <v>43832</v>
      </c>
      <c r="AH164" t="s">
        <v>42</v>
      </c>
      <c r="AI164" t="s">
        <v>55</v>
      </c>
      <c r="AJ164">
        <v>12788092</v>
      </c>
      <c r="AK164">
        <v>250000</v>
      </c>
      <c r="AL164">
        <v>1500000</v>
      </c>
    </row>
    <row r="165" spans="1:38" x14ac:dyDescent="0.25">
      <c r="A165" t="s">
        <v>167</v>
      </c>
      <c r="B165" t="s">
        <v>168</v>
      </c>
      <c r="C165" t="s">
        <v>71</v>
      </c>
      <c r="D165" s="1">
        <v>43196</v>
      </c>
      <c r="E165" s="1">
        <v>43560</v>
      </c>
      <c r="F165" t="s">
        <v>41</v>
      </c>
      <c r="G165">
        <v>1</v>
      </c>
      <c r="H165" t="s">
        <v>42</v>
      </c>
      <c r="I165" t="s">
        <v>43</v>
      </c>
      <c r="J165" t="s">
        <v>41</v>
      </c>
      <c r="K165" t="s">
        <v>44</v>
      </c>
      <c r="L165">
        <v>49499.839999999997</v>
      </c>
      <c r="M165" s="1">
        <v>43196</v>
      </c>
      <c r="N165" t="s">
        <v>45</v>
      </c>
      <c r="O165" t="s">
        <v>106</v>
      </c>
      <c r="P165" t="s">
        <v>47</v>
      </c>
      <c r="Q165" s="1">
        <v>43852</v>
      </c>
      <c r="R165" t="s">
        <v>48</v>
      </c>
      <c r="S165" t="s">
        <v>60</v>
      </c>
      <c r="T165" t="s">
        <v>61</v>
      </c>
      <c r="U165" t="s">
        <v>42</v>
      </c>
      <c r="V165">
        <v>0</v>
      </c>
      <c r="W165">
        <v>100000</v>
      </c>
      <c r="X165" s="1">
        <v>43921</v>
      </c>
      <c r="Y165" t="s">
        <v>51</v>
      </c>
      <c r="Z165" t="s">
        <v>43</v>
      </c>
      <c r="AA165" t="s">
        <v>41</v>
      </c>
      <c r="AB165" t="s">
        <v>52</v>
      </c>
      <c r="AC165" t="s">
        <v>53</v>
      </c>
      <c r="AF165" t="s">
        <v>56</v>
      </c>
      <c r="AG165" s="1">
        <v>43833</v>
      </c>
      <c r="AH165" t="s">
        <v>42</v>
      </c>
      <c r="AI165" t="s">
        <v>55</v>
      </c>
      <c r="AJ165">
        <v>12788092</v>
      </c>
      <c r="AK165">
        <v>250000</v>
      </c>
      <c r="AL165">
        <v>1500000</v>
      </c>
    </row>
    <row r="166" spans="1:38" x14ac:dyDescent="0.25">
      <c r="A166" t="s">
        <v>167</v>
      </c>
      <c r="B166" t="s">
        <v>168</v>
      </c>
      <c r="C166" t="s">
        <v>71</v>
      </c>
      <c r="D166" s="1">
        <v>43196</v>
      </c>
      <c r="E166" s="1">
        <v>43560</v>
      </c>
      <c r="F166" t="s">
        <v>41</v>
      </c>
      <c r="G166">
        <v>1</v>
      </c>
      <c r="H166" t="s">
        <v>42</v>
      </c>
      <c r="I166" t="s">
        <v>43</v>
      </c>
      <c r="J166" t="s">
        <v>41</v>
      </c>
      <c r="K166" t="s">
        <v>44</v>
      </c>
      <c r="L166">
        <v>49499.839999999997</v>
      </c>
      <c r="M166" s="1">
        <v>43196</v>
      </c>
      <c r="N166" t="s">
        <v>45</v>
      </c>
      <c r="O166" t="s">
        <v>106</v>
      </c>
      <c r="P166" t="s">
        <v>47</v>
      </c>
      <c r="Q166" s="1">
        <v>43852</v>
      </c>
      <c r="R166" t="s">
        <v>48</v>
      </c>
      <c r="S166" t="s">
        <v>60</v>
      </c>
      <c r="T166" t="s">
        <v>61</v>
      </c>
      <c r="U166" t="s">
        <v>42</v>
      </c>
      <c r="V166">
        <v>0</v>
      </c>
      <c r="W166">
        <v>100000</v>
      </c>
      <c r="X166" s="1">
        <v>43921</v>
      </c>
      <c r="Y166" t="s">
        <v>51</v>
      </c>
      <c r="Z166" t="s">
        <v>43</v>
      </c>
      <c r="AA166" t="s">
        <v>41</v>
      </c>
      <c r="AB166" t="s">
        <v>52</v>
      </c>
      <c r="AC166" t="s">
        <v>53</v>
      </c>
      <c r="AF166" t="s">
        <v>57</v>
      </c>
      <c r="AG166" s="1">
        <v>43836</v>
      </c>
      <c r="AH166" t="s">
        <v>42</v>
      </c>
      <c r="AI166" t="s">
        <v>55</v>
      </c>
      <c r="AJ166">
        <v>12788092</v>
      </c>
      <c r="AK166">
        <v>250000</v>
      </c>
      <c r="AL166">
        <v>1500000</v>
      </c>
    </row>
    <row r="167" spans="1:38" x14ac:dyDescent="0.25">
      <c r="A167" t="s">
        <v>167</v>
      </c>
      <c r="B167" t="s">
        <v>168</v>
      </c>
      <c r="C167" t="s">
        <v>71</v>
      </c>
      <c r="D167" s="1">
        <v>43196</v>
      </c>
      <c r="E167" s="1">
        <v>43560</v>
      </c>
      <c r="F167" t="s">
        <v>41</v>
      </c>
      <c r="G167">
        <v>1</v>
      </c>
      <c r="H167" t="s">
        <v>42</v>
      </c>
      <c r="I167" t="s">
        <v>43</v>
      </c>
      <c r="J167" t="s">
        <v>41</v>
      </c>
      <c r="K167" t="s">
        <v>44</v>
      </c>
      <c r="L167">
        <v>49499.839999999997</v>
      </c>
      <c r="M167" s="1">
        <v>43196</v>
      </c>
      <c r="N167" t="s">
        <v>45</v>
      </c>
      <c r="O167" t="s">
        <v>106</v>
      </c>
      <c r="P167" t="s">
        <v>47</v>
      </c>
      <c r="Q167" s="1">
        <v>43852</v>
      </c>
      <c r="R167" t="s">
        <v>48</v>
      </c>
      <c r="S167" t="s">
        <v>60</v>
      </c>
      <c r="T167" t="s">
        <v>61</v>
      </c>
      <c r="U167" t="s">
        <v>42</v>
      </c>
      <c r="V167">
        <v>0</v>
      </c>
      <c r="W167">
        <v>100000</v>
      </c>
      <c r="X167" s="1">
        <v>43921</v>
      </c>
      <c r="Y167" t="s">
        <v>51</v>
      </c>
      <c r="Z167" t="s">
        <v>43</v>
      </c>
      <c r="AA167" t="s">
        <v>41</v>
      </c>
      <c r="AB167" t="s">
        <v>52</v>
      </c>
      <c r="AC167" t="s">
        <v>53</v>
      </c>
      <c r="AF167" t="s">
        <v>58</v>
      </c>
      <c r="AG167" s="1">
        <v>43837</v>
      </c>
      <c r="AH167" t="s">
        <v>42</v>
      </c>
      <c r="AI167" t="s">
        <v>55</v>
      </c>
      <c r="AJ167">
        <v>12788092</v>
      </c>
      <c r="AK167">
        <v>250000</v>
      </c>
      <c r="AL167">
        <v>1500000</v>
      </c>
    </row>
    <row r="168" spans="1:38" x14ac:dyDescent="0.25">
      <c r="A168" t="s">
        <v>167</v>
      </c>
      <c r="B168" t="s">
        <v>168</v>
      </c>
      <c r="C168" t="s">
        <v>71</v>
      </c>
      <c r="D168" s="1">
        <v>43196</v>
      </c>
      <c r="E168" s="1">
        <v>43560</v>
      </c>
      <c r="F168" t="s">
        <v>41</v>
      </c>
      <c r="G168">
        <v>1</v>
      </c>
      <c r="H168" t="s">
        <v>42</v>
      </c>
      <c r="I168" t="s">
        <v>43</v>
      </c>
      <c r="J168" t="s">
        <v>41</v>
      </c>
      <c r="K168" t="s">
        <v>44</v>
      </c>
      <c r="L168">
        <v>49499.839999999997</v>
      </c>
      <c r="M168" s="1">
        <v>43196</v>
      </c>
      <c r="N168" t="s">
        <v>45</v>
      </c>
      <c r="O168" t="s">
        <v>106</v>
      </c>
      <c r="P168" t="s">
        <v>47</v>
      </c>
      <c r="Q168" s="1">
        <v>43852</v>
      </c>
      <c r="R168" t="s">
        <v>48</v>
      </c>
      <c r="S168" t="s">
        <v>60</v>
      </c>
      <c r="T168" t="s">
        <v>61</v>
      </c>
      <c r="U168" t="s">
        <v>42</v>
      </c>
      <c r="V168">
        <v>0</v>
      </c>
      <c r="W168">
        <v>100000</v>
      </c>
      <c r="X168" s="1">
        <v>43921</v>
      </c>
      <c r="Y168" t="s">
        <v>51</v>
      </c>
      <c r="Z168" t="s">
        <v>43</v>
      </c>
      <c r="AA168" t="s">
        <v>41</v>
      </c>
      <c r="AB168" t="s">
        <v>52</v>
      </c>
      <c r="AC168" t="s">
        <v>53</v>
      </c>
      <c r="AF168" t="s">
        <v>59</v>
      </c>
      <c r="AG168" s="1">
        <v>43838</v>
      </c>
      <c r="AH168" t="s">
        <v>42</v>
      </c>
      <c r="AI168" t="s">
        <v>55</v>
      </c>
      <c r="AJ168">
        <v>12788092</v>
      </c>
      <c r="AK168">
        <v>250000</v>
      </c>
      <c r="AL168">
        <v>1500000</v>
      </c>
    </row>
    <row r="169" spans="1:38" x14ac:dyDescent="0.25">
      <c r="A169" t="s">
        <v>167</v>
      </c>
      <c r="B169" t="s">
        <v>168</v>
      </c>
      <c r="C169" t="s">
        <v>71</v>
      </c>
      <c r="D169" s="1">
        <v>43196</v>
      </c>
      <c r="E169" s="1">
        <v>43560</v>
      </c>
      <c r="F169" t="s">
        <v>41</v>
      </c>
      <c r="G169">
        <v>1</v>
      </c>
      <c r="H169" t="s">
        <v>42</v>
      </c>
      <c r="I169" t="s">
        <v>43</v>
      </c>
      <c r="J169" t="s">
        <v>41</v>
      </c>
      <c r="K169" t="s">
        <v>44</v>
      </c>
      <c r="L169">
        <v>49499.839999999997</v>
      </c>
      <c r="M169" s="1">
        <v>43196</v>
      </c>
      <c r="N169" t="s">
        <v>45</v>
      </c>
      <c r="O169" t="s">
        <v>106</v>
      </c>
      <c r="P169" t="s">
        <v>47</v>
      </c>
      <c r="Q169" s="1">
        <v>43852</v>
      </c>
      <c r="R169" t="s">
        <v>48</v>
      </c>
      <c r="S169" t="s">
        <v>62</v>
      </c>
      <c r="T169" t="s">
        <v>63</v>
      </c>
      <c r="U169" t="s">
        <v>42</v>
      </c>
      <c r="V169">
        <v>0</v>
      </c>
      <c r="W169">
        <v>100000</v>
      </c>
      <c r="X169" s="1">
        <v>43982</v>
      </c>
      <c r="Y169" t="s">
        <v>51</v>
      </c>
      <c r="Z169" t="s">
        <v>43</v>
      </c>
      <c r="AA169" t="s">
        <v>41</v>
      </c>
      <c r="AB169" t="s">
        <v>52</v>
      </c>
      <c r="AC169" t="s">
        <v>53</v>
      </c>
      <c r="AF169" t="s">
        <v>54</v>
      </c>
      <c r="AG169" s="1">
        <v>43832</v>
      </c>
      <c r="AH169" t="s">
        <v>42</v>
      </c>
      <c r="AI169" t="s">
        <v>55</v>
      </c>
      <c r="AJ169">
        <v>12788092</v>
      </c>
      <c r="AK169">
        <v>250000</v>
      </c>
      <c r="AL169">
        <v>1500000</v>
      </c>
    </row>
    <row r="170" spans="1:38" x14ac:dyDescent="0.25">
      <c r="A170" t="s">
        <v>167</v>
      </c>
      <c r="B170" t="s">
        <v>168</v>
      </c>
      <c r="C170" t="s">
        <v>71</v>
      </c>
      <c r="D170" s="1">
        <v>43196</v>
      </c>
      <c r="E170" s="1">
        <v>43560</v>
      </c>
      <c r="F170" t="s">
        <v>41</v>
      </c>
      <c r="G170">
        <v>1</v>
      </c>
      <c r="H170" t="s">
        <v>42</v>
      </c>
      <c r="I170" t="s">
        <v>43</v>
      </c>
      <c r="J170" t="s">
        <v>41</v>
      </c>
      <c r="K170" t="s">
        <v>44</v>
      </c>
      <c r="L170">
        <v>49499.839999999997</v>
      </c>
      <c r="M170" s="1">
        <v>43196</v>
      </c>
      <c r="N170" t="s">
        <v>45</v>
      </c>
      <c r="O170" t="s">
        <v>106</v>
      </c>
      <c r="P170" t="s">
        <v>47</v>
      </c>
      <c r="Q170" s="1">
        <v>43852</v>
      </c>
      <c r="R170" t="s">
        <v>48</v>
      </c>
      <c r="S170" t="s">
        <v>62</v>
      </c>
      <c r="T170" t="s">
        <v>63</v>
      </c>
      <c r="U170" t="s">
        <v>42</v>
      </c>
      <c r="V170">
        <v>0</v>
      </c>
      <c r="W170">
        <v>100000</v>
      </c>
      <c r="X170" s="1">
        <v>43982</v>
      </c>
      <c r="Y170" t="s">
        <v>51</v>
      </c>
      <c r="Z170" t="s">
        <v>43</v>
      </c>
      <c r="AA170" t="s">
        <v>41</v>
      </c>
      <c r="AB170" t="s">
        <v>52</v>
      </c>
      <c r="AC170" t="s">
        <v>53</v>
      </c>
      <c r="AF170" t="s">
        <v>56</v>
      </c>
      <c r="AG170" s="1">
        <v>43833</v>
      </c>
      <c r="AH170" t="s">
        <v>42</v>
      </c>
      <c r="AI170" t="s">
        <v>55</v>
      </c>
      <c r="AJ170">
        <v>12788092</v>
      </c>
      <c r="AK170">
        <v>250000</v>
      </c>
      <c r="AL170">
        <v>1500000</v>
      </c>
    </row>
    <row r="171" spans="1:38" x14ac:dyDescent="0.25">
      <c r="A171" t="s">
        <v>167</v>
      </c>
      <c r="B171" t="s">
        <v>168</v>
      </c>
      <c r="C171" t="s">
        <v>71</v>
      </c>
      <c r="D171" s="1">
        <v>43196</v>
      </c>
      <c r="E171" s="1">
        <v>43560</v>
      </c>
      <c r="F171" t="s">
        <v>41</v>
      </c>
      <c r="G171">
        <v>1</v>
      </c>
      <c r="H171" t="s">
        <v>42</v>
      </c>
      <c r="I171" t="s">
        <v>43</v>
      </c>
      <c r="J171" t="s">
        <v>41</v>
      </c>
      <c r="K171" t="s">
        <v>44</v>
      </c>
      <c r="L171">
        <v>49499.839999999997</v>
      </c>
      <c r="M171" s="1">
        <v>43196</v>
      </c>
      <c r="N171" t="s">
        <v>45</v>
      </c>
      <c r="O171" t="s">
        <v>106</v>
      </c>
      <c r="P171" t="s">
        <v>47</v>
      </c>
      <c r="Q171" s="1">
        <v>43852</v>
      </c>
      <c r="R171" t="s">
        <v>48</v>
      </c>
      <c r="S171" t="s">
        <v>62</v>
      </c>
      <c r="T171" t="s">
        <v>63</v>
      </c>
      <c r="U171" t="s">
        <v>42</v>
      </c>
      <c r="V171">
        <v>0</v>
      </c>
      <c r="W171">
        <v>100000</v>
      </c>
      <c r="X171" s="1">
        <v>43982</v>
      </c>
      <c r="Y171" t="s">
        <v>51</v>
      </c>
      <c r="Z171" t="s">
        <v>43</v>
      </c>
      <c r="AA171" t="s">
        <v>41</v>
      </c>
      <c r="AB171" t="s">
        <v>52</v>
      </c>
      <c r="AC171" t="s">
        <v>53</v>
      </c>
      <c r="AF171" t="s">
        <v>57</v>
      </c>
      <c r="AG171" s="1">
        <v>43836</v>
      </c>
      <c r="AH171" t="s">
        <v>42</v>
      </c>
      <c r="AI171" t="s">
        <v>55</v>
      </c>
      <c r="AJ171">
        <v>12788092</v>
      </c>
      <c r="AK171">
        <v>250000</v>
      </c>
      <c r="AL171">
        <v>1500000</v>
      </c>
    </row>
    <row r="172" spans="1:38" x14ac:dyDescent="0.25">
      <c r="A172" t="s">
        <v>167</v>
      </c>
      <c r="B172" t="s">
        <v>168</v>
      </c>
      <c r="C172" t="s">
        <v>71</v>
      </c>
      <c r="D172" s="1">
        <v>43196</v>
      </c>
      <c r="E172" s="1">
        <v>43560</v>
      </c>
      <c r="F172" t="s">
        <v>41</v>
      </c>
      <c r="G172">
        <v>1</v>
      </c>
      <c r="H172" t="s">
        <v>42</v>
      </c>
      <c r="I172" t="s">
        <v>43</v>
      </c>
      <c r="J172" t="s">
        <v>41</v>
      </c>
      <c r="K172" t="s">
        <v>44</v>
      </c>
      <c r="L172">
        <v>49499.839999999997</v>
      </c>
      <c r="M172" s="1">
        <v>43196</v>
      </c>
      <c r="N172" t="s">
        <v>45</v>
      </c>
      <c r="O172" t="s">
        <v>106</v>
      </c>
      <c r="P172" t="s">
        <v>47</v>
      </c>
      <c r="Q172" s="1">
        <v>43852</v>
      </c>
      <c r="R172" t="s">
        <v>48</v>
      </c>
      <c r="S172" t="s">
        <v>62</v>
      </c>
      <c r="T172" t="s">
        <v>63</v>
      </c>
      <c r="U172" t="s">
        <v>42</v>
      </c>
      <c r="V172">
        <v>0</v>
      </c>
      <c r="W172">
        <v>100000</v>
      </c>
      <c r="X172" s="1">
        <v>43982</v>
      </c>
      <c r="Y172" t="s">
        <v>51</v>
      </c>
      <c r="Z172" t="s">
        <v>43</v>
      </c>
      <c r="AA172" t="s">
        <v>41</v>
      </c>
      <c r="AB172" t="s">
        <v>52</v>
      </c>
      <c r="AC172" t="s">
        <v>53</v>
      </c>
      <c r="AF172" t="s">
        <v>58</v>
      </c>
      <c r="AG172" s="1">
        <v>43837</v>
      </c>
      <c r="AH172" t="s">
        <v>42</v>
      </c>
      <c r="AI172" t="s">
        <v>55</v>
      </c>
      <c r="AJ172">
        <v>12788092</v>
      </c>
      <c r="AK172">
        <v>250000</v>
      </c>
      <c r="AL172">
        <v>1500000</v>
      </c>
    </row>
    <row r="173" spans="1:38" x14ac:dyDescent="0.25">
      <c r="A173" t="s">
        <v>167</v>
      </c>
      <c r="B173" t="s">
        <v>168</v>
      </c>
      <c r="C173" t="s">
        <v>71</v>
      </c>
      <c r="D173" s="1">
        <v>43196</v>
      </c>
      <c r="E173" s="1">
        <v>43560</v>
      </c>
      <c r="F173" t="s">
        <v>41</v>
      </c>
      <c r="G173">
        <v>1</v>
      </c>
      <c r="H173" t="s">
        <v>42</v>
      </c>
      <c r="I173" t="s">
        <v>43</v>
      </c>
      <c r="J173" t="s">
        <v>41</v>
      </c>
      <c r="K173" t="s">
        <v>44</v>
      </c>
      <c r="L173">
        <v>49499.839999999997</v>
      </c>
      <c r="M173" s="1">
        <v>43196</v>
      </c>
      <c r="N173" t="s">
        <v>45</v>
      </c>
      <c r="O173" t="s">
        <v>106</v>
      </c>
      <c r="P173" t="s">
        <v>47</v>
      </c>
      <c r="Q173" s="1">
        <v>43852</v>
      </c>
      <c r="R173" t="s">
        <v>48</v>
      </c>
      <c r="S173" t="s">
        <v>62</v>
      </c>
      <c r="T173" t="s">
        <v>63</v>
      </c>
      <c r="U173" t="s">
        <v>42</v>
      </c>
      <c r="V173">
        <v>0</v>
      </c>
      <c r="W173">
        <v>100000</v>
      </c>
      <c r="X173" s="1">
        <v>43982</v>
      </c>
      <c r="Y173" t="s">
        <v>51</v>
      </c>
      <c r="Z173" t="s">
        <v>43</v>
      </c>
      <c r="AA173" t="s">
        <v>41</v>
      </c>
      <c r="AB173" t="s">
        <v>52</v>
      </c>
      <c r="AC173" t="s">
        <v>53</v>
      </c>
      <c r="AF173" t="s">
        <v>59</v>
      </c>
      <c r="AG173" s="1">
        <v>43838</v>
      </c>
      <c r="AH173" t="s">
        <v>42</v>
      </c>
      <c r="AI173" t="s">
        <v>55</v>
      </c>
      <c r="AJ173">
        <v>12788092</v>
      </c>
      <c r="AK173">
        <v>250000</v>
      </c>
      <c r="AL173">
        <v>1500000</v>
      </c>
    </row>
    <row r="174" spans="1:38" x14ac:dyDescent="0.25">
      <c r="A174" t="s">
        <v>167</v>
      </c>
      <c r="B174" t="s">
        <v>168</v>
      </c>
      <c r="C174" t="s">
        <v>71</v>
      </c>
      <c r="D174" s="1">
        <v>43196</v>
      </c>
      <c r="E174" s="1">
        <v>43560</v>
      </c>
      <c r="F174" t="s">
        <v>41</v>
      </c>
      <c r="G174">
        <v>1</v>
      </c>
      <c r="H174" t="s">
        <v>42</v>
      </c>
      <c r="I174" t="s">
        <v>43</v>
      </c>
      <c r="J174" t="s">
        <v>41</v>
      </c>
      <c r="K174" t="s">
        <v>44</v>
      </c>
      <c r="L174">
        <v>49499.839999999997</v>
      </c>
      <c r="M174" s="1">
        <v>43196</v>
      </c>
      <c r="N174" t="s">
        <v>45</v>
      </c>
      <c r="O174" t="s">
        <v>106</v>
      </c>
      <c r="P174" t="s">
        <v>47</v>
      </c>
      <c r="Q174" s="1">
        <v>43852</v>
      </c>
      <c r="R174" t="s">
        <v>48</v>
      </c>
      <c r="S174" t="s">
        <v>64</v>
      </c>
      <c r="T174" t="s">
        <v>65</v>
      </c>
      <c r="U174" t="s">
        <v>42</v>
      </c>
      <c r="V174">
        <v>0</v>
      </c>
      <c r="W174">
        <v>100000</v>
      </c>
      <c r="X174" s="1">
        <v>43921</v>
      </c>
      <c r="Y174" t="s">
        <v>51</v>
      </c>
      <c r="Z174" t="s">
        <v>43</v>
      </c>
      <c r="AA174" t="s">
        <v>41</v>
      </c>
      <c r="AB174" t="s">
        <v>52</v>
      </c>
      <c r="AC174" t="s">
        <v>53</v>
      </c>
      <c r="AF174" t="s">
        <v>54</v>
      </c>
      <c r="AG174" s="1">
        <v>43832</v>
      </c>
      <c r="AH174" t="s">
        <v>42</v>
      </c>
      <c r="AI174" t="s">
        <v>55</v>
      </c>
      <c r="AJ174">
        <v>12788092</v>
      </c>
      <c r="AK174">
        <v>250000</v>
      </c>
      <c r="AL174">
        <v>1500000</v>
      </c>
    </row>
    <row r="175" spans="1:38" x14ac:dyDescent="0.25">
      <c r="A175" t="s">
        <v>167</v>
      </c>
      <c r="B175" t="s">
        <v>168</v>
      </c>
      <c r="C175" t="s">
        <v>71</v>
      </c>
      <c r="D175" s="1">
        <v>43196</v>
      </c>
      <c r="E175" s="1">
        <v>43560</v>
      </c>
      <c r="F175" t="s">
        <v>41</v>
      </c>
      <c r="G175">
        <v>1</v>
      </c>
      <c r="H175" t="s">
        <v>42</v>
      </c>
      <c r="I175" t="s">
        <v>43</v>
      </c>
      <c r="J175" t="s">
        <v>41</v>
      </c>
      <c r="K175" t="s">
        <v>44</v>
      </c>
      <c r="L175">
        <v>49499.839999999997</v>
      </c>
      <c r="M175" s="1">
        <v>43196</v>
      </c>
      <c r="N175" t="s">
        <v>45</v>
      </c>
      <c r="O175" t="s">
        <v>106</v>
      </c>
      <c r="P175" t="s">
        <v>47</v>
      </c>
      <c r="Q175" s="1">
        <v>43852</v>
      </c>
      <c r="R175" t="s">
        <v>48</v>
      </c>
      <c r="S175" t="s">
        <v>64</v>
      </c>
      <c r="T175" t="s">
        <v>65</v>
      </c>
      <c r="U175" t="s">
        <v>42</v>
      </c>
      <c r="V175">
        <v>0</v>
      </c>
      <c r="W175">
        <v>100000</v>
      </c>
      <c r="X175" s="1">
        <v>43921</v>
      </c>
      <c r="Y175" t="s">
        <v>51</v>
      </c>
      <c r="Z175" t="s">
        <v>43</v>
      </c>
      <c r="AA175" t="s">
        <v>41</v>
      </c>
      <c r="AB175" t="s">
        <v>52</v>
      </c>
      <c r="AC175" t="s">
        <v>53</v>
      </c>
      <c r="AF175" t="s">
        <v>56</v>
      </c>
      <c r="AG175" s="1">
        <v>43833</v>
      </c>
      <c r="AH175" t="s">
        <v>42</v>
      </c>
      <c r="AI175" t="s">
        <v>55</v>
      </c>
      <c r="AJ175">
        <v>12788092</v>
      </c>
      <c r="AK175">
        <v>250000</v>
      </c>
      <c r="AL175">
        <v>1500000</v>
      </c>
    </row>
    <row r="176" spans="1:38" x14ac:dyDescent="0.25">
      <c r="A176" t="s">
        <v>167</v>
      </c>
      <c r="B176" t="s">
        <v>168</v>
      </c>
      <c r="C176" t="s">
        <v>71</v>
      </c>
      <c r="D176" s="1">
        <v>43196</v>
      </c>
      <c r="E176" s="1">
        <v>43560</v>
      </c>
      <c r="F176" t="s">
        <v>41</v>
      </c>
      <c r="G176">
        <v>1</v>
      </c>
      <c r="H176" t="s">
        <v>42</v>
      </c>
      <c r="I176" t="s">
        <v>43</v>
      </c>
      <c r="J176" t="s">
        <v>41</v>
      </c>
      <c r="K176" t="s">
        <v>44</v>
      </c>
      <c r="L176">
        <v>49499.839999999997</v>
      </c>
      <c r="M176" s="1">
        <v>43196</v>
      </c>
      <c r="N176" t="s">
        <v>45</v>
      </c>
      <c r="O176" t="s">
        <v>106</v>
      </c>
      <c r="P176" t="s">
        <v>47</v>
      </c>
      <c r="Q176" s="1">
        <v>43852</v>
      </c>
      <c r="R176" t="s">
        <v>48</v>
      </c>
      <c r="S176" t="s">
        <v>64</v>
      </c>
      <c r="T176" t="s">
        <v>65</v>
      </c>
      <c r="U176" t="s">
        <v>42</v>
      </c>
      <c r="V176">
        <v>0</v>
      </c>
      <c r="W176">
        <v>100000</v>
      </c>
      <c r="X176" s="1">
        <v>43921</v>
      </c>
      <c r="Y176" t="s">
        <v>51</v>
      </c>
      <c r="Z176" t="s">
        <v>43</v>
      </c>
      <c r="AA176" t="s">
        <v>41</v>
      </c>
      <c r="AB176" t="s">
        <v>52</v>
      </c>
      <c r="AC176" t="s">
        <v>53</v>
      </c>
      <c r="AF176" t="s">
        <v>57</v>
      </c>
      <c r="AG176" s="1">
        <v>43836</v>
      </c>
      <c r="AH176" t="s">
        <v>42</v>
      </c>
      <c r="AI176" t="s">
        <v>55</v>
      </c>
      <c r="AJ176">
        <v>12788092</v>
      </c>
      <c r="AK176">
        <v>250000</v>
      </c>
      <c r="AL176">
        <v>1500000</v>
      </c>
    </row>
    <row r="177" spans="1:38" x14ac:dyDescent="0.25">
      <c r="A177" t="s">
        <v>167</v>
      </c>
      <c r="B177" t="s">
        <v>168</v>
      </c>
      <c r="C177" t="s">
        <v>71</v>
      </c>
      <c r="D177" s="1">
        <v>43196</v>
      </c>
      <c r="E177" s="1">
        <v>43560</v>
      </c>
      <c r="F177" t="s">
        <v>41</v>
      </c>
      <c r="G177">
        <v>1</v>
      </c>
      <c r="H177" t="s">
        <v>42</v>
      </c>
      <c r="I177" t="s">
        <v>43</v>
      </c>
      <c r="J177" t="s">
        <v>41</v>
      </c>
      <c r="K177" t="s">
        <v>44</v>
      </c>
      <c r="L177">
        <v>49499.839999999997</v>
      </c>
      <c r="M177" s="1">
        <v>43196</v>
      </c>
      <c r="N177" t="s">
        <v>45</v>
      </c>
      <c r="O177" t="s">
        <v>106</v>
      </c>
      <c r="P177" t="s">
        <v>47</v>
      </c>
      <c r="Q177" s="1">
        <v>43852</v>
      </c>
      <c r="R177" t="s">
        <v>48</v>
      </c>
      <c r="S177" t="s">
        <v>64</v>
      </c>
      <c r="T177" t="s">
        <v>65</v>
      </c>
      <c r="U177" t="s">
        <v>42</v>
      </c>
      <c r="V177">
        <v>0</v>
      </c>
      <c r="W177">
        <v>100000</v>
      </c>
      <c r="X177" s="1">
        <v>43921</v>
      </c>
      <c r="Y177" t="s">
        <v>51</v>
      </c>
      <c r="Z177" t="s">
        <v>43</v>
      </c>
      <c r="AA177" t="s">
        <v>41</v>
      </c>
      <c r="AB177" t="s">
        <v>52</v>
      </c>
      <c r="AC177" t="s">
        <v>53</v>
      </c>
      <c r="AF177" t="s">
        <v>58</v>
      </c>
      <c r="AG177" s="1">
        <v>43837</v>
      </c>
      <c r="AH177" t="s">
        <v>42</v>
      </c>
      <c r="AI177" t="s">
        <v>55</v>
      </c>
      <c r="AJ177">
        <v>12788092</v>
      </c>
      <c r="AK177">
        <v>250000</v>
      </c>
      <c r="AL177">
        <v>1500000</v>
      </c>
    </row>
    <row r="178" spans="1:38" x14ac:dyDescent="0.25">
      <c r="A178" t="s">
        <v>167</v>
      </c>
      <c r="B178" t="s">
        <v>168</v>
      </c>
      <c r="C178" t="s">
        <v>71</v>
      </c>
      <c r="D178" s="1">
        <v>43196</v>
      </c>
      <c r="E178" s="1">
        <v>43560</v>
      </c>
      <c r="F178" t="s">
        <v>41</v>
      </c>
      <c r="G178">
        <v>1</v>
      </c>
      <c r="H178" t="s">
        <v>42</v>
      </c>
      <c r="I178" t="s">
        <v>43</v>
      </c>
      <c r="J178" t="s">
        <v>41</v>
      </c>
      <c r="K178" t="s">
        <v>44</v>
      </c>
      <c r="L178">
        <v>49499.839999999997</v>
      </c>
      <c r="M178" s="1">
        <v>43196</v>
      </c>
      <c r="N178" t="s">
        <v>45</v>
      </c>
      <c r="O178" t="s">
        <v>106</v>
      </c>
      <c r="P178" t="s">
        <v>47</v>
      </c>
      <c r="Q178" s="1">
        <v>43852</v>
      </c>
      <c r="R178" t="s">
        <v>48</v>
      </c>
      <c r="S178" t="s">
        <v>64</v>
      </c>
      <c r="T178" t="s">
        <v>65</v>
      </c>
      <c r="U178" t="s">
        <v>42</v>
      </c>
      <c r="V178">
        <v>0</v>
      </c>
      <c r="W178">
        <v>100000</v>
      </c>
      <c r="X178" s="1">
        <v>43921</v>
      </c>
      <c r="Y178" t="s">
        <v>51</v>
      </c>
      <c r="Z178" t="s">
        <v>43</v>
      </c>
      <c r="AA178" t="s">
        <v>41</v>
      </c>
      <c r="AB178" t="s">
        <v>52</v>
      </c>
      <c r="AC178" t="s">
        <v>53</v>
      </c>
      <c r="AF178" t="s">
        <v>59</v>
      </c>
      <c r="AG178" s="1">
        <v>43838</v>
      </c>
      <c r="AH178" t="s">
        <v>42</v>
      </c>
      <c r="AI178" t="s">
        <v>55</v>
      </c>
      <c r="AJ178">
        <v>12788092</v>
      </c>
      <c r="AK178">
        <v>250000</v>
      </c>
      <c r="AL178">
        <v>1500000</v>
      </c>
    </row>
    <row r="179" spans="1:38" x14ac:dyDescent="0.25">
      <c r="A179" t="s">
        <v>169</v>
      </c>
      <c r="B179" t="s">
        <v>168</v>
      </c>
      <c r="C179" t="s">
        <v>71</v>
      </c>
      <c r="D179" s="1">
        <v>43196</v>
      </c>
      <c r="E179" s="1">
        <v>43560</v>
      </c>
      <c r="F179" t="s">
        <v>41</v>
      </c>
      <c r="G179">
        <v>1</v>
      </c>
      <c r="H179" t="s">
        <v>42</v>
      </c>
      <c r="I179" t="s">
        <v>43</v>
      </c>
      <c r="J179" t="s">
        <v>41</v>
      </c>
      <c r="K179" t="s">
        <v>44</v>
      </c>
      <c r="L179">
        <v>13134.29</v>
      </c>
      <c r="M179" s="1">
        <v>43384</v>
      </c>
      <c r="N179" t="s">
        <v>108</v>
      </c>
      <c r="O179" t="s">
        <v>106</v>
      </c>
      <c r="P179" t="s">
        <v>47</v>
      </c>
      <c r="Q179" s="1">
        <v>43852</v>
      </c>
      <c r="R179" t="s">
        <v>48</v>
      </c>
      <c r="S179" t="s">
        <v>49</v>
      </c>
      <c r="T179" t="s">
        <v>50</v>
      </c>
      <c r="U179" t="s">
        <v>42</v>
      </c>
      <c r="V179">
        <v>0</v>
      </c>
      <c r="W179">
        <v>100000</v>
      </c>
      <c r="X179" s="1">
        <v>44012</v>
      </c>
      <c r="Y179" t="s">
        <v>51</v>
      </c>
      <c r="Z179" t="s">
        <v>43</v>
      </c>
      <c r="AA179" t="s">
        <v>41</v>
      </c>
      <c r="AB179" t="s">
        <v>52</v>
      </c>
      <c r="AC179" t="s">
        <v>53</v>
      </c>
      <c r="AF179" t="s">
        <v>54</v>
      </c>
      <c r="AG179" s="1">
        <v>43832</v>
      </c>
      <c r="AH179" t="s">
        <v>42</v>
      </c>
      <c r="AI179" t="s">
        <v>55</v>
      </c>
      <c r="AJ179">
        <v>12788092</v>
      </c>
      <c r="AK179">
        <v>250000</v>
      </c>
      <c r="AL179">
        <v>1500000</v>
      </c>
    </row>
    <row r="180" spans="1:38" x14ac:dyDescent="0.25">
      <c r="A180" t="s">
        <v>169</v>
      </c>
      <c r="B180" t="s">
        <v>168</v>
      </c>
      <c r="C180" t="s">
        <v>71</v>
      </c>
      <c r="D180" s="1">
        <v>43196</v>
      </c>
      <c r="E180" s="1">
        <v>43560</v>
      </c>
      <c r="F180" t="s">
        <v>41</v>
      </c>
      <c r="G180">
        <v>1</v>
      </c>
      <c r="H180" t="s">
        <v>42</v>
      </c>
      <c r="I180" t="s">
        <v>43</v>
      </c>
      <c r="J180" t="s">
        <v>41</v>
      </c>
      <c r="K180" t="s">
        <v>44</v>
      </c>
      <c r="L180">
        <v>13134.29</v>
      </c>
      <c r="M180" s="1">
        <v>43384</v>
      </c>
      <c r="N180" t="s">
        <v>108</v>
      </c>
      <c r="O180" t="s">
        <v>106</v>
      </c>
      <c r="P180" t="s">
        <v>47</v>
      </c>
      <c r="Q180" s="1">
        <v>43852</v>
      </c>
      <c r="R180" t="s">
        <v>48</v>
      </c>
      <c r="S180" t="s">
        <v>49</v>
      </c>
      <c r="T180" t="s">
        <v>50</v>
      </c>
      <c r="U180" t="s">
        <v>42</v>
      </c>
      <c r="V180">
        <v>0</v>
      </c>
      <c r="W180">
        <v>100000</v>
      </c>
      <c r="X180" s="1">
        <v>44012</v>
      </c>
      <c r="Y180" t="s">
        <v>51</v>
      </c>
      <c r="Z180" t="s">
        <v>43</v>
      </c>
      <c r="AA180" t="s">
        <v>41</v>
      </c>
      <c r="AB180" t="s">
        <v>52</v>
      </c>
      <c r="AC180" t="s">
        <v>53</v>
      </c>
      <c r="AF180" t="s">
        <v>56</v>
      </c>
      <c r="AG180" s="1">
        <v>43833</v>
      </c>
      <c r="AH180" t="s">
        <v>42</v>
      </c>
      <c r="AI180" t="s">
        <v>55</v>
      </c>
      <c r="AJ180">
        <v>12788092</v>
      </c>
      <c r="AK180">
        <v>250000</v>
      </c>
      <c r="AL180">
        <v>1500000</v>
      </c>
    </row>
    <row r="181" spans="1:38" x14ac:dyDescent="0.25">
      <c r="A181" t="s">
        <v>169</v>
      </c>
      <c r="B181" t="s">
        <v>168</v>
      </c>
      <c r="C181" t="s">
        <v>71</v>
      </c>
      <c r="D181" s="1">
        <v>43196</v>
      </c>
      <c r="E181" s="1">
        <v>43560</v>
      </c>
      <c r="F181" t="s">
        <v>41</v>
      </c>
      <c r="G181">
        <v>1</v>
      </c>
      <c r="H181" t="s">
        <v>42</v>
      </c>
      <c r="I181" t="s">
        <v>43</v>
      </c>
      <c r="J181" t="s">
        <v>41</v>
      </c>
      <c r="K181" t="s">
        <v>44</v>
      </c>
      <c r="L181">
        <v>13134.29</v>
      </c>
      <c r="M181" s="1">
        <v>43384</v>
      </c>
      <c r="N181" t="s">
        <v>108</v>
      </c>
      <c r="O181" t="s">
        <v>106</v>
      </c>
      <c r="P181" t="s">
        <v>47</v>
      </c>
      <c r="Q181" s="1">
        <v>43852</v>
      </c>
      <c r="R181" t="s">
        <v>48</v>
      </c>
      <c r="S181" t="s">
        <v>49</v>
      </c>
      <c r="T181" t="s">
        <v>50</v>
      </c>
      <c r="U181" t="s">
        <v>42</v>
      </c>
      <c r="V181">
        <v>0</v>
      </c>
      <c r="W181">
        <v>100000</v>
      </c>
      <c r="X181" s="1">
        <v>44012</v>
      </c>
      <c r="Y181" t="s">
        <v>51</v>
      </c>
      <c r="Z181" t="s">
        <v>43</v>
      </c>
      <c r="AA181" t="s">
        <v>41</v>
      </c>
      <c r="AB181" t="s">
        <v>52</v>
      </c>
      <c r="AC181" t="s">
        <v>53</v>
      </c>
      <c r="AF181" t="s">
        <v>57</v>
      </c>
      <c r="AG181" s="1">
        <v>43836</v>
      </c>
      <c r="AH181" t="s">
        <v>42</v>
      </c>
      <c r="AI181" t="s">
        <v>55</v>
      </c>
      <c r="AJ181">
        <v>12788092</v>
      </c>
      <c r="AK181">
        <v>250000</v>
      </c>
      <c r="AL181">
        <v>1500000</v>
      </c>
    </row>
    <row r="182" spans="1:38" x14ac:dyDescent="0.25">
      <c r="A182" t="s">
        <v>169</v>
      </c>
      <c r="B182" t="s">
        <v>168</v>
      </c>
      <c r="C182" t="s">
        <v>71</v>
      </c>
      <c r="D182" s="1">
        <v>43196</v>
      </c>
      <c r="E182" s="1">
        <v>43560</v>
      </c>
      <c r="F182" t="s">
        <v>41</v>
      </c>
      <c r="G182">
        <v>1</v>
      </c>
      <c r="H182" t="s">
        <v>42</v>
      </c>
      <c r="I182" t="s">
        <v>43</v>
      </c>
      <c r="J182" t="s">
        <v>41</v>
      </c>
      <c r="K182" t="s">
        <v>44</v>
      </c>
      <c r="L182">
        <v>13134.29</v>
      </c>
      <c r="M182" s="1">
        <v>43384</v>
      </c>
      <c r="N182" t="s">
        <v>108</v>
      </c>
      <c r="O182" t="s">
        <v>106</v>
      </c>
      <c r="P182" t="s">
        <v>47</v>
      </c>
      <c r="Q182" s="1">
        <v>43852</v>
      </c>
      <c r="R182" t="s">
        <v>48</v>
      </c>
      <c r="S182" t="s">
        <v>49</v>
      </c>
      <c r="T182" t="s">
        <v>50</v>
      </c>
      <c r="U182" t="s">
        <v>42</v>
      </c>
      <c r="V182">
        <v>0</v>
      </c>
      <c r="W182">
        <v>100000</v>
      </c>
      <c r="X182" s="1">
        <v>44012</v>
      </c>
      <c r="Y182" t="s">
        <v>51</v>
      </c>
      <c r="Z182" t="s">
        <v>43</v>
      </c>
      <c r="AA182" t="s">
        <v>41</v>
      </c>
      <c r="AB182" t="s">
        <v>52</v>
      </c>
      <c r="AC182" t="s">
        <v>53</v>
      </c>
      <c r="AF182" t="s">
        <v>58</v>
      </c>
      <c r="AG182" s="1">
        <v>43837</v>
      </c>
      <c r="AH182" t="s">
        <v>42</v>
      </c>
      <c r="AI182" t="s">
        <v>55</v>
      </c>
      <c r="AJ182">
        <v>12788092</v>
      </c>
      <c r="AK182">
        <v>250000</v>
      </c>
      <c r="AL182">
        <v>1500000</v>
      </c>
    </row>
    <row r="183" spans="1:38" x14ac:dyDescent="0.25">
      <c r="A183" t="s">
        <v>169</v>
      </c>
      <c r="B183" t="s">
        <v>168</v>
      </c>
      <c r="C183" t="s">
        <v>71</v>
      </c>
      <c r="D183" s="1">
        <v>43196</v>
      </c>
      <c r="E183" s="1">
        <v>43560</v>
      </c>
      <c r="F183" t="s">
        <v>41</v>
      </c>
      <c r="G183">
        <v>1</v>
      </c>
      <c r="H183" t="s">
        <v>42</v>
      </c>
      <c r="I183" t="s">
        <v>43</v>
      </c>
      <c r="J183" t="s">
        <v>41</v>
      </c>
      <c r="K183" t="s">
        <v>44</v>
      </c>
      <c r="L183">
        <v>13134.29</v>
      </c>
      <c r="M183" s="1">
        <v>43384</v>
      </c>
      <c r="N183" t="s">
        <v>108</v>
      </c>
      <c r="O183" t="s">
        <v>106</v>
      </c>
      <c r="P183" t="s">
        <v>47</v>
      </c>
      <c r="Q183" s="1">
        <v>43852</v>
      </c>
      <c r="R183" t="s">
        <v>48</v>
      </c>
      <c r="S183" t="s">
        <v>49</v>
      </c>
      <c r="T183" t="s">
        <v>50</v>
      </c>
      <c r="U183" t="s">
        <v>42</v>
      </c>
      <c r="V183">
        <v>0</v>
      </c>
      <c r="W183">
        <v>100000</v>
      </c>
      <c r="X183" s="1">
        <v>44012</v>
      </c>
      <c r="Y183" t="s">
        <v>51</v>
      </c>
      <c r="Z183" t="s">
        <v>43</v>
      </c>
      <c r="AA183" t="s">
        <v>41</v>
      </c>
      <c r="AB183" t="s">
        <v>52</v>
      </c>
      <c r="AC183" t="s">
        <v>53</v>
      </c>
      <c r="AF183" t="s">
        <v>59</v>
      </c>
      <c r="AG183" s="1">
        <v>43838</v>
      </c>
      <c r="AH183" t="s">
        <v>42</v>
      </c>
      <c r="AI183" t="s">
        <v>55</v>
      </c>
      <c r="AJ183">
        <v>12788092</v>
      </c>
      <c r="AK183">
        <v>250000</v>
      </c>
      <c r="AL183">
        <v>1500000</v>
      </c>
    </row>
    <row r="184" spans="1:38" x14ac:dyDescent="0.25">
      <c r="A184" t="s">
        <v>169</v>
      </c>
      <c r="B184" t="s">
        <v>168</v>
      </c>
      <c r="C184" t="s">
        <v>71</v>
      </c>
      <c r="D184" s="1">
        <v>43196</v>
      </c>
      <c r="E184" s="1">
        <v>43560</v>
      </c>
      <c r="F184" t="s">
        <v>41</v>
      </c>
      <c r="G184">
        <v>1</v>
      </c>
      <c r="H184" t="s">
        <v>42</v>
      </c>
      <c r="I184" t="s">
        <v>43</v>
      </c>
      <c r="J184" t="s">
        <v>41</v>
      </c>
      <c r="K184" t="s">
        <v>44</v>
      </c>
      <c r="L184">
        <v>13134.29</v>
      </c>
      <c r="M184" s="1">
        <v>43384</v>
      </c>
      <c r="N184" t="s">
        <v>108</v>
      </c>
      <c r="O184" t="s">
        <v>106</v>
      </c>
      <c r="P184" t="s">
        <v>47</v>
      </c>
      <c r="Q184" s="1">
        <v>43852</v>
      </c>
      <c r="R184" t="s">
        <v>48</v>
      </c>
      <c r="S184" t="s">
        <v>60</v>
      </c>
      <c r="T184" t="s">
        <v>61</v>
      </c>
      <c r="U184" t="s">
        <v>42</v>
      </c>
      <c r="V184">
        <v>0</v>
      </c>
      <c r="W184">
        <v>100000</v>
      </c>
      <c r="X184" s="1">
        <v>43921</v>
      </c>
      <c r="Y184" t="s">
        <v>51</v>
      </c>
      <c r="Z184" t="s">
        <v>43</v>
      </c>
      <c r="AA184" t="s">
        <v>41</v>
      </c>
      <c r="AB184" t="s">
        <v>52</v>
      </c>
      <c r="AC184" t="s">
        <v>53</v>
      </c>
      <c r="AF184" t="s">
        <v>54</v>
      </c>
      <c r="AG184" s="1">
        <v>43832</v>
      </c>
      <c r="AH184" t="s">
        <v>42</v>
      </c>
      <c r="AI184" t="s">
        <v>55</v>
      </c>
      <c r="AJ184">
        <v>12788092</v>
      </c>
      <c r="AK184">
        <v>250000</v>
      </c>
      <c r="AL184">
        <v>1500000</v>
      </c>
    </row>
    <row r="185" spans="1:38" x14ac:dyDescent="0.25">
      <c r="A185" t="s">
        <v>169</v>
      </c>
      <c r="B185" t="s">
        <v>168</v>
      </c>
      <c r="C185" t="s">
        <v>71</v>
      </c>
      <c r="D185" s="1">
        <v>43196</v>
      </c>
      <c r="E185" s="1">
        <v>43560</v>
      </c>
      <c r="F185" t="s">
        <v>41</v>
      </c>
      <c r="G185">
        <v>1</v>
      </c>
      <c r="H185" t="s">
        <v>42</v>
      </c>
      <c r="I185" t="s">
        <v>43</v>
      </c>
      <c r="J185" t="s">
        <v>41</v>
      </c>
      <c r="K185" t="s">
        <v>44</v>
      </c>
      <c r="L185">
        <v>13134.29</v>
      </c>
      <c r="M185" s="1">
        <v>43384</v>
      </c>
      <c r="N185" t="s">
        <v>108</v>
      </c>
      <c r="O185" t="s">
        <v>106</v>
      </c>
      <c r="P185" t="s">
        <v>47</v>
      </c>
      <c r="Q185" s="1">
        <v>43852</v>
      </c>
      <c r="R185" t="s">
        <v>48</v>
      </c>
      <c r="S185" t="s">
        <v>60</v>
      </c>
      <c r="T185" t="s">
        <v>61</v>
      </c>
      <c r="U185" t="s">
        <v>42</v>
      </c>
      <c r="V185">
        <v>0</v>
      </c>
      <c r="W185">
        <v>100000</v>
      </c>
      <c r="X185" s="1">
        <v>43921</v>
      </c>
      <c r="Y185" t="s">
        <v>51</v>
      </c>
      <c r="Z185" t="s">
        <v>43</v>
      </c>
      <c r="AA185" t="s">
        <v>41</v>
      </c>
      <c r="AB185" t="s">
        <v>52</v>
      </c>
      <c r="AC185" t="s">
        <v>53</v>
      </c>
      <c r="AF185" t="s">
        <v>56</v>
      </c>
      <c r="AG185" s="1">
        <v>43833</v>
      </c>
      <c r="AH185" t="s">
        <v>42</v>
      </c>
      <c r="AI185" t="s">
        <v>55</v>
      </c>
      <c r="AJ185">
        <v>12788092</v>
      </c>
      <c r="AK185">
        <v>250000</v>
      </c>
      <c r="AL185">
        <v>1500000</v>
      </c>
    </row>
    <row r="186" spans="1:38" x14ac:dyDescent="0.25">
      <c r="A186" t="s">
        <v>169</v>
      </c>
      <c r="B186" t="s">
        <v>168</v>
      </c>
      <c r="C186" t="s">
        <v>71</v>
      </c>
      <c r="D186" s="1">
        <v>43196</v>
      </c>
      <c r="E186" s="1">
        <v>43560</v>
      </c>
      <c r="F186" t="s">
        <v>41</v>
      </c>
      <c r="G186">
        <v>1</v>
      </c>
      <c r="H186" t="s">
        <v>42</v>
      </c>
      <c r="I186" t="s">
        <v>43</v>
      </c>
      <c r="J186" t="s">
        <v>41</v>
      </c>
      <c r="K186" t="s">
        <v>44</v>
      </c>
      <c r="L186">
        <v>13134.29</v>
      </c>
      <c r="M186" s="1">
        <v>43384</v>
      </c>
      <c r="N186" t="s">
        <v>108</v>
      </c>
      <c r="O186" t="s">
        <v>106</v>
      </c>
      <c r="P186" t="s">
        <v>47</v>
      </c>
      <c r="Q186" s="1">
        <v>43852</v>
      </c>
      <c r="R186" t="s">
        <v>48</v>
      </c>
      <c r="S186" t="s">
        <v>60</v>
      </c>
      <c r="T186" t="s">
        <v>61</v>
      </c>
      <c r="U186" t="s">
        <v>42</v>
      </c>
      <c r="V186">
        <v>0</v>
      </c>
      <c r="W186">
        <v>100000</v>
      </c>
      <c r="X186" s="1">
        <v>43921</v>
      </c>
      <c r="Y186" t="s">
        <v>51</v>
      </c>
      <c r="Z186" t="s">
        <v>43</v>
      </c>
      <c r="AA186" t="s">
        <v>41</v>
      </c>
      <c r="AB186" t="s">
        <v>52</v>
      </c>
      <c r="AC186" t="s">
        <v>53</v>
      </c>
      <c r="AF186" t="s">
        <v>57</v>
      </c>
      <c r="AG186" s="1">
        <v>43836</v>
      </c>
      <c r="AH186" t="s">
        <v>42</v>
      </c>
      <c r="AI186" t="s">
        <v>55</v>
      </c>
      <c r="AJ186">
        <v>12788092</v>
      </c>
      <c r="AK186">
        <v>250000</v>
      </c>
      <c r="AL186">
        <v>1500000</v>
      </c>
    </row>
    <row r="187" spans="1:38" x14ac:dyDescent="0.25">
      <c r="A187" t="s">
        <v>169</v>
      </c>
      <c r="B187" t="s">
        <v>168</v>
      </c>
      <c r="C187" t="s">
        <v>71</v>
      </c>
      <c r="D187" s="1">
        <v>43196</v>
      </c>
      <c r="E187" s="1">
        <v>43560</v>
      </c>
      <c r="F187" t="s">
        <v>41</v>
      </c>
      <c r="G187">
        <v>1</v>
      </c>
      <c r="H187" t="s">
        <v>42</v>
      </c>
      <c r="I187" t="s">
        <v>43</v>
      </c>
      <c r="J187" t="s">
        <v>41</v>
      </c>
      <c r="K187" t="s">
        <v>44</v>
      </c>
      <c r="L187">
        <v>13134.29</v>
      </c>
      <c r="M187" s="1">
        <v>43384</v>
      </c>
      <c r="N187" t="s">
        <v>108</v>
      </c>
      <c r="O187" t="s">
        <v>106</v>
      </c>
      <c r="P187" t="s">
        <v>47</v>
      </c>
      <c r="Q187" s="1">
        <v>43852</v>
      </c>
      <c r="R187" t="s">
        <v>48</v>
      </c>
      <c r="S187" t="s">
        <v>60</v>
      </c>
      <c r="T187" t="s">
        <v>61</v>
      </c>
      <c r="U187" t="s">
        <v>42</v>
      </c>
      <c r="V187">
        <v>0</v>
      </c>
      <c r="W187">
        <v>100000</v>
      </c>
      <c r="X187" s="1">
        <v>43921</v>
      </c>
      <c r="Y187" t="s">
        <v>51</v>
      </c>
      <c r="Z187" t="s">
        <v>43</v>
      </c>
      <c r="AA187" t="s">
        <v>41</v>
      </c>
      <c r="AB187" t="s">
        <v>52</v>
      </c>
      <c r="AC187" t="s">
        <v>53</v>
      </c>
      <c r="AF187" t="s">
        <v>58</v>
      </c>
      <c r="AG187" s="1">
        <v>43837</v>
      </c>
      <c r="AH187" t="s">
        <v>42</v>
      </c>
      <c r="AI187" t="s">
        <v>55</v>
      </c>
      <c r="AJ187">
        <v>12788092</v>
      </c>
      <c r="AK187">
        <v>250000</v>
      </c>
      <c r="AL187">
        <v>1500000</v>
      </c>
    </row>
    <row r="188" spans="1:38" x14ac:dyDescent="0.25">
      <c r="A188" t="s">
        <v>169</v>
      </c>
      <c r="B188" t="s">
        <v>168</v>
      </c>
      <c r="C188" t="s">
        <v>71</v>
      </c>
      <c r="D188" s="1">
        <v>43196</v>
      </c>
      <c r="E188" s="1">
        <v>43560</v>
      </c>
      <c r="F188" t="s">
        <v>41</v>
      </c>
      <c r="G188">
        <v>1</v>
      </c>
      <c r="H188" t="s">
        <v>42</v>
      </c>
      <c r="I188" t="s">
        <v>43</v>
      </c>
      <c r="J188" t="s">
        <v>41</v>
      </c>
      <c r="K188" t="s">
        <v>44</v>
      </c>
      <c r="L188">
        <v>13134.29</v>
      </c>
      <c r="M188" s="1">
        <v>43384</v>
      </c>
      <c r="N188" t="s">
        <v>108</v>
      </c>
      <c r="O188" t="s">
        <v>106</v>
      </c>
      <c r="P188" t="s">
        <v>47</v>
      </c>
      <c r="Q188" s="1">
        <v>43852</v>
      </c>
      <c r="R188" t="s">
        <v>48</v>
      </c>
      <c r="S188" t="s">
        <v>60</v>
      </c>
      <c r="T188" t="s">
        <v>61</v>
      </c>
      <c r="U188" t="s">
        <v>42</v>
      </c>
      <c r="V188">
        <v>0</v>
      </c>
      <c r="W188">
        <v>100000</v>
      </c>
      <c r="X188" s="1">
        <v>43921</v>
      </c>
      <c r="Y188" t="s">
        <v>51</v>
      </c>
      <c r="Z188" t="s">
        <v>43</v>
      </c>
      <c r="AA188" t="s">
        <v>41</v>
      </c>
      <c r="AB188" t="s">
        <v>52</v>
      </c>
      <c r="AC188" t="s">
        <v>53</v>
      </c>
      <c r="AF188" t="s">
        <v>59</v>
      </c>
      <c r="AG188" s="1">
        <v>43838</v>
      </c>
      <c r="AH188" t="s">
        <v>42</v>
      </c>
      <c r="AI188" t="s">
        <v>55</v>
      </c>
      <c r="AJ188">
        <v>12788092</v>
      </c>
      <c r="AK188">
        <v>250000</v>
      </c>
      <c r="AL188">
        <v>1500000</v>
      </c>
    </row>
    <row r="189" spans="1:38" x14ac:dyDescent="0.25">
      <c r="A189" t="s">
        <v>169</v>
      </c>
      <c r="B189" t="s">
        <v>168</v>
      </c>
      <c r="C189" t="s">
        <v>71</v>
      </c>
      <c r="D189" s="1">
        <v>43196</v>
      </c>
      <c r="E189" s="1">
        <v>43560</v>
      </c>
      <c r="F189" t="s">
        <v>41</v>
      </c>
      <c r="G189">
        <v>1</v>
      </c>
      <c r="H189" t="s">
        <v>42</v>
      </c>
      <c r="I189" t="s">
        <v>43</v>
      </c>
      <c r="J189" t="s">
        <v>41</v>
      </c>
      <c r="K189" t="s">
        <v>44</v>
      </c>
      <c r="L189">
        <v>13134.29</v>
      </c>
      <c r="M189" s="1">
        <v>43384</v>
      </c>
      <c r="N189" t="s">
        <v>108</v>
      </c>
      <c r="O189" t="s">
        <v>106</v>
      </c>
      <c r="P189" t="s">
        <v>47</v>
      </c>
      <c r="Q189" s="1">
        <v>43852</v>
      </c>
      <c r="R189" t="s">
        <v>48</v>
      </c>
      <c r="S189" t="s">
        <v>62</v>
      </c>
      <c r="T189" t="s">
        <v>63</v>
      </c>
      <c r="U189" t="s">
        <v>42</v>
      </c>
      <c r="V189">
        <v>0</v>
      </c>
      <c r="W189">
        <v>100000</v>
      </c>
      <c r="X189" s="1">
        <v>43982</v>
      </c>
      <c r="Y189" t="s">
        <v>51</v>
      </c>
      <c r="Z189" t="s">
        <v>43</v>
      </c>
      <c r="AA189" t="s">
        <v>41</v>
      </c>
      <c r="AB189" t="s">
        <v>52</v>
      </c>
      <c r="AC189" t="s">
        <v>53</v>
      </c>
      <c r="AF189" t="s">
        <v>54</v>
      </c>
      <c r="AG189" s="1">
        <v>43832</v>
      </c>
      <c r="AH189" t="s">
        <v>42</v>
      </c>
      <c r="AI189" t="s">
        <v>55</v>
      </c>
      <c r="AJ189">
        <v>12788092</v>
      </c>
      <c r="AK189">
        <v>250000</v>
      </c>
      <c r="AL189">
        <v>1500000</v>
      </c>
    </row>
    <row r="190" spans="1:38" x14ac:dyDescent="0.25">
      <c r="A190" t="s">
        <v>169</v>
      </c>
      <c r="B190" t="s">
        <v>168</v>
      </c>
      <c r="C190" t="s">
        <v>71</v>
      </c>
      <c r="D190" s="1">
        <v>43196</v>
      </c>
      <c r="E190" s="1">
        <v>43560</v>
      </c>
      <c r="F190" t="s">
        <v>41</v>
      </c>
      <c r="G190">
        <v>1</v>
      </c>
      <c r="H190" t="s">
        <v>42</v>
      </c>
      <c r="I190" t="s">
        <v>43</v>
      </c>
      <c r="J190" t="s">
        <v>41</v>
      </c>
      <c r="K190" t="s">
        <v>44</v>
      </c>
      <c r="L190">
        <v>13134.29</v>
      </c>
      <c r="M190" s="1">
        <v>43384</v>
      </c>
      <c r="N190" t="s">
        <v>108</v>
      </c>
      <c r="O190" t="s">
        <v>106</v>
      </c>
      <c r="P190" t="s">
        <v>47</v>
      </c>
      <c r="Q190" s="1">
        <v>43852</v>
      </c>
      <c r="R190" t="s">
        <v>48</v>
      </c>
      <c r="S190" t="s">
        <v>62</v>
      </c>
      <c r="T190" t="s">
        <v>63</v>
      </c>
      <c r="U190" t="s">
        <v>42</v>
      </c>
      <c r="V190">
        <v>0</v>
      </c>
      <c r="W190">
        <v>100000</v>
      </c>
      <c r="X190" s="1">
        <v>43982</v>
      </c>
      <c r="Y190" t="s">
        <v>51</v>
      </c>
      <c r="Z190" t="s">
        <v>43</v>
      </c>
      <c r="AA190" t="s">
        <v>41</v>
      </c>
      <c r="AB190" t="s">
        <v>52</v>
      </c>
      <c r="AC190" t="s">
        <v>53</v>
      </c>
      <c r="AF190" t="s">
        <v>56</v>
      </c>
      <c r="AG190" s="1">
        <v>43833</v>
      </c>
      <c r="AH190" t="s">
        <v>42</v>
      </c>
      <c r="AI190" t="s">
        <v>55</v>
      </c>
      <c r="AJ190">
        <v>12788092</v>
      </c>
      <c r="AK190">
        <v>250000</v>
      </c>
      <c r="AL190">
        <v>1500000</v>
      </c>
    </row>
    <row r="191" spans="1:38" x14ac:dyDescent="0.25">
      <c r="A191" t="s">
        <v>169</v>
      </c>
      <c r="B191" t="s">
        <v>168</v>
      </c>
      <c r="C191" t="s">
        <v>71</v>
      </c>
      <c r="D191" s="1">
        <v>43196</v>
      </c>
      <c r="E191" s="1">
        <v>43560</v>
      </c>
      <c r="F191" t="s">
        <v>41</v>
      </c>
      <c r="G191">
        <v>1</v>
      </c>
      <c r="H191" t="s">
        <v>42</v>
      </c>
      <c r="I191" t="s">
        <v>43</v>
      </c>
      <c r="J191" t="s">
        <v>41</v>
      </c>
      <c r="K191" t="s">
        <v>44</v>
      </c>
      <c r="L191">
        <v>13134.29</v>
      </c>
      <c r="M191" s="1">
        <v>43384</v>
      </c>
      <c r="N191" t="s">
        <v>108</v>
      </c>
      <c r="O191" t="s">
        <v>106</v>
      </c>
      <c r="P191" t="s">
        <v>47</v>
      </c>
      <c r="Q191" s="1">
        <v>43852</v>
      </c>
      <c r="R191" t="s">
        <v>48</v>
      </c>
      <c r="S191" t="s">
        <v>62</v>
      </c>
      <c r="T191" t="s">
        <v>63</v>
      </c>
      <c r="U191" t="s">
        <v>42</v>
      </c>
      <c r="V191">
        <v>0</v>
      </c>
      <c r="W191">
        <v>100000</v>
      </c>
      <c r="X191" s="1">
        <v>43982</v>
      </c>
      <c r="Y191" t="s">
        <v>51</v>
      </c>
      <c r="Z191" t="s">
        <v>43</v>
      </c>
      <c r="AA191" t="s">
        <v>41</v>
      </c>
      <c r="AB191" t="s">
        <v>52</v>
      </c>
      <c r="AC191" t="s">
        <v>53</v>
      </c>
      <c r="AF191" t="s">
        <v>57</v>
      </c>
      <c r="AG191" s="1">
        <v>43836</v>
      </c>
      <c r="AH191" t="s">
        <v>42</v>
      </c>
      <c r="AI191" t="s">
        <v>55</v>
      </c>
      <c r="AJ191">
        <v>12788092</v>
      </c>
      <c r="AK191">
        <v>250000</v>
      </c>
      <c r="AL191">
        <v>1500000</v>
      </c>
    </row>
    <row r="192" spans="1:38" x14ac:dyDescent="0.25">
      <c r="A192" t="s">
        <v>169</v>
      </c>
      <c r="B192" t="s">
        <v>168</v>
      </c>
      <c r="C192" t="s">
        <v>71</v>
      </c>
      <c r="D192" s="1">
        <v>43196</v>
      </c>
      <c r="E192" s="1">
        <v>43560</v>
      </c>
      <c r="F192" t="s">
        <v>41</v>
      </c>
      <c r="G192">
        <v>1</v>
      </c>
      <c r="H192" t="s">
        <v>42</v>
      </c>
      <c r="I192" t="s">
        <v>43</v>
      </c>
      <c r="J192" t="s">
        <v>41</v>
      </c>
      <c r="K192" t="s">
        <v>44</v>
      </c>
      <c r="L192">
        <v>13134.29</v>
      </c>
      <c r="M192" s="1">
        <v>43384</v>
      </c>
      <c r="N192" t="s">
        <v>108</v>
      </c>
      <c r="O192" t="s">
        <v>106</v>
      </c>
      <c r="P192" t="s">
        <v>47</v>
      </c>
      <c r="Q192" s="1">
        <v>43852</v>
      </c>
      <c r="R192" t="s">
        <v>48</v>
      </c>
      <c r="S192" t="s">
        <v>62</v>
      </c>
      <c r="T192" t="s">
        <v>63</v>
      </c>
      <c r="U192" t="s">
        <v>42</v>
      </c>
      <c r="V192">
        <v>0</v>
      </c>
      <c r="W192">
        <v>100000</v>
      </c>
      <c r="X192" s="1">
        <v>43982</v>
      </c>
      <c r="Y192" t="s">
        <v>51</v>
      </c>
      <c r="Z192" t="s">
        <v>43</v>
      </c>
      <c r="AA192" t="s">
        <v>41</v>
      </c>
      <c r="AB192" t="s">
        <v>52</v>
      </c>
      <c r="AC192" t="s">
        <v>53</v>
      </c>
      <c r="AF192" t="s">
        <v>58</v>
      </c>
      <c r="AG192" s="1">
        <v>43837</v>
      </c>
      <c r="AH192" t="s">
        <v>42</v>
      </c>
      <c r="AI192" t="s">
        <v>55</v>
      </c>
      <c r="AJ192">
        <v>12788092</v>
      </c>
      <c r="AK192">
        <v>250000</v>
      </c>
      <c r="AL192">
        <v>1500000</v>
      </c>
    </row>
    <row r="193" spans="1:38" x14ac:dyDescent="0.25">
      <c r="A193" t="s">
        <v>169</v>
      </c>
      <c r="B193" t="s">
        <v>168</v>
      </c>
      <c r="C193" t="s">
        <v>71</v>
      </c>
      <c r="D193" s="1">
        <v>43196</v>
      </c>
      <c r="E193" s="1">
        <v>43560</v>
      </c>
      <c r="F193" t="s">
        <v>41</v>
      </c>
      <c r="G193">
        <v>1</v>
      </c>
      <c r="H193" t="s">
        <v>42</v>
      </c>
      <c r="I193" t="s">
        <v>43</v>
      </c>
      <c r="J193" t="s">
        <v>41</v>
      </c>
      <c r="K193" t="s">
        <v>44</v>
      </c>
      <c r="L193">
        <v>13134.29</v>
      </c>
      <c r="M193" s="1">
        <v>43384</v>
      </c>
      <c r="N193" t="s">
        <v>108</v>
      </c>
      <c r="O193" t="s">
        <v>106</v>
      </c>
      <c r="P193" t="s">
        <v>47</v>
      </c>
      <c r="Q193" s="1">
        <v>43852</v>
      </c>
      <c r="R193" t="s">
        <v>48</v>
      </c>
      <c r="S193" t="s">
        <v>62</v>
      </c>
      <c r="T193" t="s">
        <v>63</v>
      </c>
      <c r="U193" t="s">
        <v>42</v>
      </c>
      <c r="V193">
        <v>0</v>
      </c>
      <c r="W193">
        <v>100000</v>
      </c>
      <c r="X193" s="1">
        <v>43982</v>
      </c>
      <c r="Y193" t="s">
        <v>51</v>
      </c>
      <c r="Z193" t="s">
        <v>43</v>
      </c>
      <c r="AA193" t="s">
        <v>41</v>
      </c>
      <c r="AB193" t="s">
        <v>52</v>
      </c>
      <c r="AC193" t="s">
        <v>53</v>
      </c>
      <c r="AF193" t="s">
        <v>59</v>
      </c>
      <c r="AG193" s="1">
        <v>43838</v>
      </c>
      <c r="AH193" t="s">
        <v>42</v>
      </c>
      <c r="AI193" t="s">
        <v>55</v>
      </c>
      <c r="AJ193">
        <v>12788092</v>
      </c>
      <c r="AK193">
        <v>250000</v>
      </c>
      <c r="AL193">
        <v>1500000</v>
      </c>
    </row>
    <row r="194" spans="1:38" x14ac:dyDescent="0.25">
      <c r="A194" t="s">
        <v>169</v>
      </c>
      <c r="B194" t="s">
        <v>168</v>
      </c>
      <c r="C194" t="s">
        <v>71</v>
      </c>
      <c r="D194" s="1">
        <v>43196</v>
      </c>
      <c r="E194" s="1">
        <v>43560</v>
      </c>
      <c r="F194" t="s">
        <v>41</v>
      </c>
      <c r="G194">
        <v>1</v>
      </c>
      <c r="H194" t="s">
        <v>42</v>
      </c>
      <c r="I194" t="s">
        <v>43</v>
      </c>
      <c r="J194" t="s">
        <v>41</v>
      </c>
      <c r="K194" t="s">
        <v>44</v>
      </c>
      <c r="L194">
        <v>13134.29</v>
      </c>
      <c r="M194" s="1">
        <v>43384</v>
      </c>
      <c r="N194" t="s">
        <v>108</v>
      </c>
      <c r="O194" t="s">
        <v>106</v>
      </c>
      <c r="P194" t="s">
        <v>47</v>
      </c>
      <c r="Q194" s="1">
        <v>43852</v>
      </c>
      <c r="R194" t="s">
        <v>48</v>
      </c>
      <c r="S194" t="s">
        <v>64</v>
      </c>
      <c r="T194" t="s">
        <v>65</v>
      </c>
      <c r="U194" t="s">
        <v>42</v>
      </c>
      <c r="V194">
        <v>0</v>
      </c>
      <c r="W194">
        <v>100000</v>
      </c>
      <c r="X194" s="1">
        <v>43921</v>
      </c>
      <c r="Y194" t="s">
        <v>51</v>
      </c>
      <c r="Z194" t="s">
        <v>43</v>
      </c>
      <c r="AA194" t="s">
        <v>41</v>
      </c>
      <c r="AB194" t="s">
        <v>52</v>
      </c>
      <c r="AC194" t="s">
        <v>53</v>
      </c>
      <c r="AF194" t="s">
        <v>54</v>
      </c>
      <c r="AG194" s="1">
        <v>43832</v>
      </c>
      <c r="AH194" t="s">
        <v>42</v>
      </c>
      <c r="AI194" t="s">
        <v>55</v>
      </c>
      <c r="AJ194">
        <v>12788092</v>
      </c>
      <c r="AK194">
        <v>250000</v>
      </c>
      <c r="AL194">
        <v>1500000</v>
      </c>
    </row>
    <row r="195" spans="1:38" x14ac:dyDescent="0.25">
      <c r="A195" t="s">
        <v>169</v>
      </c>
      <c r="B195" t="s">
        <v>168</v>
      </c>
      <c r="C195" t="s">
        <v>71</v>
      </c>
      <c r="D195" s="1">
        <v>43196</v>
      </c>
      <c r="E195" s="1">
        <v>43560</v>
      </c>
      <c r="F195" t="s">
        <v>41</v>
      </c>
      <c r="G195">
        <v>1</v>
      </c>
      <c r="H195" t="s">
        <v>42</v>
      </c>
      <c r="I195" t="s">
        <v>43</v>
      </c>
      <c r="J195" t="s">
        <v>41</v>
      </c>
      <c r="K195" t="s">
        <v>44</v>
      </c>
      <c r="L195">
        <v>13134.29</v>
      </c>
      <c r="M195" s="1">
        <v>43384</v>
      </c>
      <c r="N195" t="s">
        <v>108</v>
      </c>
      <c r="O195" t="s">
        <v>106</v>
      </c>
      <c r="P195" t="s">
        <v>47</v>
      </c>
      <c r="Q195" s="1">
        <v>43852</v>
      </c>
      <c r="R195" t="s">
        <v>48</v>
      </c>
      <c r="S195" t="s">
        <v>64</v>
      </c>
      <c r="T195" t="s">
        <v>65</v>
      </c>
      <c r="U195" t="s">
        <v>42</v>
      </c>
      <c r="V195">
        <v>0</v>
      </c>
      <c r="W195">
        <v>100000</v>
      </c>
      <c r="X195" s="1">
        <v>43921</v>
      </c>
      <c r="Y195" t="s">
        <v>51</v>
      </c>
      <c r="Z195" t="s">
        <v>43</v>
      </c>
      <c r="AA195" t="s">
        <v>41</v>
      </c>
      <c r="AB195" t="s">
        <v>52</v>
      </c>
      <c r="AC195" t="s">
        <v>53</v>
      </c>
      <c r="AF195" t="s">
        <v>56</v>
      </c>
      <c r="AG195" s="1">
        <v>43833</v>
      </c>
      <c r="AH195" t="s">
        <v>42</v>
      </c>
      <c r="AI195" t="s">
        <v>55</v>
      </c>
      <c r="AJ195">
        <v>12788092</v>
      </c>
      <c r="AK195">
        <v>250000</v>
      </c>
      <c r="AL195">
        <v>1500000</v>
      </c>
    </row>
    <row r="196" spans="1:38" x14ac:dyDescent="0.25">
      <c r="A196" t="s">
        <v>169</v>
      </c>
      <c r="B196" t="s">
        <v>168</v>
      </c>
      <c r="C196" t="s">
        <v>71</v>
      </c>
      <c r="D196" s="1">
        <v>43196</v>
      </c>
      <c r="E196" s="1">
        <v>43560</v>
      </c>
      <c r="F196" t="s">
        <v>41</v>
      </c>
      <c r="G196">
        <v>1</v>
      </c>
      <c r="H196" t="s">
        <v>42</v>
      </c>
      <c r="I196" t="s">
        <v>43</v>
      </c>
      <c r="J196" t="s">
        <v>41</v>
      </c>
      <c r="K196" t="s">
        <v>44</v>
      </c>
      <c r="L196">
        <v>13134.29</v>
      </c>
      <c r="M196" s="1">
        <v>43384</v>
      </c>
      <c r="N196" t="s">
        <v>108</v>
      </c>
      <c r="O196" t="s">
        <v>106</v>
      </c>
      <c r="P196" t="s">
        <v>47</v>
      </c>
      <c r="Q196" s="1">
        <v>43852</v>
      </c>
      <c r="R196" t="s">
        <v>48</v>
      </c>
      <c r="S196" t="s">
        <v>64</v>
      </c>
      <c r="T196" t="s">
        <v>65</v>
      </c>
      <c r="U196" t="s">
        <v>42</v>
      </c>
      <c r="V196">
        <v>0</v>
      </c>
      <c r="W196">
        <v>100000</v>
      </c>
      <c r="X196" s="1">
        <v>43921</v>
      </c>
      <c r="Y196" t="s">
        <v>51</v>
      </c>
      <c r="Z196" t="s">
        <v>43</v>
      </c>
      <c r="AA196" t="s">
        <v>41</v>
      </c>
      <c r="AB196" t="s">
        <v>52</v>
      </c>
      <c r="AC196" t="s">
        <v>53</v>
      </c>
      <c r="AF196" t="s">
        <v>57</v>
      </c>
      <c r="AG196" s="1">
        <v>43836</v>
      </c>
      <c r="AH196" t="s">
        <v>42</v>
      </c>
      <c r="AI196" t="s">
        <v>55</v>
      </c>
      <c r="AJ196">
        <v>12788092</v>
      </c>
      <c r="AK196">
        <v>250000</v>
      </c>
      <c r="AL196">
        <v>1500000</v>
      </c>
    </row>
    <row r="197" spans="1:38" x14ac:dyDescent="0.25">
      <c r="A197" t="s">
        <v>169</v>
      </c>
      <c r="B197" t="s">
        <v>168</v>
      </c>
      <c r="C197" t="s">
        <v>71</v>
      </c>
      <c r="D197" s="1">
        <v>43196</v>
      </c>
      <c r="E197" s="1">
        <v>43560</v>
      </c>
      <c r="F197" t="s">
        <v>41</v>
      </c>
      <c r="G197">
        <v>1</v>
      </c>
      <c r="H197" t="s">
        <v>42</v>
      </c>
      <c r="I197" t="s">
        <v>43</v>
      </c>
      <c r="J197" t="s">
        <v>41</v>
      </c>
      <c r="K197" t="s">
        <v>44</v>
      </c>
      <c r="L197">
        <v>13134.29</v>
      </c>
      <c r="M197" s="1">
        <v>43384</v>
      </c>
      <c r="N197" t="s">
        <v>108</v>
      </c>
      <c r="O197" t="s">
        <v>106</v>
      </c>
      <c r="P197" t="s">
        <v>47</v>
      </c>
      <c r="Q197" s="1">
        <v>43852</v>
      </c>
      <c r="R197" t="s">
        <v>48</v>
      </c>
      <c r="S197" t="s">
        <v>64</v>
      </c>
      <c r="T197" t="s">
        <v>65</v>
      </c>
      <c r="U197" t="s">
        <v>42</v>
      </c>
      <c r="V197">
        <v>0</v>
      </c>
      <c r="W197">
        <v>100000</v>
      </c>
      <c r="X197" s="1">
        <v>43921</v>
      </c>
      <c r="Y197" t="s">
        <v>51</v>
      </c>
      <c r="Z197" t="s">
        <v>43</v>
      </c>
      <c r="AA197" t="s">
        <v>41</v>
      </c>
      <c r="AB197" t="s">
        <v>52</v>
      </c>
      <c r="AC197" t="s">
        <v>53</v>
      </c>
      <c r="AF197" t="s">
        <v>58</v>
      </c>
      <c r="AG197" s="1">
        <v>43837</v>
      </c>
      <c r="AH197" t="s">
        <v>42</v>
      </c>
      <c r="AI197" t="s">
        <v>55</v>
      </c>
      <c r="AJ197">
        <v>12788092</v>
      </c>
      <c r="AK197">
        <v>250000</v>
      </c>
      <c r="AL197">
        <v>1500000</v>
      </c>
    </row>
    <row r="198" spans="1:38" x14ac:dyDescent="0.25">
      <c r="A198" t="s">
        <v>169</v>
      </c>
      <c r="B198" t="s">
        <v>168</v>
      </c>
      <c r="C198" t="s">
        <v>71</v>
      </c>
      <c r="D198" s="1">
        <v>43196</v>
      </c>
      <c r="E198" s="1">
        <v>43560</v>
      </c>
      <c r="F198" t="s">
        <v>41</v>
      </c>
      <c r="G198">
        <v>1</v>
      </c>
      <c r="H198" t="s">
        <v>42</v>
      </c>
      <c r="I198" t="s">
        <v>43</v>
      </c>
      <c r="J198" t="s">
        <v>41</v>
      </c>
      <c r="K198" t="s">
        <v>44</v>
      </c>
      <c r="L198">
        <v>13134.29</v>
      </c>
      <c r="M198" s="1">
        <v>43384</v>
      </c>
      <c r="N198" t="s">
        <v>108</v>
      </c>
      <c r="O198" t="s">
        <v>106</v>
      </c>
      <c r="P198" t="s">
        <v>47</v>
      </c>
      <c r="Q198" s="1">
        <v>43852</v>
      </c>
      <c r="R198" t="s">
        <v>48</v>
      </c>
      <c r="S198" t="s">
        <v>64</v>
      </c>
      <c r="T198" t="s">
        <v>65</v>
      </c>
      <c r="U198" t="s">
        <v>42</v>
      </c>
      <c r="V198">
        <v>0</v>
      </c>
      <c r="W198">
        <v>100000</v>
      </c>
      <c r="X198" s="1">
        <v>43921</v>
      </c>
      <c r="Y198" t="s">
        <v>51</v>
      </c>
      <c r="Z198" t="s">
        <v>43</v>
      </c>
      <c r="AA198" t="s">
        <v>41</v>
      </c>
      <c r="AB198" t="s">
        <v>52</v>
      </c>
      <c r="AC198" t="s">
        <v>53</v>
      </c>
      <c r="AF198" t="s">
        <v>59</v>
      </c>
      <c r="AG198" s="1">
        <v>43838</v>
      </c>
      <c r="AH198" t="s">
        <v>42</v>
      </c>
      <c r="AI198" t="s">
        <v>55</v>
      </c>
      <c r="AJ198">
        <v>12788092</v>
      </c>
      <c r="AK198">
        <v>250000</v>
      </c>
      <c r="AL198">
        <v>1500000</v>
      </c>
    </row>
    <row r="199" spans="1:38" x14ac:dyDescent="0.25">
      <c r="A199" t="s">
        <v>170</v>
      </c>
      <c r="B199" t="s">
        <v>168</v>
      </c>
      <c r="C199" t="s">
        <v>71</v>
      </c>
      <c r="D199" s="1">
        <v>43196</v>
      </c>
      <c r="E199" s="1">
        <v>43560</v>
      </c>
      <c r="F199" t="s">
        <v>41</v>
      </c>
      <c r="G199">
        <v>1</v>
      </c>
      <c r="H199" t="s">
        <v>42</v>
      </c>
      <c r="I199" t="s">
        <v>43</v>
      </c>
      <c r="J199" t="s">
        <v>41</v>
      </c>
      <c r="K199" t="s">
        <v>44</v>
      </c>
      <c r="L199">
        <v>16500</v>
      </c>
      <c r="M199" s="1">
        <v>43482</v>
      </c>
      <c r="N199" t="s">
        <v>108</v>
      </c>
      <c r="O199" t="s">
        <v>106</v>
      </c>
      <c r="P199" t="s">
        <v>47</v>
      </c>
      <c r="Q199" s="1">
        <v>43852</v>
      </c>
      <c r="R199" t="s">
        <v>48</v>
      </c>
      <c r="S199" t="s">
        <v>49</v>
      </c>
      <c r="T199" t="s">
        <v>50</v>
      </c>
      <c r="U199" t="s">
        <v>42</v>
      </c>
      <c r="V199">
        <v>0</v>
      </c>
      <c r="W199">
        <v>100000</v>
      </c>
      <c r="X199" s="1">
        <v>44012</v>
      </c>
      <c r="Y199" t="s">
        <v>51</v>
      </c>
      <c r="Z199" t="s">
        <v>43</v>
      </c>
      <c r="AA199" t="s">
        <v>41</v>
      </c>
      <c r="AB199" t="s">
        <v>52</v>
      </c>
      <c r="AC199" t="s">
        <v>53</v>
      </c>
      <c r="AF199" t="s">
        <v>54</v>
      </c>
      <c r="AG199" s="1">
        <v>43832</v>
      </c>
      <c r="AH199" t="s">
        <v>42</v>
      </c>
      <c r="AI199" t="s">
        <v>55</v>
      </c>
      <c r="AJ199">
        <v>12788092</v>
      </c>
      <c r="AK199">
        <v>250000</v>
      </c>
      <c r="AL199">
        <v>1500000</v>
      </c>
    </row>
    <row r="200" spans="1:38" x14ac:dyDescent="0.25">
      <c r="A200" t="s">
        <v>170</v>
      </c>
      <c r="B200" t="s">
        <v>168</v>
      </c>
      <c r="C200" t="s">
        <v>71</v>
      </c>
      <c r="D200" s="1">
        <v>43196</v>
      </c>
      <c r="E200" s="1">
        <v>43560</v>
      </c>
      <c r="F200" t="s">
        <v>41</v>
      </c>
      <c r="G200">
        <v>1</v>
      </c>
      <c r="H200" t="s">
        <v>42</v>
      </c>
      <c r="I200" t="s">
        <v>43</v>
      </c>
      <c r="J200" t="s">
        <v>41</v>
      </c>
      <c r="K200" t="s">
        <v>44</v>
      </c>
      <c r="L200">
        <v>16500</v>
      </c>
      <c r="M200" s="1">
        <v>43482</v>
      </c>
      <c r="N200" t="s">
        <v>108</v>
      </c>
      <c r="O200" t="s">
        <v>106</v>
      </c>
      <c r="P200" t="s">
        <v>47</v>
      </c>
      <c r="Q200" s="1">
        <v>43852</v>
      </c>
      <c r="R200" t="s">
        <v>48</v>
      </c>
      <c r="S200" t="s">
        <v>49</v>
      </c>
      <c r="T200" t="s">
        <v>50</v>
      </c>
      <c r="U200" t="s">
        <v>42</v>
      </c>
      <c r="V200">
        <v>0</v>
      </c>
      <c r="W200">
        <v>100000</v>
      </c>
      <c r="X200" s="1">
        <v>44012</v>
      </c>
      <c r="Y200" t="s">
        <v>51</v>
      </c>
      <c r="Z200" t="s">
        <v>43</v>
      </c>
      <c r="AA200" t="s">
        <v>41</v>
      </c>
      <c r="AB200" t="s">
        <v>52</v>
      </c>
      <c r="AC200" t="s">
        <v>53</v>
      </c>
      <c r="AF200" t="s">
        <v>56</v>
      </c>
      <c r="AG200" s="1">
        <v>43833</v>
      </c>
      <c r="AH200" t="s">
        <v>42</v>
      </c>
      <c r="AI200" t="s">
        <v>55</v>
      </c>
      <c r="AJ200">
        <v>12788092</v>
      </c>
      <c r="AK200">
        <v>250000</v>
      </c>
      <c r="AL200">
        <v>1500000</v>
      </c>
    </row>
    <row r="201" spans="1:38" x14ac:dyDescent="0.25">
      <c r="A201" t="s">
        <v>170</v>
      </c>
      <c r="B201" t="s">
        <v>168</v>
      </c>
      <c r="C201" t="s">
        <v>71</v>
      </c>
      <c r="D201" s="1">
        <v>43196</v>
      </c>
      <c r="E201" s="1">
        <v>43560</v>
      </c>
      <c r="F201" t="s">
        <v>41</v>
      </c>
      <c r="G201">
        <v>1</v>
      </c>
      <c r="H201" t="s">
        <v>42</v>
      </c>
      <c r="I201" t="s">
        <v>43</v>
      </c>
      <c r="J201" t="s">
        <v>41</v>
      </c>
      <c r="K201" t="s">
        <v>44</v>
      </c>
      <c r="L201">
        <v>16500</v>
      </c>
      <c r="M201" s="1">
        <v>43482</v>
      </c>
      <c r="N201" t="s">
        <v>108</v>
      </c>
      <c r="O201" t="s">
        <v>106</v>
      </c>
      <c r="P201" t="s">
        <v>47</v>
      </c>
      <c r="Q201" s="1">
        <v>43852</v>
      </c>
      <c r="R201" t="s">
        <v>48</v>
      </c>
      <c r="S201" t="s">
        <v>49</v>
      </c>
      <c r="T201" t="s">
        <v>50</v>
      </c>
      <c r="U201" t="s">
        <v>42</v>
      </c>
      <c r="V201">
        <v>0</v>
      </c>
      <c r="W201">
        <v>100000</v>
      </c>
      <c r="X201" s="1">
        <v>44012</v>
      </c>
      <c r="Y201" t="s">
        <v>51</v>
      </c>
      <c r="Z201" t="s">
        <v>43</v>
      </c>
      <c r="AA201" t="s">
        <v>41</v>
      </c>
      <c r="AB201" t="s">
        <v>52</v>
      </c>
      <c r="AC201" t="s">
        <v>53</v>
      </c>
      <c r="AF201" t="s">
        <v>57</v>
      </c>
      <c r="AG201" s="1">
        <v>43836</v>
      </c>
      <c r="AH201" t="s">
        <v>42</v>
      </c>
      <c r="AI201" t="s">
        <v>55</v>
      </c>
      <c r="AJ201">
        <v>12788092</v>
      </c>
      <c r="AK201">
        <v>250000</v>
      </c>
      <c r="AL201">
        <v>1500000</v>
      </c>
    </row>
    <row r="202" spans="1:38" x14ac:dyDescent="0.25">
      <c r="A202" t="s">
        <v>170</v>
      </c>
      <c r="B202" t="s">
        <v>168</v>
      </c>
      <c r="C202" t="s">
        <v>71</v>
      </c>
      <c r="D202" s="1">
        <v>43196</v>
      </c>
      <c r="E202" s="1">
        <v>43560</v>
      </c>
      <c r="F202" t="s">
        <v>41</v>
      </c>
      <c r="G202">
        <v>1</v>
      </c>
      <c r="H202" t="s">
        <v>42</v>
      </c>
      <c r="I202" t="s">
        <v>43</v>
      </c>
      <c r="J202" t="s">
        <v>41</v>
      </c>
      <c r="K202" t="s">
        <v>44</v>
      </c>
      <c r="L202">
        <v>16500</v>
      </c>
      <c r="M202" s="1">
        <v>43482</v>
      </c>
      <c r="N202" t="s">
        <v>108</v>
      </c>
      <c r="O202" t="s">
        <v>106</v>
      </c>
      <c r="P202" t="s">
        <v>47</v>
      </c>
      <c r="Q202" s="1">
        <v>43852</v>
      </c>
      <c r="R202" t="s">
        <v>48</v>
      </c>
      <c r="S202" t="s">
        <v>49</v>
      </c>
      <c r="T202" t="s">
        <v>50</v>
      </c>
      <c r="U202" t="s">
        <v>42</v>
      </c>
      <c r="V202">
        <v>0</v>
      </c>
      <c r="W202">
        <v>100000</v>
      </c>
      <c r="X202" s="1">
        <v>44012</v>
      </c>
      <c r="Y202" t="s">
        <v>51</v>
      </c>
      <c r="Z202" t="s">
        <v>43</v>
      </c>
      <c r="AA202" t="s">
        <v>41</v>
      </c>
      <c r="AB202" t="s">
        <v>52</v>
      </c>
      <c r="AC202" t="s">
        <v>53</v>
      </c>
      <c r="AF202" t="s">
        <v>58</v>
      </c>
      <c r="AG202" s="1">
        <v>43837</v>
      </c>
      <c r="AH202" t="s">
        <v>42</v>
      </c>
      <c r="AI202" t="s">
        <v>55</v>
      </c>
      <c r="AJ202">
        <v>12788092</v>
      </c>
      <c r="AK202">
        <v>250000</v>
      </c>
      <c r="AL202">
        <v>1500000</v>
      </c>
    </row>
    <row r="203" spans="1:38" x14ac:dyDescent="0.25">
      <c r="A203" t="s">
        <v>170</v>
      </c>
      <c r="B203" t="s">
        <v>168</v>
      </c>
      <c r="C203" t="s">
        <v>71</v>
      </c>
      <c r="D203" s="1">
        <v>43196</v>
      </c>
      <c r="E203" s="1">
        <v>43560</v>
      </c>
      <c r="F203" t="s">
        <v>41</v>
      </c>
      <c r="G203">
        <v>1</v>
      </c>
      <c r="H203" t="s">
        <v>42</v>
      </c>
      <c r="I203" t="s">
        <v>43</v>
      </c>
      <c r="J203" t="s">
        <v>41</v>
      </c>
      <c r="K203" t="s">
        <v>44</v>
      </c>
      <c r="L203">
        <v>16500</v>
      </c>
      <c r="M203" s="1">
        <v>43482</v>
      </c>
      <c r="N203" t="s">
        <v>108</v>
      </c>
      <c r="O203" t="s">
        <v>106</v>
      </c>
      <c r="P203" t="s">
        <v>47</v>
      </c>
      <c r="Q203" s="1">
        <v>43852</v>
      </c>
      <c r="R203" t="s">
        <v>48</v>
      </c>
      <c r="S203" t="s">
        <v>49</v>
      </c>
      <c r="T203" t="s">
        <v>50</v>
      </c>
      <c r="U203" t="s">
        <v>42</v>
      </c>
      <c r="V203">
        <v>0</v>
      </c>
      <c r="W203">
        <v>100000</v>
      </c>
      <c r="X203" s="1">
        <v>44012</v>
      </c>
      <c r="Y203" t="s">
        <v>51</v>
      </c>
      <c r="Z203" t="s">
        <v>43</v>
      </c>
      <c r="AA203" t="s">
        <v>41</v>
      </c>
      <c r="AB203" t="s">
        <v>52</v>
      </c>
      <c r="AC203" t="s">
        <v>53</v>
      </c>
      <c r="AF203" t="s">
        <v>59</v>
      </c>
      <c r="AG203" s="1">
        <v>43838</v>
      </c>
      <c r="AH203" t="s">
        <v>42</v>
      </c>
      <c r="AI203" t="s">
        <v>55</v>
      </c>
      <c r="AJ203">
        <v>12788092</v>
      </c>
      <c r="AK203">
        <v>250000</v>
      </c>
      <c r="AL203">
        <v>1500000</v>
      </c>
    </row>
    <row r="204" spans="1:38" x14ac:dyDescent="0.25">
      <c r="A204" t="s">
        <v>170</v>
      </c>
      <c r="B204" t="s">
        <v>168</v>
      </c>
      <c r="C204" t="s">
        <v>71</v>
      </c>
      <c r="D204" s="1">
        <v>43196</v>
      </c>
      <c r="E204" s="1">
        <v>43560</v>
      </c>
      <c r="F204" t="s">
        <v>41</v>
      </c>
      <c r="G204">
        <v>1</v>
      </c>
      <c r="H204" t="s">
        <v>42</v>
      </c>
      <c r="I204" t="s">
        <v>43</v>
      </c>
      <c r="J204" t="s">
        <v>41</v>
      </c>
      <c r="K204" t="s">
        <v>44</v>
      </c>
      <c r="L204">
        <v>16500</v>
      </c>
      <c r="M204" s="1">
        <v>43482</v>
      </c>
      <c r="N204" t="s">
        <v>108</v>
      </c>
      <c r="O204" t="s">
        <v>106</v>
      </c>
      <c r="P204" t="s">
        <v>47</v>
      </c>
      <c r="Q204" s="1">
        <v>43852</v>
      </c>
      <c r="R204" t="s">
        <v>48</v>
      </c>
      <c r="S204" t="s">
        <v>60</v>
      </c>
      <c r="T204" t="s">
        <v>61</v>
      </c>
      <c r="U204" t="s">
        <v>42</v>
      </c>
      <c r="V204">
        <v>0</v>
      </c>
      <c r="W204">
        <v>100000</v>
      </c>
      <c r="X204" s="1">
        <v>43921</v>
      </c>
      <c r="Y204" t="s">
        <v>51</v>
      </c>
      <c r="Z204" t="s">
        <v>43</v>
      </c>
      <c r="AA204" t="s">
        <v>41</v>
      </c>
      <c r="AB204" t="s">
        <v>52</v>
      </c>
      <c r="AC204" t="s">
        <v>53</v>
      </c>
      <c r="AF204" t="s">
        <v>54</v>
      </c>
      <c r="AG204" s="1">
        <v>43832</v>
      </c>
      <c r="AH204" t="s">
        <v>42</v>
      </c>
      <c r="AI204" t="s">
        <v>55</v>
      </c>
      <c r="AJ204">
        <v>12788092</v>
      </c>
      <c r="AK204">
        <v>250000</v>
      </c>
      <c r="AL204">
        <v>1500000</v>
      </c>
    </row>
    <row r="205" spans="1:38" x14ac:dyDescent="0.25">
      <c r="A205" t="s">
        <v>170</v>
      </c>
      <c r="B205" t="s">
        <v>168</v>
      </c>
      <c r="C205" t="s">
        <v>71</v>
      </c>
      <c r="D205" s="1">
        <v>43196</v>
      </c>
      <c r="E205" s="1">
        <v>43560</v>
      </c>
      <c r="F205" t="s">
        <v>41</v>
      </c>
      <c r="G205">
        <v>1</v>
      </c>
      <c r="H205" t="s">
        <v>42</v>
      </c>
      <c r="I205" t="s">
        <v>43</v>
      </c>
      <c r="J205" t="s">
        <v>41</v>
      </c>
      <c r="K205" t="s">
        <v>44</v>
      </c>
      <c r="L205">
        <v>16500</v>
      </c>
      <c r="M205" s="1">
        <v>43482</v>
      </c>
      <c r="N205" t="s">
        <v>108</v>
      </c>
      <c r="O205" t="s">
        <v>106</v>
      </c>
      <c r="P205" t="s">
        <v>47</v>
      </c>
      <c r="Q205" s="1">
        <v>43852</v>
      </c>
      <c r="R205" t="s">
        <v>48</v>
      </c>
      <c r="S205" t="s">
        <v>60</v>
      </c>
      <c r="T205" t="s">
        <v>61</v>
      </c>
      <c r="U205" t="s">
        <v>42</v>
      </c>
      <c r="V205">
        <v>0</v>
      </c>
      <c r="W205">
        <v>100000</v>
      </c>
      <c r="X205" s="1">
        <v>43921</v>
      </c>
      <c r="Y205" t="s">
        <v>51</v>
      </c>
      <c r="Z205" t="s">
        <v>43</v>
      </c>
      <c r="AA205" t="s">
        <v>41</v>
      </c>
      <c r="AB205" t="s">
        <v>52</v>
      </c>
      <c r="AC205" t="s">
        <v>53</v>
      </c>
      <c r="AF205" t="s">
        <v>56</v>
      </c>
      <c r="AG205" s="1">
        <v>43833</v>
      </c>
      <c r="AH205" t="s">
        <v>42</v>
      </c>
      <c r="AI205" t="s">
        <v>55</v>
      </c>
      <c r="AJ205">
        <v>12788092</v>
      </c>
      <c r="AK205">
        <v>250000</v>
      </c>
      <c r="AL205">
        <v>1500000</v>
      </c>
    </row>
    <row r="206" spans="1:38" x14ac:dyDescent="0.25">
      <c r="A206" t="s">
        <v>170</v>
      </c>
      <c r="B206" t="s">
        <v>168</v>
      </c>
      <c r="C206" t="s">
        <v>71</v>
      </c>
      <c r="D206" s="1">
        <v>43196</v>
      </c>
      <c r="E206" s="1">
        <v>43560</v>
      </c>
      <c r="F206" t="s">
        <v>41</v>
      </c>
      <c r="G206">
        <v>1</v>
      </c>
      <c r="H206" t="s">
        <v>42</v>
      </c>
      <c r="I206" t="s">
        <v>43</v>
      </c>
      <c r="J206" t="s">
        <v>41</v>
      </c>
      <c r="K206" t="s">
        <v>44</v>
      </c>
      <c r="L206">
        <v>16500</v>
      </c>
      <c r="M206" s="1">
        <v>43482</v>
      </c>
      <c r="N206" t="s">
        <v>108</v>
      </c>
      <c r="O206" t="s">
        <v>106</v>
      </c>
      <c r="P206" t="s">
        <v>47</v>
      </c>
      <c r="Q206" s="1">
        <v>43852</v>
      </c>
      <c r="R206" t="s">
        <v>48</v>
      </c>
      <c r="S206" t="s">
        <v>60</v>
      </c>
      <c r="T206" t="s">
        <v>61</v>
      </c>
      <c r="U206" t="s">
        <v>42</v>
      </c>
      <c r="V206">
        <v>0</v>
      </c>
      <c r="W206">
        <v>100000</v>
      </c>
      <c r="X206" s="1">
        <v>43921</v>
      </c>
      <c r="Y206" t="s">
        <v>51</v>
      </c>
      <c r="Z206" t="s">
        <v>43</v>
      </c>
      <c r="AA206" t="s">
        <v>41</v>
      </c>
      <c r="AB206" t="s">
        <v>52</v>
      </c>
      <c r="AC206" t="s">
        <v>53</v>
      </c>
      <c r="AF206" t="s">
        <v>57</v>
      </c>
      <c r="AG206" s="1">
        <v>43836</v>
      </c>
      <c r="AH206" t="s">
        <v>42</v>
      </c>
      <c r="AI206" t="s">
        <v>55</v>
      </c>
      <c r="AJ206">
        <v>12788092</v>
      </c>
      <c r="AK206">
        <v>250000</v>
      </c>
      <c r="AL206">
        <v>1500000</v>
      </c>
    </row>
    <row r="207" spans="1:38" x14ac:dyDescent="0.25">
      <c r="A207" t="s">
        <v>170</v>
      </c>
      <c r="B207" t="s">
        <v>168</v>
      </c>
      <c r="C207" t="s">
        <v>71</v>
      </c>
      <c r="D207" s="1">
        <v>43196</v>
      </c>
      <c r="E207" s="1">
        <v>43560</v>
      </c>
      <c r="F207" t="s">
        <v>41</v>
      </c>
      <c r="G207">
        <v>1</v>
      </c>
      <c r="H207" t="s">
        <v>42</v>
      </c>
      <c r="I207" t="s">
        <v>43</v>
      </c>
      <c r="J207" t="s">
        <v>41</v>
      </c>
      <c r="K207" t="s">
        <v>44</v>
      </c>
      <c r="L207">
        <v>16500</v>
      </c>
      <c r="M207" s="1">
        <v>43482</v>
      </c>
      <c r="N207" t="s">
        <v>108</v>
      </c>
      <c r="O207" t="s">
        <v>106</v>
      </c>
      <c r="P207" t="s">
        <v>47</v>
      </c>
      <c r="Q207" s="1">
        <v>43852</v>
      </c>
      <c r="R207" t="s">
        <v>48</v>
      </c>
      <c r="S207" t="s">
        <v>60</v>
      </c>
      <c r="T207" t="s">
        <v>61</v>
      </c>
      <c r="U207" t="s">
        <v>42</v>
      </c>
      <c r="V207">
        <v>0</v>
      </c>
      <c r="W207">
        <v>100000</v>
      </c>
      <c r="X207" s="1">
        <v>43921</v>
      </c>
      <c r="Y207" t="s">
        <v>51</v>
      </c>
      <c r="Z207" t="s">
        <v>43</v>
      </c>
      <c r="AA207" t="s">
        <v>41</v>
      </c>
      <c r="AB207" t="s">
        <v>52</v>
      </c>
      <c r="AC207" t="s">
        <v>53</v>
      </c>
      <c r="AF207" t="s">
        <v>58</v>
      </c>
      <c r="AG207" s="1">
        <v>43837</v>
      </c>
      <c r="AH207" t="s">
        <v>42</v>
      </c>
      <c r="AI207" t="s">
        <v>55</v>
      </c>
      <c r="AJ207">
        <v>12788092</v>
      </c>
      <c r="AK207">
        <v>250000</v>
      </c>
      <c r="AL207">
        <v>1500000</v>
      </c>
    </row>
    <row r="208" spans="1:38" x14ac:dyDescent="0.25">
      <c r="A208" t="s">
        <v>170</v>
      </c>
      <c r="B208" t="s">
        <v>168</v>
      </c>
      <c r="C208" t="s">
        <v>71</v>
      </c>
      <c r="D208" s="1">
        <v>43196</v>
      </c>
      <c r="E208" s="1">
        <v>43560</v>
      </c>
      <c r="F208" t="s">
        <v>41</v>
      </c>
      <c r="G208">
        <v>1</v>
      </c>
      <c r="H208" t="s">
        <v>42</v>
      </c>
      <c r="I208" t="s">
        <v>43</v>
      </c>
      <c r="J208" t="s">
        <v>41</v>
      </c>
      <c r="K208" t="s">
        <v>44</v>
      </c>
      <c r="L208">
        <v>16500</v>
      </c>
      <c r="M208" s="1">
        <v>43482</v>
      </c>
      <c r="N208" t="s">
        <v>108</v>
      </c>
      <c r="O208" t="s">
        <v>106</v>
      </c>
      <c r="P208" t="s">
        <v>47</v>
      </c>
      <c r="Q208" s="1">
        <v>43852</v>
      </c>
      <c r="R208" t="s">
        <v>48</v>
      </c>
      <c r="S208" t="s">
        <v>60</v>
      </c>
      <c r="T208" t="s">
        <v>61</v>
      </c>
      <c r="U208" t="s">
        <v>42</v>
      </c>
      <c r="V208">
        <v>0</v>
      </c>
      <c r="W208">
        <v>100000</v>
      </c>
      <c r="X208" s="1">
        <v>43921</v>
      </c>
      <c r="Y208" t="s">
        <v>51</v>
      </c>
      <c r="Z208" t="s">
        <v>43</v>
      </c>
      <c r="AA208" t="s">
        <v>41</v>
      </c>
      <c r="AB208" t="s">
        <v>52</v>
      </c>
      <c r="AC208" t="s">
        <v>53</v>
      </c>
      <c r="AF208" t="s">
        <v>59</v>
      </c>
      <c r="AG208" s="1">
        <v>43838</v>
      </c>
      <c r="AH208" t="s">
        <v>42</v>
      </c>
      <c r="AI208" t="s">
        <v>55</v>
      </c>
      <c r="AJ208">
        <v>12788092</v>
      </c>
      <c r="AK208">
        <v>250000</v>
      </c>
      <c r="AL208">
        <v>1500000</v>
      </c>
    </row>
    <row r="209" spans="1:38" x14ac:dyDescent="0.25">
      <c r="A209" t="s">
        <v>170</v>
      </c>
      <c r="B209" t="s">
        <v>168</v>
      </c>
      <c r="C209" t="s">
        <v>71</v>
      </c>
      <c r="D209" s="1">
        <v>43196</v>
      </c>
      <c r="E209" s="1">
        <v>43560</v>
      </c>
      <c r="F209" t="s">
        <v>41</v>
      </c>
      <c r="G209">
        <v>1</v>
      </c>
      <c r="H209" t="s">
        <v>42</v>
      </c>
      <c r="I209" t="s">
        <v>43</v>
      </c>
      <c r="J209" t="s">
        <v>41</v>
      </c>
      <c r="K209" t="s">
        <v>44</v>
      </c>
      <c r="L209">
        <v>16500</v>
      </c>
      <c r="M209" s="1">
        <v>43482</v>
      </c>
      <c r="N209" t="s">
        <v>108</v>
      </c>
      <c r="O209" t="s">
        <v>106</v>
      </c>
      <c r="P209" t="s">
        <v>47</v>
      </c>
      <c r="Q209" s="1">
        <v>43852</v>
      </c>
      <c r="R209" t="s">
        <v>48</v>
      </c>
      <c r="S209" t="s">
        <v>62</v>
      </c>
      <c r="T209" t="s">
        <v>63</v>
      </c>
      <c r="U209" t="s">
        <v>42</v>
      </c>
      <c r="V209">
        <v>0</v>
      </c>
      <c r="W209">
        <v>100000</v>
      </c>
      <c r="X209" s="1">
        <v>43982</v>
      </c>
      <c r="Y209" t="s">
        <v>51</v>
      </c>
      <c r="Z209" t="s">
        <v>43</v>
      </c>
      <c r="AA209" t="s">
        <v>41</v>
      </c>
      <c r="AB209" t="s">
        <v>52</v>
      </c>
      <c r="AC209" t="s">
        <v>53</v>
      </c>
      <c r="AF209" t="s">
        <v>54</v>
      </c>
      <c r="AG209" s="1">
        <v>43832</v>
      </c>
      <c r="AH209" t="s">
        <v>42</v>
      </c>
      <c r="AI209" t="s">
        <v>55</v>
      </c>
      <c r="AJ209">
        <v>12788092</v>
      </c>
      <c r="AK209">
        <v>250000</v>
      </c>
      <c r="AL209">
        <v>1500000</v>
      </c>
    </row>
    <row r="210" spans="1:38" x14ac:dyDescent="0.25">
      <c r="A210" t="s">
        <v>170</v>
      </c>
      <c r="B210" t="s">
        <v>168</v>
      </c>
      <c r="C210" t="s">
        <v>71</v>
      </c>
      <c r="D210" s="1">
        <v>43196</v>
      </c>
      <c r="E210" s="1">
        <v>43560</v>
      </c>
      <c r="F210" t="s">
        <v>41</v>
      </c>
      <c r="G210">
        <v>1</v>
      </c>
      <c r="H210" t="s">
        <v>42</v>
      </c>
      <c r="I210" t="s">
        <v>43</v>
      </c>
      <c r="J210" t="s">
        <v>41</v>
      </c>
      <c r="K210" t="s">
        <v>44</v>
      </c>
      <c r="L210">
        <v>16500</v>
      </c>
      <c r="M210" s="1">
        <v>43482</v>
      </c>
      <c r="N210" t="s">
        <v>108</v>
      </c>
      <c r="O210" t="s">
        <v>106</v>
      </c>
      <c r="P210" t="s">
        <v>47</v>
      </c>
      <c r="Q210" s="1">
        <v>43852</v>
      </c>
      <c r="R210" t="s">
        <v>48</v>
      </c>
      <c r="S210" t="s">
        <v>62</v>
      </c>
      <c r="T210" t="s">
        <v>63</v>
      </c>
      <c r="U210" t="s">
        <v>42</v>
      </c>
      <c r="V210">
        <v>0</v>
      </c>
      <c r="W210">
        <v>100000</v>
      </c>
      <c r="X210" s="1">
        <v>43982</v>
      </c>
      <c r="Y210" t="s">
        <v>51</v>
      </c>
      <c r="Z210" t="s">
        <v>43</v>
      </c>
      <c r="AA210" t="s">
        <v>41</v>
      </c>
      <c r="AB210" t="s">
        <v>52</v>
      </c>
      <c r="AC210" t="s">
        <v>53</v>
      </c>
      <c r="AF210" t="s">
        <v>56</v>
      </c>
      <c r="AG210" s="1">
        <v>43833</v>
      </c>
      <c r="AH210" t="s">
        <v>42</v>
      </c>
      <c r="AI210" t="s">
        <v>55</v>
      </c>
      <c r="AJ210">
        <v>12788092</v>
      </c>
      <c r="AK210">
        <v>250000</v>
      </c>
      <c r="AL210">
        <v>1500000</v>
      </c>
    </row>
    <row r="211" spans="1:38" x14ac:dyDescent="0.25">
      <c r="A211" t="s">
        <v>170</v>
      </c>
      <c r="B211" t="s">
        <v>168</v>
      </c>
      <c r="C211" t="s">
        <v>71</v>
      </c>
      <c r="D211" s="1">
        <v>43196</v>
      </c>
      <c r="E211" s="1">
        <v>43560</v>
      </c>
      <c r="F211" t="s">
        <v>41</v>
      </c>
      <c r="G211">
        <v>1</v>
      </c>
      <c r="H211" t="s">
        <v>42</v>
      </c>
      <c r="I211" t="s">
        <v>43</v>
      </c>
      <c r="J211" t="s">
        <v>41</v>
      </c>
      <c r="K211" t="s">
        <v>44</v>
      </c>
      <c r="L211">
        <v>16500</v>
      </c>
      <c r="M211" s="1">
        <v>43482</v>
      </c>
      <c r="N211" t="s">
        <v>108</v>
      </c>
      <c r="O211" t="s">
        <v>106</v>
      </c>
      <c r="P211" t="s">
        <v>47</v>
      </c>
      <c r="Q211" s="1">
        <v>43852</v>
      </c>
      <c r="R211" t="s">
        <v>48</v>
      </c>
      <c r="S211" t="s">
        <v>62</v>
      </c>
      <c r="T211" t="s">
        <v>63</v>
      </c>
      <c r="U211" t="s">
        <v>42</v>
      </c>
      <c r="V211">
        <v>0</v>
      </c>
      <c r="W211">
        <v>100000</v>
      </c>
      <c r="X211" s="1">
        <v>43982</v>
      </c>
      <c r="Y211" t="s">
        <v>51</v>
      </c>
      <c r="Z211" t="s">
        <v>43</v>
      </c>
      <c r="AA211" t="s">
        <v>41</v>
      </c>
      <c r="AB211" t="s">
        <v>52</v>
      </c>
      <c r="AC211" t="s">
        <v>53</v>
      </c>
      <c r="AF211" t="s">
        <v>57</v>
      </c>
      <c r="AG211" s="1">
        <v>43836</v>
      </c>
      <c r="AH211" t="s">
        <v>42</v>
      </c>
      <c r="AI211" t="s">
        <v>55</v>
      </c>
      <c r="AJ211">
        <v>12788092</v>
      </c>
      <c r="AK211">
        <v>250000</v>
      </c>
      <c r="AL211">
        <v>1500000</v>
      </c>
    </row>
    <row r="212" spans="1:38" x14ac:dyDescent="0.25">
      <c r="A212" t="s">
        <v>170</v>
      </c>
      <c r="B212" t="s">
        <v>168</v>
      </c>
      <c r="C212" t="s">
        <v>71</v>
      </c>
      <c r="D212" s="1">
        <v>43196</v>
      </c>
      <c r="E212" s="1">
        <v>43560</v>
      </c>
      <c r="F212" t="s">
        <v>41</v>
      </c>
      <c r="G212">
        <v>1</v>
      </c>
      <c r="H212" t="s">
        <v>42</v>
      </c>
      <c r="I212" t="s">
        <v>43</v>
      </c>
      <c r="J212" t="s">
        <v>41</v>
      </c>
      <c r="K212" t="s">
        <v>44</v>
      </c>
      <c r="L212">
        <v>16500</v>
      </c>
      <c r="M212" s="1">
        <v>43482</v>
      </c>
      <c r="N212" t="s">
        <v>108</v>
      </c>
      <c r="O212" t="s">
        <v>106</v>
      </c>
      <c r="P212" t="s">
        <v>47</v>
      </c>
      <c r="Q212" s="1">
        <v>43852</v>
      </c>
      <c r="R212" t="s">
        <v>48</v>
      </c>
      <c r="S212" t="s">
        <v>62</v>
      </c>
      <c r="T212" t="s">
        <v>63</v>
      </c>
      <c r="U212" t="s">
        <v>42</v>
      </c>
      <c r="V212">
        <v>0</v>
      </c>
      <c r="W212">
        <v>100000</v>
      </c>
      <c r="X212" s="1">
        <v>43982</v>
      </c>
      <c r="Y212" t="s">
        <v>51</v>
      </c>
      <c r="Z212" t="s">
        <v>43</v>
      </c>
      <c r="AA212" t="s">
        <v>41</v>
      </c>
      <c r="AB212" t="s">
        <v>52</v>
      </c>
      <c r="AC212" t="s">
        <v>53</v>
      </c>
      <c r="AF212" t="s">
        <v>58</v>
      </c>
      <c r="AG212" s="1">
        <v>43837</v>
      </c>
      <c r="AH212" t="s">
        <v>42</v>
      </c>
      <c r="AI212" t="s">
        <v>55</v>
      </c>
      <c r="AJ212">
        <v>12788092</v>
      </c>
      <c r="AK212">
        <v>250000</v>
      </c>
      <c r="AL212">
        <v>1500000</v>
      </c>
    </row>
    <row r="213" spans="1:38" x14ac:dyDescent="0.25">
      <c r="A213" t="s">
        <v>170</v>
      </c>
      <c r="B213" t="s">
        <v>168</v>
      </c>
      <c r="C213" t="s">
        <v>71</v>
      </c>
      <c r="D213" s="1">
        <v>43196</v>
      </c>
      <c r="E213" s="1">
        <v>43560</v>
      </c>
      <c r="F213" t="s">
        <v>41</v>
      </c>
      <c r="G213">
        <v>1</v>
      </c>
      <c r="H213" t="s">
        <v>42</v>
      </c>
      <c r="I213" t="s">
        <v>43</v>
      </c>
      <c r="J213" t="s">
        <v>41</v>
      </c>
      <c r="K213" t="s">
        <v>44</v>
      </c>
      <c r="L213">
        <v>16500</v>
      </c>
      <c r="M213" s="1">
        <v>43482</v>
      </c>
      <c r="N213" t="s">
        <v>108</v>
      </c>
      <c r="O213" t="s">
        <v>106</v>
      </c>
      <c r="P213" t="s">
        <v>47</v>
      </c>
      <c r="Q213" s="1">
        <v>43852</v>
      </c>
      <c r="R213" t="s">
        <v>48</v>
      </c>
      <c r="S213" t="s">
        <v>62</v>
      </c>
      <c r="T213" t="s">
        <v>63</v>
      </c>
      <c r="U213" t="s">
        <v>42</v>
      </c>
      <c r="V213">
        <v>0</v>
      </c>
      <c r="W213">
        <v>100000</v>
      </c>
      <c r="X213" s="1">
        <v>43982</v>
      </c>
      <c r="Y213" t="s">
        <v>51</v>
      </c>
      <c r="Z213" t="s">
        <v>43</v>
      </c>
      <c r="AA213" t="s">
        <v>41</v>
      </c>
      <c r="AB213" t="s">
        <v>52</v>
      </c>
      <c r="AC213" t="s">
        <v>53</v>
      </c>
      <c r="AF213" t="s">
        <v>59</v>
      </c>
      <c r="AG213" s="1">
        <v>43838</v>
      </c>
      <c r="AH213" t="s">
        <v>42</v>
      </c>
      <c r="AI213" t="s">
        <v>55</v>
      </c>
      <c r="AJ213">
        <v>12788092</v>
      </c>
      <c r="AK213">
        <v>250000</v>
      </c>
      <c r="AL213">
        <v>1500000</v>
      </c>
    </row>
    <row r="214" spans="1:38" x14ac:dyDescent="0.25">
      <c r="A214" t="s">
        <v>170</v>
      </c>
      <c r="B214" t="s">
        <v>168</v>
      </c>
      <c r="C214" t="s">
        <v>71</v>
      </c>
      <c r="D214" s="1">
        <v>43196</v>
      </c>
      <c r="E214" s="1">
        <v>43560</v>
      </c>
      <c r="F214" t="s">
        <v>41</v>
      </c>
      <c r="G214">
        <v>1</v>
      </c>
      <c r="H214" t="s">
        <v>42</v>
      </c>
      <c r="I214" t="s">
        <v>43</v>
      </c>
      <c r="J214" t="s">
        <v>41</v>
      </c>
      <c r="K214" t="s">
        <v>44</v>
      </c>
      <c r="L214">
        <v>16500</v>
      </c>
      <c r="M214" s="1">
        <v>43482</v>
      </c>
      <c r="N214" t="s">
        <v>108</v>
      </c>
      <c r="O214" t="s">
        <v>106</v>
      </c>
      <c r="P214" t="s">
        <v>47</v>
      </c>
      <c r="Q214" s="1">
        <v>43852</v>
      </c>
      <c r="R214" t="s">
        <v>48</v>
      </c>
      <c r="S214" t="s">
        <v>64</v>
      </c>
      <c r="T214" t="s">
        <v>65</v>
      </c>
      <c r="U214" t="s">
        <v>42</v>
      </c>
      <c r="V214">
        <v>0</v>
      </c>
      <c r="W214">
        <v>100000</v>
      </c>
      <c r="X214" s="1">
        <v>43921</v>
      </c>
      <c r="Y214" t="s">
        <v>51</v>
      </c>
      <c r="Z214" t="s">
        <v>43</v>
      </c>
      <c r="AA214" t="s">
        <v>41</v>
      </c>
      <c r="AB214" t="s">
        <v>52</v>
      </c>
      <c r="AC214" t="s">
        <v>53</v>
      </c>
      <c r="AF214" t="s">
        <v>54</v>
      </c>
      <c r="AG214" s="1">
        <v>43832</v>
      </c>
      <c r="AH214" t="s">
        <v>42</v>
      </c>
      <c r="AI214" t="s">
        <v>55</v>
      </c>
      <c r="AJ214">
        <v>12788092</v>
      </c>
      <c r="AK214">
        <v>250000</v>
      </c>
      <c r="AL214">
        <v>1500000</v>
      </c>
    </row>
    <row r="215" spans="1:38" x14ac:dyDescent="0.25">
      <c r="A215" t="s">
        <v>170</v>
      </c>
      <c r="B215" t="s">
        <v>168</v>
      </c>
      <c r="C215" t="s">
        <v>71</v>
      </c>
      <c r="D215" s="1">
        <v>43196</v>
      </c>
      <c r="E215" s="1">
        <v>43560</v>
      </c>
      <c r="F215" t="s">
        <v>41</v>
      </c>
      <c r="G215">
        <v>1</v>
      </c>
      <c r="H215" t="s">
        <v>42</v>
      </c>
      <c r="I215" t="s">
        <v>43</v>
      </c>
      <c r="J215" t="s">
        <v>41</v>
      </c>
      <c r="K215" t="s">
        <v>44</v>
      </c>
      <c r="L215">
        <v>16500</v>
      </c>
      <c r="M215" s="1">
        <v>43482</v>
      </c>
      <c r="N215" t="s">
        <v>108</v>
      </c>
      <c r="O215" t="s">
        <v>106</v>
      </c>
      <c r="P215" t="s">
        <v>47</v>
      </c>
      <c r="Q215" s="1">
        <v>43852</v>
      </c>
      <c r="R215" t="s">
        <v>48</v>
      </c>
      <c r="S215" t="s">
        <v>64</v>
      </c>
      <c r="T215" t="s">
        <v>65</v>
      </c>
      <c r="U215" t="s">
        <v>42</v>
      </c>
      <c r="V215">
        <v>0</v>
      </c>
      <c r="W215">
        <v>100000</v>
      </c>
      <c r="X215" s="1">
        <v>43921</v>
      </c>
      <c r="Y215" t="s">
        <v>51</v>
      </c>
      <c r="Z215" t="s">
        <v>43</v>
      </c>
      <c r="AA215" t="s">
        <v>41</v>
      </c>
      <c r="AB215" t="s">
        <v>52</v>
      </c>
      <c r="AC215" t="s">
        <v>53</v>
      </c>
      <c r="AF215" t="s">
        <v>56</v>
      </c>
      <c r="AG215" s="1">
        <v>43833</v>
      </c>
      <c r="AH215" t="s">
        <v>42</v>
      </c>
      <c r="AI215" t="s">
        <v>55</v>
      </c>
      <c r="AJ215">
        <v>12788092</v>
      </c>
      <c r="AK215">
        <v>250000</v>
      </c>
      <c r="AL215">
        <v>1500000</v>
      </c>
    </row>
    <row r="216" spans="1:38" x14ac:dyDescent="0.25">
      <c r="A216" t="s">
        <v>170</v>
      </c>
      <c r="B216" t="s">
        <v>168</v>
      </c>
      <c r="C216" t="s">
        <v>71</v>
      </c>
      <c r="D216" s="1">
        <v>43196</v>
      </c>
      <c r="E216" s="1">
        <v>43560</v>
      </c>
      <c r="F216" t="s">
        <v>41</v>
      </c>
      <c r="G216">
        <v>1</v>
      </c>
      <c r="H216" t="s">
        <v>42</v>
      </c>
      <c r="I216" t="s">
        <v>43</v>
      </c>
      <c r="J216" t="s">
        <v>41</v>
      </c>
      <c r="K216" t="s">
        <v>44</v>
      </c>
      <c r="L216">
        <v>16500</v>
      </c>
      <c r="M216" s="1">
        <v>43482</v>
      </c>
      <c r="N216" t="s">
        <v>108</v>
      </c>
      <c r="O216" t="s">
        <v>106</v>
      </c>
      <c r="P216" t="s">
        <v>47</v>
      </c>
      <c r="Q216" s="1">
        <v>43852</v>
      </c>
      <c r="R216" t="s">
        <v>48</v>
      </c>
      <c r="S216" t="s">
        <v>64</v>
      </c>
      <c r="T216" t="s">
        <v>65</v>
      </c>
      <c r="U216" t="s">
        <v>42</v>
      </c>
      <c r="V216">
        <v>0</v>
      </c>
      <c r="W216">
        <v>100000</v>
      </c>
      <c r="X216" s="1">
        <v>43921</v>
      </c>
      <c r="Y216" t="s">
        <v>51</v>
      </c>
      <c r="Z216" t="s">
        <v>43</v>
      </c>
      <c r="AA216" t="s">
        <v>41</v>
      </c>
      <c r="AB216" t="s">
        <v>52</v>
      </c>
      <c r="AC216" t="s">
        <v>53</v>
      </c>
      <c r="AF216" t="s">
        <v>57</v>
      </c>
      <c r="AG216" s="1">
        <v>43836</v>
      </c>
      <c r="AH216" t="s">
        <v>42</v>
      </c>
      <c r="AI216" t="s">
        <v>55</v>
      </c>
      <c r="AJ216">
        <v>12788092</v>
      </c>
      <c r="AK216">
        <v>250000</v>
      </c>
      <c r="AL216">
        <v>1500000</v>
      </c>
    </row>
    <row r="217" spans="1:38" x14ac:dyDescent="0.25">
      <c r="A217" t="s">
        <v>170</v>
      </c>
      <c r="B217" t="s">
        <v>168</v>
      </c>
      <c r="C217" t="s">
        <v>71</v>
      </c>
      <c r="D217" s="1">
        <v>43196</v>
      </c>
      <c r="E217" s="1">
        <v>43560</v>
      </c>
      <c r="F217" t="s">
        <v>41</v>
      </c>
      <c r="G217">
        <v>1</v>
      </c>
      <c r="H217" t="s">
        <v>42</v>
      </c>
      <c r="I217" t="s">
        <v>43</v>
      </c>
      <c r="J217" t="s">
        <v>41</v>
      </c>
      <c r="K217" t="s">
        <v>44</v>
      </c>
      <c r="L217">
        <v>16500</v>
      </c>
      <c r="M217" s="1">
        <v>43482</v>
      </c>
      <c r="N217" t="s">
        <v>108</v>
      </c>
      <c r="O217" t="s">
        <v>106</v>
      </c>
      <c r="P217" t="s">
        <v>47</v>
      </c>
      <c r="Q217" s="1">
        <v>43852</v>
      </c>
      <c r="R217" t="s">
        <v>48</v>
      </c>
      <c r="S217" t="s">
        <v>64</v>
      </c>
      <c r="T217" t="s">
        <v>65</v>
      </c>
      <c r="U217" t="s">
        <v>42</v>
      </c>
      <c r="V217">
        <v>0</v>
      </c>
      <c r="W217">
        <v>100000</v>
      </c>
      <c r="X217" s="1">
        <v>43921</v>
      </c>
      <c r="Y217" t="s">
        <v>51</v>
      </c>
      <c r="Z217" t="s">
        <v>43</v>
      </c>
      <c r="AA217" t="s">
        <v>41</v>
      </c>
      <c r="AB217" t="s">
        <v>52</v>
      </c>
      <c r="AC217" t="s">
        <v>53</v>
      </c>
      <c r="AF217" t="s">
        <v>58</v>
      </c>
      <c r="AG217" s="1">
        <v>43837</v>
      </c>
      <c r="AH217" t="s">
        <v>42</v>
      </c>
      <c r="AI217" t="s">
        <v>55</v>
      </c>
      <c r="AJ217">
        <v>12788092</v>
      </c>
      <c r="AK217">
        <v>250000</v>
      </c>
      <c r="AL217">
        <v>1500000</v>
      </c>
    </row>
    <row r="218" spans="1:38" x14ac:dyDescent="0.25">
      <c r="A218" t="s">
        <v>170</v>
      </c>
      <c r="B218" t="s">
        <v>168</v>
      </c>
      <c r="C218" t="s">
        <v>71</v>
      </c>
      <c r="D218" s="1">
        <v>43196</v>
      </c>
      <c r="E218" s="1">
        <v>43560</v>
      </c>
      <c r="F218" t="s">
        <v>41</v>
      </c>
      <c r="G218">
        <v>1</v>
      </c>
      <c r="H218" t="s">
        <v>42</v>
      </c>
      <c r="I218" t="s">
        <v>43</v>
      </c>
      <c r="J218" t="s">
        <v>41</v>
      </c>
      <c r="K218" t="s">
        <v>44</v>
      </c>
      <c r="L218">
        <v>16500</v>
      </c>
      <c r="M218" s="1">
        <v>43482</v>
      </c>
      <c r="N218" t="s">
        <v>108</v>
      </c>
      <c r="O218" t="s">
        <v>106</v>
      </c>
      <c r="P218" t="s">
        <v>47</v>
      </c>
      <c r="Q218" s="1">
        <v>43852</v>
      </c>
      <c r="R218" t="s">
        <v>48</v>
      </c>
      <c r="S218" t="s">
        <v>64</v>
      </c>
      <c r="T218" t="s">
        <v>65</v>
      </c>
      <c r="U218" t="s">
        <v>42</v>
      </c>
      <c r="V218">
        <v>0</v>
      </c>
      <c r="W218">
        <v>100000</v>
      </c>
      <c r="X218" s="1">
        <v>43921</v>
      </c>
      <c r="Y218" t="s">
        <v>51</v>
      </c>
      <c r="Z218" t="s">
        <v>43</v>
      </c>
      <c r="AA218" t="s">
        <v>41</v>
      </c>
      <c r="AB218" t="s">
        <v>52</v>
      </c>
      <c r="AC218" t="s">
        <v>53</v>
      </c>
      <c r="AF218" t="s">
        <v>59</v>
      </c>
      <c r="AG218" s="1">
        <v>43838</v>
      </c>
      <c r="AH218" t="s">
        <v>42</v>
      </c>
      <c r="AI218" t="s">
        <v>55</v>
      </c>
      <c r="AJ218">
        <v>12788092</v>
      </c>
      <c r="AK218">
        <v>250000</v>
      </c>
      <c r="AL218">
        <v>1500000</v>
      </c>
    </row>
    <row r="219" spans="1:38" x14ac:dyDescent="0.25">
      <c r="A219" t="s">
        <v>171</v>
      </c>
      <c r="B219" t="s">
        <v>172</v>
      </c>
      <c r="C219" t="s">
        <v>40</v>
      </c>
      <c r="D219" s="1">
        <v>43561</v>
      </c>
      <c r="E219" s="1">
        <v>43926</v>
      </c>
      <c r="F219" t="s">
        <v>41</v>
      </c>
      <c r="G219">
        <v>1</v>
      </c>
      <c r="H219" t="s">
        <v>42</v>
      </c>
      <c r="I219" t="s">
        <v>43</v>
      </c>
      <c r="J219" t="s">
        <v>41</v>
      </c>
      <c r="K219" t="s">
        <v>44</v>
      </c>
      <c r="L219">
        <v>26400</v>
      </c>
      <c r="M219" s="1">
        <v>43561</v>
      </c>
      <c r="N219" t="s">
        <v>45</v>
      </c>
      <c r="O219" t="s">
        <v>44</v>
      </c>
      <c r="P219" t="s">
        <v>47</v>
      </c>
      <c r="Q219" s="1">
        <v>43852</v>
      </c>
      <c r="R219" t="s">
        <v>48</v>
      </c>
      <c r="S219" t="s">
        <v>49</v>
      </c>
      <c r="T219" t="s">
        <v>50</v>
      </c>
      <c r="U219" t="s">
        <v>42</v>
      </c>
      <c r="V219">
        <v>0</v>
      </c>
      <c r="W219">
        <v>100000</v>
      </c>
      <c r="X219" s="1">
        <v>44012</v>
      </c>
      <c r="Y219" t="s">
        <v>51</v>
      </c>
      <c r="Z219" t="s">
        <v>43</v>
      </c>
      <c r="AA219" t="s">
        <v>41</v>
      </c>
      <c r="AB219" t="s">
        <v>52</v>
      </c>
      <c r="AC219" t="s">
        <v>53</v>
      </c>
      <c r="AF219" t="s">
        <v>54</v>
      </c>
      <c r="AG219" s="1">
        <v>43832</v>
      </c>
      <c r="AH219" t="s">
        <v>42</v>
      </c>
      <c r="AI219" t="s">
        <v>55</v>
      </c>
      <c r="AJ219">
        <v>12788092</v>
      </c>
      <c r="AK219">
        <v>250000</v>
      </c>
      <c r="AL219">
        <v>1500000</v>
      </c>
    </row>
    <row r="220" spans="1:38" x14ac:dyDescent="0.25">
      <c r="A220" t="s">
        <v>171</v>
      </c>
      <c r="B220" t="s">
        <v>172</v>
      </c>
      <c r="C220" t="s">
        <v>40</v>
      </c>
      <c r="D220" s="1">
        <v>43561</v>
      </c>
      <c r="E220" s="1">
        <v>43926</v>
      </c>
      <c r="F220" t="s">
        <v>41</v>
      </c>
      <c r="G220">
        <v>1</v>
      </c>
      <c r="H220" t="s">
        <v>42</v>
      </c>
      <c r="I220" t="s">
        <v>43</v>
      </c>
      <c r="J220" t="s">
        <v>41</v>
      </c>
      <c r="K220" t="s">
        <v>44</v>
      </c>
      <c r="L220">
        <v>26400</v>
      </c>
      <c r="M220" s="1">
        <v>43561</v>
      </c>
      <c r="N220" t="s">
        <v>45</v>
      </c>
      <c r="O220" t="s">
        <v>44</v>
      </c>
      <c r="P220" t="s">
        <v>47</v>
      </c>
      <c r="Q220" s="1">
        <v>43852</v>
      </c>
      <c r="R220" t="s">
        <v>48</v>
      </c>
      <c r="S220" t="s">
        <v>49</v>
      </c>
      <c r="T220" t="s">
        <v>50</v>
      </c>
      <c r="U220" t="s">
        <v>42</v>
      </c>
      <c r="V220">
        <v>0</v>
      </c>
      <c r="W220">
        <v>100000</v>
      </c>
      <c r="X220" s="1">
        <v>44012</v>
      </c>
      <c r="Y220" t="s">
        <v>51</v>
      </c>
      <c r="Z220" t="s">
        <v>43</v>
      </c>
      <c r="AA220" t="s">
        <v>41</v>
      </c>
      <c r="AB220" t="s">
        <v>52</v>
      </c>
      <c r="AC220" t="s">
        <v>53</v>
      </c>
      <c r="AF220" t="s">
        <v>56</v>
      </c>
      <c r="AG220" s="1">
        <v>43833</v>
      </c>
      <c r="AH220" t="s">
        <v>42</v>
      </c>
      <c r="AI220" t="s">
        <v>55</v>
      </c>
      <c r="AJ220">
        <v>12788092</v>
      </c>
      <c r="AK220">
        <v>250000</v>
      </c>
      <c r="AL220">
        <v>1500000</v>
      </c>
    </row>
    <row r="221" spans="1:38" x14ac:dyDescent="0.25">
      <c r="A221" t="s">
        <v>171</v>
      </c>
      <c r="B221" t="s">
        <v>172</v>
      </c>
      <c r="C221" t="s">
        <v>40</v>
      </c>
      <c r="D221" s="1">
        <v>43561</v>
      </c>
      <c r="E221" s="1">
        <v>43926</v>
      </c>
      <c r="F221" t="s">
        <v>41</v>
      </c>
      <c r="G221">
        <v>1</v>
      </c>
      <c r="H221" t="s">
        <v>42</v>
      </c>
      <c r="I221" t="s">
        <v>43</v>
      </c>
      <c r="J221" t="s">
        <v>41</v>
      </c>
      <c r="K221" t="s">
        <v>44</v>
      </c>
      <c r="L221">
        <v>26400</v>
      </c>
      <c r="M221" s="1">
        <v>43561</v>
      </c>
      <c r="N221" t="s">
        <v>45</v>
      </c>
      <c r="O221" t="s">
        <v>44</v>
      </c>
      <c r="P221" t="s">
        <v>47</v>
      </c>
      <c r="Q221" s="1">
        <v>43852</v>
      </c>
      <c r="R221" t="s">
        <v>48</v>
      </c>
      <c r="S221" t="s">
        <v>49</v>
      </c>
      <c r="T221" t="s">
        <v>50</v>
      </c>
      <c r="U221" t="s">
        <v>42</v>
      </c>
      <c r="V221">
        <v>0</v>
      </c>
      <c r="W221">
        <v>100000</v>
      </c>
      <c r="X221" s="1">
        <v>44012</v>
      </c>
      <c r="Y221" t="s">
        <v>51</v>
      </c>
      <c r="Z221" t="s">
        <v>43</v>
      </c>
      <c r="AA221" t="s">
        <v>41</v>
      </c>
      <c r="AB221" t="s">
        <v>52</v>
      </c>
      <c r="AC221" t="s">
        <v>53</v>
      </c>
      <c r="AF221" t="s">
        <v>57</v>
      </c>
      <c r="AG221" s="1">
        <v>43836</v>
      </c>
      <c r="AH221" t="s">
        <v>42</v>
      </c>
      <c r="AI221" t="s">
        <v>55</v>
      </c>
      <c r="AJ221">
        <v>12788092</v>
      </c>
      <c r="AK221">
        <v>250000</v>
      </c>
      <c r="AL221">
        <v>1500000</v>
      </c>
    </row>
    <row r="222" spans="1:38" x14ac:dyDescent="0.25">
      <c r="A222" t="s">
        <v>171</v>
      </c>
      <c r="B222" t="s">
        <v>172</v>
      </c>
      <c r="C222" t="s">
        <v>40</v>
      </c>
      <c r="D222" s="1">
        <v>43561</v>
      </c>
      <c r="E222" s="1">
        <v>43926</v>
      </c>
      <c r="F222" t="s">
        <v>41</v>
      </c>
      <c r="G222">
        <v>1</v>
      </c>
      <c r="H222" t="s">
        <v>42</v>
      </c>
      <c r="I222" t="s">
        <v>43</v>
      </c>
      <c r="J222" t="s">
        <v>41</v>
      </c>
      <c r="K222" t="s">
        <v>44</v>
      </c>
      <c r="L222">
        <v>26400</v>
      </c>
      <c r="M222" s="1">
        <v>43561</v>
      </c>
      <c r="N222" t="s">
        <v>45</v>
      </c>
      <c r="O222" t="s">
        <v>44</v>
      </c>
      <c r="P222" t="s">
        <v>47</v>
      </c>
      <c r="Q222" s="1">
        <v>43852</v>
      </c>
      <c r="R222" t="s">
        <v>48</v>
      </c>
      <c r="S222" t="s">
        <v>49</v>
      </c>
      <c r="T222" t="s">
        <v>50</v>
      </c>
      <c r="U222" t="s">
        <v>42</v>
      </c>
      <c r="V222">
        <v>0</v>
      </c>
      <c r="W222">
        <v>100000</v>
      </c>
      <c r="X222" s="1">
        <v>44012</v>
      </c>
      <c r="Y222" t="s">
        <v>51</v>
      </c>
      <c r="Z222" t="s">
        <v>43</v>
      </c>
      <c r="AA222" t="s">
        <v>41</v>
      </c>
      <c r="AB222" t="s">
        <v>52</v>
      </c>
      <c r="AC222" t="s">
        <v>53</v>
      </c>
      <c r="AF222" t="s">
        <v>58</v>
      </c>
      <c r="AG222" s="1">
        <v>43837</v>
      </c>
      <c r="AH222" t="s">
        <v>42</v>
      </c>
      <c r="AI222" t="s">
        <v>55</v>
      </c>
      <c r="AJ222">
        <v>12788092</v>
      </c>
      <c r="AK222">
        <v>250000</v>
      </c>
      <c r="AL222">
        <v>1500000</v>
      </c>
    </row>
    <row r="223" spans="1:38" x14ac:dyDescent="0.25">
      <c r="A223" t="s">
        <v>171</v>
      </c>
      <c r="B223" t="s">
        <v>172</v>
      </c>
      <c r="C223" t="s">
        <v>40</v>
      </c>
      <c r="D223" s="1">
        <v>43561</v>
      </c>
      <c r="E223" s="1">
        <v>43926</v>
      </c>
      <c r="F223" t="s">
        <v>41</v>
      </c>
      <c r="G223">
        <v>1</v>
      </c>
      <c r="H223" t="s">
        <v>42</v>
      </c>
      <c r="I223" t="s">
        <v>43</v>
      </c>
      <c r="J223" t="s">
        <v>41</v>
      </c>
      <c r="K223" t="s">
        <v>44</v>
      </c>
      <c r="L223">
        <v>26400</v>
      </c>
      <c r="M223" s="1">
        <v>43561</v>
      </c>
      <c r="N223" t="s">
        <v>45</v>
      </c>
      <c r="O223" t="s">
        <v>44</v>
      </c>
      <c r="P223" t="s">
        <v>47</v>
      </c>
      <c r="Q223" s="1">
        <v>43852</v>
      </c>
      <c r="R223" t="s">
        <v>48</v>
      </c>
      <c r="S223" t="s">
        <v>49</v>
      </c>
      <c r="T223" t="s">
        <v>50</v>
      </c>
      <c r="U223" t="s">
        <v>42</v>
      </c>
      <c r="V223">
        <v>0</v>
      </c>
      <c r="W223">
        <v>100000</v>
      </c>
      <c r="X223" s="1">
        <v>44012</v>
      </c>
      <c r="Y223" t="s">
        <v>51</v>
      </c>
      <c r="Z223" t="s">
        <v>43</v>
      </c>
      <c r="AA223" t="s">
        <v>41</v>
      </c>
      <c r="AB223" t="s">
        <v>52</v>
      </c>
      <c r="AC223" t="s">
        <v>53</v>
      </c>
      <c r="AF223" t="s">
        <v>59</v>
      </c>
      <c r="AG223" s="1">
        <v>43838</v>
      </c>
      <c r="AH223" t="s">
        <v>42</v>
      </c>
      <c r="AI223" t="s">
        <v>55</v>
      </c>
      <c r="AJ223">
        <v>12788092</v>
      </c>
      <c r="AK223">
        <v>250000</v>
      </c>
      <c r="AL223">
        <v>1500000</v>
      </c>
    </row>
    <row r="224" spans="1:38" x14ac:dyDescent="0.25">
      <c r="A224" t="s">
        <v>171</v>
      </c>
      <c r="B224" t="s">
        <v>172</v>
      </c>
      <c r="C224" t="s">
        <v>40</v>
      </c>
      <c r="D224" s="1">
        <v>43561</v>
      </c>
      <c r="E224" s="1">
        <v>43926</v>
      </c>
      <c r="F224" t="s">
        <v>41</v>
      </c>
      <c r="G224">
        <v>1</v>
      </c>
      <c r="H224" t="s">
        <v>42</v>
      </c>
      <c r="I224" t="s">
        <v>43</v>
      </c>
      <c r="J224" t="s">
        <v>41</v>
      </c>
      <c r="K224" t="s">
        <v>44</v>
      </c>
      <c r="L224">
        <v>26400</v>
      </c>
      <c r="M224" s="1">
        <v>43561</v>
      </c>
      <c r="N224" t="s">
        <v>45</v>
      </c>
      <c r="O224" t="s">
        <v>44</v>
      </c>
      <c r="P224" t="s">
        <v>47</v>
      </c>
      <c r="Q224" s="1">
        <v>43852</v>
      </c>
      <c r="R224" t="s">
        <v>48</v>
      </c>
      <c r="S224" t="s">
        <v>60</v>
      </c>
      <c r="T224" t="s">
        <v>61</v>
      </c>
      <c r="U224" t="s">
        <v>42</v>
      </c>
      <c r="V224">
        <v>0</v>
      </c>
      <c r="W224">
        <v>100000</v>
      </c>
      <c r="X224" s="1">
        <v>43921</v>
      </c>
      <c r="Y224" t="s">
        <v>51</v>
      </c>
      <c r="Z224" t="s">
        <v>43</v>
      </c>
      <c r="AA224" t="s">
        <v>41</v>
      </c>
      <c r="AB224" t="s">
        <v>52</v>
      </c>
      <c r="AC224" t="s">
        <v>53</v>
      </c>
      <c r="AF224" t="s">
        <v>54</v>
      </c>
      <c r="AG224" s="1">
        <v>43832</v>
      </c>
      <c r="AH224" t="s">
        <v>42</v>
      </c>
      <c r="AI224" t="s">
        <v>55</v>
      </c>
      <c r="AJ224">
        <v>12788092</v>
      </c>
      <c r="AK224">
        <v>250000</v>
      </c>
      <c r="AL224">
        <v>1500000</v>
      </c>
    </row>
    <row r="225" spans="1:38" x14ac:dyDescent="0.25">
      <c r="A225" t="s">
        <v>171</v>
      </c>
      <c r="B225" t="s">
        <v>172</v>
      </c>
      <c r="C225" t="s">
        <v>40</v>
      </c>
      <c r="D225" s="1">
        <v>43561</v>
      </c>
      <c r="E225" s="1">
        <v>43926</v>
      </c>
      <c r="F225" t="s">
        <v>41</v>
      </c>
      <c r="G225">
        <v>1</v>
      </c>
      <c r="H225" t="s">
        <v>42</v>
      </c>
      <c r="I225" t="s">
        <v>43</v>
      </c>
      <c r="J225" t="s">
        <v>41</v>
      </c>
      <c r="K225" t="s">
        <v>44</v>
      </c>
      <c r="L225">
        <v>26400</v>
      </c>
      <c r="M225" s="1">
        <v>43561</v>
      </c>
      <c r="N225" t="s">
        <v>45</v>
      </c>
      <c r="O225" t="s">
        <v>44</v>
      </c>
      <c r="P225" t="s">
        <v>47</v>
      </c>
      <c r="Q225" s="1">
        <v>43852</v>
      </c>
      <c r="R225" t="s">
        <v>48</v>
      </c>
      <c r="S225" t="s">
        <v>60</v>
      </c>
      <c r="T225" t="s">
        <v>61</v>
      </c>
      <c r="U225" t="s">
        <v>42</v>
      </c>
      <c r="V225">
        <v>0</v>
      </c>
      <c r="W225">
        <v>100000</v>
      </c>
      <c r="X225" s="1">
        <v>43921</v>
      </c>
      <c r="Y225" t="s">
        <v>51</v>
      </c>
      <c r="Z225" t="s">
        <v>43</v>
      </c>
      <c r="AA225" t="s">
        <v>41</v>
      </c>
      <c r="AB225" t="s">
        <v>52</v>
      </c>
      <c r="AC225" t="s">
        <v>53</v>
      </c>
      <c r="AF225" t="s">
        <v>56</v>
      </c>
      <c r="AG225" s="1">
        <v>43833</v>
      </c>
      <c r="AH225" t="s">
        <v>42</v>
      </c>
      <c r="AI225" t="s">
        <v>55</v>
      </c>
      <c r="AJ225">
        <v>12788092</v>
      </c>
      <c r="AK225">
        <v>250000</v>
      </c>
      <c r="AL225">
        <v>1500000</v>
      </c>
    </row>
    <row r="226" spans="1:38" x14ac:dyDescent="0.25">
      <c r="A226" t="s">
        <v>171</v>
      </c>
      <c r="B226" t="s">
        <v>172</v>
      </c>
      <c r="C226" t="s">
        <v>40</v>
      </c>
      <c r="D226" s="1">
        <v>43561</v>
      </c>
      <c r="E226" s="1">
        <v>43926</v>
      </c>
      <c r="F226" t="s">
        <v>41</v>
      </c>
      <c r="G226">
        <v>1</v>
      </c>
      <c r="H226" t="s">
        <v>42</v>
      </c>
      <c r="I226" t="s">
        <v>43</v>
      </c>
      <c r="J226" t="s">
        <v>41</v>
      </c>
      <c r="K226" t="s">
        <v>44</v>
      </c>
      <c r="L226">
        <v>26400</v>
      </c>
      <c r="M226" s="1">
        <v>43561</v>
      </c>
      <c r="N226" t="s">
        <v>45</v>
      </c>
      <c r="O226" t="s">
        <v>44</v>
      </c>
      <c r="P226" t="s">
        <v>47</v>
      </c>
      <c r="Q226" s="1">
        <v>43852</v>
      </c>
      <c r="R226" t="s">
        <v>48</v>
      </c>
      <c r="S226" t="s">
        <v>60</v>
      </c>
      <c r="T226" t="s">
        <v>61</v>
      </c>
      <c r="U226" t="s">
        <v>42</v>
      </c>
      <c r="V226">
        <v>0</v>
      </c>
      <c r="W226">
        <v>100000</v>
      </c>
      <c r="X226" s="1">
        <v>43921</v>
      </c>
      <c r="Y226" t="s">
        <v>51</v>
      </c>
      <c r="Z226" t="s">
        <v>43</v>
      </c>
      <c r="AA226" t="s">
        <v>41</v>
      </c>
      <c r="AB226" t="s">
        <v>52</v>
      </c>
      <c r="AC226" t="s">
        <v>53</v>
      </c>
      <c r="AF226" t="s">
        <v>57</v>
      </c>
      <c r="AG226" s="1">
        <v>43836</v>
      </c>
      <c r="AH226" t="s">
        <v>42</v>
      </c>
      <c r="AI226" t="s">
        <v>55</v>
      </c>
      <c r="AJ226">
        <v>12788092</v>
      </c>
      <c r="AK226">
        <v>250000</v>
      </c>
      <c r="AL226">
        <v>1500000</v>
      </c>
    </row>
    <row r="227" spans="1:38" x14ac:dyDescent="0.25">
      <c r="A227" t="s">
        <v>171</v>
      </c>
      <c r="B227" t="s">
        <v>172</v>
      </c>
      <c r="C227" t="s">
        <v>40</v>
      </c>
      <c r="D227" s="1">
        <v>43561</v>
      </c>
      <c r="E227" s="1">
        <v>43926</v>
      </c>
      <c r="F227" t="s">
        <v>41</v>
      </c>
      <c r="G227">
        <v>1</v>
      </c>
      <c r="H227" t="s">
        <v>42</v>
      </c>
      <c r="I227" t="s">
        <v>43</v>
      </c>
      <c r="J227" t="s">
        <v>41</v>
      </c>
      <c r="K227" t="s">
        <v>44</v>
      </c>
      <c r="L227">
        <v>26400</v>
      </c>
      <c r="M227" s="1">
        <v>43561</v>
      </c>
      <c r="N227" t="s">
        <v>45</v>
      </c>
      <c r="O227" t="s">
        <v>44</v>
      </c>
      <c r="P227" t="s">
        <v>47</v>
      </c>
      <c r="Q227" s="1">
        <v>43852</v>
      </c>
      <c r="R227" t="s">
        <v>48</v>
      </c>
      <c r="S227" t="s">
        <v>60</v>
      </c>
      <c r="T227" t="s">
        <v>61</v>
      </c>
      <c r="U227" t="s">
        <v>42</v>
      </c>
      <c r="V227">
        <v>0</v>
      </c>
      <c r="W227">
        <v>100000</v>
      </c>
      <c r="X227" s="1">
        <v>43921</v>
      </c>
      <c r="Y227" t="s">
        <v>51</v>
      </c>
      <c r="Z227" t="s">
        <v>43</v>
      </c>
      <c r="AA227" t="s">
        <v>41</v>
      </c>
      <c r="AB227" t="s">
        <v>52</v>
      </c>
      <c r="AC227" t="s">
        <v>53</v>
      </c>
      <c r="AF227" t="s">
        <v>58</v>
      </c>
      <c r="AG227" s="1">
        <v>43837</v>
      </c>
      <c r="AH227" t="s">
        <v>42</v>
      </c>
      <c r="AI227" t="s">
        <v>55</v>
      </c>
      <c r="AJ227">
        <v>12788092</v>
      </c>
      <c r="AK227">
        <v>250000</v>
      </c>
      <c r="AL227">
        <v>1500000</v>
      </c>
    </row>
    <row r="228" spans="1:38" x14ac:dyDescent="0.25">
      <c r="A228" t="s">
        <v>171</v>
      </c>
      <c r="B228" t="s">
        <v>172</v>
      </c>
      <c r="C228" t="s">
        <v>40</v>
      </c>
      <c r="D228" s="1">
        <v>43561</v>
      </c>
      <c r="E228" s="1">
        <v>43926</v>
      </c>
      <c r="F228" t="s">
        <v>41</v>
      </c>
      <c r="G228">
        <v>1</v>
      </c>
      <c r="H228" t="s">
        <v>42</v>
      </c>
      <c r="I228" t="s">
        <v>43</v>
      </c>
      <c r="J228" t="s">
        <v>41</v>
      </c>
      <c r="K228" t="s">
        <v>44</v>
      </c>
      <c r="L228">
        <v>26400</v>
      </c>
      <c r="M228" s="1">
        <v>43561</v>
      </c>
      <c r="N228" t="s">
        <v>45</v>
      </c>
      <c r="O228" t="s">
        <v>44</v>
      </c>
      <c r="P228" t="s">
        <v>47</v>
      </c>
      <c r="Q228" s="1">
        <v>43852</v>
      </c>
      <c r="R228" t="s">
        <v>48</v>
      </c>
      <c r="S228" t="s">
        <v>60</v>
      </c>
      <c r="T228" t="s">
        <v>61</v>
      </c>
      <c r="U228" t="s">
        <v>42</v>
      </c>
      <c r="V228">
        <v>0</v>
      </c>
      <c r="W228">
        <v>100000</v>
      </c>
      <c r="X228" s="1">
        <v>43921</v>
      </c>
      <c r="Y228" t="s">
        <v>51</v>
      </c>
      <c r="Z228" t="s">
        <v>43</v>
      </c>
      <c r="AA228" t="s">
        <v>41</v>
      </c>
      <c r="AB228" t="s">
        <v>52</v>
      </c>
      <c r="AC228" t="s">
        <v>53</v>
      </c>
      <c r="AF228" t="s">
        <v>59</v>
      </c>
      <c r="AG228" s="1">
        <v>43838</v>
      </c>
      <c r="AH228" t="s">
        <v>42</v>
      </c>
      <c r="AI228" t="s">
        <v>55</v>
      </c>
      <c r="AJ228">
        <v>12788092</v>
      </c>
      <c r="AK228">
        <v>250000</v>
      </c>
      <c r="AL228">
        <v>1500000</v>
      </c>
    </row>
    <row r="229" spans="1:38" x14ac:dyDescent="0.25">
      <c r="A229" t="s">
        <v>171</v>
      </c>
      <c r="B229" t="s">
        <v>172</v>
      </c>
      <c r="C229" t="s">
        <v>40</v>
      </c>
      <c r="D229" s="1">
        <v>43561</v>
      </c>
      <c r="E229" s="1">
        <v>43926</v>
      </c>
      <c r="F229" t="s">
        <v>41</v>
      </c>
      <c r="G229">
        <v>1</v>
      </c>
      <c r="H229" t="s">
        <v>42</v>
      </c>
      <c r="I229" t="s">
        <v>43</v>
      </c>
      <c r="J229" t="s">
        <v>41</v>
      </c>
      <c r="K229" t="s">
        <v>44</v>
      </c>
      <c r="L229">
        <v>26400</v>
      </c>
      <c r="M229" s="1">
        <v>43561</v>
      </c>
      <c r="N229" t="s">
        <v>45</v>
      </c>
      <c r="O229" t="s">
        <v>44</v>
      </c>
      <c r="P229" t="s">
        <v>47</v>
      </c>
      <c r="Q229" s="1">
        <v>43852</v>
      </c>
      <c r="R229" t="s">
        <v>48</v>
      </c>
      <c r="S229" t="s">
        <v>62</v>
      </c>
      <c r="T229" t="s">
        <v>63</v>
      </c>
      <c r="U229" t="s">
        <v>42</v>
      </c>
      <c r="V229">
        <v>0</v>
      </c>
      <c r="W229">
        <v>100000</v>
      </c>
      <c r="X229" s="1">
        <v>43982</v>
      </c>
      <c r="Y229" t="s">
        <v>51</v>
      </c>
      <c r="Z229" t="s">
        <v>43</v>
      </c>
      <c r="AA229" t="s">
        <v>41</v>
      </c>
      <c r="AB229" t="s">
        <v>52</v>
      </c>
      <c r="AC229" t="s">
        <v>53</v>
      </c>
      <c r="AF229" t="s">
        <v>54</v>
      </c>
      <c r="AG229" s="1">
        <v>43832</v>
      </c>
      <c r="AH229" t="s">
        <v>42</v>
      </c>
      <c r="AI229" t="s">
        <v>55</v>
      </c>
      <c r="AJ229">
        <v>12788092</v>
      </c>
      <c r="AK229">
        <v>250000</v>
      </c>
      <c r="AL229">
        <v>1500000</v>
      </c>
    </row>
    <row r="230" spans="1:38" x14ac:dyDescent="0.25">
      <c r="A230" t="s">
        <v>171</v>
      </c>
      <c r="B230" t="s">
        <v>172</v>
      </c>
      <c r="C230" t="s">
        <v>40</v>
      </c>
      <c r="D230" s="1">
        <v>43561</v>
      </c>
      <c r="E230" s="1">
        <v>43926</v>
      </c>
      <c r="F230" t="s">
        <v>41</v>
      </c>
      <c r="G230">
        <v>1</v>
      </c>
      <c r="H230" t="s">
        <v>42</v>
      </c>
      <c r="I230" t="s">
        <v>43</v>
      </c>
      <c r="J230" t="s">
        <v>41</v>
      </c>
      <c r="K230" t="s">
        <v>44</v>
      </c>
      <c r="L230">
        <v>26400</v>
      </c>
      <c r="M230" s="1">
        <v>43561</v>
      </c>
      <c r="N230" t="s">
        <v>45</v>
      </c>
      <c r="O230" t="s">
        <v>44</v>
      </c>
      <c r="P230" t="s">
        <v>47</v>
      </c>
      <c r="Q230" s="1">
        <v>43852</v>
      </c>
      <c r="R230" t="s">
        <v>48</v>
      </c>
      <c r="S230" t="s">
        <v>62</v>
      </c>
      <c r="T230" t="s">
        <v>63</v>
      </c>
      <c r="U230" t="s">
        <v>42</v>
      </c>
      <c r="V230">
        <v>0</v>
      </c>
      <c r="W230">
        <v>100000</v>
      </c>
      <c r="X230" s="1">
        <v>43982</v>
      </c>
      <c r="Y230" t="s">
        <v>51</v>
      </c>
      <c r="Z230" t="s">
        <v>43</v>
      </c>
      <c r="AA230" t="s">
        <v>41</v>
      </c>
      <c r="AB230" t="s">
        <v>52</v>
      </c>
      <c r="AC230" t="s">
        <v>53</v>
      </c>
      <c r="AF230" t="s">
        <v>56</v>
      </c>
      <c r="AG230" s="1">
        <v>43833</v>
      </c>
      <c r="AH230" t="s">
        <v>42</v>
      </c>
      <c r="AI230" t="s">
        <v>55</v>
      </c>
      <c r="AJ230">
        <v>12788092</v>
      </c>
      <c r="AK230">
        <v>250000</v>
      </c>
      <c r="AL230">
        <v>1500000</v>
      </c>
    </row>
    <row r="231" spans="1:38" x14ac:dyDescent="0.25">
      <c r="A231" t="s">
        <v>171</v>
      </c>
      <c r="B231" t="s">
        <v>172</v>
      </c>
      <c r="C231" t="s">
        <v>40</v>
      </c>
      <c r="D231" s="1">
        <v>43561</v>
      </c>
      <c r="E231" s="1">
        <v>43926</v>
      </c>
      <c r="F231" t="s">
        <v>41</v>
      </c>
      <c r="G231">
        <v>1</v>
      </c>
      <c r="H231" t="s">
        <v>42</v>
      </c>
      <c r="I231" t="s">
        <v>43</v>
      </c>
      <c r="J231" t="s">
        <v>41</v>
      </c>
      <c r="K231" t="s">
        <v>44</v>
      </c>
      <c r="L231">
        <v>26400</v>
      </c>
      <c r="M231" s="1">
        <v>43561</v>
      </c>
      <c r="N231" t="s">
        <v>45</v>
      </c>
      <c r="O231" t="s">
        <v>44</v>
      </c>
      <c r="P231" t="s">
        <v>47</v>
      </c>
      <c r="Q231" s="1">
        <v>43852</v>
      </c>
      <c r="R231" t="s">
        <v>48</v>
      </c>
      <c r="S231" t="s">
        <v>62</v>
      </c>
      <c r="T231" t="s">
        <v>63</v>
      </c>
      <c r="U231" t="s">
        <v>42</v>
      </c>
      <c r="V231">
        <v>0</v>
      </c>
      <c r="W231">
        <v>100000</v>
      </c>
      <c r="X231" s="1">
        <v>43982</v>
      </c>
      <c r="Y231" t="s">
        <v>51</v>
      </c>
      <c r="Z231" t="s">
        <v>43</v>
      </c>
      <c r="AA231" t="s">
        <v>41</v>
      </c>
      <c r="AB231" t="s">
        <v>52</v>
      </c>
      <c r="AC231" t="s">
        <v>53</v>
      </c>
      <c r="AF231" t="s">
        <v>57</v>
      </c>
      <c r="AG231" s="1">
        <v>43836</v>
      </c>
      <c r="AH231" t="s">
        <v>42</v>
      </c>
      <c r="AI231" t="s">
        <v>55</v>
      </c>
      <c r="AJ231">
        <v>12788092</v>
      </c>
      <c r="AK231">
        <v>250000</v>
      </c>
      <c r="AL231">
        <v>1500000</v>
      </c>
    </row>
    <row r="232" spans="1:38" x14ac:dyDescent="0.25">
      <c r="A232" t="s">
        <v>171</v>
      </c>
      <c r="B232" t="s">
        <v>172</v>
      </c>
      <c r="C232" t="s">
        <v>40</v>
      </c>
      <c r="D232" s="1">
        <v>43561</v>
      </c>
      <c r="E232" s="1">
        <v>43926</v>
      </c>
      <c r="F232" t="s">
        <v>41</v>
      </c>
      <c r="G232">
        <v>1</v>
      </c>
      <c r="H232" t="s">
        <v>42</v>
      </c>
      <c r="I232" t="s">
        <v>43</v>
      </c>
      <c r="J232" t="s">
        <v>41</v>
      </c>
      <c r="K232" t="s">
        <v>44</v>
      </c>
      <c r="L232">
        <v>26400</v>
      </c>
      <c r="M232" s="1">
        <v>43561</v>
      </c>
      <c r="N232" t="s">
        <v>45</v>
      </c>
      <c r="O232" t="s">
        <v>44</v>
      </c>
      <c r="P232" t="s">
        <v>47</v>
      </c>
      <c r="Q232" s="1">
        <v>43852</v>
      </c>
      <c r="R232" t="s">
        <v>48</v>
      </c>
      <c r="S232" t="s">
        <v>62</v>
      </c>
      <c r="T232" t="s">
        <v>63</v>
      </c>
      <c r="U232" t="s">
        <v>42</v>
      </c>
      <c r="V232">
        <v>0</v>
      </c>
      <c r="W232">
        <v>100000</v>
      </c>
      <c r="X232" s="1">
        <v>43982</v>
      </c>
      <c r="Y232" t="s">
        <v>51</v>
      </c>
      <c r="Z232" t="s">
        <v>43</v>
      </c>
      <c r="AA232" t="s">
        <v>41</v>
      </c>
      <c r="AB232" t="s">
        <v>52</v>
      </c>
      <c r="AC232" t="s">
        <v>53</v>
      </c>
      <c r="AF232" t="s">
        <v>58</v>
      </c>
      <c r="AG232" s="1">
        <v>43837</v>
      </c>
      <c r="AH232" t="s">
        <v>42</v>
      </c>
      <c r="AI232" t="s">
        <v>55</v>
      </c>
      <c r="AJ232">
        <v>12788092</v>
      </c>
      <c r="AK232">
        <v>250000</v>
      </c>
      <c r="AL232">
        <v>1500000</v>
      </c>
    </row>
    <row r="233" spans="1:38" x14ac:dyDescent="0.25">
      <c r="A233" t="s">
        <v>171</v>
      </c>
      <c r="B233" t="s">
        <v>172</v>
      </c>
      <c r="C233" t="s">
        <v>40</v>
      </c>
      <c r="D233" s="1">
        <v>43561</v>
      </c>
      <c r="E233" s="1">
        <v>43926</v>
      </c>
      <c r="F233" t="s">
        <v>41</v>
      </c>
      <c r="G233">
        <v>1</v>
      </c>
      <c r="H233" t="s">
        <v>42</v>
      </c>
      <c r="I233" t="s">
        <v>43</v>
      </c>
      <c r="J233" t="s">
        <v>41</v>
      </c>
      <c r="K233" t="s">
        <v>44</v>
      </c>
      <c r="L233">
        <v>26400</v>
      </c>
      <c r="M233" s="1">
        <v>43561</v>
      </c>
      <c r="N233" t="s">
        <v>45</v>
      </c>
      <c r="O233" t="s">
        <v>44</v>
      </c>
      <c r="P233" t="s">
        <v>47</v>
      </c>
      <c r="Q233" s="1">
        <v>43852</v>
      </c>
      <c r="R233" t="s">
        <v>48</v>
      </c>
      <c r="S233" t="s">
        <v>62</v>
      </c>
      <c r="T233" t="s">
        <v>63</v>
      </c>
      <c r="U233" t="s">
        <v>42</v>
      </c>
      <c r="V233">
        <v>0</v>
      </c>
      <c r="W233">
        <v>100000</v>
      </c>
      <c r="X233" s="1">
        <v>43982</v>
      </c>
      <c r="Y233" t="s">
        <v>51</v>
      </c>
      <c r="Z233" t="s">
        <v>43</v>
      </c>
      <c r="AA233" t="s">
        <v>41</v>
      </c>
      <c r="AB233" t="s">
        <v>52</v>
      </c>
      <c r="AC233" t="s">
        <v>53</v>
      </c>
      <c r="AF233" t="s">
        <v>59</v>
      </c>
      <c r="AG233" s="1">
        <v>43838</v>
      </c>
      <c r="AH233" t="s">
        <v>42</v>
      </c>
      <c r="AI233" t="s">
        <v>55</v>
      </c>
      <c r="AJ233">
        <v>12788092</v>
      </c>
      <c r="AK233">
        <v>250000</v>
      </c>
      <c r="AL233">
        <v>1500000</v>
      </c>
    </row>
    <row r="234" spans="1:38" x14ac:dyDescent="0.25">
      <c r="A234" t="s">
        <v>171</v>
      </c>
      <c r="B234" t="s">
        <v>172</v>
      </c>
      <c r="C234" t="s">
        <v>40</v>
      </c>
      <c r="D234" s="1">
        <v>43561</v>
      </c>
      <c r="E234" s="1">
        <v>43926</v>
      </c>
      <c r="F234" t="s">
        <v>41</v>
      </c>
      <c r="G234">
        <v>1</v>
      </c>
      <c r="H234" t="s">
        <v>42</v>
      </c>
      <c r="I234" t="s">
        <v>43</v>
      </c>
      <c r="J234" t="s">
        <v>41</v>
      </c>
      <c r="K234" t="s">
        <v>44</v>
      </c>
      <c r="L234">
        <v>26400</v>
      </c>
      <c r="M234" s="1">
        <v>43561</v>
      </c>
      <c r="N234" t="s">
        <v>45</v>
      </c>
      <c r="O234" t="s">
        <v>44</v>
      </c>
      <c r="P234" t="s">
        <v>47</v>
      </c>
      <c r="Q234" s="1">
        <v>43852</v>
      </c>
      <c r="R234" t="s">
        <v>48</v>
      </c>
      <c r="S234" t="s">
        <v>64</v>
      </c>
      <c r="T234" t="s">
        <v>65</v>
      </c>
      <c r="U234" t="s">
        <v>42</v>
      </c>
      <c r="V234">
        <v>0</v>
      </c>
      <c r="W234">
        <v>100000</v>
      </c>
      <c r="X234" s="1">
        <v>43921</v>
      </c>
      <c r="Y234" t="s">
        <v>51</v>
      </c>
      <c r="Z234" t="s">
        <v>43</v>
      </c>
      <c r="AA234" t="s">
        <v>41</v>
      </c>
      <c r="AB234" t="s">
        <v>52</v>
      </c>
      <c r="AC234" t="s">
        <v>53</v>
      </c>
      <c r="AF234" t="s">
        <v>54</v>
      </c>
      <c r="AG234" s="1">
        <v>43832</v>
      </c>
      <c r="AH234" t="s">
        <v>42</v>
      </c>
      <c r="AI234" t="s">
        <v>55</v>
      </c>
      <c r="AJ234">
        <v>12788092</v>
      </c>
      <c r="AK234">
        <v>250000</v>
      </c>
      <c r="AL234">
        <v>1500000</v>
      </c>
    </row>
    <row r="235" spans="1:38" x14ac:dyDescent="0.25">
      <c r="A235" t="s">
        <v>171</v>
      </c>
      <c r="B235" t="s">
        <v>172</v>
      </c>
      <c r="C235" t="s">
        <v>40</v>
      </c>
      <c r="D235" s="1">
        <v>43561</v>
      </c>
      <c r="E235" s="1">
        <v>43926</v>
      </c>
      <c r="F235" t="s">
        <v>41</v>
      </c>
      <c r="G235">
        <v>1</v>
      </c>
      <c r="H235" t="s">
        <v>42</v>
      </c>
      <c r="I235" t="s">
        <v>43</v>
      </c>
      <c r="J235" t="s">
        <v>41</v>
      </c>
      <c r="K235" t="s">
        <v>44</v>
      </c>
      <c r="L235">
        <v>26400</v>
      </c>
      <c r="M235" s="1">
        <v>43561</v>
      </c>
      <c r="N235" t="s">
        <v>45</v>
      </c>
      <c r="O235" t="s">
        <v>44</v>
      </c>
      <c r="P235" t="s">
        <v>47</v>
      </c>
      <c r="Q235" s="1">
        <v>43852</v>
      </c>
      <c r="R235" t="s">
        <v>48</v>
      </c>
      <c r="S235" t="s">
        <v>64</v>
      </c>
      <c r="T235" t="s">
        <v>65</v>
      </c>
      <c r="U235" t="s">
        <v>42</v>
      </c>
      <c r="V235">
        <v>0</v>
      </c>
      <c r="W235">
        <v>100000</v>
      </c>
      <c r="X235" s="1">
        <v>43921</v>
      </c>
      <c r="Y235" t="s">
        <v>51</v>
      </c>
      <c r="Z235" t="s">
        <v>43</v>
      </c>
      <c r="AA235" t="s">
        <v>41</v>
      </c>
      <c r="AB235" t="s">
        <v>52</v>
      </c>
      <c r="AC235" t="s">
        <v>53</v>
      </c>
      <c r="AF235" t="s">
        <v>56</v>
      </c>
      <c r="AG235" s="1">
        <v>43833</v>
      </c>
      <c r="AH235" t="s">
        <v>42</v>
      </c>
      <c r="AI235" t="s">
        <v>55</v>
      </c>
      <c r="AJ235">
        <v>12788092</v>
      </c>
      <c r="AK235">
        <v>250000</v>
      </c>
      <c r="AL235">
        <v>1500000</v>
      </c>
    </row>
    <row r="236" spans="1:38" x14ac:dyDescent="0.25">
      <c r="A236" t="s">
        <v>171</v>
      </c>
      <c r="B236" t="s">
        <v>172</v>
      </c>
      <c r="C236" t="s">
        <v>40</v>
      </c>
      <c r="D236" s="1">
        <v>43561</v>
      </c>
      <c r="E236" s="1">
        <v>43926</v>
      </c>
      <c r="F236" t="s">
        <v>41</v>
      </c>
      <c r="G236">
        <v>1</v>
      </c>
      <c r="H236" t="s">
        <v>42</v>
      </c>
      <c r="I236" t="s">
        <v>43</v>
      </c>
      <c r="J236" t="s">
        <v>41</v>
      </c>
      <c r="K236" t="s">
        <v>44</v>
      </c>
      <c r="L236">
        <v>26400</v>
      </c>
      <c r="M236" s="1">
        <v>43561</v>
      </c>
      <c r="N236" t="s">
        <v>45</v>
      </c>
      <c r="O236" t="s">
        <v>44</v>
      </c>
      <c r="P236" t="s">
        <v>47</v>
      </c>
      <c r="Q236" s="1">
        <v>43852</v>
      </c>
      <c r="R236" t="s">
        <v>48</v>
      </c>
      <c r="S236" t="s">
        <v>64</v>
      </c>
      <c r="T236" t="s">
        <v>65</v>
      </c>
      <c r="U236" t="s">
        <v>42</v>
      </c>
      <c r="V236">
        <v>0</v>
      </c>
      <c r="W236">
        <v>100000</v>
      </c>
      <c r="X236" s="1">
        <v>43921</v>
      </c>
      <c r="Y236" t="s">
        <v>51</v>
      </c>
      <c r="Z236" t="s">
        <v>43</v>
      </c>
      <c r="AA236" t="s">
        <v>41</v>
      </c>
      <c r="AB236" t="s">
        <v>52</v>
      </c>
      <c r="AC236" t="s">
        <v>53</v>
      </c>
      <c r="AF236" t="s">
        <v>57</v>
      </c>
      <c r="AG236" s="1">
        <v>43836</v>
      </c>
      <c r="AH236" t="s">
        <v>42</v>
      </c>
      <c r="AI236" t="s">
        <v>55</v>
      </c>
      <c r="AJ236">
        <v>12788092</v>
      </c>
      <c r="AK236">
        <v>250000</v>
      </c>
      <c r="AL236">
        <v>1500000</v>
      </c>
    </row>
    <row r="237" spans="1:38" x14ac:dyDescent="0.25">
      <c r="A237" t="s">
        <v>171</v>
      </c>
      <c r="B237" t="s">
        <v>172</v>
      </c>
      <c r="C237" t="s">
        <v>40</v>
      </c>
      <c r="D237" s="1">
        <v>43561</v>
      </c>
      <c r="E237" s="1">
        <v>43926</v>
      </c>
      <c r="F237" t="s">
        <v>41</v>
      </c>
      <c r="G237">
        <v>1</v>
      </c>
      <c r="H237" t="s">
        <v>42</v>
      </c>
      <c r="I237" t="s">
        <v>43</v>
      </c>
      <c r="J237" t="s">
        <v>41</v>
      </c>
      <c r="K237" t="s">
        <v>44</v>
      </c>
      <c r="L237">
        <v>26400</v>
      </c>
      <c r="M237" s="1">
        <v>43561</v>
      </c>
      <c r="N237" t="s">
        <v>45</v>
      </c>
      <c r="O237" t="s">
        <v>44</v>
      </c>
      <c r="P237" t="s">
        <v>47</v>
      </c>
      <c r="Q237" s="1">
        <v>43852</v>
      </c>
      <c r="R237" t="s">
        <v>48</v>
      </c>
      <c r="S237" t="s">
        <v>64</v>
      </c>
      <c r="T237" t="s">
        <v>65</v>
      </c>
      <c r="U237" t="s">
        <v>42</v>
      </c>
      <c r="V237">
        <v>0</v>
      </c>
      <c r="W237">
        <v>100000</v>
      </c>
      <c r="X237" s="1">
        <v>43921</v>
      </c>
      <c r="Y237" t="s">
        <v>51</v>
      </c>
      <c r="Z237" t="s">
        <v>43</v>
      </c>
      <c r="AA237" t="s">
        <v>41</v>
      </c>
      <c r="AB237" t="s">
        <v>52</v>
      </c>
      <c r="AC237" t="s">
        <v>53</v>
      </c>
      <c r="AF237" t="s">
        <v>58</v>
      </c>
      <c r="AG237" s="1">
        <v>43837</v>
      </c>
      <c r="AH237" t="s">
        <v>42</v>
      </c>
      <c r="AI237" t="s">
        <v>55</v>
      </c>
      <c r="AJ237">
        <v>12788092</v>
      </c>
      <c r="AK237">
        <v>250000</v>
      </c>
      <c r="AL237">
        <v>1500000</v>
      </c>
    </row>
    <row r="238" spans="1:38" x14ac:dyDescent="0.25">
      <c r="A238" t="s">
        <v>171</v>
      </c>
      <c r="B238" t="s">
        <v>172</v>
      </c>
      <c r="C238" t="s">
        <v>40</v>
      </c>
      <c r="D238" s="1">
        <v>43561</v>
      </c>
      <c r="E238" s="1">
        <v>43926</v>
      </c>
      <c r="F238" t="s">
        <v>41</v>
      </c>
      <c r="G238">
        <v>1</v>
      </c>
      <c r="H238" t="s">
        <v>42</v>
      </c>
      <c r="I238" t="s">
        <v>43</v>
      </c>
      <c r="J238" t="s">
        <v>41</v>
      </c>
      <c r="K238" t="s">
        <v>44</v>
      </c>
      <c r="L238">
        <v>26400</v>
      </c>
      <c r="M238" s="1">
        <v>43561</v>
      </c>
      <c r="N238" t="s">
        <v>45</v>
      </c>
      <c r="O238" t="s">
        <v>44</v>
      </c>
      <c r="P238" t="s">
        <v>47</v>
      </c>
      <c r="Q238" s="1">
        <v>43852</v>
      </c>
      <c r="R238" t="s">
        <v>48</v>
      </c>
      <c r="S238" t="s">
        <v>64</v>
      </c>
      <c r="T238" t="s">
        <v>65</v>
      </c>
      <c r="U238" t="s">
        <v>42</v>
      </c>
      <c r="V238">
        <v>0</v>
      </c>
      <c r="W238">
        <v>100000</v>
      </c>
      <c r="X238" s="1">
        <v>43921</v>
      </c>
      <c r="Y238" t="s">
        <v>51</v>
      </c>
      <c r="Z238" t="s">
        <v>43</v>
      </c>
      <c r="AA238" t="s">
        <v>41</v>
      </c>
      <c r="AB238" t="s">
        <v>52</v>
      </c>
      <c r="AC238" t="s">
        <v>53</v>
      </c>
      <c r="AF238" t="s">
        <v>59</v>
      </c>
      <c r="AG238" s="1">
        <v>43838</v>
      </c>
      <c r="AH238" t="s">
        <v>42</v>
      </c>
      <c r="AI238" t="s">
        <v>55</v>
      </c>
      <c r="AJ238">
        <v>12788092</v>
      </c>
      <c r="AK238">
        <v>250000</v>
      </c>
      <c r="AL238">
        <v>1500000</v>
      </c>
    </row>
    <row r="239" spans="1:38" x14ac:dyDescent="0.25">
      <c r="A239" t="s">
        <v>173</v>
      </c>
      <c r="B239" t="s">
        <v>174</v>
      </c>
      <c r="C239" t="s">
        <v>40</v>
      </c>
      <c r="D239" s="1">
        <v>43332</v>
      </c>
      <c r="E239" s="1">
        <v>43696</v>
      </c>
      <c r="F239" t="s">
        <v>41</v>
      </c>
      <c r="G239">
        <v>1</v>
      </c>
      <c r="H239" t="s">
        <v>42</v>
      </c>
      <c r="I239" t="s">
        <v>43</v>
      </c>
      <c r="J239" t="s">
        <v>41</v>
      </c>
      <c r="K239" t="s">
        <v>44</v>
      </c>
      <c r="L239">
        <v>3300</v>
      </c>
      <c r="M239" s="1">
        <v>43332</v>
      </c>
      <c r="N239" t="s">
        <v>45</v>
      </c>
      <c r="O239" t="s">
        <v>46</v>
      </c>
      <c r="P239" t="s">
        <v>47</v>
      </c>
      <c r="Q239" s="1">
        <v>43852</v>
      </c>
      <c r="R239" t="s">
        <v>48</v>
      </c>
      <c r="S239" t="s">
        <v>49</v>
      </c>
      <c r="T239" t="s">
        <v>50</v>
      </c>
      <c r="U239" t="s">
        <v>42</v>
      </c>
      <c r="V239">
        <v>0</v>
      </c>
      <c r="W239">
        <v>100000</v>
      </c>
      <c r="X239" s="1">
        <v>44012</v>
      </c>
      <c r="Y239" t="s">
        <v>51</v>
      </c>
      <c r="Z239" t="s">
        <v>43</v>
      </c>
      <c r="AA239" t="s">
        <v>41</v>
      </c>
      <c r="AB239" t="s">
        <v>52</v>
      </c>
      <c r="AC239" t="s">
        <v>53</v>
      </c>
      <c r="AF239" t="s">
        <v>54</v>
      </c>
      <c r="AG239" s="1">
        <v>43832</v>
      </c>
      <c r="AH239" t="s">
        <v>42</v>
      </c>
      <c r="AI239" t="s">
        <v>55</v>
      </c>
      <c r="AJ239">
        <v>12788092</v>
      </c>
      <c r="AK239">
        <v>250000</v>
      </c>
      <c r="AL239">
        <v>1500000</v>
      </c>
    </row>
    <row r="240" spans="1:38" x14ac:dyDescent="0.25">
      <c r="A240" t="s">
        <v>173</v>
      </c>
      <c r="B240" t="s">
        <v>174</v>
      </c>
      <c r="C240" t="s">
        <v>40</v>
      </c>
      <c r="D240" s="1">
        <v>43332</v>
      </c>
      <c r="E240" s="1">
        <v>43696</v>
      </c>
      <c r="F240" t="s">
        <v>41</v>
      </c>
      <c r="G240">
        <v>1</v>
      </c>
      <c r="H240" t="s">
        <v>42</v>
      </c>
      <c r="I240" t="s">
        <v>43</v>
      </c>
      <c r="J240" t="s">
        <v>41</v>
      </c>
      <c r="K240" t="s">
        <v>44</v>
      </c>
      <c r="L240">
        <v>3300</v>
      </c>
      <c r="M240" s="1">
        <v>43332</v>
      </c>
      <c r="N240" t="s">
        <v>45</v>
      </c>
      <c r="O240" t="s">
        <v>46</v>
      </c>
      <c r="P240" t="s">
        <v>47</v>
      </c>
      <c r="Q240" s="1">
        <v>43852</v>
      </c>
      <c r="R240" t="s">
        <v>48</v>
      </c>
      <c r="S240" t="s">
        <v>49</v>
      </c>
      <c r="T240" t="s">
        <v>50</v>
      </c>
      <c r="U240" t="s">
        <v>42</v>
      </c>
      <c r="V240">
        <v>0</v>
      </c>
      <c r="W240">
        <v>100000</v>
      </c>
      <c r="X240" s="1">
        <v>44012</v>
      </c>
      <c r="Y240" t="s">
        <v>51</v>
      </c>
      <c r="Z240" t="s">
        <v>43</v>
      </c>
      <c r="AA240" t="s">
        <v>41</v>
      </c>
      <c r="AB240" t="s">
        <v>52</v>
      </c>
      <c r="AC240" t="s">
        <v>53</v>
      </c>
      <c r="AF240" t="s">
        <v>56</v>
      </c>
      <c r="AG240" s="1">
        <v>43833</v>
      </c>
      <c r="AH240" t="s">
        <v>42</v>
      </c>
      <c r="AI240" t="s">
        <v>55</v>
      </c>
      <c r="AJ240">
        <v>12788092</v>
      </c>
      <c r="AK240">
        <v>250000</v>
      </c>
      <c r="AL240">
        <v>1500000</v>
      </c>
    </row>
    <row r="241" spans="1:38" x14ac:dyDescent="0.25">
      <c r="A241" t="s">
        <v>173</v>
      </c>
      <c r="B241" t="s">
        <v>174</v>
      </c>
      <c r="C241" t="s">
        <v>40</v>
      </c>
      <c r="D241" s="1">
        <v>43332</v>
      </c>
      <c r="E241" s="1">
        <v>43696</v>
      </c>
      <c r="F241" t="s">
        <v>41</v>
      </c>
      <c r="G241">
        <v>1</v>
      </c>
      <c r="H241" t="s">
        <v>42</v>
      </c>
      <c r="I241" t="s">
        <v>43</v>
      </c>
      <c r="J241" t="s">
        <v>41</v>
      </c>
      <c r="K241" t="s">
        <v>44</v>
      </c>
      <c r="L241">
        <v>3300</v>
      </c>
      <c r="M241" s="1">
        <v>43332</v>
      </c>
      <c r="N241" t="s">
        <v>45</v>
      </c>
      <c r="O241" t="s">
        <v>46</v>
      </c>
      <c r="P241" t="s">
        <v>47</v>
      </c>
      <c r="Q241" s="1">
        <v>43852</v>
      </c>
      <c r="R241" t="s">
        <v>48</v>
      </c>
      <c r="S241" t="s">
        <v>49</v>
      </c>
      <c r="T241" t="s">
        <v>50</v>
      </c>
      <c r="U241" t="s">
        <v>42</v>
      </c>
      <c r="V241">
        <v>0</v>
      </c>
      <c r="W241">
        <v>100000</v>
      </c>
      <c r="X241" s="1">
        <v>44012</v>
      </c>
      <c r="Y241" t="s">
        <v>51</v>
      </c>
      <c r="Z241" t="s">
        <v>43</v>
      </c>
      <c r="AA241" t="s">
        <v>41</v>
      </c>
      <c r="AB241" t="s">
        <v>52</v>
      </c>
      <c r="AC241" t="s">
        <v>53</v>
      </c>
      <c r="AF241" t="s">
        <v>57</v>
      </c>
      <c r="AG241" s="1">
        <v>43836</v>
      </c>
      <c r="AH241" t="s">
        <v>42</v>
      </c>
      <c r="AI241" t="s">
        <v>55</v>
      </c>
      <c r="AJ241">
        <v>12788092</v>
      </c>
      <c r="AK241">
        <v>250000</v>
      </c>
      <c r="AL241">
        <v>1500000</v>
      </c>
    </row>
    <row r="242" spans="1:38" x14ac:dyDescent="0.25">
      <c r="A242" t="s">
        <v>173</v>
      </c>
      <c r="B242" t="s">
        <v>174</v>
      </c>
      <c r="C242" t="s">
        <v>40</v>
      </c>
      <c r="D242" s="1">
        <v>43332</v>
      </c>
      <c r="E242" s="1">
        <v>43696</v>
      </c>
      <c r="F242" t="s">
        <v>41</v>
      </c>
      <c r="G242">
        <v>1</v>
      </c>
      <c r="H242" t="s">
        <v>42</v>
      </c>
      <c r="I242" t="s">
        <v>43</v>
      </c>
      <c r="J242" t="s">
        <v>41</v>
      </c>
      <c r="K242" t="s">
        <v>44</v>
      </c>
      <c r="L242">
        <v>3300</v>
      </c>
      <c r="M242" s="1">
        <v>43332</v>
      </c>
      <c r="N242" t="s">
        <v>45</v>
      </c>
      <c r="O242" t="s">
        <v>46</v>
      </c>
      <c r="P242" t="s">
        <v>47</v>
      </c>
      <c r="Q242" s="1">
        <v>43852</v>
      </c>
      <c r="R242" t="s">
        <v>48</v>
      </c>
      <c r="S242" t="s">
        <v>49</v>
      </c>
      <c r="T242" t="s">
        <v>50</v>
      </c>
      <c r="U242" t="s">
        <v>42</v>
      </c>
      <c r="V242">
        <v>0</v>
      </c>
      <c r="W242">
        <v>100000</v>
      </c>
      <c r="X242" s="1">
        <v>44012</v>
      </c>
      <c r="Y242" t="s">
        <v>51</v>
      </c>
      <c r="Z242" t="s">
        <v>43</v>
      </c>
      <c r="AA242" t="s">
        <v>41</v>
      </c>
      <c r="AB242" t="s">
        <v>52</v>
      </c>
      <c r="AC242" t="s">
        <v>53</v>
      </c>
      <c r="AF242" t="s">
        <v>58</v>
      </c>
      <c r="AG242" s="1">
        <v>43837</v>
      </c>
      <c r="AH242" t="s">
        <v>42</v>
      </c>
      <c r="AI242" t="s">
        <v>55</v>
      </c>
      <c r="AJ242">
        <v>12788092</v>
      </c>
      <c r="AK242">
        <v>250000</v>
      </c>
      <c r="AL242">
        <v>1500000</v>
      </c>
    </row>
    <row r="243" spans="1:38" x14ac:dyDescent="0.25">
      <c r="A243" t="s">
        <v>173</v>
      </c>
      <c r="B243" t="s">
        <v>174</v>
      </c>
      <c r="C243" t="s">
        <v>40</v>
      </c>
      <c r="D243" s="1">
        <v>43332</v>
      </c>
      <c r="E243" s="1">
        <v>43696</v>
      </c>
      <c r="F243" t="s">
        <v>41</v>
      </c>
      <c r="G243">
        <v>1</v>
      </c>
      <c r="H243" t="s">
        <v>42</v>
      </c>
      <c r="I243" t="s">
        <v>43</v>
      </c>
      <c r="J243" t="s">
        <v>41</v>
      </c>
      <c r="K243" t="s">
        <v>44</v>
      </c>
      <c r="L243">
        <v>3300</v>
      </c>
      <c r="M243" s="1">
        <v>43332</v>
      </c>
      <c r="N243" t="s">
        <v>45</v>
      </c>
      <c r="O243" t="s">
        <v>46</v>
      </c>
      <c r="P243" t="s">
        <v>47</v>
      </c>
      <c r="Q243" s="1">
        <v>43852</v>
      </c>
      <c r="R243" t="s">
        <v>48</v>
      </c>
      <c r="S243" t="s">
        <v>49</v>
      </c>
      <c r="T243" t="s">
        <v>50</v>
      </c>
      <c r="U243" t="s">
        <v>42</v>
      </c>
      <c r="V243">
        <v>0</v>
      </c>
      <c r="W243">
        <v>100000</v>
      </c>
      <c r="X243" s="1">
        <v>44012</v>
      </c>
      <c r="Y243" t="s">
        <v>51</v>
      </c>
      <c r="Z243" t="s">
        <v>43</v>
      </c>
      <c r="AA243" t="s">
        <v>41</v>
      </c>
      <c r="AB243" t="s">
        <v>52</v>
      </c>
      <c r="AC243" t="s">
        <v>53</v>
      </c>
      <c r="AF243" t="s">
        <v>59</v>
      </c>
      <c r="AG243" s="1">
        <v>43838</v>
      </c>
      <c r="AH243" t="s">
        <v>42</v>
      </c>
      <c r="AI243" t="s">
        <v>55</v>
      </c>
      <c r="AJ243">
        <v>12788092</v>
      </c>
      <c r="AK243">
        <v>250000</v>
      </c>
      <c r="AL243">
        <v>1500000</v>
      </c>
    </row>
    <row r="244" spans="1:38" x14ac:dyDescent="0.25">
      <c r="A244" t="s">
        <v>173</v>
      </c>
      <c r="B244" t="s">
        <v>174</v>
      </c>
      <c r="C244" t="s">
        <v>40</v>
      </c>
      <c r="D244" s="1">
        <v>43332</v>
      </c>
      <c r="E244" s="1">
        <v>43696</v>
      </c>
      <c r="F244" t="s">
        <v>41</v>
      </c>
      <c r="G244">
        <v>1</v>
      </c>
      <c r="H244" t="s">
        <v>42</v>
      </c>
      <c r="I244" t="s">
        <v>43</v>
      </c>
      <c r="J244" t="s">
        <v>41</v>
      </c>
      <c r="K244" t="s">
        <v>44</v>
      </c>
      <c r="L244">
        <v>3300</v>
      </c>
      <c r="M244" s="1">
        <v>43332</v>
      </c>
      <c r="N244" t="s">
        <v>45</v>
      </c>
      <c r="O244" t="s">
        <v>46</v>
      </c>
      <c r="P244" t="s">
        <v>47</v>
      </c>
      <c r="Q244" s="1">
        <v>43852</v>
      </c>
      <c r="R244" t="s">
        <v>48</v>
      </c>
      <c r="S244" t="s">
        <v>60</v>
      </c>
      <c r="T244" t="s">
        <v>61</v>
      </c>
      <c r="U244" t="s">
        <v>42</v>
      </c>
      <c r="V244">
        <v>0</v>
      </c>
      <c r="W244">
        <v>100000</v>
      </c>
      <c r="X244" s="1">
        <v>43921</v>
      </c>
      <c r="Y244" t="s">
        <v>51</v>
      </c>
      <c r="Z244" t="s">
        <v>43</v>
      </c>
      <c r="AA244" t="s">
        <v>41</v>
      </c>
      <c r="AB244" t="s">
        <v>52</v>
      </c>
      <c r="AC244" t="s">
        <v>53</v>
      </c>
      <c r="AF244" t="s">
        <v>54</v>
      </c>
      <c r="AG244" s="1">
        <v>43832</v>
      </c>
      <c r="AH244" t="s">
        <v>42</v>
      </c>
      <c r="AI244" t="s">
        <v>55</v>
      </c>
      <c r="AJ244">
        <v>12788092</v>
      </c>
      <c r="AK244">
        <v>250000</v>
      </c>
      <c r="AL244">
        <v>1500000</v>
      </c>
    </row>
    <row r="245" spans="1:38" x14ac:dyDescent="0.25">
      <c r="A245" t="s">
        <v>173</v>
      </c>
      <c r="B245" t="s">
        <v>174</v>
      </c>
      <c r="C245" t="s">
        <v>40</v>
      </c>
      <c r="D245" s="1">
        <v>43332</v>
      </c>
      <c r="E245" s="1">
        <v>43696</v>
      </c>
      <c r="F245" t="s">
        <v>41</v>
      </c>
      <c r="G245">
        <v>1</v>
      </c>
      <c r="H245" t="s">
        <v>42</v>
      </c>
      <c r="I245" t="s">
        <v>43</v>
      </c>
      <c r="J245" t="s">
        <v>41</v>
      </c>
      <c r="K245" t="s">
        <v>44</v>
      </c>
      <c r="L245">
        <v>3300</v>
      </c>
      <c r="M245" s="1">
        <v>43332</v>
      </c>
      <c r="N245" t="s">
        <v>45</v>
      </c>
      <c r="O245" t="s">
        <v>46</v>
      </c>
      <c r="P245" t="s">
        <v>47</v>
      </c>
      <c r="Q245" s="1">
        <v>43852</v>
      </c>
      <c r="R245" t="s">
        <v>48</v>
      </c>
      <c r="S245" t="s">
        <v>60</v>
      </c>
      <c r="T245" t="s">
        <v>61</v>
      </c>
      <c r="U245" t="s">
        <v>42</v>
      </c>
      <c r="V245">
        <v>0</v>
      </c>
      <c r="W245">
        <v>100000</v>
      </c>
      <c r="X245" s="1">
        <v>43921</v>
      </c>
      <c r="Y245" t="s">
        <v>51</v>
      </c>
      <c r="Z245" t="s">
        <v>43</v>
      </c>
      <c r="AA245" t="s">
        <v>41</v>
      </c>
      <c r="AB245" t="s">
        <v>52</v>
      </c>
      <c r="AC245" t="s">
        <v>53</v>
      </c>
      <c r="AF245" t="s">
        <v>56</v>
      </c>
      <c r="AG245" s="1">
        <v>43833</v>
      </c>
      <c r="AH245" t="s">
        <v>42</v>
      </c>
      <c r="AI245" t="s">
        <v>55</v>
      </c>
      <c r="AJ245">
        <v>12788092</v>
      </c>
      <c r="AK245">
        <v>250000</v>
      </c>
      <c r="AL245">
        <v>1500000</v>
      </c>
    </row>
    <row r="246" spans="1:38" x14ac:dyDescent="0.25">
      <c r="A246" t="s">
        <v>173</v>
      </c>
      <c r="B246" t="s">
        <v>174</v>
      </c>
      <c r="C246" t="s">
        <v>40</v>
      </c>
      <c r="D246" s="1">
        <v>43332</v>
      </c>
      <c r="E246" s="1">
        <v>43696</v>
      </c>
      <c r="F246" t="s">
        <v>41</v>
      </c>
      <c r="G246">
        <v>1</v>
      </c>
      <c r="H246" t="s">
        <v>42</v>
      </c>
      <c r="I246" t="s">
        <v>43</v>
      </c>
      <c r="J246" t="s">
        <v>41</v>
      </c>
      <c r="K246" t="s">
        <v>44</v>
      </c>
      <c r="L246">
        <v>3300</v>
      </c>
      <c r="M246" s="1">
        <v>43332</v>
      </c>
      <c r="N246" t="s">
        <v>45</v>
      </c>
      <c r="O246" t="s">
        <v>46</v>
      </c>
      <c r="P246" t="s">
        <v>47</v>
      </c>
      <c r="Q246" s="1">
        <v>43852</v>
      </c>
      <c r="R246" t="s">
        <v>48</v>
      </c>
      <c r="S246" t="s">
        <v>60</v>
      </c>
      <c r="T246" t="s">
        <v>61</v>
      </c>
      <c r="U246" t="s">
        <v>42</v>
      </c>
      <c r="V246">
        <v>0</v>
      </c>
      <c r="W246">
        <v>100000</v>
      </c>
      <c r="X246" s="1">
        <v>43921</v>
      </c>
      <c r="Y246" t="s">
        <v>51</v>
      </c>
      <c r="Z246" t="s">
        <v>43</v>
      </c>
      <c r="AA246" t="s">
        <v>41</v>
      </c>
      <c r="AB246" t="s">
        <v>52</v>
      </c>
      <c r="AC246" t="s">
        <v>53</v>
      </c>
      <c r="AF246" t="s">
        <v>57</v>
      </c>
      <c r="AG246" s="1">
        <v>43836</v>
      </c>
      <c r="AH246" t="s">
        <v>42</v>
      </c>
      <c r="AI246" t="s">
        <v>55</v>
      </c>
      <c r="AJ246">
        <v>12788092</v>
      </c>
      <c r="AK246">
        <v>250000</v>
      </c>
      <c r="AL246">
        <v>1500000</v>
      </c>
    </row>
    <row r="247" spans="1:38" x14ac:dyDescent="0.25">
      <c r="A247" t="s">
        <v>173</v>
      </c>
      <c r="B247" t="s">
        <v>174</v>
      </c>
      <c r="C247" t="s">
        <v>40</v>
      </c>
      <c r="D247" s="1">
        <v>43332</v>
      </c>
      <c r="E247" s="1">
        <v>43696</v>
      </c>
      <c r="F247" t="s">
        <v>41</v>
      </c>
      <c r="G247">
        <v>1</v>
      </c>
      <c r="H247" t="s">
        <v>42</v>
      </c>
      <c r="I247" t="s">
        <v>43</v>
      </c>
      <c r="J247" t="s">
        <v>41</v>
      </c>
      <c r="K247" t="s">
        <v>44</v>
      </c>
      <c r="L247">
        <v>3300</v>
      </c>
      <c r="M247" s="1">
        <v>43332</v>
      </c>
      <c r="N247" t="s">
        <v>45</v>
      </c>
      <c r="O247" t="s">
        <v>46</v>
      </c>
      <c r="P247" t="s">
        <v>47</v>
      </c>
      <c r="Q247" s="1">
        <v>43852</v>
      </c>
      <c r="R247" t="s">
        <v>48</v>
      </c>
      <c r="S247" t="s">
        <v>60</v>
      </c>
      <c r="T247" t="s">
        <v>61</v>
      </c>
      <c r="U247" t="s">
        <v>42</v>
      </c>
      <c r="V247">
        <v>0</v>
      </c>
      <c r="W247">
        <v>100000</v>
      </c>
      <c r="X247" s="1">
        <v>43921</v>
      </c>
      <c r="Y247" t="s">
        <v>51</v>
      </c>
      <c r="Z247" t="s">
        <v>43</v>
      </c>
      <c r="AA247" t="s">
        <v>41</v>
      </c>
      <c r="AB247" t="s">
        <v>52</v>
      </c>
      <c r="AC247" t="s">
        <v>53</v>
      </c>
      <c r="AF247" t="s">
        <v>58</v>
      </c>
      <c r="AG247" s="1">
        <v>43837</v>
      </c>
      <c r="AH247" t="s">
        <v>42</v>
      </c>
      <c r="AI247" t="s">
        <v>55</v>
      </c>
      <c r="AJ247">
        <v>12788092</v>
      </c>
      <c r="AK247">
        <v>250000</v>
      </c>
      <c r="AL247">
        <v>1500000</v>
      </c>
    </row>
    <row r="248" spans="1:38" x14ac:dyDescent="0.25">
      <c r="A248" t="s">
        <v>173</v>
      </c>
      <c r="B248" t="s">
        <v>174</v>
      </c>
      <c r="C248" t="s">
        <v>40</v>
      </c>
      <c r="D248" s="1">
        <v>43332</v>
      </c>
      <c r="E248" s="1">
        <v>43696</v>
      </c>
      <c r="F248" t="s">
        <v>41</v>
      </c>
      <c r="G248">
        <v>1</v>
      </c>
      <c r="H248" t="s">
        <v>42</v>
      </c>
      <c r="I248" t="s">
        <v>43</v>
      </c>
      <c r="J248" t="s">
        <v>41</v>
      </c>
      <c r="K248" t="s">
        <v>44</v>
      </c>
      <c r="L248">
        <v>3300</v>
      </c>
      <c r="M248" s="1">
        <v>43332</v>
      </c>
      <c r="N248" t="s">
        <v>45</v>
      </c>
      <c r="O248" t="s">
        <v>46</v>
      </c>
      <c r="P248" t="s">
        <v>47</v>
      </c>
      <c r="Q248" s="1">
        <v>43852</v>
      </c>
      <c r="R248" t="s">
        <v>48</v>
      </c>
      <c r="S248" t="s">
        <v>60</v>
      </c>
      <c r="T248" t="s">
        <v>61</v>
      </c>
      <c r="U248" t="s">
        <v>42</v>
      </c>
      <c r="V248">
        <v>0</v>
      </c>
      <c r="W248">
        <v>100000</v>
      </c>
      <c r="X248" s="1">
        <v>43921</v>
      </c>
      <c r="Y248" t="s">
        <v>51</v>
      </c>
      <c r="Z248" t="s">
        <v>43</v>
      </c>
      <c r="AA248" t="s">
        <v>41</v>
      </c>
      <c r="AB248" t="s">
        <v>52</v>
      </c>
      <c r="AC248" t="s">
        <v>53</v>
      </c>
      <c r="AF248" t="s">
        <v>59</v>
      </c>
      <c r="AG248" s="1">
        <v>43838</v>
      </c>
      <c r="AH248" t="s">
        <v>42</v>
      </c>
      <c r="AI248" t="s">
        <v>55</v>
      </c>
      <c r="AJ248">
        <v>12788092</v>
      </c>
      <c r="AK248">
        <v>250000</v>
      </c>
      <c r="AL248">
        <v>1500000</v>
      </c>
    </row>
    <row r="249" spans="1:38" x14ac:dyDescent="0.25">
      <c r="A249" t="s">
        <v>173</v>
      </c>
      <c r="B249" t="s">
        <v>174</v>
      </c>
      <c r="C249" t="s">
        <v>40</v>
      </c>
      <c r="D249" s="1">
        <v>43332</v>
      </c>
      <c r="E249" s="1">
        <v>43696</v>
      </c>
      <c r="F249" t="s">
        <v>41</v>
      </c>
      <c r="G249">
        <v>1</v>
      </c>
      <c r="H249" t="s">
        <v>42</v>
      </c>
      <c r="I249" t="s">
        <v>43</v>
      </c>
      <c r="J249" t="s">
        <v>41</v>
      </c>
      <c r="K249" t="s">
        <v>44</v>
      </c>
      <c r="L249">
        <v>3300</v>
      </c>
      <c r="M249" s="1">
        <v>43332</v>
      </c>
      <c r="N249" t="s">
        <v>45</v>
      </c>
      <c r="O249" t="s">
        <v>46</v>
      </c>
      <c r="P249" t="s">
        <v>47</v>
      </c>
      <c r="Q249" s="1">
        <v>43852</v>
      </c>
      <c r="R249" t="s">
        <v>48</v>
      </c>
      <c r="S249" t="s">
        <v>62</v>
      </c>
      <c r="T249" t="s">
        <v>63</v>
      </c>
      <c r="U249" t="s">
        <v>42</v>
      </c>
      <c r="V249">
        <v>0</v>
      </c>
      <c r="W249">
        <v>100000</v>
      </c>
      <c r="X249" s="1">
        <v>43982</v>
      </c>
      <c r="Y249" t="s">
        <v>51</v>
      </c>
      <c r="Z249" t="s">
        <v>43</v>
      </c>
      <c r="AA249" t="s">
        <v>41</v>
      </c>
      <c r="AB249" t="s">
        <v>52</v>
      </c>
      <c r="AC249" t="s">
        <v>53</v>
      </c>
      <c r="AF249" t="s">
        <v>54</v>
      </c>
      <c r="AG249" s="1">
        <v>43832</v>
      </c>
      <c r="AH249" t="s">
        <v>42</v>
      </c>
      <c r="AI249" t="s">
        <v>55</v>
      </c>
      <c r="AJ249">
        <v>12788092</v>
      </c>
      <c r="AK249">
        <v>250000</v>
      </c>
      <c r="AL249">
        <v>1500000</v>
      </c>
    </row>
    <row r="250" spans="1:38" x14ac:dyDescent="0.25">
      <c r="A250" t="s">
        <v>173</v>
      </c>
      <c r="B250" t="s">
        <v>174</v>
      </c>
      <c r="C250" t="s">
        <v>40</v>
      </c>
      <c r="D250" s="1">
        <v>43332</v>
      </c>
      <c r="E250" s="1">
        <v>43696</v>
      </c>
      <c r="F250" t="s">
        <v>41</v>
      </c>
      <c r="G250">
        <v>1</v>
      </c>
      <c r="H250" t="s">
        <v>42</v>
      </c>
      <c r="I250" t="s">
        <v>43</v>
      </c>
      <c r="J250" t="s">
        <v>41</v>
      </c>
      <c r="K250" t="s">
        <v>44</v>
      </c>
      <c r="L250">
        <v>3300</v>
      </c>
      <c r="M250" s="1">
        <v>43332</v>
      </c>
      <c r="N250" t="s">
        <v>45</v>
      </c>
      <c r="O250" t="s">
        <v>46</v>
      </c>
      <c r="P250" t="s">
        <v>47</v>
      </c>
      <c r="Q250" s="1">
        <v>43852</v>
      </c>
      <c r="R250" t="s">
        <v>48</v>
      </c>
      <c r="S250" t="s">
        <v>62</v>
      </c>
      <c r="T250" t="s">
        <v>63</v>
      </c>
      <c r="U250" t="s">
        <v>42</v>
      </c>
      <c r="V250">
        <v>0</v>
      </c>
      <c r="W250">
        <v>100000</v>
      </c>
      <c r="X250" s="1">
        <v>43982</v>
      </c>
      <c r="Y250" t="s">
        <v>51</v>
      </c>
      <c r="Z250" t="s">
        <v>43</v>
      </c>
      <c r="AA250" t="s">
        <v>41</v>
      </c>
      <c r="AB250" t="s">
        <v>52</v>
      </c>
      <c r="AC250" t="s">
        <v>53</v>
      </c>
      <c r="AF250" t="s">
        <v>56</v>
      </c>
      <c r="AG250" s="1">
        <v>43833</v>
      </c>
      <c r="AH250" t="s">
        <v>42</v>
      </c>
      <c r="AI250" t="s">
        <v>55</v>
      </c>
      <c r="AJ250">
        <v>12788092</v>
      </c>
      <c r="AK250">
        <v>250000</v>
      </c>
      <c r="AL250">
        <v>1500000</v>
      </c>
    </row>
    <row r="251" spans="1:38" x14ac:dyDescent="0.25">
      <c r="A251" t="s">
        <v>173</v>
      </c>
      <c r="B251" t="s">
        <v>174</v>
      </c>
      <c r="C251" t="s">
        <v>40</v>
      </c>
      <c r="D251" s="1">
        <v>43332</v>
      </c>
      <c r="E251" s="1">
        <v>43696</v>
      </c>
      <c r="F251" t="s">
        <v>41</v>
      </c>
      <c r="G251">
        <v>1</v>
      </c>
      <c r="H251" t="s">
        <v>42</v>
      </c>
      <c r="I251" t="s">
        <v>43</v>
      </c>
      <c r="J251" t="s">
        <v>41</v>
      </c>
      <c r="K251" t="s">
        <v>44</v>
      </c>
      <c r="L251">
        <v>3300</v>
      </c>
      <c r="M251" s="1">
        <v>43332</v>
      </c>
      <c r="N251" t="s">
        <v>45</v>
      </c>
      <c r="O251" t="s">
        <v>46</v>
      </c>
      <c r="P251" t="s">
        <v>47</v>
      </c>
      <c r="Q251" s="1">
        <v>43852</v>
      </c>
      <c r="R251" t="s">
        <v>48</v>
      </c>
      <c r="S251" t="s">
        <v>62</v>
      </c>
      <c r="T251" t="s">
        <v>63</v>
      </c>
      <c r="U251" t="s">
        <v>42</v>
      </c>
      <c r="V251">
        <v>0</v>
      </c>
      <c r="W251">
        <v>100000</v>
      </c>
      <c r="X251" s="1">
        <v>43982</v>
      </c>
      <c r="Y251" t="s">
        <v>51</v>
      </c>
      <c r="Z251" t="s">
        <v>43</v>
      </c>
      <c r="AA251" t="s">
        <v>41</v>
      </c>
      <c r="AB251" t="s">
        <v>52</v>
      </c>
      <c r="AC251" t="s">
        <v>53</v>
      </c>
      <c r="AF251" t="s">
        <v>57</v>
      </c>
      <c r="AG251" s="1">
        <v>43836</v>
      </c>
      <c r="AH251" t="s">
        <v>42</v>
      </c>
      <c r="AI251" t="s">
        <v>55</v>
      </c>
      <c r="AJ251">
        <v>12788092</v>
      </c>
      <c r="AK251">
        <v>250000</v>
      </c>
      <c r="AL251">
        <v>1500000</v>
      </c>
    </row>
    <row r="252" spans="1:38" x14ac:dyDescent="0.25">
      <c r="A252" t="s">
        <v>173</v>
      </c>
      <c r="B252" t="s">
        <v>174</v>
      </c>
      <c r="C252" t="s">
        <v>40</v>
      </c>
      <c r="D252" s="1">
        <v>43332</v>
      </c>
      <c r="E252" s="1">
        <v>43696</v>
      </c>
      <c r="F252" t="s">
        <v>41</v>
      </c>
      <c r="G252">
        <v>1</v>
      </c>
      <c r="H252" t="s">
        <v>42</v>
      </c>
      <c r="I252" t="s">
        <v>43</v>
      </c>
      <c r="J252" t="s">
        <v>41</v>
      </c>
      <c r="K252" t="s">
        <v>44</v>
      </c>
      <c r="L252">
        <v>3300</v>
      </c>
      <c r="M252" s="1">
        <v>43332</v>
      </c>
      <c r="N252" t="s">
        <v>45</v>
      </c>
      <c r="O252" t="s">
        <v>46</v>
      </c>
      <c r="P252" t="s">
        <v>47</v>
      </c>
      <c r="Q252" s="1">
        <v>43852</v>
      </c>
      <c r="R252" t="s">
        <v>48</v>
      </c>
      <c r="S252" t="s">
        <v>62</v>
      </c>
      <c r="T252" t="s">
        <v>63</v>
      </c>
      <c r="U252" t="s">
        <v>42</v>
      </c>
      <c r="V252">
        <v>0</v>
      </c>
      <c r="W252">
        <v>100000</v>
      </c>
      <c r="X252" s="1">
        <v>43982</v>
      </c>
      <c r="Y252" t="s">
        <v>51</v>
      </c>
      <c r="Z252" t="s">
        <v>43</v>
      </c>
      <c r="AA252" t="s">
        <v>41</v>
      </c>
      <c r="AB252" t="s">
        <v>52</v>
      </c>
      <c r="AC252" t="s">
        <v>53</v>
      </c>
      <c r="AF252" t="s">
        <v>58</v>
      </c>
      <c r="AG252" s="1">
        <v>43837</v>
      </c>
      <c r="AH252" t="s">
        <v>42</v>
      </c>
      <c r="AI252" t="s">
        <v>55</v>
      </c>
      <c r="AJ252">
        <v>12788092</v>
      </c>
      <c r="AK252">
        <v>250000</v>
      </c>
      <c r="AL252">
        <v>1500000</v>
      </c>
    </row>
    <row r="253" spans="1:38" x14ac:dyDescent="0.25">
      <c r="A253" t="s">
        <v>173</v>
      </c>
      <c r="B253" t="s">
        <v>174</v>
      </c>
      <c r="C253" t="s">
        <v>40</v>
      </c>
      <c r="D253" s="1">
        <v>43332</v>
      </c>
      <c r="E253" s="1">
        <v>43696</v>
      </c>
      <c r="F253" t="s">
        <v>41</v>
      </c>
      <c r="G253">
        <v>1</v>
      </c>
      <c r="H253" t="s">
        <v>42</v>
      </c>
      <c r="I253" t="s">
        <v>43</v>
      </c>
      <c r="J253" t="s">
        <v>41</v>
      </c>
      <c r="K253" t="s">
        <v>44</v>
      </c>
      <c r="L253">
        <v>3300</v>
      </c>
      <c r="M253" s="1">
        <v>43332</v>
      </c>
      <c r="N253" t="s">
        <v>45</v>
      </c>
      <c r="O253" t="s">
        <v>46</v>
      </c>
      <c r="P253" t="s">
        <v>47</v>
      </c>
      <c r="Q253" s="1">
        <v>43852</v>
      </c>
      <c r="R253" t="s">
        <v>48</v>
      </c>
      <c r="S253" t="s">
        <v>62</v>
      </c>
      <c r="T253" t="s">
        <v>63</v>
      </c>
      <c r="U253" t="s">
        <v>42</v>
      </c>
      <c r="V253">
        <v>0</v>
      </c>
      <c r="W253">
        <v>100000</v>
      </c>
      <c r="X253" s="1">
        <v>43982</v>
      </c>
      <c r="Y253" t="s">
        <v>51</v>
      </c>
      <c r="Z253" t="s">
        <v>43</v>
      </c>
      <c r="AA253" t="s">
        <v>41</v>
      </c>
      <c r="AB253" t="s">
        <v>52</v>
      </c>
      <c r="AC253" t="s">
        <v>53</v>
      </c>
      <c r="AF253" t="s">
        <v>59</v>
      </c>
      <c r="AG253" s="1">
        <v>43838</v>
      </c>
      <c r="AH253" t="s">
        <v>42</v>
      </c>
      <c r="AI253" t="s">
        <v>55</v>
      </c>
      <c r="AJ253">
        <v>12788092</v>
      </c>
      <c r="AK253">
        <v>250000</v>
      </c>
      <c r="AL253">
        <v>1500000</v>
      </c>
    </row>
    <row r="254" spans="1:38" x14ac:dyDescent="0.25">
      <c r="A254" t="s">
        <v>173</v>
      </c>
      <c r="B254" t="s">
        <v>174</v>
      </c>
      <c r="C254" t="s">
        <v>40</v>
      </c>
      <c r="D254" s="1">
        <v>43332</v>
      </c>
      <c r="E254" s="1">
        <v>43696</v>
      </c>
      <c r="F254" t="s">
        <v>41</v>
      </c>
      <c r="G254">
        <v>1</v>
      </c>
      <c r="H254" t="s">
        <v>42</v>
      </c>
      <c r="I254" t="s">
        <v>43</v>
      </c>
      <c r="J254" t="s">
        <v>41</v>
      </c>
      <c r="K254" t="s">
        <v>44</v>
      </c>
      <c r="L254">
        <v>3300</v>
      </c>
      <c r="M254" s="1">
        <v>43332</v>
      </c>
      <c r="N254" t="s">
        <v>45</v>
      </c>
      <c r="O254" t="s">
        <v>46</v>
      </c>
      <c r="P254" t="s">
        <v>47</v>
      </c>
      <c r="Q254" s="1">
        <v>43852</v>
      </c>
      <c r="R254" t="s">
        <v>48</v>
      </c>
      <c r="S254" t="s">
        <v>64</v>
      </c>
      <c r="T254" t="s">
        <v>65</v>
      </c>
      <c r="U254" t="s">
        <v>42</v>
      </c>
      <c r="V254">
        <v>0</v>
      </c>
      <c r="W254">
        <v>100000</v>
      </c>
      <c r="X254" s="1">
        <v>43921</v>
      </c>
      <c r="Y254" t="s">
        <v>51</v>
      </c>
      <c r="Z254" t="s">
        <v>43</v>
      </c>
      <c r="AA254" t="s">
        <v>41</v>
      </c>
      <c r="AB254" t="s">
        <v>52</v>
      </c>
      <c r="AC254" t="s">
        <v>53</v>
      </c>
      <c r="AF254" t="s">
        <v>54</v>
      </c>
      <c r="AG254" s="1">
        <v>43832</v>
      </c>
      <c r="AH254" t="s">
        <v>42</v>
      </c>
      <c r="AI254" t="s">
        <v>55</v>
      </c>
      <c r="AJ254">
        <v>12788092</v>
      </c>
      <c r="AK254">
        <v>250000</v>
      </c>
      <c r="AL254">
        <v>1500000</v>
      </c>
    </row>
    <row r="255" spans="1:38" x14ac:dyDescent="0.25">
      <c r="A255" t="s">
        <v>173</v>
      </c>
      <c r="B255" t="s">
        <v>174</v>
      </c>
      <c r="C255" t="s">
        <v>40</v>
      </c>
      <c r="D255" s="1">
        <v>43332</v>
      </c>
      <c r="E255" s="1">
        <v>43696</v>
      </c>
      <c r="F255" t="s">
        <v>41</v>
      </c>
      <c r="G255">
        <v>1</v>
      </c>
      <c r="H255" t="s">
        <v>42</v>
      </c>
      <c r="I255" t="s">
        <v>43</v>
      </c>
      <c r="J255" t="s">
        <v>41</v>
      </c>
      <c r="K255" t="s">
        <v>44</v>
      </c>
      <c r="L255">
        <v>3300</v>
      </c>
      <c r="M255" s="1">
        <v>43332</v>
      </c>
      <c r="N255" t="s">
        <v>45</v>
      </c>
      <c r="O255" t="s">
        <v>46</v>
      </c>
      <c r="P255" t="s">
        <v>47</v>
      </c>
      <c r="Q255" s="1">
        <v>43852</v>
      </c>
      <c r="R255" t="s">
        <v>48</v>
      </c>
      <c r="S255" t="s">
        <v>64</v>
      </c>
      <c r="T255" t="s">
        <v>65</v>
      </c>
      <c r="U255" t="s">
        <v>42</v>
      </c>
      <c r="V255">
        <v>0</v>
      </c>
      <c r="W255">
        <v>100000</v>
      </c>
      <c r="X255" s="1">
        <v>43921</v>
      </c>
      <c r="Y255" t="s">
        <v>51</v>
      </c>
      <c r="Z255" t="s">
        <v>43</v>
      </c>
      <c r="AA255" t="s">
        <v>41</v>
      </c>
      <c r="AB255" t="s">
        <v>52</v>
      </c>
      <c r="AC255" t="s">
        <v>53</v>
      </c>
      <c r="AF255" t="s">
        <v>56</v>
      </c>
      <c r="AG255" s="1">
        <v>43833</v>
      </c>
      <c r="AH255" t="s">
        <v>42</v>
      </c>
      <c r="AI255" t="s">
        <v>55</v>
      </c>
      <c r="AJ255">
        <v>12788092</v>
      </c>
      <c r="AK255">
        <v>250000</v>
      </c>
      <c r="AL255">
        <v>1500000</v>
      </c>
    </row>
    <row r="256" spans="1:38" x14ac:dyDescent="0.25">
      <c r="A256" t="s">
        <v>173</v>
      </c>
      <c r="B256" t="s">
        <v>174</v>
      </c>
      <c r="C256" t="s">
        <v>40</v>
      </c>
      <c r="D256" s="1">
        <v>43332</v>
      </c>
      <c r="E256" s="1">
        <v>43696</v>
      </c>
      <c r="F256" t="s">
        <v>41</v>
      </c>
      <c r="G256">
        <v>1</v>
      </c>
      <c r="H256" t="s">
        <v>42</v>
      </c>
      <c r="I256" t="s">
        <v>43</v>
      </c>
      <c r="J256" t="s">
        <v>41</v>
      </c>
      <c r="K256" t="s">
        <v>44</v>
      </c>
      <c r="L256">
        <v>3300</v>
      </c>
      <c r="M256" s="1">
        <v>43332</v>
      </c>
      <c r="N256" t="s">
        <v>45</v>
      </c>
      <c r="O256" t="s">
        <v>46</v>
      </c>
      <c r="P256" t="s">
        <v>47</v>
      </c>
      <c r="Q256" s="1">
        <v>43852</v>
      </c>
      <c r="R256" t="s">
        <v>48</v>
      </c>
      <c r="S256" t="s">
        <v>64</v>
      </c>
      <c r="T256" t="s">
        <v>65</v>
      </c>
      <c r="U256" t="s">
        <v>42</v>
      </c>
      <c r="V256">
        <v>0</v>
      </c>
      <c r="W256">
        <v>100000</v>
      </c>
      <c r="X256" s="1">
        <v>43921</v>
      </c>
      <c r="Y256" t="s">
        <v>51</v>
      </c>
      <c r="Z256" t="s">
        <v>43</v>
      </c>
      <c r="AA256" t="s">
        <v>41</v>
      </c>
      <c r="AB256" t="s">
        <v>52</v>
      </c>
      <c r="AC256" t="s">
        <v>53</v>
      </c>
      <c r="AF256" t="s">
        <v>57</v>
      </c>
      <c r="AG256" s="1">
        <v>43836</v>
      </c>
      <c r="AH256" t="s">
        <v>42</v>
      </c>
      <c r="AI256" t="s">
        <v>55</v>
      </c>
      <c r="AJ256">
        <v>12788092</v>
      </c>
      <c r="AK256">
        <v>250000</v>
      </c>
      <c r="AL256">
        <v>1500000</v>
      </c>
    </row>
    <row r="257" spans="1:38" x14ac:dyDescent="0.25">
      <c r="A257" t="s">
        <v>173</v>
      </c>
      <c r="B257" t="s">
        <v>174</v>
      </c>
      <c r="C257" t="s">
        <v>40</v>
      </c>
      <c r="D257" s="1">
        <v>43332</v>
      </c>
      <c r="E257" s="1">
        <v>43696</v>
      </c>
      <c r="F257" t="s">
        <v>41</v>
      </c>
      <c r="G257">
        <v>1</v>
      </c>
      <c r="H257" t="s">
        <v>42</v>
      </c>
      <c r="I257" t="s">
        <v>43</v>
      </c>
      <c r="J257" t="s">
        <v>41</v>
      </c>
      <c r="K257" t="s">
        <v>44</v>
      </c>
      <c r="L257">
        <v>3300</v>
      </c>
      <c r="M257" s="1">
        <v>43332</v>
      </c>
      <c r="N257" t="s">
        <v>45</v>
      </c>
      <c r="O257" t="s">
        <v>46</v>
      </c>
      <c r="P257" t="s">
        <v>47</v>
      </c>
      <c r="Q257" s="1">
        <v>43852</v>
      </c>
      <c r="R257" t="s">
        <v>48</v>
      </c>
      <c r="S257" t="s">
        <v>64</v>
      </c>
      <c r="T257" t="s">
        <v>65</v>
      </c>
      <c r="U257" t="s">
        <v>42</v>
      </c>
      <c r="V257">
        <v>0</v>
      </c>
      <c r="W257">
        <v>100000</v>
      </c>
      <c r="X257" s="1">
        <v>43921</v>
      </c>
      <c r="Y257" t="s">
        <v>51</v>
      </c>
      <c r="Z257" t="s">
        <v>43</v>
      </c>
      <c r="AA257" t="s">
        <v>41</v>
      </c>
      <c r="AB257" t="s">
        <v>52</v>
      </c>
      <c r="AC257" t="s">
        <v>53</v>
      </c>
      <c r="AF257" t="s">
        <v>58</v>
      </c>
      <c r="AG257" s="1">
        <v>43837</v>
      </c>
      <c r="AH257" t="s">
        <v>42</v>
      </c>
      <c r="AI257" t="s">
        <v>55</v>
      </c>
      <c r="AJ257">
        <v>12788092</v>
      </c>
      <c r="AK257">
        <v>250000</v>
      </c>
      <c r="AL257">
        <v>1500000</v>
      </c>
    </row>
    <row r="258" spans="1:38" x14ac:dyDescent="0.25">
      <c r="A258" t="s">
        <v>173</v>
      </c>
      <c r="B258" t="s">
        <v>174</v>
      </c>
      <c r="C258" t="s">
        <v>40</v>
      </c>
      <c r="D258" s="1">
        <v>43332</v>
      </c>
      <c r="E258" s="1">
        <v>43696</v>
      </c>
      <c r="F258" t="s">
        <v>41</v>
      </c>
      <c r="G258">
        <v>1</v>
      </c>
      <c r="H258" t="s">
        <v>42</v>
      </c>
      <c r="I258" t="s">
        <v>43</v>
      </c>
      <c r="J258" t="s">
        <v>41</v>
      </c>
      <c r="K258" t="s">
        <v>44</v>
      </c>
      <c r="L258">
        <v>3300</v>
      </c>
      <c r="M258" s="1">
        <v>43332</v>
      </c>
      <c r="N258" t="s">
        <v>45</v>
      </c>
      <c r="O258" t="s">
        <v>46</v>
      </c>
      <c r="P258" t="s">
        <v>47</v>
      </c>
      <c r="Q258" s="1">
        <v>43852</v>
      </c>
      <c r="R258" t="s">
        <v>48</v>
      </c>
      <c r="S258" t="s">
        <v>64</v>
      </c>
      <c r="T258" t="s">
        <v>65</v>
      </c>
      <c r="U258" t="s">
        <v>42</v>
      </c>
      <c r="V258">
        <v>0</v>
      </c>
      <c r="W258">
        <v>100000</v>
      </c>
      <c r="X258" s="1">
        <v>43921</v>
      </c>
      <c r="Y258" t="s">
        <v>51</v>
      </c>
      <c r="Z258" t="s">
        <v>43</v>
      </c>
      <c r="AA258" t="s">
        <v>41</v>
      </c>
      <c r="AB258" t="s">
        <v>52</v>
      </c>
      <c r="AC258" t="s">
        <v>53</v>
      </c>
      <c r="AF258" t="s">
        <v>59</v>
      </c>
      <c r="AG258" s="1">
        <v>43838</v>
      </c>
      <c r="AH258" t="s">
        <v>42</v>
      </c>
      <c r="AI258" t="s">
        <v>55</v>
      </c>
      <c r="AJ258">
        <v>12788092</v>
      </c>
      <c r="AK258">
        <v>250000</v>
      </c>
      <c r="AL258">
        <v>1500000</v>
      </c>
    </row>
    <row r="259" spans="1:38" x14ac:dyDescent="0.25">
      <c r="A259" t="s">
        <v>175</v>
      </c>
      <c r="B259" t="s">
        <v>176</v>
      </c>
      <c r="C259" t="s">
        <v>40</v>
      </c>
      <c r="D259" s="1">
        <v>43354</v>
      </c>
      <c r="E259" s="1">
        <v>43718</v>
      </c>
      <c r="F259" t="s">
        <v>41</v>
      </c>
      <c r="G259">
        <v>1</v>
      </c>
      <c r="H259" t="s">
        <v>42</v>
      </c>
      <c r="I259" t="s">
        <v>43</v>
      </c>
      <c r="J259" t="s">
        <v>41</v>
      </c>
      <c r="K259" t="s">
        <v>44</v>
      </c>
      <c r="L259">
        <v>1072.5</v>
      </c>
      <c r="M259" s="1">
        <v>43354</v>
      </c>
      <c r="N259" t="s">
        <v>45</v>
      </c>
      <c r="O259" t="s">
        <v>46</v>
      </c>
      <c r="P259" t="s">
        <v>47</v>
      </c>
      <c r="Q259" s="1">
        <v>43852</v>
      </c>
      <c r="R259" t="s">
        <v>48</v>
      </c>
      <c r="S259" t="s">
        <v>49</v>
      </c>
      <c r="T259" t="s">
        <v>50</v>
      </c>
      <c r="U259" t="s">
        <v>42</v>
      </c>
      <c r="V259">
        <v>0</v>
      </c>
      <c r="W259">
        <v>100000</v>
      </c>
      <c r="X259" s="1">
        <v>44012</v>
      </c>
      <c r="Y259" t="s">
        <v>51</v>
      </c>
      <c r="Z259" t="s">
        <v>43</v>
      </c>
      <c r="AA259" t="s">
        <v>41</v>
      </c>
      <c r="AB259" t="s">
        <v>52</v>
      </c>
      <c r="AC259" t="s">
        <v>53</v>
      </c>
      <c r="AF259" t="s">
        <v>54</v>
      </c>
      <c r="AG259" s="1">
        <v>43832</v>
      </c>
      <c r="AH259" t="s">
        <v>42</v>
      </c>
      <c r="AI259" t="s">
        <v>55</v>
      </c>
      <c r="AJ259">
        <v>12788092</v>
      </c>
      <c r="AK259">
        <v>250000</v>
      </c>
      <c r="AL259">
        <v>1500000</v>
      </c>
    </row>
    <row r="260" spans="1:38" x14ac:dyDescent="0.25">
      <c r="A260" t="s">
        <v>175</v>
      </c>
      <c r="B260" t="s">
        <v>176</v>
      </c>
      <c r="C260" t="s">
        <v>40</v>
      </c>
      <c r="D260" s="1">
        <v>43354</v>
      </c>
      <c r="E260" s="1">
        <v>43718</v>
      </c>
      <c r="F260" t="s">
        <v>41</v>
      </c>
      <c r="G260">
        <v>1</v>
      </c>
      <c r="H260" t="s">
        <v>42</v>
      </c>
      <c r="I260" t="s">
        <v>43</v>
      </c>
      <c r="J260" t="s">
        <v>41</v>
      </c>
      <c r="K260" t="s">
        <v>44</v>
      </c>
      <c r="L260">
        <v>1072.5</v>
      </c>
      <c r="M260" s="1">
        <v>43354</v>
      </c>
      <c r="N260" t="s">
        <v>45</v>
      </c>
      <c r="O260" t="s">
        <v>46</v>
      </c>
      <c r="P260" t="s">
        <v>47</v>
      </c>
      <c r="Q260" s="1">
        <v>43852</v>
      </c>
      <c r="R260" t="s">
        <v>48</v>
      </c>
      <c r="S260" t="s">
        <v>49</v>
      </c>
      <c r="T260" t="s">
        <v>50</v>
      </c>
      <c r="U260" t="s">
        <v>42</v>
      </c>
      <c r="V260">
        <v>0</v>
      </c>
      <c r="W260">
        <v>100000</v>
      </c>
      <c r="X260" s="1">
        <v>44012</v>
      </c>
      <c r="Y260" t="s">
        <v>51</v>
      </c>
      <c r="Z260" t="s">
        <v>43</v>
      </c>
      <c r="AA260" t="s">
        <v>41</v>
      </c>
      <c r="AB260" t="s">
        <v>52</v>
      </c>
      <c r="AC260" t="s">
        <v>53</v>
      </c>
      <c r="AF260" t="s">
        <v>56</v>
      </c>
      <c r="AG260" s="1">
        <v>43833</v>
      </c>
      <c r="AH260" t="s">
        <v>42</v>
      </c>
      <c r="AI260" t="s">
        <v>55</v>
      </c>
      <c r="AJ260">
        <v>12788092</v>
      </c>
      <c r="AK260">
        <v>250000</v>
      </c>
      <c r="AL260">
        <v>1500000</v>
      </c>
    </row>
    <row r="261" spans="1:38" x14ac:dyDescent="0.25">
      <c r="A261" t="s">
        <v>175</v>
      </c>
      <c r="B261" t="s">
        <v>176</v>
      </c>
      <c r="C261" t="s">
        <v>40</v>
      </c>
      <c r="D261" s="1">
        <v>43354</v>
      </c>
      <c r="E261" s="1">
        <v>43718</v>
      </c>
      <c r="F261" t="s">
        <v>41</v>
      </c>
      <c r="G261">
        <v>1</v>
      </c>
      <c r="H261" t="s">
        <v>42</v>
      </c>
      <c r="I261" t="s">
        <v>43</v>
      </c>
      <c r="J261" t="s">
        <v>41</v>
      </c>
      <c r="K261" t="s">
        <v>44</v>
      </c>
      <c r="L261">
        <v>1072.5</v>
      </c>
      <c r="M261" s="1">
        <v>43354</v>
      </c>
      <c r="N261" t="s">
        <v>45</v>
      </c>
      <c r="O261" t="s">
        <v>46</v>
      </c>
      <c r="P261" t="s">
        <v>47</v>
      </c>
      <c r="Q261" s="1">
        <v>43852</v>
      </c>
      <c r="R261" t="s">
        <v>48</v>
      </c>
      <c r="S261" t="s">
        <v>49</v>
      </c>
      <c r="T261" t="s">
        <v>50</v>
      </c>
      <c r="U261" t="s">
        <v>42</v>
      </c>
      <c r="V261">
        <v>0</v>
      </c>
      <c r="W261">
        <v>100000</v>
      </c>
      <c r="X261" s="1">
        <v>44012</v>
      </c>
      <c r="Y261" t="s">
        <v>51</v>
      </c>
      <c r="Z261" t="s">
        <v>43</v>
      </c>
      <c r="AA261" t="s">
        <v>41</v>
      </c>
      <c r="AB261" t="s">
        <v>52</v>
      </c>
      <c r="AC261" t="s">
        <v>53</v>
      </c>
      <c r="AF261" t="s">
        <v>57</v>
      </c>
      <c r="AG261" s="1">
        <v>43836</v>
      </c>
      <c r="AH261" t="s">
        <v>42</v>
      </c>
      <c r="AI261" t="s">
        <v>55</v>
      </c>
      <c r="AJ261">
        <v>12788092</v>
      </c>
      <c r="AK261">
        <v>250000</v>
      </c>
      <c r="AL261">
        <v>1500000</v>
      </c>
    </row>
    <row r="262" spans="1:38" x14ac:dyDescent="0.25">
      <c r="A262" t="s">
        <v>175</v>
      </c>
      <c r="B262" t="s">
        <v>176</v>
      </c>
      <c r="C262" t="s">
        <v>40</v>
      </c>
      <c r="D262" s="1">
        <v>43354</v>
      </c>
      <c r="E262" s="1">
        <v>43718</v>
      </c>
      <c r="F262" t="s">
        <v>41</v>
      </c>
      <c r="G262">
        <v>1</v>
      </c>
      <c r="H262" t="s">
        <v>42</v>
      </c>
      <c r="I262" t="s">
        <v>43</v>
      </c>
      <c r="J262" t="s">
        <v>41</v>
      </c>
      <c r="K262" t="s">
        <v>44</v>
      </c>
      <c r="L262">
        <v>1072.5</v>
      </c>
      <c r="M262" s="1">
        <v>43354</v>
      </c>
      <c r="N262" t="s">
        <v>45</v>
      </c>
      <c r="O262" t="s">
        <v>46</v>
      </c>
      <c r="P262" t="s">
        <v>47</v>
      </c>
      <c r="Q262" s="1">
        <v>43852</v>
      </c>
      <c r="R262" t="s">
        <v>48</v>
      </c>
      <c r="S262" t="s">
        <v>49</v>
      </c>
      <c r="T262" t="s">
        <v>50</v>
      </c>
      <c r="U262" t="s">
        <v>42</v>
      </c>
      <c r="V262">
        <v>0</v>
      </c>
      <c r="W262">
        <v>100000</v>
      </c>
      <c r="X262" s="1">
        <v>44012</v>
      </c>
      <c r="Y262" t="s">
        <v>51</v>
      </c>
      <c r="Z262" t="s">
        <v>43</v>
      </c>
      <c r="AA262" t="s">
        <v>41</v>
      </c>
      <c r="AB262" t="s">
        <v>52</v>
      </c>
      <c r="AC262" t="s">
        <v>53</v>
      </c>
      <c r="AF262" t="s">
        <v>58</v>
      </c>
      <c r="AG262" s="1">
        <v>43837</v>
      </c>
      <c r="AH262" t="s">
        <v>42</v>
      </c>
      <c r="AI262" t="s">
        <v>55</v>
      </c>
      <c r="AJ262">
        <v>12788092</v>
      </c>
      <c r="AK262">
        <v>250000</v>
      </c>
      <c r="AL262">
        <v>1500000</v>
      </c>
    </row>
    <row r="263" spans="1:38" x14ac:dyDescent="0.25">
      <c r="A263" t="s">
        <v>175</v>
      </c>
      <c r="B263" t="s">
        <v>176</v>
      </c>
      <c r="C263" t="s">
        <v>40</v>
      </c>
      <c r="D263" s="1">
        <v>43354</v>
      </c>
      <c r="E263" s="1">
        <v>43718</v>
      </c>
      <c r="F263" t="s">
        <v>41</v>
      </c>
      <c r="G263">
        <v>1</v>
      </c>
      <c r="H263" t="s">
        <v>42</v>
      </c>
      <c r="I263" t="s">
        <v>43</v>
      </c>
      <c r="J263" t="s">
        <v>41</v>
      </c>
      <c r="K263" t="s">
        <v>44</v>
      </c>
      <c r="L263">
        <v>1072.5</v>
      </c>
      <c r="M263" s="1">
        <v>43354</v>
      </c>
      <c r="N263" t="s">
        <v>45</v>
      </c>
      <c r="O263" t="s">
        <v>46</v>
      </c>
      <c r="P263" t="s">
        <v>47</v>
      </c>
      <c r="Q263" s="1">
        <v>43852</v>
      </c>
      <c r="R263" t="s">
        <v>48</v>
      </c>
      <c r="S263" t="s">
        <v>49</v>
      </c>
      <c r="T263" t="s">
        <v>50</v>
      </c>
      <c r="U263" t="s">
        <v>42</v>
      </c>
      <c r="V263">
        <v>0</v>
      </c>
      <c r="W263">
        <v>100000</v>
      </c>
      <c r="X263" s="1">
        <v>44012</v>
      </c>
      <c r="Y263" t="s">
        <v>51</v>
      </c>
      <c r="Z263" t="s">
        <v>43</v>
      </c>
      <c r="AA263" t="s">
        <v>41</v>
      </c>
      <c r="AB263" t="s">
        <v>52</v>
      </c>
      <c r="AC263" t="s">
        <v>53</v>
      </c>
      <c r="AF263" t="s">
        <v>59</v>
      </c>
      <c r="AG263" s="1">
        <v>43838</v>
      </c>
      <c r="AH263" t="s">
        <v>42</v>
      </c>
      <c r="AI263" t="s">
        <v>55</v>
      </c>
      <c r="AJ263">
        <v>12788092</v>
      </c>
      <c r="AK263">
        <v>250000</v>
      </c>
      <c r="AL263">
        <v>1500000</v>
      </c>
    </row>
    <row r="264" spans="1:38" x14ac:dyDescent="0.25">
      <c r="A264" t="s">
        <v>175</v>
      </c>
      <c r="B264" t="s">
        <v>176</v>
      </c>
      <c r="C264" t="s">
        <v>40</v>
      </c>
      <c r="D264" s="1">
        <v>43354</v>
      </c>
      <c r="E264" s="1">
        <v>43718</v>
      </c>
      <c r="F264" t="s">
        <v>41</v>
      </c>
      <c r="G264">
        <v>1</v>
      </c>
      <c r="H264" t="s">
        <v>42</v>
      </c>
      <c r="I264" t="s">
        <v>43</v>
      </c>
      <c r="J264" t="s">
        <v>41</v>
      </c>
      <c r="K264" t="s">
        <v>44</v>
      </c>
      <c r="L264">
        <v>1072.5</v>
      </c>
      <c r="M264" s="1">
        <v>43354</v>
      </c>
      <c r="N264" t="s">
        <v>45</v>
      </c>
      <c r="O264" t="s">
        <v>46</v>
      </c>
      <c r="P264" t="s">
        <v>47</v>
      </c>
      <c r="Q264" s="1">
        <v>43852</v>
      </c>
      <c r="R264" t="s">
        <v>48</v>
      </c>
      <c r="S264" t="s">
        <v>60</v>
      </c>
      <c r="T264" t="s">
        <v>61</v>
      </c>
      <c r="U264" t="s">
        <v>42</v>
      </c>
      <c r="V264">
        <v>0</v>
      </c>
      <c r="W264">
        <v>100000</v>
      </c>
      <c r="X264" s="1">
        <v>43921</v>
      </c>
      <c r="Y264" t="s">
        <v>51</v>
      </c>
      <c r="Z264" t="s">
        <v>43</v>
      </c>
      <c r="AA264" t="s">
        <v>41</v>
      </c>
      <c r="AB264" t="s">
        <v>52</v>
      </c>
      <c r="AC264" t="s">
        <v>53</v>
      </c>
      <c r="AF264" t="s">
        <v>54</v>
      </c>
      <c r="AG264" s="1">
        <v>43832</v>
      </c>
      <c r="AH264" t="s">
        <v>42</v>
      </c>
      <c r="AI264" t="s">
        <v>55</v>
      </c>
      <c r="AJ264">
        <v>12788092</v>
      </c>
      <c r="AK264">
        <v>250000</v>
      </c>
      <c r="AL264">
        <v>1500000</v>
      </c>
    </row>
    <row r="265" spans="1:38" x14ac:dyDescent="0.25">
      <c r="A265" t="s">
        <v>175</v>
      </c>
      <c r="B265" t="s">
        <v>176</v>
      </c>
      <c r="C265" t="s">
        <v>40</v>
      </c>
      <c r="D265" s="1">
        <v>43354</v>
      </c>
      <c r="E265" s="1">
        <v>43718</v>
      </c>
      <c r="F265" t="s">
        <v>41</v>
      </c>
      <c r="G265">
        <v>1</v>
      </c>
      <c r="H265" t="s">
        <v>42</v>
      </c>
      <c r="I265" t="s">
        <v>43</v>
      </c>
      <c r="J265" t="s">
        <v>41</v>
      </c>
      <c r="K265" t="s">
        <v>44</v>
      </c>
      <c r="L265">
        <v>1072.5</v>
      </c>
      <c r="M265" s="1">
        <v>43354</v>
      </c>
      <c r="N265" t="s">
        <v>45</v>
      </c>
      <c r="O265" t="s">
        <v>46</v>
      </c>
      <c r="P265" t="s">
        <v>47</v>
      </c>
      <c r="Q265" s="1">
        <v>43852</v>
      </c>
      <c r="R265" t="s">
        <v>48</v>
      </c>
      <c r="S265" t="s">
        <v>60</v>
      </c>
      <c r="T265" t="s">
        <v>61</v>
      </c>
      <c r="U265" t="s">
        <v>42</v>
      </c>
      <c r="V265">
        <v>0</v>
      </c>
      <c r="W265">
        <v>100000</v>
      </c>
      <c r="X265" s="1">
        <v>43921</v>
      </c>
      <c r="Y265" t="s">
        <v>51</v>
      </c>
      <c r="Z265" t="s">
        <v>43</v>
      </c>
      <c r="AA265" t="s">
        <v>41</v>
      </c>
      <c r="AB265" t="s">
        <v>52</v>
      </c>
      <c r="AC265" t="s">
        <v>53</v>
      </c>
      <c r="AF265" t="s">
        <v>56</v>
      </c>
      <c r="AG265" s="1">
        <v>43833</v>
      </c>
      <c r="AH265" t="s">
        <v>42</v>
      </c>
      <c r="AI265" t="s">
        <v>55</v>
      </c>
      <c r="AJ265">
        <v>12788092</v>
      </c>
      <c r="AK265">
        <v>250000</v>
      </c>
      <c r="AL265">
        <v>1500000</v>
      </c>
    </row>
    <row r="266" spans="1:38" x14ac:dyDescent="0.25">
      <c r="A266" t="s">
        <v>175</v>
      </c>
      <c r="B266" t="s">
        <v>176</v>
      </c>
      <c r="C266" t="s">
        <v>40</v>
      </c>
      <c r="D266" s="1">
        <v>43354</v>
      </c>
      <c r="E266" s="1">
        <v>43718</v>
      </c>
      <c r="F266" t="s">
        <v>41</v>
      </c>
      <c r="G266">
        <v>1</v>
      </c>
      <c r="H266" t="s">
        <v>42</v>
      </c>
      <c r="I266" t="s">
        <v>43</v>
      </c>
      <c r="J266" t="s">
        <v>41</v>
      </c>
      <c r="K266" t="s">
        <v>44</v>
      </c>
      <c r="L266">
        <v>1072.5</v>
      </c>
      <c r="M266" s="1">
        <v>43354</v>
      </c>
      <c r="N266" t="s">
        <v>45</v>
      </c>
      <c r="O266" t="s">
        <v>46</v>
      </c>
      <c r="P266" t="s">
        <v>47</v>
      </c>
      <c r="Q266" s="1">
        <v>43852</v>
      </c>
      <c r="R266" t="s">
        <v>48</v>
      </c>
      <c r="S266" t="s">
        <v>60</v>
      </c>
      <c r="T266" t="s">
        <v>61</v>
      </c>
      <c r="U266" t="s">
        <v>42</v>
      </c>
      <c r="V266">
        <v>0</v>
      </c>
      <c r="W266">
        <v>100000</v>
      </c>
      <c r="X266" s="1">
        <v>43921</v>
      </c>
      <c r="Y266" t="s">
        <v>51</v>
      </c>
      <c r="Z266" t="s">
        <v>43</v>
      </c>
      <c r="AA266" t="s">
        <v>41</v>
      </c>
      <c r="AB266" t="s">
        <v>52</v>
      </c>
      <c r="AC266" t="s">
        <v>53</v>
      </c>
      <c r="AF266" t="s">
        <v>57</v>
      </c>
      <c r="AG266" s="1">
        <v>43836</v>
      </c>
      <c r="AH266" t="s">
        <v>42</v>
      </c>
      <c r="AI266" t="s">
        <v>55</v>
      </c>
      <c r="AJ266">
        <v>12788092</v>
      </c>
      <c r="AK266">
        <v>250000</v>
      </c>
      <c r="AL266">
        <v>1500000</v>
      </c>
    </row>
    <row r="267" spans="1:38" x14ac:dyDescent="0.25">
      <c r="A267" t="s">
        <v>175</v>
      </c>
      <c r="B267" t="s">
        <v>176</v>
      </c>
      <c r="C267" t="s">
        <v>40</v>
      </c>
      <c r="D267" s="1">
        <v>43354</v>
      </c>
      <c r="E267" s="1">
        <v>43718</v>
      </c>
      <c r="F267" t="s">
        <v>41</v>
      </c>
      <c r="G267">
        <v>1</v>
      </c>
      <c r="H267" t="s">
        <v>42</v>
      </c>
      <c r="I267" t="s">
        <v>43</v>
      </c>
      <c r="J267" t="s">
        <v>41</v>
      </c>
      <c r="K267" t="s">
        <v>44</v>
      </c>
      <c r="L267">
        <v>1072.5</v>
      </c>
      <c r="M267" s="1">
        <v>43354</v>
      </c>
      <c r="N267" t="s">
        <v>45</v>
      </c>
      <c r="O267" t="s">
        <v>46</v>
      </c>
      <c r="P267" t="s">
        <v>47</v>
      </c>
      <c r="Q267" s="1">
        <v>43852</v>
      </c>
      <c r="R267" t="s">
        <v>48</v>
      </c>
      <c r="S267" t="s">
        <v>60</v>
      </c>
      <c r="T267" t="s">
        <v>61</v>
      </c>
      <c r="U267" t="s">
        <v>42</v>
      </c>
      <c r="V267">
        <v>0</v>
      </c>
      <c r="W267">
        <v>100000</v>
      </c>
      <c r="X267" s="1">
        <v>43921</v>
      </c>
      <c r="Y267" t="s">
        <v>51</v>
      </c>
      <c r="Z267" t="s">
        <v>43</v>
      </c>
      <c r="AA267" t="s">
        <v>41</v>
      </c>
      <c r="AB267" t="s">
        <v>52</v>
      </c>
      <c r="AC267" t="s">
        <v>53</v>
      </c>
      <c r="AF267" t="s">
        <v>58</v>
      </c>
      <c r="AG267" s="1">
        <v>43837</v>
      </c>
      <c r="AH267" t="s">
        <v>42</v>
      </c>
      <c r="AI267" t="s">
        <v>55</v>
      </c>
      <c r="AJ267">
        <v>12788092</v>
      </c>
      <c r="AK267">
        <v>250000</v>
      </c>
      <c r="AL267">
        <v>1500000</v>
      </c>
    </row>
    <row r="268" spans="1:38" x14ac:dyDescent="0.25">
      <c r="A268" t="s">
        <v>175</v>
      </c>
      <c r="B268" t="s">
        <v>176</v>
      </c>
      <c r="C268" t="s">
        <v>40</v>
      </c>
      <c r="D268" s="1">
        <v>43354</v>
      </c>
      <c r="E268" s="1">
        <v>43718</v>
      </c>
      <c r="F268" t="s">
        <v>41</v>
      </c>
      <c r="G268">
        <v>1</v>
      </c>
      <c r="H268" t="s">
        <v>42</v>
      </c>
      <c r="I268" t="s">
        <v>43</v>
      </c>
      <c r="J268" t="s">
        <v>41</v>
      </c>
      <c r="K268" t="s">
        <v>44</v>
      </c>
      <c r="L268">
        <v>1072.5</v>
      </c>
      <c r="M268" s="1">
        <v>43354</v>
      </c>
      <c r="N268" t="s">
        <v>45</v>
      </c>
      <c r="O268" t="s">
        <v>46</v>
      </c>
      <c r="P268" t="s">
        <v>47</v>
      </c>
      <c r="Q268" s="1">
        <v>43852</v>
      </c>
      <c r="R268" t="s">
        <v>48</v>
      </c>
      <c r="S268" t="s">
        <v>60</v>
      </c>
      <c r="T268" t="s">
        <v>61</v>
      </c>
      <c r="U268" t="s">
        <v>42</v>
      </c>
      <c r="V268">
        <v>0</v>
      </c>
      <c r="W268">
        <v>100000</v>
      </c>
      <c r="X268" s="1">
        <v>43921</v>
      </c>
      <c r="Y268" t="s">
        <v>51</v>
      </c>
      <c r="Z268" t="s">
        <v>43</v>
      </c>
      <c r="AA268" t="s">
        <v>41</v>
      </c>
      <c r="AB268" t="s">
        <v>52</v>
      </c>
      <c r="AC268" t="s">
        <v>53</v>
      </c>
      <c r="AF268" t="s">
        <v>59</v>
      </c>
      <c r="AG268" s="1">
        <v>43838</v>
      </c>
      <c r="AH268" t="s">
        <v>42</v>
      </c>
      <c r="AI268" t="s">
        <v>55</v>
      </c>
      <c r="AJ268">
        <v>12788092</v>
      </c>
      <c r="AK268">
        <v>250000</v>
      </c>
      <c r="AL268">
        <v>1500000</v>
      </c>
    </row>
    <row r="269" spans="1:38" x14ac:dyDescent="0.25">
      <c r="A269" t="s">
        <v>175</v>
      </c>
      <c r="B269" t="s">
        <v>176</v>
      </c>
      <c r="C269" t="s">
        <v>40</v>
      </c>
      <c r="D269" s="1">
        <v>43354</v>
      </c>
      <c r="E269" s="1">
        <v>43718</v>
      </c>
      <c r="F269" t="s">
        <v>41</v>
      </c>
      <c r="G269">
        <v>1</v>
      </c>
      <c r="H269" t="s">
        <v>42</v>
      </c>
      <c r="I269" t="s">
        <v>43</v>
      </c>
      <c r="J269" t="s">
        <v>41</v>
      </c>
      <c r="K269" t="s">
        <v>44</v>
      </c>
      <c r="L269">
        <v>1072.5</v>
      </c>
      <c r="M269" s="1">
        <v>43354</v>
      </c>
      <c r="N269" t="s">
        <v>45</v>
      </c>
      <c r="O269" t="s">
        <v>46</v>
      </c>
      <c r="P269" t="s">
        <v>47</v>
      </c>
      <c r="Q269" s="1">
        <v>43852</v>
      </c>
      <c r="R269" t="s">
        <v>48</v>
      </c>
      <c r="S269" t="s">
        <v>62</v>
      </c>
      <c r="T269" t="s">
        <v>63</v>
      </c>
      <c r="U269" t="s">
        <v>42</v>
      </c>
      <c r="V269">
        <v>0</v>
      </c>
      <c r="W269">
        <v>100000</v>
      </c>
      <c r="X269" s="1">
        <v>43982</v>
      </c>
      <c r="Y269" t="s">
        <v>51</v>
      </c>
      <c r="Z269" t="s">
        <v>43</v>
      </c>
      <c r="AA269" t="s">
        <v>41</v>
      </c>
      <c r="AB269" t="s">
        <v>52</v>
      </c>
      <c r="AC269" t="s">
        <v>53</v>
      </c>
      <c r="AF269" t="s">
        <v>54</v>
      </c>
      <c r="AG269" s="1">
        <v>43832</v>
      </c>
      <c r="AH269" t="s">
        <v>42</v>
      </c>
      <c r="AI269" t="s">
        <v>55</v>
      </c>
      <c r="AJ269">
        <v>12788092</v>
      </c>
      <c r="AK269">
        <v>250000</v>
      </c>
      <c r="AL269">
        <v>1500000</v>
      </c>
    </row>
    <row r="270" spans="1:38" x14ac:dyDescent="0.25">
      <c r="A270" t="s">
        <v>175</v>
      </c>
      <c r="B270" t="s">
        <v>176</v>
      </c>
      <c r="C270" t="s">
        <v>40</v>
      </c>
      <c r="D270" s="1">
        <v>43354</v>
      </c>
      <c r="E270" s="1">
        <v>43718</v>
      </c>
      <c r="F270" t="s">
        <v>41</v>
      </c>
      <c r="G270">
        <v>1</v>
      </c>
      <c r="H270" t="s">
        <v>42</v>
      </c>
      <c r="I270" t="s">
        <v>43</v>
      </c>
      <c r="J270" t="s">
        <v>41</v>
      </c>
      <c r="K270" t="s">
        <v>44</v>
      </c>
      <c r="L270">
        <v>1072.5</v>
      </c>
      <c r="M270" s="1">
        <v>43354</v>
      </c>
      <c r="N270" t="s">
        <v>45</v>
      </c>
      <c r="O270" t="s">
        <v>46</v>
      </c>
      <c r="P270" t="s">
        <v>47</v>
      </c>
      <c r="Q270" s="1">
        <v>43852</v>
      </c>
      <c r="R270" t="s">
        <v>48</v>
      </c>
      <c r="S270" t="s">
        <v>62</v>
      </c>
      <c r="T270" t="s">
        <v>63</v>
      </c>
      <c r="U270" t="s">
        <v>42</v>
      </c>
      <c r="V270">
        <v>0</v>
      </c>
      <c r="W270">
        <v>100000</v>
      </c>
      <c r="X270" s="1">
        <v>43982</v>
      </c>
      <c r="Y270" t="s">
        <v>51</v>
      </c>
      <c r="Z270" t="s">
        <v>43</v>
      </c>
      <c r="AA270" t="s">
        <v>41</v>
      </c>
      <c r="AB270" t="s">
        <v>52</v>
      </c>
      <c r="AC270" t="s">
        <v>53</v>
      </c>
      <c r="AF270" t="s">
        <v>56</v>
      </c>
      <c r="AG270" s="1">
        <v>43833</v>
      </c>
      <c r="AH270" t="s">
        <v>42</v>
      </c>
      <c r="AI270" t="s">
        <v>55</v>
      </c>
      <c r="AJ270">
        <v>12788092</v>
      </c>
      <c r="AK270">
        <v>250000</v>
      </c>
      <c r="AL270">
        <v>1500000</v>
      </c>
    </row>
    <row r="271" spans="1:38" x14ac:dyDescent="0.25">
      <c r="A271" t="s">
        <v>175</v>
      </c>
      <c r="B271" t="s">
        <v>176</v>
      </c>
      <c r="C271" t="s">
        <v>40</v>
      </c>
      <c r="D271" s="1">
        <v>43354</v>
      </c>
      <c r="E271" s="1">
        <v>43718</v>
      </c>
      <c r="F271" t="s">
        <v>41</v>
      </c>
      <c r="G271">
        <v>1</v>
      </c>
      <c r="H271" t="s">
        <v>42</v>
      </c>
      <c r="I271" t="s">
        <v>43</v>
      </c>
      <c r="J271" t="s">
        <v>41</v>
      </c>
      <c r="K271" t="s">
        <v>44</v>
      </c>
      <c r="L271">
        <v>1072.5</v>
      </c>
      <c r="M271" s="1">
        <v>43354</v>
      </c>
      <c r="N271" t="s">
        <v>45</v>
      </c>
      <c r="O271" t="s">
        <v>46</v>
      </c>
      <c r="P271" t="s">
        <v>47</v>
      </c>
      <c r="Q271" s="1">
        <v>43852</v>
      </c>
      <c r="R271" t="s">
        <v>48</v>
      </c>
      <c r="S271" t="s">
        <v>62</v>
      </c>
      <c r="T271" t="s">
        <v>63</v>
      </c>
      <c r="U271" t="s">
        <v>42</v>
      </c>
      <c r="V271">
        <v>0</v>
      </c>
      <c r="W271">
        <v>100000</v>
      </c>
      <c r="X271" s="1">
        <v>43982</v>
      </c>
      <c r="Y271" t="s">
        <v>51</v>
      </c>
      <c r="Z271" t="s">
        <v>43</v>
      </c>
      <c r="AA271" t="s">
        <v>41</v>
      </c>
      <c r="AB271" t="s">
        <v>52</v>
      </c>
      <c r="AC271" t="s">
        <v>53</v>
      </c>
      <c r="AF271" t="s">
        <v>57</v>
      </c>
      <c r="AG271" s="1">
        <v>43836</v>
      </c>
      <c r="AH271" t="s">
        <v>42</v>
      </c>
      <c r="AI271" t="s">
        <v>55</v>
      </c>
      <c r="AJ271">
        <v>12788092</v>
      </c>
      <c r="AK271">
        <v>250000</v>
      </c>
      <c r="AL271">
        <v>1500000</v>
      </c>
    </row>
    <row r="272" spans="1:38" x14ac:dyDescent="0.25">
      <c r="A272" t="s">
        <v>175</v>
      </c>
      <c r="B272" t="s">
        <v>176</v>
      </c>
      <c r="C272" t="s">
        <v>40</v>
      </c>
      <c r="D272" s="1">
        <v>43354</v>
      </c>
      <c r="E272" s="1">
        <v>43718</v>
      </c>
      <c r="F272" t="s">
        <v>41</v>
      </c>
      <c r="G272">
        <v>1</v>
      </c>
      <c r="H272" t="s">
        <v>42</v>
      </c>
      <c r="I272" t="s">
        <v>43</v>
      </c>
      <c r="J272" t="s">
        <v>41</v>
      </c>
      <c r="K272" t="s">
        <v>44</v>
      </c>
      <c r="L272">
        <v>1072.5</v>
      </c>
      <c r="M272" s="1">
        <v>43354</v>
      </c>
      <c r="N272" t="s">
        <v>45</v>
      </c>
      <c r="O272" t="s">
        <v>46</v>
      </c>
      <c r="P272" t="s">
        <v>47</v>
      </c>
      <c r="Q272" s="1">
        <v>43852</v>
      </c>
      <c r="R272" t="s">
        <v>48</v>
      </c>
      <c r="S272" t="s">
        <v>62</v>
      </c>
      <c r="T272" t="s">
        <v>63</v>
      </c>
      <c r="U272" t="s">
        <v>42</v>
      </c>
      <c r="V272">
        <v>0</v>
      </c>
      <c r="W272">
        <v>100000</v>
      </c>
      <c r="X272" s="1">
        <v>43982</v>
      </c>
      <c r="Y272" t="s">
        <v>51</v>
      </c>
      <c r="Z272" t="s">
        <v>43</v>
      </c>
      <c r="AA272" t="s">
        <v>41</v>
      </c>
      <c r="AB272" t="s">
        <v>52</v>
      </c>
      <c r="AC272" t="s">
        <v>53</v>
      </c>
      <c r="AF272" t="s">
        <v>58</v>
      </c>
      <c r="AG272" s="1">
        <v>43837</v>
      </c>
      <c r="AH272" t="s">
        <v>42</v>
      </c>
      <c r="AI272" t="s">
        <v>55</v>
      </c>
      <c r="AJ272">
        <v>12788092</v>
      </c>
      <c r="AK272">
        <v>250000</v>
      </c>
      <c r="AL272">
        <v>1500000</v>
      </c>
    </row>
    <row r="273" spans="1:38" x14ac:dyDescent="0.25">
      <c r="A273" t="s">
        <v>175</v>
      </c>
      <c r="B273" t="s">
        <v>176</v>
      </c>
      <c r="C273" t="s">
        <v>40</v>
      </c>
      <c r="D273" s="1">
        <v>43354</v>
      </c>
      <c r="E273" s="1">
        <v>43718</v>
      </c>
      <c r="F273" t="s">
        <v>41</v>
      </c>
      <c r="G273">
        <v>1</v>
      </c>
      <c r="H273" t="s">
        <v>42</v>
      </c>
      <c r="I273" t="s">
        <v>43</v>
      </c>
      <c r="J273" t="s">
        <v>41</v>
      </c>
      <c r="K273" t="s">
        <v>44</v>
      </c>
      <c r="L273">
        <v>1072.5</v>
      </c>
      <c r="M273" s="1">
        <v>43354</v>
      </c>
      <c r="N273" t="s">
        <v>45</v>
      </c>
      <c r="O273" t="s">
        <v>46</v>
      </c>
      <c r="P273" t="s">
        <v>47</v>
      </c>
      <c r="Q273" s="1">
        <v>43852</v>
      </c>
      <c r="R273" t="s">
        <v>48</v>
      </c>
      <c r="S273" t="s">
        <v>62</v>
      </c>
      <c r="T273" t="s">
        <v>63</v>
      </c>
      <c r="U273" t="s">
        <v>42</v>
      </c>
      <c r="V273">
        <v>0</v>
      </c>
      <c r="W273">
        <v>100000</v>
      </c>
      <c r="X273" s="1">
        <v>43982</v>
      </c>
      <c r="Y273" t="s">
        <v>51</v>
      </c>
      <c r="Z273" t="s">
        <v>43</v>
      </c>
      <c r="AA273" t="s">
        <v>41</v>
      </c>
      <c r="AB273" t="s">
        <v>52</v>
      </c>
      <c r="AC273" t="s">
        <v>53</v>
      </c>
      <c r="AF273" t="s">
        <v>59</v>
      </c>
      <c r="AG273" s="1">
        <v>43838</v>
      </c>
      <c r="AH273" t="s">
        <v>42</v>
      </c>
      <c r="AI273" t="s">
        <v>55</v>
      </c>
      <c r="AJ273">
        <v>12788092</v>
      </c>
      <c r="AK273">
        <v>250000</v>
      </c>
      <c r="AL273">
        <v>1500000</v>
      </c>
    </row>
    <row r="274" spans="1:38" x14ac:dyDescent="0.25">
      <c r="A274" t="s">
        <v>175</v>
      </c>
      <c r="B274" t="s">
        <v>176</v>
      </c>
      <c r="C274" t="s">
        <v>40</v>
      </c>
      <c r="D274" s="1">
        <v>43354</v>
      </c>
      <c r="E274" s="1">
        <v>43718</v>
      </c>
      <c r="F274" t="s">
        <v>41</v>
      </c>
      <c r="G274">
        <v>1</v>
      </c>
      <c r="H274" t="s">
        <v>42</v>
      </c>
      <c r="I274" t="s">
        <v>43</v>
      </c>
      <c r="J274" t="s">
        <v>41</v>
      </c>
      <c r="K274" t="s">
        <v>44</v>
      </c>
      <c r="L274">
        <v>1072.5</v>
      </c>
      <c r="M274" s="1">
        <v>43354</v>
      </c>
      <c r="N274" t="s">
        <v>45</v>
      </c>
      <c r="O274" t="s">
        <v>46</v>
      </c>
      <c r="P274" t="s">
        <v>47</v>
      </c>
      <c r="Q274" s="1">
        <v>43852</v>
      </c>
      <c r="R274" t="s">
        <v>48</v>
      </c>
      <c r="S274" t="s">
        <v>64</v>
      </c>
      <c r="T274" t="s">
        <v>65</v>
      </c>
      <c r="U274" t="s">
        <v>42</v>
      </c>
      <c r="V274">
        <v>0</v>
      </c>
      <c r="W274">
        <v>100000</v>
      </c>
      <c r="X274" s="1">
        <v>43921</v>
      </c>
      <c r="Y274" t="s">
        <v>51</v>
      </c>
      <c r="Z274" t="s">
        <v>43</v>
      </c>
      <c r="AA274" t="s">
        <v>41</v>
      </c>
      <c r="AB274" t="s">
        <v>52</v>
      </c>
      <c r="AC274" t="s">
        <v>53</v>
      </c>
      <c r="AF274" t="s">
        <v>54</v>
      </c>
      <c r="AG274" s="1">
        <v>43832</v>
      </c>
      <c r="AH274" t="s">
        <v>42</v>
      </c>
      <c r="AI274" t="s">
        <v>55</v>
      </c>
      <c r="AJ274">
        <v>12788092</v>
      </c>
      <c r="AK274">
        <v>250000</v>
      </c>
      <c r="AL274">
        <v>1500000</v>
      </c>
    </row>
    <row r="275" spans="1:38" x14ac:dyDescent="0.25">
      <c r="A275" t="s">
        <v>175</v>
      </c>
      <c r="B275" t="s">
        <v>176</v>
      </c>
      <c r="C275" t="s">
        <v>40</v>
      </c>
      <c r="D275" s="1">
        <v>43354</v>
      </c>
      <c r="E275" s="1">
        <v>43718</v>
      </c>
      <c r="F275" t="s">
        <v>41</v>
      </c>
      <c r="G275">
        <v>1</v>
      </c>
      <c r="H275" t="s">
        <v>42</v>
      </c>
      <c r="I275" t="s">
        <v>43</v>
      </c>
      <c r="J275" t="s">
        <v>41</v>
      </c>
      <c r="K275" t="s">
        <v>44</v>
      </c>
      <c r="L275">
        <v>1072.5</v>
      </c>
      <c r="M275" s="1">
        <v>43354</v>
      </c>
      <c r="N275" t="s">
        <v>45</v>
      </c>
      <c r="O275" t="s">
        <v>46</v>
      </c>
      <c r="P275" t="s">
        <v>47</v>
      </c>
      <c r="Q275" s="1">
        <v>43852</v>
      </c>
      <c r="R275" t="s">
        <v>48</v>
      </c>
      <c r="S275" t="s">
        <v>64</v>
      </c>
      <c r="T275" t="s">
        <v>65</v>
      </c>
      <c r="U275" t="s">
        <v>42</v>
      </c>
      <c r="V275">
        <v>0</v>
      </c>
      <c r="W275">
        <v>100000</v>
      </c>
      <c r="X275" s="1">
        <v>43921</v>
      </c>
      <c r="Y275" t="s">
        <v>51</v>
      </c>
      <c r="Z275" t="s">
        <v>43</v>
      </c>
      <c r="AA275" t="s">
        <v>41</v>
      </c>
      <c r="AB275" t="s">
        <v>52</v>
      </c>
      <c r="AC275" t="s">
        <v>53</v>
      </c>
      <c r="AF275" t="s">
        <v>56</v>
      </c>
      <c r="AG275" s="1">
        <v>43833</v>
      </c>
      <c r="AH275" t="s">
        <v>42</v>
      </c>
      <c r="AI275" t="s">
        <v>55</v>
      </c>
      <c r="AJ275">
        <v>12788092</v>
      </c>
      <c r="AK275">
        <v>250000</v>
      </c>
      <c r="AL275">
        <v>1500000</v>
      </c>
    </row>
    <row r="276" spans="1:38" x14ac:dyDescent="0.25">
      <c r="A276" t="s">
        <v>175</v>
      </c>
      <c r="B276" t="s">
        <v>176</v>
      </c>
      <c r="C276" t="s">
        <v>40</v>
      </c>
      <c r="D276" s="1">
        <v>43354</v>
      </c>
      <c r="E276" s="1">
        <v>43718</v>
      </c>
      <c r="F276" t="s">
        <v>41</v>
      </c>
      <c r="G276">
        <v>1</v>
      </c>
      <c r="H276" t="s">
        <v>42</v>
      </c>
      <c r="I276" t="s">
        <v>43</v>
      </c>
      <c r="J276" t="s">
        <v>41</v>
      </c>
      <c r="K276" t="s">
        <v>44</v>
      </c>
      <c r="L276">
        <v>1072.5</v>
      </c>
      <c r="M276" s="1">
        <v>43354</v>
      </c>
      <c r="N276" t="s">
        <v>45</v>
      </c>
      <c r="O276" t="s">
        <v>46</v>
      </c>
      <c r="P276" t="s">
        <v>47</v>
      </c>
      <c r="Q276" s="1">
        <v>43852</v>
      </c>
      <c r="R276" t="s">
        <v>48</v>
      </c>
      <c r="S276" t="s">
        <v>64</v>
      </c>
      <c r="T276" t="s">
        <v>65</v>
      </c>
      <c r="U276" t="s">
        <v>42</v>
      </c>
      <c r="V276">
        <v>0</v>
      </c>
      <c r="W276">
        <v>100000</v>
      </c>
      <c r="X276" s="1">
        <v>43921</v>
      </c>
      <c r="Y276" t="s">
        <v>51</v>
      </c>
      <c r="Z276" t="s">
        <v>43</v>
      </c>
      <c r="AA276" t="s">
        <v>41</v>
      </c>
      <c r="AB276" t="s">
        <v>52</v>
      </c>
      <c r="AC276" t="s">
        <v>53</v>
      </c>
      <c r="AF276" t="s">
        <v>57</v>
      </c>
      <c r="AG276" s="1">
        <v>43836</v>
      </c>
      <c r="AH276" t="s">
        <v>42</v>
      </c>
      <c r="AI276" t="s">
        <v>55</v>
      </c>
      <c r="AJ276">
        <v>12788092</v>
      </c>
      <c r="AK276">
        <v>250000</v>
      </c>
      <c r="AL276">
        <v>1500000</v>
      </c>
    </row>
    <row r="277" spans="1:38" x14ac:dyDescent="0.25">
      <c r="A277" t="s">
        <v>175</v>
      </c>
      <c r="B277" t="s">
        <v>176</v>
      </c>
      <c r="C277" t="s">
        <v>40</v>
      </c>
      <c r="D277" s="1">
        <v>43354</v>
      </c>
      <c r="E277" s="1">
        <v>43718</v>
      </c>
      <c r="F277" t="s">
        <v>41</v>
      </c>
      <c r="G277">
        <v>1</v>
      </c>
      <c r="H277" t="s">
        <v>42</v>
      </c>
      <c r="I277" t="s">
        <v>43</v>
      </c>
      <c r="J277" t="s">
        <v>41</v>
      </c>
      <c r="K277" t="s">
        <v>44</v>
      </c>
      <c r="L277">
        <v>1072.5</v>
      </c>
      <c r="M277" s="1">
        <v>43354</v>
      </c>
      <c r="N277" t="s">
        <v>45</v>
      </c>
      <c r="O277" t="s">
        <v>46</v>
      </c>
      <c r="P277" t="s">
        <v>47</v>
      </c>
      <c r="Q277" s="1">
        <v>43852</v>
      </c>
      <c r="R277" t="s">
        <v>48</v>
      </c>
      <c r="S277" t="s">
        <v>64</v>
      </c>
      <c r="T277" t="s">
        <v>65</v>
      </c>
      <c r="U277" t="s">
        <v>42</v>
      </c>
      <c r="V277">
        <v>0</v>
      </c>
      <c r="W277">
        <v>100000</v>
      </c>
      <c r="X277" s="1">
        <v>43921</v>
      </c>
      <c r="Y277" t="s">
        <v>51</v>
      </c>
      <c r="Z277" t="s">
        <v>43</v>
      </c>
      <c r="AA277" t="s">
        <v>41</v>
      </c>
      <c r="AB277" t="s">
        <v>52</v>
      </c>
      <c r="AC277" t="s">
        <v>53</v>
      </c>
      <c r="AF277" t="s">
        <v>58</v>
      </c>
      <c r="AG277" s="1">
        <v>43837</v>
      </c>
      <c r="AH277" t="s">
        <v>42</v>
      </c>
      <c r="AI277" t="s">
        <v>55</v>
      </c>
      <c r="AJ277">
        <v>12788092</v>
      </c>
      <c r="AK277">
        <v>250000</v>
      </c>
      <c r="AL277">
        <v>1500000</v>
      </c>
    </row>
    <row r="278" spans="1:38" x14ac:dyDescent="0.25">
      <c r="A278" t="s">
        <v>175</v>
      </c>
      <c r="B278" t="s">
        <v>176</v>
      </c>
      <c r="C278" t="s">
        <v>40</v>
      </c>
      <c r="D278" s="1">
        <v>43354</v>
      </c>
      <c r="E278" s="1">
        <v>43718</v>
      </c>
      <c r="F278" t="s">
        <v>41</v>
      </c>
      <c r="G278">
        <v>1</v>
      </c>
      <c r="H278" t="s">
        <v>42</v>
      </c>
      <c r="I278" t="s">
        <v>43</v>
      </c>
      <c r="J278" t="s">
        <v>41</v>
      </c>
      <c r="K278" t="s">
        <v>44</v>
      </c>
      <c r="L278">
        <v>1072.5</v>
      </c>
      <c r="M278" s="1">
        <v>43354</v>
      </c>
      <c r="N278" t="s">
        <v>45</v>
      </c>
      <c r="O278" t="s">
        <v>46</v>
      </c>
      <c r="P278" t="s">
        <v>47</v>
      </c>
      <c r="Q278" s="1">
        <v>43852</v>
      </c>
      <c r="R278" t="s">
        <v>48</v>
      </c>
      <c r="S278" t="s">
        <v>64</v>
      </c>
      <c r="T278" t="s">
        <v>65</v>
      </c>
      <c r="U278" t="s">
        <v>42</v>
      </c>
      <c r="V278">
        <v>0</v>
      </c>
      <c r="W278">
        <v>100000</v>
      </c>
      <c r="X278" s="1">
        <v>43921</v>
      </c>
      <c r="Y278" t="s">
        <v>51</v>
      </c>
      <c r="Z278" t="s">
        <v>43</v>
      </c>
      <c r="AA278" t="s">
        <v>41</v>
      </c>
      <c r="AB278" t="s">
        <v>52</v>
      </c>
      <c r="AC278" t="s">
        <v>53</v>
      </c>
      <c r="AF278" t="s">
        <v>59</v>
      </c>
      <c r="AG278" s="1">
        <v>43838</v>
      </c>
      <c r="AH278" t="s">
        <v>42</v>
      </c>
      <c r="AI278" t="s">
        <v>55</v>
      </c>
      <c r="AJ278">
        <v>12788092</v>
      </c>
      <c r="AK278">
        <v>250000</v>
      </c>
      <c r="AL278">
        <v>1500000</v>
      </c>
    </row>
    <row r="279" spans="1:38" x14ac:dyDescent="0.25">
      <c r="A279" t="s">
        <v>177</v>
      </c>
      <c r="B279" t="s">
        <v>178</v>
      </c>
      <c r="C279" t="s">
        <v>40</v>
      </c>
      <c r="D279" s="1">
        <v>43186</v>
      </c>
      <c r="E279" s="1">
        <v>43550</v>
      </c>
      <c r="F279" t="s">
        <v>72</v>
      </c>
      <c r="G279">
        <v>1</v>
      </c>
      <c r="H279" t="s">
        <v>42</v>
      </c>
      <c r="I279" t="s">
        <v>43</v>
      </c>
      <c r="J279" t="s">
        <v>115</v>
      </c>
      <c r="K279" t="s">
        <v>44</v>
      </c>
      <c r="L279">
        <v>4002.46</v>
      </c>
      <c r="M279" s="1">
        <v>43186</v>
      </c>
      <c r="N279" t="s">
        <v>45</v>
      </c>
      <c r="O279" t="s">
        <v>46</v>
      </c>
      <c r="P279" t="s">
        <v>47</v>
      </c>
      <c r="Q279" s="1">
        <v>43852</v>
      </c>
      <c r="R279" t="s">
        <v>48</v>
      </c>
    </row>
    <row r="280" spans="1:38" x14ac:dyDescent="0.25">
      <c r="A280" t="s">
        <v>179</v>
      </c>
      <c r="B280" s="2">
        <v>3.10304E+17</v>
      </c>
      <c r="C280" t="s">
        <v>40</v>
      </c>
      <c r="D280" s="1">
        <v>43326</v>
      </c>
      <c r="E280" s="1">
        <v>43690</v>
      </c>
      <c r="F280" t="s">
        <v>72</v>
      </c>
      <c r="G280">
        <v>1</v>
      </c>
      <c r="H280" t="s">
        <v>42</v>
      </c>
      <c r="I280" t="s">
        <v>43</v>
      </c>
      <c r="J280" t="s">
        <v>115</v>
      </c>
      <c r="K280" t="s">
        <v>44</v>
      </c>
      <c r="L280">
        <v>1374.25</v>
      </c>
      <c r="M280" s="1">
        <v>43326</v>
      </c>
      <c r="N280" t="s">
        <v>45</v>
      </c>
      <c r="O280" t="s">
        <v>46</v>
      </c>
      <c r="P280" t="s">
        <v>47</v>
      </c>
      <c r="Q280" s="1">
        <v>43852</v>
      </c>
      <c r="R280" t="s">
        <v>48</v>
      </c>
    </row>
    <row r="281" spans="1:38" x14ac:dyDescent="0.25">
      <c r="A281" t="s">
        <v>180</v>
      </c>
      <c r="B281" s="2">
        <v>3.10305E+18</v>
      </c>
      <c r="C281" t="s">
        <v>40</v>
      </c>
      <c r="D281" s="1">
        <v>43186</v>
      </c>
      <c r="E281" s="1">
        <v>43550</v>
      </c>
      <c r="F281" t="s">
        <v>72</v>
      </c>
      <c r="G281">
        <v>1</v>
      </c>
      <c r="H281" t="s">
        <v>42</v>
      </c>
      <c r="I281" t="s">
        <v>43</v>
      </c>
      <c r="J281" t="s">
        <v>115</v>
      </c>
      <c r="K281" t="s">
        <v>127</v>
      </c>
      <c r="L281">
        <v>566.25</v>
      </c>
      <c r="M281" s="1">
        <v>43186</v>
      </c>
      <c r="N281" t="s">
        <v>45</v>
      </c>
      <c r="O281" t="s">
        <v>46</v>
      </c>
      <c r="P281" t="s">
        <v>47</v>
      </c>
      <c r="Q281" s="1">
        <v>43852</v>
      </c>
      <c r="R281" t="s">
        <v>48</v>
      </c>
    </row>
    <row r="282" spans="1:38" x14ac:dyDescent="0.25">
      <c r="A282" t="s">
        <v>181</v>
      </c>
      <c r="B282" t="s">
        <v>182</v>
      </c>
      <c r="C282" t="s">
        <v>40</v>
      </c>
      <c r="D282" s="1">
        <v>43326</v>
      </c>
      <c r="E282" s="1">
        <v>43690</v>
      </c>
      <c r="F282" t="s">
        <v>76</v>
      </c>
      <c r="G282">
        <v>1</v>
      </c>
      <c r="H282" t="s">
        <v>42</v>
      </c>
      <c r="I282" t="s">
        <v>43</v>
      </c>
      <c r="J282" t="s">
        <v>115</v>
      </c>
      <c r="K282" t="s">
        <v>44</v>
      </c>
      <c r="L282">
        <v>445</v>
      </c>
      <c r="M282" s="1">
        <v>43326</v>
      </c>
      <c r="N282" t="s">
        <v>45</v>
      </c>
      <c r="O282" t="s">
        <v>46</v>
      </c>
      <c r="P282" t="s">
        <v>47</v>
      </c>
      <c r="Q282" s="1">
        <v>43852</v>
      </c>
      <c r="R282" t="s">
        <v>48</v>
      </c>
      <c r="S282" t="s">
        <v>78</v>
      </c>
      <c r="T282" t="s">
        <v>79</v>
      </c>
      <c r="U282" t="s">
        <v>42</v>
      </c>
      <c r="V282">
        <v>1200000</v>
      </c>
      <c r="W282">
        <v>100000</v>
      </c>
      <c r="X282" s="1">
        <v>43921</v>
      </c>
      <c r="Y282" t="s">
        <v>51</v>
      </c>
      <c r="Z282" t="s">
        <v>43</v>
      </c>
      <c r="AA282" t="s">
        <v>80</v>
      </c>
      <c r="AB282" t="s">
        <v>76</v>
      </c>
      <c r="AC282" t="s">
        <v>81</v>
      </c>
      <c r="AF282" t="s">
        <v>54</v>
      </c>
      <c r="AG282" s="1">
        <v>43832</v>
      </c>
      <c r="AH282" t="s">
        <v>42</v>
      </c>
      <c r="AI282" t="s">
        <v>55</v>
      </c>
      <c r="AJ282">
        <v>12788092</v>
      </c>
      <c r="AK282">
        <v>250000</v>
      </c>
      <c r="AL282">
        <v>1500000</v>
      </c>
    </row>
    <row r="283" spans="1:38" x14ac:dyDescent="0.25">
      <c r="A283" t="s">
        <v>181</v>
      </c>
      <c r="B283" t="s">
        <v>182</v>
      </c>
      <c r="C283" t="s">
        <v>40</v>
      </c>
      <c r="D283" s="1">
        <v>43326</v>
      </c>
      <c r="E283" s="1">
        <v>43690</v>
      </c>
      <c r="F283" t="s">
        <v>76</v>
      </c>
      <c r="G283">
        <v>1</v>
      </c>
      <c r="H283" t="s">
        <v>42</v>
      </c>
      <c r="I283" t="s">
        <v>43</v>
      </c>
      <c r="J283" t="s">
        <v>115</v>
      </c>
      <c r="K283" t="s">
        <v>44</v>
      </c>
      <c r="L283">
        <v>445</v>
      </c>
      <c r="M283" s="1">
        <v>43326</v>
      </c>
      <c r="N283" t="s">
        <v>45</v>
      </c>
      <c r="O283" t="s">
        <v>46</v>
      </c>
      <c r="P283" t="s">
        <v>47</v>
      </c>
      <c r="Q283" s="1">
        <v>43852</v>
      </c>
      <c r="R283" t="s">
        <v>48</v>
      </c>
      <c r="S283" t="s">
        <v>78</v>
      </c>
      <c r="T283" t="s">
        <v>79</v>
      </c>
      <c r="U283" t="s">
        <v>42</v>
      </c>
      <c r="V283">
        <v>1200000</v>
      </c>
      <c r="W283">
        <v>100000</v>
      </c>
      <c r="X283" s="1">
        <v>43921</v>
      </c>
      <c r="Y283" t="s">
        <v>51</v>
      </c>
      <c r="Z283" t="s">
        <v>43</v>
      </c>
      <c r="AA283" t="s">
        <v>80</v>
      </c>
      <c r="AB283" t="s">
        <v>76</v>
      </c>
      <c r="AC283" t="s">
        <v>81</v>
      </c>
      <c r="AF283" t="s">
        <v>56</v>
      </c>
      <c r="AG283" s="1">
        <v>43833</v>
      </c>
      <c r="AH283" t="s">
        <v>42</v>
      </c>
      <c r="AI283" t="s">
        <v>55</v>
      </c>
      <c r="AJ283">
        <v>12788092</v>
      </c>
      <c r="AK283">
        <v>250000</v>
      </c>
      <c r="AL283">
        <v>1500000</v>
      </c>
    </row>
    <row r="284" spans="1:38" x14ac:dyDescent="0.25">
      <c r="A284" t="s">
        <v>181</v>
      </c>
      <c r="B284" t="s">
        <v>182</v>
      </c>
      <c r="C284" t="s">
        <v>40</v>
      </c>
      <c r="D284" s="1">
        <v>43326</v>
      </c>
      <c r="E284" s="1">
        <v>43690</v>
      </c>
      <c r="F284" t="s">
        <v>76</v>
      </c>
      <c r="G284">
        <v>1</v>
      </c>
      <c r="H284" t="s">
        <v>42</v>
      </c>
      <c r="I284" t="s">
        <v>43</v>
      </c>
      <c r="J284" t="s">
        <v>115</v>
      </c>
      <c r="K284" t="s">
        <v>44</v>
      </c>
      <c r="L284">
        <v>445</v>
      </c>
      <c r="M284" s="1">
        <v>43326</v>
      </c>
      <c r="N284" t="s">
        <v>45</v>
      </c>
      <c r="O284" t="s">
        <v>46</v>
      </c>
      <c r="P284" t="s">
        <v>47</v>
      </c>
      <c r="Q284" s="1">
        <v>43852</v>
      </c>
      <c r="R284" t="s">
        <v>48</v>
      </c>
      <c r="S284" t="s">
        <v>78</v>
      </c>
      <c r="T284" t="s">
        <v>79</v>
      </c>
      <c r="U284" t="s">
        <v>42</v>
      </c>
      <c r="V284">
        <v>1200000</v>
      </c>
      <c r="W284">
        <v>100000</v>
      </c>
      <c r="X284" s="1">
        <v>43921</v>
      </c>
      <c r="Y284" t="s">
        <v>51</v>
      </c>
      <c r="Z284" t="s">
        <v>43</v>
      </c>
      <c r="AA284" t="s">
        <v>80</v>
      </c>
      <c r="AB284" t="s">
        <v>76</v>
      </c>
      <c r="AC284" t="s">
        <v>81</v>
      </c>
      <c r="AF284" t="s">
        <v>57</v>
      </c>
      <c r="AG284" s="1">
        <v>43836</v>
      </c>
      <c r="AH284" t="s">
        <v>42</v>
      </c>
      <c r="AI284" t="s">
        <v>55</v>
      </c>
      <c r="AJ284">
        <v>12788092</v>
      </c>
      <c r="AK284">
        <v>250000</v>
      </c>
      <c r="AL284">
        <v>1500000</v>
      </c>
    </row>
    <row r="285" spans="1:38" x14ac:dyDescent="0.25">
      <c r="A285" t="s">
        <v>181</v>
      </c>
      <c r="B285" t="s">
        <v>182</v>
      </c>
      <c r="C285" t="s">
        <v>40</v>
      </c>
      <c r="D285" s="1">
        <v>43326</v>
      </c>
      <c r="E285" s="1">
        <v>43690</v>
      </c>
      <c r="F285" t="s">
        <v>76</v>
      </c>
      <c r="G285">
        <v>1</v>
      </c>
      <c r="H285" t="s">
        <v>42</v>
      </c>
      <c r="I285" t="s">
        <v>43</v>
      </c>
      <c r="J285" t="s">
        <v>115</v>
      </c>
      <c r="K285" t="s">
        <v>44</v>
      </c>
      <c r="L285">
        <v>445</v>
      </c>
      <c r="M285" s="1">
        <v>43326</v>
      </c>
      <c r="N285" t="s">
        <v>45</v>
      </c>
      <c r="O285" t="s">
        <v>46</v>
      </c>
      <c r="P285" t="s">
        <v>47</v>
      </c>
      <c r="Q285" s="1">
        <v>43852</v>
      </c>
      <c r="R285" t="s">
        <v>48</v>
      </c>
      <c r="S285" t="s">
        <v>78</v>
      </c>
      <c r="T285" t="s">
        <v>79</v>
      </c>
      <c r="U285" t="s">
        <v>42</v>
      </c>
      <c r="V285">
        <v>1200000</v>
      </c>
      <c r="W285">
        <v>100000</v>
      </c>
      <c r="X285" s="1">
        <v>43921</v>
      </c>
      <c r="Y285" t="s">
        <v>51</v>
      </c>
      <c r="Z285" t="s">
        <v>43</v>
      </c>
      <c r="AA285" t="s">
        <v>80</v>
      </c>
      <c r="AB285" t="s">
        <v>76</v>
      </c>
      <c r="AC285" t="s">
        <v>81</v>
      </c>
      <c r="AF285" t="s">
        <v>58</v>
      </c>
      <c r="AG285" s="1">
        <v>43837</v>
      </c>
      <c r="AH285" t="s">
        <v>42</v>
      </c>
      <c r="AI285" t="s">
        <v>55</v>
      </c>
      <c r="AJ285">
        <v>12788092</v>
      </c>
      <c r="AK285">
        <v>250000</v>
      </c>
      <c r="AL285">
        <v>1500000</v>
      </c>
    </row>
    <row r="286" spans="1:38" x14ac:dyDescent="0.25">
      <c r="A286" t="s">
        <v>181</v>
      </c>
      <c r="B286" t="s">
        <v>182</v>
      </c>
      <c r="C286" t="s">
        <v>40</v>
      </c>
      <c r="D286" s="1">
        <v>43326</v>
      </c>
      <c r="E286" s="1">
        <v>43690</v>
      </c>
      <c r="F286" t="s">
        <v>76</v>
      </c>
      <c r="G286">
        <v>1</v>
      </c>
      <c r="H286" t="s">
        <v>42</v>
      </c>
      <c r="I286" t="s">
        <v>43</v>
      </c>
      <c r="J286" t="s">
        <v>115</v>
      </c>
      <c r="K286" t="s">
        <v>44</v>
      </c>
      <c r="L286">
        <v>445</v>
      </c>
      <c r="M286" s="1">
        <v>43326</v>
      </c>
      <c r="N286" t="s">
        <v>45</v>
      </c>
      <c r="O286" t="s">
        <v>46</v>
      </c>
      <c r="P286" t="s">
        <v>47</v>
      </c>
      <c r="Q286" s="1">
        <v>43852</v>
      </c>
      <c r="R286" t="s">
        <v>48</v>
      </c>
      <c r="S286" t="s">
        <v>78</v>
      </c>
      <c r="T286" t="s">
        <v>79</v>
      </c>
      <c r="U286" t="s">
        <v>42</v>
      </c>
      <c r="V286">
        <v>1200000</v>
      </c>
      <c r="W286">
        <v>100000</v>
      </c>
      <c r="X286" s="1">
        <v>43921</v>
      </c>
      <c r="Y286" t="s">
        <v>51</v>
      </c>
      <c r="Z286" t="s">
        <v>43</v>
      </c>
      <c r="AA286" t="s">
        <v>80</v>
      </c>
      <c r="AB286" t="s">
        <v>76</v>
      </c>
      <c r="AC286" t="s">
        <v>81</v>
      </c>
      <c r="AF286" t="s">
        <v>59</v>
      </c>
      <c r="AG286" s="1">
        <v>43838</v>
      </c>
      <c r="AH286" t="s">
        <v>42</v>
      </c>
      <c r="AI286" t="s">
        <v>55</v>
      </c>
      <c r="AJ286">
        <v>12788092</v>
      </c>
      <c r="AK286">
        <v>250000</v>
      </c>
      <c r="AL286">
        <v>1500000</v>
      </c>
    </row>
    <row r="287" spans="1:38" x14ac:dyDescent="0.25">
      <c r="A287" t="s">
        <v>183</v>
      </c>
      <c r="B287" t="s">
        <v>184</v>
      </c>
      <c r="C287" t="s">
        <v>40</v>
      </c>
      <c r="D287" s="1">
        <v>43709</v>
      </c>
      <c r="E287" s="1">
        <v>44074</v>
      </c>
      <c r="F287" t="s">
        <v>72</v>
      </c>
      <c r="G287">
        <v>1</v>
      </c>
      <c r="H287" t="s">
        <v>42</v>
      </c>
      <c r="I287" t="s">
        <v>43</v>
      </c>
      <c r="J287" t="s">
        <v>115</v>
      </c>
      <c r="K287" t="s">
        <v>44</v>
      </c>
      <c r="L287">
        <v>13114.95</v>
      </c>
      <c r="M287" s="1">
        <v>43709</v>
      </c>
      <c r="N287" t="s">
        <v>45</v>
      </c>
      <c r="O287" t="s">
        <v>44</v>
      </c>
      <c r="P287" t="s">
        <v>47</v>
      </c>
      <c r="Q287" s="1">
        <v>43852</v>
      </c>
      <c r="R287" t="s">
        <v>48</v>
      </c>
    </row>
    <row r="288" spans="1:38" x14ac:dyDescent="0.25">
      <c r="A288" t="s">
        <v>185</v>
      </c>
      <c r="B288" s="2">
        <v>3.10304E+17</v>
      </c>
      <c r="C288" t="s">
        <v>71</v>
      </c>
      <c r="D288" s="1">
        <v>43344</v>
      </c>
      <c r="E288" s="1">
        <v>43708</v>
      </c>
      <c r="F288" t="s">
        <v>72</v>
      </c>
      <c r="G288">
        <v>1</v>
      </c>
      <c r="H288" t="s">
        <v>42</v>
      </c>
      <c r="I288" t="s">
        <v>43</v>
      </c>
      <c r="J288" t="s">
        <v>115</v>
      </c>
      <c r="K288" t="s">
        <v>44</v>
      </c>
      <c r="L288">
        <v>2049.42</v>
      </c>
      <c r="M288" s="1">
        <v>43344</v>
      </c>
      <c r="N288" t="s">
        <v>45</v>
      </c>
      <c r="O288" t="s">
        <v>46</v>
      </c>
      <c r="P288" t="s">
        <v>47</v>
      </c>
      <c r="Q288" s="1">
        <v>43852</v>
      </c>
      <c r="R288" t="s">
        <v>48</v>
      </c>
    </row>
    <row r="289" spans="1:38" x14ac:dyDescent="0.25">
      <c r="A289" t="s">
        <v>186</v>
      </c>
      <c r="B289">
        <v>301002850</v>
      </c>
      <c r="C289" t="s">
        <v>40</v>
      </c>
      <c r="D289" s="1">
        <v>43313</v>
      </c>
      <c r="E289" s="1">
        <v>43677</v>
      </c>
      <c r="F289" t="s">
        <v>77</v>
      </c>
      <c r="G289">
        <v>6</v>
      </c>
      <c r="H289" t="s">
        <v>187</v>
      </c>
      <c r="I289" t="s">
        <v>43</v>
      </c>
      <c r="J289" t="s">
        <v>77</v>
      </c>
      <c r="K289" t="s">
        <v>44</v>
      </c>
      <c r="L289">
        <v>61425</v>
      </c>
      <c r="M289" s="1">
        <v>43313</v>
      </c>
      <c r="N289" t="s">
        <v>45</v>
      </c>
      <c r="O289" t="s">
        <v>46</v>
      </c>
      <c r="P289" t="s">
        <v>47</v>
      </c>
      <c r="Q289" s="1">
        <v>43852</v>
      </c>
      <c r="R289" t="s">
        <v>48</v>
      </c>
    </row>
    <row r="290" spans="1:38" x14ac:dyDescent="0.25">
      <c r="A290" t="s">
        <v>188</v>
      </c>
      <c r="B290" s="2">
        <v>2.4122E+18</v>
      </c>
      <c r="C290" t="s">
        <v>40</v>
      </c>
      <c r="D290" s="1">
        <v>43370</v>
      </c>
      <c r="E290" s="1">
        <v>43734</v>
      </c>
      <c r="F290" t="s">
        <v>41</v>
      </c>
      <c r="G290">
        <v>1</v>
      </c>
      <c r="H290" t="s">
        <v>42</v>
      </c>
      <c r="I290" t="s">
        <v>43</v>
      </c>
      <c r="J290" t="s">
        <v>41</v>
      </c>
      <c r="K290" t="s">
        <v>44</v>
      </c>
      <c r="L290">
        <v>1650</v>
      </c>
      <c r="M290" s="1">
        <v>43370</v>
      </c>
      <c r="N290" t="s">
        <v>45</v>
      </c>
      <c r="O290" t="s">
        <v>46</v>
      </c>
      <c r="P290" t="s">
        <v>47</v>
      </c>
      <c r="Q290" s="1">
        <v>43852</v>
      </c>
      <c r="R290" t="s">
        <v>48</v>
      </c>
      <c r="S290" t="s">
        <v>49</v>
      </c>
      <c r="T290" t="s">
        <v>50</v>
      </c>
      <c r="U290" t="s">
        <v>42</v>
      </c>
      <c r="V290">
        <v>0</v>
      </c>
      <c r="W290">
        <v>100000</v>
      </c>
      <c r="X290" s="1">
        <v>44012</v>
      </c>
      <c r="Y290" t="s">
        <v>51</v>
      </c>
      <c r="Z290" t="s">
        <v>43</v>
      </c>
      <c r="AA290" t="s">
        <v>41</v>
      </c>
      <c r="AB290" t="s">
        <v>52</v>
      </c>
      <c r="AC290" t="s">
        <v>53</v>
      </c>
      <c r="AF290" t="s">
        <v>54</v>
      </c>
      <c r="AG290" s="1">
        <v>43832</v>
      </c>
      <c r="AH290" t="s">
        <v>42</v>
      </c>
      <c r="AI290" t="s">
        <v>55</v>
      </c>
      <c r="AJ290">
        <v>12788092</v>
      </c>
      <c r="AK290">
        <v>250000</v>
      </c>
      <c r="AL290">
        <v>1500000</v>
      </c>
    </row>
    <row r="291" spans="1:38" x14ac:dyDescent="0.25">
      <c r="A291" t="s">
        <v>188</v>
      </c>
      <c r="B291" s="2">
        <v>2.4122E+18</v>
      </c>
      <c r="C291" t="s">
        <v>40</v>
      </c>
      <c r="D291" s="1">
        <v>43370</v>
      </c>
      <c r="E291" s="1">
        <v>43734</v>
      </c>
      <c r="F291" t="s">
        <v>41</v>
      </c>
      <c r="G291">
        <v>1</v>
      </c>
      <c r="H291" t="s">
        <v>42</v>
      </c>
      <c r="I291" t="s">
        <v>43</v>
      </c>
      <c r="J291" t="s">
        <v>41</v>
      </c>
      <c r="K291" t="s">
        <v>44</v>
      </c>
      <c r="L291">
        <v>1650</v>
      </c>
      <c r="M291" s="1">
        <v>43370</v>
      </c>
      <c r="N291" t="s">
        <v>45</v>
      </c>
      <c r="O291" t="s">
        <v>46</v>
      </c>
      <c r="P291" t="s">
        <v>47</v>
      </c>
      <c r="Q291" s="1">
        <v>43852</v>
      </c>
      <c r="R291" t="s">
        <v>48</v>
      </c>
      <c r="S291" t="s">
        <v>49</v>
      </c>
      <c r="T291" t="s">
        <v>50</v>
      </c>
      <c r="U291" t="s">
        <v>42</v>
      </c>
      <c r="V291">
        <v>0</v>
      </c>
      <c r="W291">
        <v>100000</v>
      </c>
      <c r="X291" s="1">
        <v>44012</v>
      </c>
      <c r="Y291" t="s">
        <v>51</v>
      </c>
      <c r="Z291" t="s">
        <v>43</v>
      </c>
      <c r="AA291" t="s">
        <v>41</v>
      </c>
      <c r="AB291" t="s">
        <v>52</v>
      </c>
      <c r="AC291" t="s">
        <v>53</v>
      </c>
      <c r="AF291" t="s">
        <v>56</v>
      </c>
      <c r="AG291" s="1">
        <v>43833</v>
      </c>
      <c r="AH291" t="s">
        <v>42</v>
      </c>
      <c r="AI291" t="s">
        <v>55</v>
      </c>
      <c r="AJ291">
        <v>12788092</v>
      </c>
      <c r="AK291">
        <v>250000</v>
      </c>
      <c r="AL291">
        <v>1500000</v>
      </c>
    </row>
    <row r="292" spans="1:38" x14ac:dyDescent="0.25">
      <c r="A292" t="s">
        <v>188</v>
      </c>
      <c r="B292" s="2">
        <v>2.4122E+18</v>
      </c>
      <c r="C292" t="s">
        <v>40</v>
      </c>
      <c r="D292" s="1">
        <v>43370</v>
      </c>
      <c r="E292" s="1">
        <v>43734</v>
      </c>
      <c r="F292" t="s">
        <v>41</v>
      </c>
      <c r="G292">
        <v>1</v>
      </c>
      <c r="H292" t="s">
        <v>42</v>
      </c>
      <c r="I292" t="s">
        <v>43</v>
      </c>
      <c r="J292" t="s">
        <v>41</v>
      </c>
      <c r="K292" t="s">
        <v>44</v>
      </c>
      <c r="L292">
        <v>1650</v>
      </c>
      <c r="M292" s="1">
        <v>43370</v>
      </c>
      <c r="N292" t="s">
        <v>45</v>
      </c>
      <c r="O292" t="s">
        <v>46</v>
      </c>
      <c r="P292" t="s">
        <v>47</v>
      </c>
      <c r="Q292" s="1">
        <v>43852</v>
      </c>
      <c r="R292" t="s">
        <v>48</v>
      </c>
      <c r="S292" t="s">
        <v>49</v>
      </c>
      <c r="T292" t="s">
        <v>50</v>
      </c>
      <c r="U292" t="s">
        <v>42</v>
      </c>
      <c r="V292">
        <v>0</v>
      </c>
      <c r="W292">
        <v>100000</v>
      </c>
      <c r="X292" s="1">
        <v>44012</v>
      </c>
      <c r="Y292" t="s">
        <v>51</v>
      </c>
      <c r="Z292" t="s">
        <v>43</v>
      </c>
      <c r="AA292" t="s">
        <v>41</v>
      </c>
      <c r="AB292" t="s">
        <v>52</v>
      </c>
      <c r="AC292" t="s">
        <v>53</v>
      </c>
      <c r="AF292" t="s">
        <v>57</v>
      </c>
      <c r="AG292" s="1">
        <v>43836</v>
      </c>
      <c r="AH292" t="s">
        <v>42</v>
      </c>
      <c r="AI292" t="s">
        <v>55</v>
      </c>
      <c r="AJ292">
        <v>12788092</v>
      </c>
      <c r="AK292">
        <v>250000</v>
      </c>
      <c r="AL292">
        <v>1500000</v>
      </c>
    </row>
    <row r="293" spans="1:38" x14ac:dyDescent="0.25">
      <c r="A293" t="s">
        <v>188</v>
      </c>
      <c r="B293" s="2">
        <v>2.4122E+18</v>
      </c>
      <c r="C293" t="s">
        <v>40</v>
      </c>
      <c r="D293" s="1">
        <v>43370</v>
      </c>
      <c r="E293" s="1">
        <v>43734</v>
      </c>
      <c r="F293" t="s">
        <v>41</v>
      </c>
      <c r="G293">
        <v>1</v>
      </c>
      <c r="H293" t="s">
        <v>42</v>
      </c>
      <c r="I293" t="s">
        <v>43</v>
      </c>
      <c r="J293" t="s">
        <v>41</v>
      </c>
      <c r="K293" t="s">
        <v>44</v>
      </c>
      <c r="L293">
        <v>1650</v>
      </c>
      <c r="M293" s="1">
        <v>43370</v>
      </c>
      <c r="N293" t="s">
        <v>45</v>
      </c>
      <c r="O293" t="s">
        <v>46</v>
      </c>
      <c r="P293" t="s">
        <v>47</v>
      </c>
      <c r="Q293" s="1">
        <v>43852</v>
      </c>
      <c r="R293" t="s">
        <v>48</v>
      </c>
      <c r="S293" t="s">
        <v>49</v>
      </c>
      <c r="T293" t="s">
        <v>50</v>
      </c>
      <c r="U293" t="s">
        <v>42</v>
      </c>
      <c r="V293">
        <v>0</v>
      </c>
      <c r="W293">
        <v>100000</v>
      </c>
      <c r="X293" s="1">
        <v>44012</v>
      </c>
      <c r="Y293" t="s">
        <v>51</v>
      </c>
      <c r="Z293" t="s">
        <v>43</v>
      </c>
      <c r="AA293" t="s">
        <v>41</v>
      </c>
      <c r="AB293" t="s">
        <v>52</v>
      </c>
      <c r="AC293" t="s">
        <v>53</v>
      </c>
      <c r="AF293" t="s">
        <v>58</v>
      </c>
      <c r="AG293" s="1">
        <v>43837</v>
      </c>
      <c r="AH293" t="s">
        <v>42</v>
      </c>
      <c r="AI293" t="s">
        <v>55</v>
      </c>
      <c r="AJ293">
        <v>12788092</v>
      </c>
      <c r="AK293">
        <v>250000</v>
      </c>
      <c r="AL293">
        <v>1500000</v>
      </c>
    </row>
    <row r="294" spans="1:38" x14ac:dyDescent="0.25">
      <c r="A294" t="s">
        <v>188</v>
      </c>
      <c r="B294" s="2">
        <v>2.4122E+18</v>
      </c>
      <c r="C294" t="s">
        <v>40</v>
      </c>
      <c r="D294" s="1">
        <v>43370</v>
      </c>
      <c r="E294" s="1">
        <v>43734</v>
      </c>
      <c r="F294" t="s">
        <v>41</v>
      </c>
      <c r="G294">
        <v>1</v>
      </c>
      <c r="H294" t="s">
        <v>42</v>
      </c>
      <c r="I294" t="s">
        <v>43</v>
      </c>
      <c r="J294" t="s">
        <v>41</v>
      </c>
      <c r="K294" t="s">
        <v>44</v>
      </c>
      <c r="L294">
        <v>1650</v>
      </c>
      <c r="M294" s="1">
        <v>43370</v>
      </c>
      <c r="N294" t="s">
        <v>45</v>
      </c>
      <c r="O294" t="s">
        <v>46</v>
      </c>
      <c r="P294" t="s">
        <v>47</v>
      </c>
      <c r="Q294" s="1">
        <v>43852</v>
      </c>
      <c r="R294" t="s">
        <v>48</v>
      </c>
      <c r="S294" t="s">
        <v>49</v>
      </c>
      <c r="T294" t="s">
        <v>50</v>
      </c>
      <c r="U294" t="s">
        <v>42</v>
      </c>
      <c r="V294">
        <v>0</v>
      </c>
      <c r="W294">
        <v>100000</v>
      </c>
      <c r="X294" s="1">
        <v>44012</v>
      </c>
      <c r="Y294" t="s">
        <v>51</v>
      </c>
      <c r="Z294" t="s">
        <v>43</v>
      </c>
      <c r="AA294" t="s">
        <v>41</v>
      </c>
      <c r="AB294" t="s">
        <v>52</v>
      </c>
      <c r="AC294" t="s">
        <v>53</v>
      </c>
      <c r="AF294" t="s">
        <v>59</v>
      </c>
      <c r="AG294" s="1">
        <v>43838</v>
      </c>
      <c r="AH294" t="s">
        <v>42</v>
      </c>
      <c r="AI294" t="s">
        <v>55</v>
      </c>
      <c r="AJ294">
        <v>12788092</v>
      </c>
      <c r="AK294">
        <v>250000</v>
      </c>
      <c r="AL294">
        <v>1500000</v>
      </c>
    </row>
    <row r="295" spans="1:38" x14ac:dyDescent="0.25">
      <c r="A295" t="s">
        <v>188</v>
      </c>
      <c r="B295" s="2">
        <v>2.4122E+18</v>
      </c>
      <c r="C295" t="s">
        <v>40</v>
      </c>
      <c r="D295" s="1">
        <v>43370</v>
      </c>
      <c r="E295" s="1">
        <v>43734</v>
      </c>
      <c r="F295" t="s">
        <v>41</v>
      </c>
      <c r="G295">
        <v>1</v>
      </c>
      <c r="H295" t="s">
        <v>42</v>
      </c>
      <c r="I295" t="s">
        <v>43</v>
      </c>
      <c r="J295" t="s">
        <v>41</v>
      </c>
      <c r="K295" t="s">
        <v>44</v>
      </c>
      <c r="L295">
        <v>1650</v>
      </c>
      <c r="M295" s="1">
        <v>43370</v>
      </c>
      <c r="N295" t="s">
        <v>45</v>
      </c>
      <c r="O295" t="s">
        <v>46</v>
      </c>
      <c r="P295" t="s">
        <v>47</v>
      </c>
      <c r="Q295" s="1">
        <v>43852</v>
      </c>
      <c r="R295" t="s">
        <v>48</v>
      </c>
      <c r="S295" t="s">
        <v>60</v>
      </c>
      <c r="T295" t="s">
        <v>61</v>
      </c>
      <c r="U295" t="s">
        <v>42</v>
      </c>
      <c r="V295">
        <v>0</v>
      </c>
      <c r="W295">
        <v>100000</v>
      </c>
      <c r="X295" s="1">
        <v>43921</v>
      </c>
      <c r="Y295" t="s">
        <v>51</v>
      </c>
      <c r="Z295" t="s">
        <v>43</v>
      </c>
      <c r="AA295" t="s">
        <v>41</v>
      </c>
      <c r="AB295" t="s">
        <v>52</v>
      </c>
      <c r="AC295" t="s">
        <v>53</v>
      </c>
      <c r="AF295" t="s">
        <v>54</v>
      </c>
      <c r="AG295" s="1">
        <v>43832</v>
      </c>
      <c r="AH295" t="s">
        <v>42</v>
      </c>
      <c r="AI295" t="s">
        <v>55</v>
      </c>
      <c r="AJ295">
        <v>12788092</v>
      </c>
      <c r="AK295">
        <v>250000</v>
      </c>
      <c r="AL295">
        <v>1500000</v>
      </c>
    </row>
    <row r="296" spans="1:38" x14ac:dyDescent="0.25">
      <c r="A296" t="s">
        <v>188</v>
      </c>
      <c r="B296" s="2">
        <v>2.4122E+18</v>
      </c>
      <c r="C296" t="s">
        <v>40</v>
      </c>
      <c r="D296" s="1">
        <v>43370</v>
      </c>
      <c r="E296" s="1">
        <v>43734</v>
      </c>
      <c r="F296" t="s">
        <v>41</v>
      </c>
      <c r="G296">
        <v>1</v>
      </c>
      <c r="H296" t="s">
        <v>42</v>
      </c>
      <c r="I296" t="s">
        <v>43</v>
      </c>
      <c r="J296" t="s">
        <v>41</v>
      </c>
      <c r="K296" t="s">
        <v>44</v>
      </c>
      <c r="L296">
        <v>1650</v>
      </c>
      <c r="M296" s="1">
        <v>43370</v>
      </c>
      <c r="N296" t="s">
        <v>45</v>
      </c>
      <c r="O296" t="s">
        <v>46</v>
      </c>
      <c r="P296" t="s">
        <v>47</v>
      </c>
      <c r="Q296" s="1">
        <v>43852</v>
      </c>
      <c r="R296" t="s">
        <v>48</v>
      </c>
      <c r="S296" t="s">
        <v>60</v>
      </c>
      <c r="T296" t="s">
        <v>61</v>
      </c>
      <c r="U296" t="s">
        <v>42</v>
      </c>
      <c r="V296">
        <v>0</v>
      </c>
      <c r="W296">
        <v>100000</v>
      </c>
      <c r="X296" s="1">
        <v>43921</v>
      </c>
      <c r="Y296" t="s">
        <v>51</v>
      </c>
      <c r="Z296" t="s">
        <v>43</v>
      </c>
      <c r="AA296" t="s">
        <v>41</v>
      </c>
      <c r="AB296" t="s">
        <v>52</v>
      </c>
      <c r="AC296" t="s">
        <v>53</v>
      </c>
      <c r="AF296" t="s">
        <v>56</v>
      </c>
      <c r="AG296" s="1">
        <v>43833</v>
      </c>
      <c r="AH296" t="s">
        <v>42</v>
      </c>
      <c r="AI296" t="s">
        <v>55</v>
      </c>
      <c r="AJ296">
        <v>12788092</v>
      </c>
      <c r="AK296">
        <v>250000</v>
      </c>
      <c r="AL296">
        <v>1500000</v>
      </c>
    </row>
    <row r="297" spans="1:38" x14ac:dyDescent="0.25">
      <c r="A297" t="s">
        <v>188</v>
      </c>
      <c r="B297" s="2">
        <v>2.4122E+18</v>
      </c>
      <c r="C297" t="s">
        <v>40</v>
      </c>
      <c r="D297" s="1">
        <v>43370</v>
      </c>
      <c r="E297" s="1">
        <v>43734</v>
      </c>
      <c r="F297" t="s">
        <v>41</v>
      </c>
      <c r="G297">
        <v>1</v>
      </c>
      <c r="H297" t="s">
        <v>42</v>
      </c>
      <c r="I297" t="s">
        <v>43</v>
      </c>
      <c r="J297" t="s">
        <v>41</v>
      </c>
      <c r="K297" t="s">
        <v>44</v>
      </c>
      <c r="L297">
        <v>1650</v>
      </c>
      <c r="M297" s="1">
        <v>43370</v>
      </c>
      <c r="N297" t="s">
        <v>45</v>
      </c>
      <c r="O297" t="s">
        <v>46</v>
      </c>
      <c r="P297" t="s">
        <v>47</v>
      </c>
      <c r="Q297" s="1">
        <v>43852</v>
      </c>
      <c r="R297" t="s">
        <v>48</v>
      </c>
      <c r="S297" t="s">
        <v>60</v>
      </c>
      <c r="T297" t="s">
        <v>61</v>
      </c>
      <c r="U297" t="s">
        <v>42</v>
      </c>
      <c r="V297">
        <v>0</v>
      </c>
      <c r="W297">
        <v>100000</v>
      </c>
      <c r="X297" s="1">
        <v>43921</v>
      </c>
      <c r="Y297" t="s">
        <v>51</v>
      </c>
      <c r="Z297" t="s">
        <v>43</v>
      </c>
      <c r="AA297" t="s">
        <v>41</v>
      </c>
      <c r="AB297" t="s">
        <v>52</v>
      </c>
      <c r="AC297" t="s">
        <v>53</v>
      </c>
      <c r="AF297" t="s">
        <v>57</v>
      </c>
      <c r="AG297" s="1">
        <v>43836</v>
      </c>
      <c r="AH297" t="s">
        <v>42</v>
      </c>
      <c r="AI297" t="s">
        <v>55</v>
      </c>
      <c r="AJ297">
        <v>12788092</v>
      </c>
      <c r="AK297">
        <v>250000</v>
      </c>
      <c r="AL297">
        <v>1500000</v>
      </c>
    </row>
    <row r="298" spans="1:38" x14ac:dyDescent="0.25">
      <c r="A298" t="s">
        <v>188</v>
      </c>
      <c r="B298" s="2">
        <v>2.4122E+18</v>
      </c>
      <c r="C298" t="s">
        <v>40</v>
      </c>
      <c r="D298" s="1">
        <v>43370</v>
      </c>
      <c r="E298" s="1">
        <v>43734</v>
      </c>
      <c r="F298" t="s">
        <v>41</v>
      </c>
      <c r="G298">
        <v>1</v>
      </c>
      <c r="H298" t="s">
        <v>42</v>
      </c>
      <c r="I298" t="s">
        <v>43</v>
      </c>
      <c r="J298" t="s">
        <v>41</v>
      </c>
      <c r="K298" t="s">
        <v>44</v>
      </c>
      <c r="L298">
        <v>1650</v>
      </c>
      <c r="M298" s="1">
        <v>43370</v>
      </c>
      <c r="N298" t="s">
        <v>45</v>
      </c>
      <c r="O298" t="s">
        <v>46</v>
      </c>
      <c r="P298" t="s">
        <v>47</v>
      </c>
      <c r="Q298" s="1">
        <v>43852</v>
      </c>
      <c r="R298" t="s">
        <v>48</v>
      </c>
      <c r="S298" t="s">
        <v>60</v>
      </c>
      <c r="T298" t="s">
        <v>61</v>
      </c>
      <c r="U298" t="s">
        <v>42</v>
      </c>
      <c r="V298">
        <v>0</v>
      </c>
      <c r="W298">
        <v>100000</v>
      </c>
      <c r="X298" s="1">
        <v>43921</v>
      </c>
      <c r="Y298" t="s">
        <v>51</v>
      </c>
      <c r="Z298" t="s">
        <v>43</v>
      </c>
      <c r="AA298" t="s">
        <v>41</v>
      </c>
      <c r="AB298" t="s">
        <v>52</v>
      </c>
      <c r="AC298" t="s">
        <v>53</v>
      </c>
      <c r="AF298" t="s">
        <v>58</v>
      </c>
      <c r="AG298" s="1">
        <v>43837</v>
      </c>
      <c r="AH298" t="s">
        <v>42</v>
      </c>
      <c r="AI298" t="s">
        <v>55</v>
      </c>
      <c r="AJ298">
        <v>12788092</v>
      </c>
      <c r="AK298">
        <v>250000</v>
      </c>
      <c r="AL298">
        <v>1500000</v>
      </c>
    </row>
    <row r="299" spans="1:38" x14ac:dyDescent="0.25">
      <c r="A299" t="s">
        <v>188</v>
      </c>
      <c r="B299" s="2">
        <v>2.4122E+18</v>
      </c>
      <c r="C299" t="s">
        <v>40</v>
      </c>
      <c r="D299" s="1">
        <v>43370</v>
      </c>
      <c r="E299" s="1">
        <v>43734</v>
      </c>
      <c r="F299" t="s">
        <v>41</v>
      </c>
      <c r="G299">
        <v>1</v>
      </c>
      <c r="H299" t="s">
        <v>42</v>
      </c>
      <c r="I299" t="s">
        <v>43</v>
      </c>
      <c r="J299" t="s">
        <v>41</v>
      </c>
      <c r="K299" t="s">
        <v>44</v>
      </c>
      <c r="L299">
        <v>1650</v>
      </c>
      <c r="M299" s="1">
        <v>43370</v>
      </c>
      <c r="N299" t="s">
        <v>45</v>
      </c>
      <c r="O299" t="s">
        <v>46</v>
      </c>
      <c r="P299" t="s">
        <v>47</v>
      </c>
      <c r="Q299" s="1">
        <v>43852</v>
      </c>
      <c r="R299" t="s">
        <v>48</v>
      </c>
      <c r="S299" t="s">
        <v>60</v>
      </c>
      <c r="T299" t="s">
        <v>61</v>
      </c>
      <c r="U299" t="s">
        <v>42</v>
      </c>
      <c r="V299">
        <v>0</v>
      </c>
      <c r="W299">
        <v>100000</v>
      </c>
      <c r="X299" s="1">
        <v>43921</v>
      </c>
      <c r="Y299" t="s">
        <v>51</v>
      </c>
      <c r="Z299" t="s">
        <v>43</v>
      </c>
      <c r="AA299" t="s">
        <v>41</v>
      </c>
      <c r="AB299" t="s">
        <v>52</v>
      </c>
      <c r="AC299" t="s">
        <v>53</v>
      </c>
      <c r="AF299" t="s">
        <v>59</v>
      </c>
      <c r="AG299" s="1">
        <v>43838</v>
      </c>
      <c r="AH299" t="s">
        <v>42</v>
      </c>
      <c r="AI299" t="s">
        <v>55</v>
      </c>
      <c r="AJ299">
        <v>12788092</v>
      </c>
      <c r="AK299">
        <v>250000</v>
      </c>
      <c r="AL299">
        <v>1500000</v>
      </c>
    </row>
    <row r="300" spans="1:38" x14ac:dyDescent="0.25">
      <c r="A300" t="s">
        <v>188</v>
      </c>
      <c r="B300" s="2">
        <v>2.4122E+18</v>
      </c>
      <c r="C300" t="s">
        <v>40</v>
      </c>
      <c r="D300" s="1">
        <v>43370</v>
      </c>
      <c r="E300" s="1">
        <v>43734</v>
      </c>
      <c r="F300" t="s">
        <v>41</v>
      </c>
      <c r="G300">
        <v>1</v>
      </c>
      <c r="H300" t="s">
        <v>42</v>
      </c>
      <c r="I300" t="s">
        <v>43</v>
      </c>
      <c r="J300" t="s">
        <v>41</v>
      </c>
      <c r="K300" t="s">
        <v>44</v>
      </c>
      <c r="L300">
        <v>1650</v>
      </c>
      <c r="M300" s="1">
        <v>43370</v>
      </c>
      <c r="N300" t="s">
        <v>45</v>
      </c>
      <c r="O300" t="s">
        <v>46</v>
      </c>
      <c r="P300" t="s">
        <v>47</v>
      </c>
      <c r="Q300" s="1">
        <v>43852</v>
      </c>
      <c r="R300" t="s">
        <v>48</v>
      </c>
      <c r="S300" t="s">
        <v>62</v>
      </c>
      <c r="T300" t="s">
        <v>63</v>
      </c>
      <c r="U300" t="s">
        <v>42</v>
      </c>
      <c r="V300">
        <v>0</v>
      </c>
      <c r="W300">
        <v>100000</v>
      </c>
      <c r="X300" s="1">
        <v>43982</v>
      </c>
      <c r="Y300" t="s">
        <v>51</v>
      </c>
      <c r="Z300" t="s">
        <v>43</v>
      </c>
      <c r="AA300" t="s">
        <v>41</v>
      </c>
      <c r="AB300" t="s">
        <v>52</v>
      </c>
      <c r="AC300" t="s">
        <v>53</v>
      </c>
      <c r="AF300" t="s">
        <v>54</v>
      </c>
      <c r="AG300" s="1">
        <v>43832</v>
      </c>
      <c r="AH300" t="s">
        <v>42</v>
      </c>
      <c r="AI300" t="s">
        <v>55</v>
      </c>
      <c r="AJ300">
        <v>12788092</v>
      </c>
      <c r="AK300">
        <v>250000</v>
      </c>
      <c r="AL300">
        <v>1500000</v>
      </c>
    </row>
    <row r="301" spans="1:38" x14ac:dyDescent="0.25">
      <c r="A301" t="s">
        <v>188</v>
      </c>
      <c r="B301" s="2">
        <v>2.4122E+18</v>
      </c>
      <c r="C301" t="s">
        <v>40</v>
      </c>
      <c r="D301" s="1">
        <v>43370</v>
      </c>
      <c r="E301" s="1">
        <v>43734</v>
      </c>
      <c r="F301" t="s">
        <v>41</v>
      </c>
      <c r="G301">
        <v>1</v>
      </c>
      <c r="H301" t="s">
        <v>42</v>
      </c>
      <c r="I301" t="s">
        <v>43</v>
      </c>
      <c r="J301" t="s">
        <v>41</v>
      </c>
      <c r="K301" t="s">
        <v>44</v>
      </c>
      <c r="L301">
        <v>1650</v>
      </c>
      <c r="M301" s="1">
        <v>43370</v>
      </c>
      <c r="N301" t="s">
        <v>45</v>
      </c>
      <c r="O301" t="s">
        <v>46</v>
      </c>
      <c r="P301" t="s">
        <v>47</v>
      </c>
      <c r="Q301" s="1">
        <v>43852</v>
      </c>
      <c r="R301" t="s">
        <v>48</v>
      </c>
      <c r="S301" t="s">
        <v>62</v>
      </c>
      <c r="T301" t="s">
        <v>63</v>
      </c>
      <c r="U301" t="s">
        <v>42</v>
      </c>
      <c r="V301">
        <v>0</v>
      </c>
      <c r="W301">
        <v>100000</v>
      </c>
      <c r="X301" s="1">
        <v>43982</v>
      </c>
      <c r="Y301" t="s">
        <v>51</v>
      </c>
      <c r="Z301" t="s">
        <v>43</v>
      </c>
      <c r="AA301" t="s">
        <v>41</v>
      </c>
      <c r="AB301" t="s">
        <v>52</v>
      </c>
      <c r="AC301" t="s">
        <v>53</v>
      </c>
      <c r="AF301" t="s">
        <v>56</v>
      </c>
      <c r="AG301" s="1">
        <v>43833</v>
      </c>
      <c r="AH301" t="s">
        <v>42</v>
      </c>
      <c r="AI301" t="s">
        <v>55</v>
      </c>
      <c r="AJ301">
        <v>12788092</v>
      </c>
      <c r="AK301">
        <v>250000</v>
      </c>
      <c r="AL301">
        <v>1500000</v>
      </c>
    </row>
    <row r="302" spans="1:38" x14ac:dyDescent="0.25">
      <c r="A302" t="s">
        <v>188</v>
      </c>
      <c r="B302" s="2">
        <v>2.4122E+18</v>
      </c>
      <c r="C302" t="s">
        <v>40</v>
      </c>
      <c r="D302" s="1">
        <v>43370</v>
      </c>
      <c r="E302" s="1">
        <v>43734</v>
      </c>
      <c r="F302" t="s">
        <v>41</v>
      </c>
      <c r="G302">
        <v>1</v>
      </c>
      <c r="H302" t="s">
        <v>42</v>
      </c>
      <c r="I302" t="s">
        <v>43</v>
      </c>
      <c r="J302" t="s">
        <v>41</v>
      </c>
      <c r="K302" t="s">
        <v>44</v>
      </c>
      <c r="L302">
        <v>1650</v>
      </c>
      <c r="M302" s="1">
        <v>43370</v>
      </c>
      <c r="N302" t="s">
        <v>45</v>
      </c>
      <c r="O302" t="s">
        <v>46</v>
      </c>
      <c r="P302" t="s">
        <v>47</v>
      </c>
      <c r="Q302" s="1">
        <v>43852</v>
      </c>
      <c r="R302" t="s">
        <v>48</v>
      </c>
      <c r="S302" t="s">
        <v>62</v>
      </c>
      <c r="T302" t="s">
        <v>63</v>
      </c>
      <c r="U302" t="s">
        <v>42</v>
      </c>
      <c r="V302">
        <v>0</v>
      </c>
      <c r="W302">
        <v>100000</v>
      </c>
      <c r="X302" s="1">
        <v>43982</v>
      </c>
      <c r="Y302" t="s">
        <v>51</v>
      </c>
      <c r="Z302" t="s">
        <v>43</v>
      </c>
      <c r="AA302" t="s">
        <v>41</v>
      </c>
      <c r="AB302" t="s">
        <v>52</v>
      </c>
      <c r="AC302" t="s">
        <v>53</v>
      </c>
      <c r="AF302" t="s">
        <v>57</v>
      </c>
      <c r="AG302" s="1">
        <v>43836</v>
      </c>
      <c r="AH302" t="s">
        <v>42</v>
      </c>
      <c r="AI302" t="s">
        <v>55</v>
      </c>
      <c r="AJ302">
        <v>12788092</v>
      </c>
      <c r="AK302">
        <v>250000</v>
      </c>
      <c r="AL302">
        <v>1500000</v>
      </c>
    </row>
    <row r="303" spans="1:38" x14ac:dyDescent="0.25">
      <c r="A303" t="s">
        <v>188</v>
      </c>
      <c r="B303" s="2">
        <v>2.4122E+18</v>
      </c>
      <c r="C303" t="s">
        <v>40</v>
      </c>
      <c r="D303" s="1">
        <v>43370</v>
      </c>
      <c r="E303" s="1">
        <v>43734</v>
      </c>
      <c r="F303" t="s">
        <v>41</v>
      </c>
      <c r="G303">
        <v>1</v>
      </c>
      <c r="H303" t="s">
        <v>42</v>
      </c>
      <c r="I303" t="s">
        <v>43</v>
      </c>
      <c r="J303" t="s">
        <v>41</v>
      </c>
      <c r="K303" t="s">
        <v>44</v>
      </c>
      <c r="L303">
        <v>1650</v>
      </c>
      <c r="M303" s="1">
        <v>43370</v>
      </c>
      <c r="N303" t="s">
        <v>45</v>
      </c>
      <c r="O303" t="s">
        <v>46</v>
      </c>
      <c r="P303" t="s">
        <v>47</v>
      </c>
      <c r="Q303" s="1">
        <v>43852</v>
      </c>
      <c r="R303" t="s">
        <v>48</v>
      </c>
      <c r="S303" t="s">
        <v>62</v>
      </c>
      <c r="T303" t="s">
        <v>63</v>
      </c>
      <c r="U303" t="s">
        <v>42</v>
      </c>
      <c r="V303">
        <v>0</v>
      </c>
      <c r="W303">
        <v>100000</v>
      </c>
      <c r="X303" s="1">
        <v>43982</v>
      </c>
      <c r="Y303" t="s">
        <v>51</v>
      </c>
      <c r="Z303" t="s">
        <v>43</v>
      </c>
      <c r="AA303" t="s">
        <v>41</v>
      </c>
      <c r="AB303" t="s">
        <v>52</v>
      </c>
      <c r="AC303" t="s">
        <v>53</v>
      </c>
      <c r="AF303" t="s">
        <v>58</v>
      </c>
      <c r="AG303" s="1">
        <v>43837</v>
      </c>
      <c r="AH303" t="s">
        <v>42</v>
      </c>
      <c r="AI303" t="s">
        <v>55</v>
      </c>
      <c r="AJ303">
        <v>12788092</v>
      </c>
      <c r="AK303">
        <v>250000</v>
      </c>
      <c r="AL303">
        <v>1500000</v>
      </c>
    </row>
    <row r="304" spans="1:38" x14ac:dyDescent="0.25">
      <c r="A304" t="s">
        <v>188</v>
      </c>
      <c r="B304" s="2">
        <v>2.4122E+18</v>
      </c>
      <c r="C304" t="s">
        <v>40</v>
      </c>
      <c r="D304" s="1">
        <v>43370</v>
      </c>
      <c r="E304" s="1">
        <v>43734</v>
      </c>
      <c r="F304" t="s">
        <v>41</v>
      </c>
      <c r="G304">
        <v>1</v>
      </c>
      <c r="H304" t="s">
        <v>42</v>
      </c>
      <c r="I304" t="s">
        <v>43</v>
      </c>
      <c r="J304" t="s">
        <v>41</v>
      </c>
      <c r="K304" t="s">
        <v>44</v>
      </c>
      <c r="L304">
        <v>1650</v>
      </c>
      <c r="M304" s="1">
        <v>43370</v>
      </c>
      <c r="N304" t="s">
        <v>45</v>
      </c>
      <c r="O304" t="s">
        <v>46</v>
      </c>
      <c r="P304" t="s">
        <v>47</v>
      </c>
      <c r="Q304" s="1">
        <v>43852</v>
      </c>
      <c r="R304" t="s">
        <v>48</v>
      </c>
      <c r="S304" t="s">
        <v>62</v>
      </c>
      <c r="T304" t="s">
        <v>63</v>
      </c>
      <c r="U304" t="s">
        <v>42</v>
      </c>
      <c r="V304">
        <v>0</v>
      </c>
      <c r="W304">
        <v>100000</v>
      </c>
      <c r="X304" s="1">
        <v>43982</v>
      </c>
      <c r="Y304" t="s">
        <v>51</v>
      </c>
      <c r="Z304" t="s">
        <v>43</v>
      </c>
      <c r="AA304" t="s">
        <v>41</v>
      </c>
      <c r="AB304" t="s">
        <v>52</v>
      </c>
      <c r="AC304" t="s">
        <v>53</v>
      </c>
      <c r="AF304" t="s">
        <v>59</v>
      </c>
      <c r="AG304" s="1">
        <v>43838</v>
      </c>
      <c r="AH304" t="s">
        <v>42</v>
      </c>
      <c r="AI304" t="s">
        <v>55</v>
      </c>
      <c r="AJ304">
        <v>12788092</v>
      </c>
      <c r="AK304">
        <v>250000</v>
      </c>
      <c r="AL304">
        <v>1500000</v>
      </c>
    </row>
    <row r="305" spans="1:38" x14ac:dyDescent="0.25">
      <c r="A305" t="s">
        <v>188</v>
      </c>
      <c r="B305" s="2">
        <v>2.4122E+18</v>
      </c>
      <c r="C305" t="s">
        <v>40</v>
      </c>
      <c r="D305" s="1">
        <v>43370</v>
      </c>
      <c r="E305" s="1">
        <v>43734</v>
      </c>
      <c r="F305" t="s">
        <v>41</v>
      </c>
      <c r="G305">
        <v>1</v>
      </c>
      <c r="H305" t="s">
        <v>42</v>
      </c>
      <c r="I305" t="s">
        <v>43</v>
      </c>
      <c r="J305" t="s">
        <v>41</v>
      </c>
      <c r="K305" t="s">
        <v>44</v>
      </c>
      <c r="L305">
        <v>1650</v>
      </c>
      <c r="M305" s="1">
        <v>43370</v>
      </c>
      <c r="N305" t="s">
        <v>45</v>
      </c>
      <c r="O305" t="s">
        <v>46</v>
      </c>
      <c r="P305" t="s">
        <v>47</v>
      </c>
      <c r="Q305" s="1">
        <v>43852</v>
      </c>
      <c r="R305" t="s">
        <v>48</v>
      </c>
      <c r="S305" t="s">
        <v>64</v>
      </c>
      <c r="T305" t="s">
        <v>65</v>
      </c>
      <c r="U305" t="s">
        <v>42</v>
      </c>
      <c r="V305">
        <v>0</v>
      </c>
      <c r="W305">
        <v>100000</v>
      </c>
      <c r="X305" s="1">
        <v>43921</v>
      </c>
      <c r="Y305" t="s">
        <v>51</v>
      </c>
      <c r="Z305" t="s">
        <v>43</v>
      </c>
      <c r="AA305" t="s">
        <v>41</v>
      </c>
      <c r="AB305" t="s">
        <v>52</v>
      </c>
      <c r="AC305" t="s">
        <v>53</v>
      </c>
      <c r="AF305" t="s">
        <v>54</v>
      </c>
      <c r="AG305" s="1">
        <v>43832</v>
      </c>
      <c r="AH305" t="s">
        <v>42</v>
      </c>
      <c r="AI305" t="s">
        <v>55</v>
      </c>
      <c r="AJ305">
        <v>12788092</v>
      </c>
      <c r="AK305">
        <v>250000</v>
      </c>
      <c r="AL305">
        <v>1500000</v>
      </c>
    </row>
    <row r="306" spans="1:38" x14ac:dyDescent="0.25">
      <c r="A306" t="s">
        <v>188</v>
      </c>
      <c r="B306" s="2">
        <v>2.4122E+18</v>
      </c>
      <c r="C306" t="s">
        <v>40</v>
      </c>
      <c r="D306" s="1">
        <v>43370</v>
      </c>
      <c r="E306" s="1">
        <v>43734</v>
      </c>
      <c r="F306" t="s">
        <v>41</v>
      </c>
      <c r="G306">
        <v>1</v>
      </c>
      <c r="H306" t="s">
        <v>42</v>
      </c>
      <c r="I306" t="s">
        <v>43</v>
      </c>
      <c r="J306" t="s">
        <v>41</v>
      </c>
      <c r="K306" t="s">
        <v>44</v>
      </c>
      <c r="L306">
        <v>1650</v>
      </c>
      <c r="M306" s="1">
        <v>43370</v>
      </c>
      <c r="N306" t="s">
        <v>45</v>
      </c>
      <c r="O306" t="s">
        <v>46</v>
      </c>
      <c r="P306" t="s">
        <v>47</v>
      </c>
      <c r="Q306" s="1">
        <v>43852</v>
      </c>
      <c r="R306" t="s">
        <v>48</v>
      </c>
      <c r="S306" t="s">
        <v>64</v>
      </c>
      <c r="T306" t="s">
        <v>65</v>
      </c>
      <c r="U306" t="s">
        <v>42</v>
      </c>
      <c r="V306">
        <v>0</v>
      </c>
      <c r="W306">
        <v>100000</v>
      </c>
      <c r="X306" s="1">
        <v>43921</v>
      </c>
      <c r="Y306" t="s">
        <v>51</v>
      </c>
      <c r="Z306" t="s">
        <v>43</v>
      </c>
      <c r="AA306" t="s">
        <v>41</v>
      </c>
      <c r="AB306" t="s">
        <v>52</v>
      </c>
      <c r="AC306" t="s">
        <v>53</v>
      </c>
      <c r="AF306" t="s">
        <v>56</v>
      </c>
      <c r="AG306" s="1">
        <v>43833</v>
      </c>
      <c r="AH306" t="s">
        <v>42</v>
      </c>
      <c r="AI306" t="s">
        <v>55</v>
      </c>
      <c r="AJ306">
        <v>12788092</v>
      </c>
      <c r="AK306">
        <v>250000</v>
      </c>
      <c r="AL306">
        <v>1500000</v>
      </c>
    </row>
    <row r="307" spans="1:38" x14ac:dyDescent="0.25">
      <c r="A307" t="s">
        <v>188</v>
      </c>
      <c r="B307" s="2">
        <v>2.4122E+18</v>
      </c>
      <c r="C307" t="s">
        <v>40</v>
      </c>
      <c r="D307" s="1">
        <v>43370</v>
      </c>
      <c r="E307" s="1">
        <v>43734</v>
      </c>
      <c r="F307" t="s">
        <v>41</v>
      </c>
      <c r="G307">
        <v>1</v>
      </c>
      <c r="H307" t="s">
        <v>42</v>
      </c>
      <c r="I307" t="s">
        <v>43</v>
      </c>
      <c r="J307" t="s">
        <v>41</v>
      </c>
      <c r="K307" t="s">
        <v>44</v>
      </c>
      <c r="L307">
        <v>1650</v>
      </c>
      <c r="M307" s="1">
        <v>43370</v>
      </c>
      <c r="N307" t="s">
        <v>45</v>
      </c>
      <c r="O307" t="s">
        <v>46</v>
      </c>
      <c r="P307" t="s">
        <v>47</v>
      </c>
      <c r="Q307" s="1">
        <v>43852</v>
      </c>
      <c r="R307" t="s">
        <v>48</v>
      </c>
      <c r="S307" t="s">
        <v>64</v>
      </c>
      <c r="T307" t="s">
        <v>65</v>
      </c>
      <c r="U307" t="s">
        <v>42</v>
      </c>
      <c r="V307">
        <v>0</v>
      </c>
      <c r="W307">
        <v>100000</v>
      </c>
      <c r="X307" s="1">
        <v>43921</v>
      </c>
      <c r="Y307" t="s">
        <v>51</v>
      </c>
      <c r="Z307" t="s">
        <v>43</v>
      </c>
      <c r="AA307" t="s">
        <v>41</v>
      </c>
      <c r="AB307" t="s">
        <v>52</v>
      </c>
      <c r="AC307" t="s">
        <v>53</v>
      </c>
      <c r="AF307" t="s">
        <v>57</v>
      </c>
      <c r="AG307" s="1">
        <v>43836</v>
      </c>
      <c r="AH307" t="s">
        <v>42</v>
      </c>
      <c r="AI307" t="s">
        <v>55</v>
      </c>
      <c r="AJ307">
        <v>12788092</v>
      </c>
      <c r="AK307">
        <v>250000</v>
      </c>
      <c r="AL307">
        <v>1500000</v>
      </c>
    </row>
    <row r="308" spans="1:38" x14ac:dyDescent="0.25">
      <c r="A308" t="s">
        <v>188</v>
      </c>
      <c r="B308" s="2">
        <v>2.4122E+18</v>
      </c>
      <c r="C308" t="s">
        <v>40</v>
      </c>
      <c r="D308" s="1">
        <v>43370</v>
      </c>
      <c r="E308" s="1">
        <v>43734</v>
      </c>
      <c r="F308" t="s">
        <v>41</v>
      </c>
      <c r="G308">
        <v>1</v>
      </c>
      <c r="H308" t="s">
        <v>42</v>
      </c>
      <c r="I308" t="s">
        <v>43</v>
      </c>
      <c r="J308" t="s">
        <v>41</v>
      </c>
      <c r="K308" t="s">
        <v>44</v>
      </c>
      <c r="L308">
        <v>1650</v>
      </c>
      <c r="M308" s="1">
        <v>43370</v>
      </c>
      <c r="N308" t="s">
        <v>45</v>
      </c>
      <c r="O308" t="s">
        <v>46</v>
      </c>
      <c r="P308" t="s">
        <v>47</v>
      </c>
      <c r="Q308" s="1">
        <v>43852</v>
      </c>
      <c r="R308" t="s">
        <v>48</v>
      </c>
      <c r="S308" t="s">
        <v>64</v>
      </c>
      <c r="T308" t="s">
        <v>65</v>
      </c>
      <c r="U308" t="s">
        <v>42</v>
      </c>
      <c r="V308">
        <v>0</v>
      </c>
      <c r="W308">
        <v>100000</v>
      </c>
      <c r="X308" s="1">
        <v>43921</v>
      </c>
      <c r="Y308" t="s">
        <v>51</v>
      </c>
      <c r="Z308" t="s">
        <v>43</v>
      </c>
      <c r="AA308" t="s">
        <v>41</v>
      </c>
      <c r="AB308" t="s">
        <v>52</v>
      </c>
      <c r="AC308" t="s">
        <v>53</v>
      </c>
      <c r="AF308" t="s">
        <v>58</v>
      </c>
      <c r="AG308" s="1">
        <v>43837</v>
      </c>
      <c r="AH308" t="s">
        <v>42</v>
      </c>
      <c r="AI308" t="s">
        <v>55</v>
      </c>
      <c r="AJ308">
        <v>12788092</v>
      </c>
      <c r="AK308">
        <v>250000</v>
      </c>
      <c r="AL308">
        <v>1500000</v>
      </c>
    </row>
    <row r="309" spans="1:38" x14ac:dyDescent="0.25">
      <c r="A309" t="s">
        <v>188</v>
      </c>
      <c r="B309" s="2">
        <v>2.4122E+18</v>
      </c>
      <c r="C309" t="s">
        <v>40</v>
      </c>
      <c r="D309" s="1">
        <v>43370</v>
      </c>
      <c r="E309" s="1">
        <v>43734</v>
      </c>
      <c r="F309" t="s">
        <v>41</v>
      </c>
      <c r="G309">
        <v>1</v>
      </c>
      <c r="H309" t="s">
        <v>42</v>
      </c>
      <c r="I309" t="s">
        <v>43</v>
      </c>
      <c r="J309" t="s">
        <v>41</v>
      </c>
      <c r="K309" t="s">
        <v>44</v>
      </c>
      <c r="L309">
        <v>1650</v>
      </c>
      <c r="M309" s="1">
        <v>43370</v>
      </c>
      <c r="N309" t="s">
        <v>45</v>
      </c>
      <c r="O309" t="s">
        <v>46</v>
      </c>
      <c r="P309" t="s">
        <v>47</v>
      </c>
      <c r="Q309" s="1">
        <v>43852</v>
      </c>
      <c r="R309" t="s">
        <v>48</v>
      </c>
      <c r="S309" t="s">
        <v>64</v>
      </c>
      <c r="T309" t="s">
        <v>65</v>
      </c>
      <c r="U309" t="s">
        <v>42</v>
      </c>
      <c r="V309">
        <v>0</v>
      </c>
      <c r="W309">
        <v>100000</v>
      </c>
      <c r="X309" s="1">
        <v>43921</v>
      </c>
      <c r="Y309" t="s">
        <v>51</v>
      </c>
      <c r="Z309" t="s">
        <v>43</v>
      </c>
      <c r="AA309" t="s">
        <v>41</v>
      </c>
      <c r="AB309" t="s">
        <v>52</v>
      </c>
      <c r="AC309" t="s">
        <v>53</v>
      </c>
      <c r="AF309" t="s">
        <v>59</v>
      </c>
      <c r="AG309" s="1">
        <v>43838</v>
      </c>
      <c r="AH309" t="s">
        <v>42</v>
      </c>
      <c r="AI309" t="s">
        <v>55</v>
      </c>
      <c r="AJ309">
        <v>12788092</v>
      </c>
      <c r="AK309">
        <v>250000</v>
      </c>
      <c r="AL309">
        <v>1500000</v>
      </c>
    </row>
    <row r="310" spans="1:38" x14ac:dyDescent="0.25">
      <c r="A310" t="s">
        <v>189</v>
      </c>
      <c r="B310" t="s">
        <v>190</v>
      </c>
      <c r="C310" t="s">
        <v>71</v>
      </c>
      <c r="D310" s="1">
        <v>43160</v>
      </c>
      <c r="E310" s="1">
        <v>43524</v>
      </c>
      <c r="F310" t="s">
        <v>41</v>
      </c>
      <c r="G310">
        <v>3</v>
      </c>
      <c r="H310" t="s">
        <v>125</v>
      </c>
      <c r="I310" t="s">
        <v>43</v>
      </c>
      <c r="J310" t="s">
        <v>126</v>
      </c>
      <c r="K310" t="s">
        <v>44</v>
      </c>
      <c r="L310">
        <v>16335</v>
      </c>
      <c r="M310" s="1">
        <v>43160</v>
      </c>
      <c r="N310" t="s">
        <v>45</v>
      </c>
      <c r="O310" t="s">
        <v>46</v>
      </c>
      <c r="P310" t="s">
        <v>47</v>
      </c>
      <c r="Q310" s="1">
        <v>43852</v>
      </c>
      <c r="R310" t="s">
        <v>48</v>
      </c>
      <c r="S310" t="s">
        <v>41</v>
      </c>
      <c r="T310" t="s">
        <v>130</v>
      </c>
      <c r="U310" t="s">
        <v>125</v>
      </c>
      <c r="V310">
        <v>0</v>
      </c>
      <c r="W310">
        <v>100000</v>
      </c>
      <c r="X310" s="1">
        <v>43769</v>
      </c>
      <c r="Y310" t="s">
        <v>131</v>
      </c>
      <c r="Z310" t="s">
        <v>43</v>
      </c>
      <c r="AA310" t="s">
        <v>41</v>
      </c>
      <c r="AB310" t="s">
        <v>132</v>
      </c>
      <c r="AC310" t="s">
        <v>133</v>
      </c>
      <c r="AF310" t="s">
        <v>134</v>
      </c>
      <c r="AG310" s="1">
        <v>43843</v>
      </c>
      <c r="AH310" t="s">
        <v>125</v>
      </c>
      <c r="AI310" t="s">
        <v>92</v>
      </c>
      <c r="AJ310">
        <v>1278023</v>
      </c>
      <c r="AK310">
        <v>12365300</v>
      </c>
      <c r="AL310">
        <v>12900</v>
      </c>
    </row>
    <row r="311" spans="1:38" x14ac:dyDescent="0.25">
      <c r="A311" t="s">
        <v>189</v>
      </c>
      <c r="B311" t="s">
        <v>190</v>
      </c>
      <c r="C311" t="s">
        <v>71</v>
      </c>
      <c r="D311" s="1">
        <v>43160</v>
      </c>
      <c r="E311" s="1">
        <v>43524</v>
      </c>
      <c r="F311" t="s">
        <v>41</v>
      </c>
      <c r="G311">
        <v>3</v>
      </c>
      <c r="H311" t="s">
        <v>125</v>
      </c>
      <c r="I311" t="s">
        <v>43</v>
      </c>
      <c r="J311" t="s">
        <v>126</v>
      </c>
      <c r="K311" t="s">
        <v>44</v>
      </c>
      <c r="L311">
        <v>16335</v>
      </c>
      <c r="M311" s="1">
        <v>43160</v>
      </c>
      <c r="N311" t="s">
        <v>45</v>
      </c>
      <c r="O311" t="s">
        <v>46</v>
      </c>
      <c r="P311" t="s">
        <v>47</v>
      </c>
      <c r="Q311" s="1">
        <v>43852</v>
      </c>
      <c r="R311" t="s">
        <v>48</v>
      </c>
      <c r="S311" t="s">
        <v>41</v>
      </c>
      <c r="T311" t="s">
        <v>130</v>
      </c>
      <c r="U311" t="s">
        <v>125</v>
      </c>
      <c r="V311">
        <v>0</v>
      </c>
      <c r="W311">
        <v>100000</v>
      </c>
      <c r="X311" s="1">
        <v>43769</v>
      </c>
      <c r="Y311" t="s">
        <v>131</v>
      </c>
      <c r="Z311" t="s">
        <v>43</v>
      </c>
      <c r="AA311" t="s">
        <v>41</v>
      </c>
      <c r="AB311" t="s">
        <v>132</v>
      </c>
      <c r="AC311" t="s">
        <v>133</v>
      </c>
      <c r="AF311" t="s">
        <v>135</v>
      </c>
      <c r="AG311" s="1">
        <v>43843</v>
      </c>
      <c r="AH311" t="s">
        <v>125</v>
      </c>
      <c r="AI311" t="s">
        <v>92</v>
      </c>
      <c r="AJ311">
        <v>1278023</v>
      </c>
      <c r="AK311">
        <v>12365300</v>
      </c>
      <c r="AL311">
        <v>12900</v>
      </c>
    </row>
    <row r="312" spans="1:38" x14ac:dyDescent="0.25">
      <c r="A312" t="s">
        <v>189</v>
      </c>
      <c r="B312" t="s">
        <v>190</v>
      </c>
      <c r="C312" t="s">
        <v>71</v>
      </c>
      <c r="D312" s="1">
        <v>43160</v>
      </c>
      <c r="E312" s="1">
        <v>43524</v>
      </c>
      <c r="F312" t="s">
        <v>41</v>
      </c>
      <c r="G312">
        <v>3</v>
      </c>
      <c r="H312" t="s">
        <v>125</v>
      </c>
      <c r="I312" t="s">
        <v>43</v>
      </c>
      <c r="J312" t="s">
        <v>126</v>
      </c>
      <c r="K312" t="s">
        <v>44</v>
      </c>
      <c r="L312">
        <v>16335</v>
      </c>
      <c r="M312" s="1">
        <v>43160</v>
      </c>
      <c r="N312" t="s">
        <v>45</v>
      </c>
      <c r="O312" t="s">
        <v>46</v>
      </c>
      <c r="P312" t="s">
        <v>47</v>
      </c>
      <c r="Q312" s="1">
        <v>43852</v>
      </c>
      <c r="R312" t="s">
        <v>48</v>
      </c>
      <c r="S312" t="s">
        <v>41</v>
      </c>
      <c r="T312" t="s">
        <v>130</v>
      </c>
      <c r="U312" t="s">
        <v>125</v>
      </c>
      <c r="V312">
        <v>0</v>
      </c>
      <c r="W312">
        <v>100000</v>
      </c>
      <c r="X312" s="1">
        <v>43769</v>
      </c>
      <c r="Y312" t="s">
        <v>131</v>
      </c>
      <c r="Z312" t="s">
        <v>43</v>
      </c>
      <c r="AA312" t="s">
        <v>41</v>
      </c>
      <c r="AB312" t="s">
        <v>132</v>
      </c>
      <c r="AC312" t="s">
        <v>133</v>
      </c>
      <c r="AF312" t="s">
        <v>136</v>
      </c>
      <c r="AG312" s="1">
        <v>43839</v>
      </c>
      <c r="AH312" t="s">
        <v>125</v>
      </c>
      <c r="AI312" t="s">
        <v>92</v>
      </c>
      <c r="AJ312">
        <v>1278023</v>
      </c>
      <c r="AK312">
        <v>12365300</v>
      </c>
      <c r="AL312">
        <v>12900</v>
      </c>
    </row>
    <row r="313" spans="1:38" x14ac:dyDescent="0.25">
      <c r="A313" t="s">
        <v>189</v>
      </c>
      <c r="B313" t="s">
        <v>190</v>
      </c>
      <c r="C313" t="s">
        <v>71</v>
      </c>
      <c r="D313" s="1">
        <v>43160</v>
      </c>
      <c r="E313" s="1">
        <v>43524</v>
      </c>
      <c r="F313" t="s">
        <v>41</v>
      </c>
      <c r="G313">
        <v>3</v>
      </c>
      <c r="H313" t="s">
        <v>125</v>
      </c>
      <c r="I313" t="s">
        <v>43</v>
      </c>
      <c r="J313" t="s">
        <v>126</v>
      </c>
      <c r="K313" t="s">
        <v>44</v>
      </c>
      <c r="L313">
        <v>16335</v>
      </c>
      <c r="M313" s="1">
        <v>43160</v>
      </c>
      <c r="N313" t="s">
        <v>45</v>
      </c>
      <c r="O313" t="s">
        <v>46</v>
      </c>
      <c r="P313" t="s">
        <v>47</v>
      </c>
      <c r="Q313" s="1">
        <v>43852</v>
      </c>
      <c r="R313" t="s">
        <v>48</v>
      </c>
      <c r="S313" t="s">
        <v>41</v>
      </c>
      <c r="T313" t="s">
        <v>130</v>
      </c>
      <c r="U313" t="s">
        <v>125</v>
      </c>
      <c r="V313">
        <v>0</v>
      </c>
      <c r="W313">
        <v>100000</v>
      </c>
      <c r="X313" s="1">
        <v>43769</v>
      </c>
      <c r="Y313" t="s">
        <v>131</v>
      </c>
      <c r="Z313" t="s">
        <v>43</v>
      </c>
      <c r="AA313" t="s">
        <v>41</v>
      </c>
      <c r="AB313" t="s">
        <v>132</v>
      </c>
      <c r="AC313" t="s">
        <v>133</v>
      </c>
      <c r="AF313" t="s">
        <v>137</v>
      </c>
      <c r="AG313" s="1">
        <v>43840</v>
      </c>
      <c r="AH313" t="s">
        <v>125</v>
      </c>
      <c r="AI313" t="s">
        <v>92</v>
      </c>
      <c r="AJ313">
        <v>1278023</v>
      </c>
      <c r="AK313">
        <v>12365300</v>
      </c>
      <c r="AL313">
        <v>12900</v>
      </c>
    </row>
    <row r="314" spans="1:38" x14ac:dyDescent="0.25">
      <c r="A314" t="s">
        <v>189</v>
      </c>
      <c r="B314" t="s">
        <v>190</v>
      </c>
      <c r="C314" t="s">
        <v>71</v>
      </c>
      <c r="D314" s="1">
        <v>43160</v>
      </c>
      <c r="E314" s="1">
        <v>43524</v>
      </c>
      <c r="F314" t="s">
        <v>41</v>
      </c>
      <c r="G314">
        <v>3</v>
      </c>
      <c r="H314" t="s">
        <v>125</v>
      </c>
      <c r="I314" t="s">
        <v>43</v>
      </c>
      <c r="J314" t="s">
        <v>126</v>
      </c>
      <c r="K314" t="s">
        <v>44</v>
      </c>
      <c r="L314">
        <v>16335</v>
      </c>
      <c r="M314" s="1">
        <v>43160</v>
      </c>
      <c r="N314" t="s">
        <v>45</v>
      </c>
      <c r="O314" t="s">
        <v>46</v>
      </c>
      <c r="P314" t="s">
        <v>47</v>
      </c>
      <c r="Q314" s="1">
        <v>43852</v>
      </c>
      <c r="R314" t="s">
        <v>48</v>
      </c>
      <c r="S314" t="s">
        <v>138</v>
      </c>
      <c r="T314" t="s">
        <v>139</v>
      </c>
      <c r="U314" t="s">
        <v>125</v>
      </c>
      <c r="V314">
        <v>0</v>
      </c>
      <c r="W314">
        <v>10000</v>
      </c>
      <c r="X314" s="1">
        <v>43738</v>
      </c>
      <c r="Y314" t="s">
        <v>140</v>
      </c>
      <c r="Z314" t="s">
        <v>43</v>
      </c>
      <c r="AA314" t="s">
        <v>41</v>
      </c>
      <c r="AB314" t="s">
        <v>132</v>
      </c>
      <c r="AC314" t="s">
        <v>132</v>
      </c>
      <c r="AF314" t="s">
        <v>134</v>
      </c>
      <c r="AG314" s="1">
        <v>43843</v>
      </c>
      <c r="AH314" t="s">
        <v>125</v>
      </c>
      <c r="AI314" t="s">
        <v>92</v>
      </c>
      <c r="AJ314">
        <v>1278023</v>
      </c>
      <c r="AK314">
        <v>12365300</v>
      </c>
      <c r="AL314">
        <v>12900</v>
      </c>
    </row>
    <row r="315" spans="1:38" x14ac:dyDescent="0.25">
      <c r="A315" t="s">
        <v>189</v>
      </c>
      <c r="B315" t="s">
        <v>190</v>
      </c>
      <c r="C315" t="s">
        <v>71</v>
      </c>
      <c r="D315" s="1">
        <v>43160</v>
      </c>
      <c r="E315" s="1">
        <v>43524</v>
      </c>
      <c r="F315" t="s">
        <v>41</v>
      </c>
      <c r="G315">
        <v>3</v>
      </c>
      <c r="H315" t="s">
        <v>125</v>
      </c>
      <c r="I315" t="s">
        <v>43</v>
      </c>
      <c r="J315" t="s">
        <v>126</v>
      </c>
      <c r="K315" t="s">
        <v>44</v>
      </c>
      <c r="L315">
        <v>16335</v>
      </c>
      <c r="M315" s="1">
        <v>43160</v>
      </c>
      <c r="N315" t="s">
        <v>45</v>
      </c>
      <c r="O315" t="s">
        <v>46</v>
      </c>
      <c r="P315" t="s">
        <v>47</v>
      </c>
      <c r="Q315" s="1">
        <v>43852</v>
      </c>
      <c r="R315" t="s">
        <v>48</v>
      </c>
      <c r="S315" t="s">
        <v>138</v>
      </c>
      <c r="T315" t="s">
        <v>139</v>
      </c>
      <c r="U315" t="s">
        <v>125</v>
      </c>
      <c r="V315">
        <v>0</v>
      </c>
      <c r="W315">
        <v>10000</v>
      </c>
      <c r="X315" s="1">
        <v>43738</v>
      </c>
      <c r="Y315" t="s">
        <v>140</v>
      </c>
      <c r="Z315" t="s">
        <v>43</v>
      </c>
      <c r="AA315" t="s">
        <v>41</v>
      </c>
      <c r="AB315" t="s">
        <v>132</v>
      </c>
      <c r="AC315" t="s">
        <v>132</v>
      </c>
      <c r="AF315" t="s">
        <v>135</v>
      </c>
      <c r="AG315" s="1">
        <v>43843</v>
      </c>
      <c r="AH315" t="s">
        <v>125</v>
      </c>
      <c r="AI315" t="s">
        <v>92</v>
      </c>
      <c r="AJ315">
        <v>1278023</v>
      </c>
      <c r="AK315">
        <v>12365300</v>
      </c>
      <c r="AL315">
        <v>12900</v>
      </c>
    </row>
    <row r="316" spans="1:38" x14ac:dyDescent="0.25">
      <c r="A316" t="s">
        <v>189</v>
      </c>
      <c r="B316" t="s">
        <v>190</v>
      </c>
      <c r="C316" t="s">
        <v>71</v>
      </c>
      <c r="D316" s="1">
        <v>43160</v>
      </c>
      <c r="E316" s="1">
        <v>43524</v>
      </c>
      <c r="F316" t="s">
        <v>41</v>
      </c>
      <c r="G316">
        <v>3</v>
      </c>
      <c r="H316" t="s">
        <v>125</v>
      </c>
      <c r="I316" t="s">
        <v>43</v>
      </c>
      <c r="J316" t="s">
        <v>126</v>
      </c>
      <c r="K316" t="s">
        <v>44</v>
      </c>
      <c r="L316">
        <v>16335</v>
      </c>
      <c r="M316" s="1">
        <v>43160</v>
      </c>
      <c r="N316" t="s">
        <v>45</v>
      </c>
      <c r="O316" t="s">
        <v>46</v>
      </c>
      <c r="P316" t="s">
        <v>47</v>
      </c>
      <c r="Q316" s="1">
        <v>43852</v>
      </c>
      <c r="R316" t="s">
        <v>48</v>
      </c>
      <c r="S316" t="s">
        <v>138</v>
      </c>
      <c r="T316" t="s">
        <v>139</v>
      </c>
      <c r="U316" t="s">
        <v>125</v>
      </c>
      <c r="V316">
        <v>0</v>
      </c>
      <c r="W316">
        <v>10000</v>
      </c>
      <c r="X316" s="1">
        <v>43738</v>
      </c>
      <c r="Y316" t="s">
        <v>140</v>
      </c>
      <c r="Z316" t="s">
        <v>43</v>
      </c>
      <c r="AA316" t="s">
        <v>41</v>
      </c>
      <c r="AB316" t="s">
        <v>132</v>
      </c>
      <c r="AC316" t="s">
        <v>132</v>
      </c>
      <c r="AF316" t="s">
        <v>136</v>
      </c>
      <c r="AG316" s="1">
        <v>43839</v>
      </c>
      <c r="AH316" t="s">
        <v>125</v>
      </c>
      <c r="AI316" t="s">
        <v>92</v>
      </c>
      <c r="AJ316">
        <v>1278023</v>
      </c>
      <c r="AK316">
        <v>12365300</v>
      </c>
      <c r="AL316">
        <v>12900</v>
      </c>
    </row>
    <row r="317" spans="1:38" x14ac:dyDescent="0.25">
      <c r="A317" t="s">
        <v>189</v>
      </c>
      <c r="B317" t="s">
        <v>190</v>
      </c>
      <c r="C317" t="s">
        <v>71</v>
      </c>
      <c r="D317" s="1">
        <v>43160</v>
      </c>
      <c r="E317" s="1">
        <v>43524</v>
      </c>
      <c r="F317" t="s">
        <v>41</v>
      </c>
      <c r="G317">
        <v>3</v>
      </c>
      <c r="H317" t="s">
        <v>125</v>
      </c>
      <c r="I317" t="s">
        <v>43</v>
      </c>
      <c r="J317" t="s">
        <v>126</v>
      </c>
      <c r="K317" t="s">
        <v>44</v>
      </c>
      <c r="L317">
        <v>16335</v>
      </c>
      <c r="M317" s="1">
        <v>43160</v>
      </c>
      <c r="N317" t="s">
        <v>45</v>
      </c>
      <c r="O317" t="s">
        <v>46</v>
      </c>
      <c r="P317" t="s">
        <v>47</v>
      </c>
      <c r="Q317" s="1">
        <v>43852</v>
      </c>
      <c r="R317" t="s">
        <v>48</v>
      </c>
      <c r="S317" t="s">
        <v>138</v>
      </c>
      <c r="T317" t="s">
        <v>139</v>
      </c>
      <c r="U317" t="s">
        <v>125</v>
      </c>
      <c r="V317">
        <v>0</v>
      </c>
      <c r="W317">
        <v>10000</v>
      </c>
      <c r="X317" s="1">
        <v>43738</v>
      </c>
      <c r="Y317" t="s">
        <v>140</v>
      </c>
      <c r="Z317" t="s">
        <v>43</v>
      </c>
      <c r="AA317" t="s">
        <v>41</v>
      </c>
      <c r="AB317" t="s">
        <v>132</v>
      </c>
      <c r="AC317" t="s">
        <v>132</v>
      </c>
      <c r="AF317" t="s">
        <v>137</v>
      </c>
      <c r="AG317" s="1">
        <v>43840</v>
      </c>
      <c r="AH317" t="s">
        <v>125</v>
      </c>
      <c r="AI317" t="s">
        <v>92</v>
      </c>
      <c r="AJ317">
        <v>1278023</v>
      </c>
      <c r="AK317">
        <v>12365300</v>
      </c>
      <c r="AL317">
        <v>12900</v>
      </c>
    </row>
    <row r="318" spans="1:38" x14ac:dyDescent="0.25">
      <c r="A318" t="s">
        <v>191</v>
      </c>
      <c r="B318" t="s">
        <v>192</v>
      </c>
      <c r="C318" t="s">
        <v>40</v>
      </c>
      <c r="D318" s="1">
        <v>43525</v>
      </c>
      <c r="E318" s="1">
        <v>43890</v>
      </c>
      <c r="F318" t="s">
        <v>41</v>
      </c>
      <c r="G318">
        <v>3</v>
      </c>
      <c r="H318" t="s">
        <v>125</v>
      </c>
      <c r="I318" t="s">
        <v>43</v>
      </c>
      <c r="J318" t="s">
        <v>126</v>
      </c>
      <c r="K318" t="s">
        <v>44</v>
      </c>
      <c r="L318">
        <v>18562.5</v>
      </c>
      <c r="M318" s="1">
        <v>43525</v>
      </c>
      <c r="N318" t="s">
        <v>45</v>
      </c>
      <c r="O318" t="s">
        <v>44</v>
      </c>
      <c r="P318" t="s">
        <v>47</v>
      </c>
      <c r="Q318" s="1">
        <v>43852</v>
      </c>
      <c r="R318" t="s">
        <v>48</v>
      </c>
      <c r="S318" t="s">
        <v>41</v>
      </c>
      <c r="T318" t="s">
        <v>130</v>
      </c>
      <c r="U318" t="s">
        <v>125</v>
      </c>
      <c r="V318">
        <v>0</v>
      </c>
      <c r="W318">
        <v>100000</v>
      </c>
      <c r="X318" s="1">
        <v>43769</v>
      </c>
      <c r="Y318" t="s">
        <v>131</v>
      </c>
      <c r="Z318" t="s">
        <v>43</v>
      </c>
      <c r="AA318" t="s">
        <v>41</v>
      </c>
      <c r="AB318" t="s">
        <v>132</v>
      </c>
      <c r="AC318" t="s">
        <v>133</v>
      </c>
      <c r="AF318" t="s">
        <v>134</v>
      </c>
      <c r="AG318" s="1">
        <v>43843</v>
      </c>
      <c r="AH318" t="s">
        <v>125</v>
      </c>
      <c r="AI318" t="s">
        <v>92</v>
      </c>
      <c r="AJ318">
        <v>1278023</v>
      </c>
      <c r="AK318">
        <v>12365300</v>
      </c>
      <c r="AL318">
        <v>12900</v>
      </c>
    </row>
    <row r="319" spans="1:38" x14ac:dyDescent="0.25">
      <c r="A319" t="s">
        <v>191</v>
      </c>
      <c r="B319" t="s">
        <v>192</v>
      </c>
      <c r="C319" t="s">
        <v>40</v>
      </c>
      <c r="D319" s="1">
        <v>43525</v>
      </c>
      <c r="E319" s="1">
        <v>43890</v>
      </c>
      <c r="F319" t="s">
        <v>41</v>
      </c>
      <c r="G319">
        <v>3</v>
      </c>
      <c r="H319" t="s">
        <v>125</v>
      </c>
      <c r="I319" t="s">
        <v>43</v>
      </c>
      <c r="J319" t="s">
        <v>126</v>
      </c>
      <c r="K319" t="s">
        <v>44</v>
      </c>
      <c r="L319">
        <v>18562.5</v>
      </c>
      <c r="M319" s="1">
        <v>43525</v>
      </c>
      <c r="N319" t="s">
        <v>45</v>
      </c>
      <c r="O319" t="s">
        <v>44</v>
      </c>
      <c r="P319" t="s">
        <v>47</v>
      </c>
      <c r="Q319" s="1">
        <v>43852</v>
      </c>
      <c r="R319" t="s">
        <v>48</v>
      </c>
      <c r="S319" t="s">
        <v>41</v>
      </c>
      <c r="T319" t="s">
        <v>130</v>
      </c>
      <c r="U319" t="s">
        <v>125</v>
      </c>
      <c r="V319">
        <v>0</v>
      </c>
      <c r="W319">
        <v>100000</v>
      </c>
      <c r="X319" s="1">
        <v>43769</v>
      </c>
      <c r="Y319" t="s">
        <v>131</v>
      </c>
      <c r="Z319" t="s">
        <v>43</v>
      </c>
      <c r="AA319" t="s">
        <v>41</v>
      </c>
      <c r="AB319" t="s">
        <v>132</v>
      </c>
      <c r="AC319" t="s">
        <v>133</v>
      </c>
      <c r="AF319" t="s">
        <v>135</v>
      </c>
      <c r="AG319" s="1">
        <v>43843</v>
      </c>
      <c r="AH319" t="s">
        <v>125</v>
      </c>
      <c r="AI319" t="s">
        <v>92</v>
      </c>
      <c r="AJ319">
        <v>1278023</v>
      </c>
      <c r="AK319">
        <v>12365300</v>
      </c>
      <c r="AL319">
        <v>12900</v>
      </c>
    </row>
    <row r="320" spans="1:38" x14ac:dyDescent="0.25">
      <c r="A320" t="s">
        <v>191</v>
      </c>
      <c r="B320" t="s">
        <v>192</v>
      </c>
      <c r="C320" t="s">
        <v>40</v>
      </c>
      <c r="D320" s="1">
        <v>43525</v>
      </c>
      <c r="E320" s="1">
        <v>43890</v>
      </c>
      <c r="F320" t="s">
        <v>41</v>
      </c>
      <c r="G320">
        <v>3</v>
      </c>
      <c r="H320" t="s">
        <v>125</v>
      </c>
      <c r="I320" t="s">
        <v>43</v>
      </c>
      <c r="J320" t="s">
        <v>126</v>
      </c>
      <c r="K320" t="s">
        <v>44</v>
      </c>
      <c r="L320">
        <v>18562.5</v>
      </c>
      <c r="M320" s="1">
        <v>43525</v>
      </c>
      <c r="N320" t="s">
        <v>45</v>
      </c>
      <c r="O320" t="s">
        <v>44</v>
      </c>
      <c r="P320" t="s">
        <v>47</v>
      </c>
      <c r="Q320" s="1">
        <v>43852</v>
      </c>
      <c r="R320" t="s">
        <v>48</v>
      </c>
      <c r="S320" t="s">
        <v>41</v>
      </c>
      <c r="T320" t="s">
        <v>130</v>
      </c>
      <c r="U320" t="s">
        <v>125</v>
      </c>
      <c r="V320">
        <v>0</v>
      </c>
      <c r="W320">
        <v>100000</v>
      </c>
      <c r="X320" s="1">
        <v>43769</v>
      </c>
      <c r="Y320" t="s">
        <v>131</v>
      </c>
      <c r="Z320" t="s">
        <v>43</v>
      </c>
      <c r="AA320" t="s">
        <v>41</v>
      </c>
      <c r="AB320" t="s">
        <v>132</v>
      </c>
      <c r="AC320" t="s">
        <v>133</v>
      </c>
      <c r="AF320" t="s">
        <v>136</v>
      </c>
      <c r="AG320" s="1">
        <v>43839</v>
      </c>
      <c r="AH320" t="s">
        <v>125</v>
      </c>
      <c r="AI320" t="s">
        <v>92</v>
      </c>
      <c r="AJ320">
        <v>1278023</v>
      </c>
      <c r="AK320">
        <v>12365300</v>
      </c>
      <c r="AL320">
        <v>12900</v>
      </c>
    </row>
    <row r="321" spans="1:38" x14ac:dyDescent="0.25">
      <c r="A321" t="s">
        <v>191</v>
      </c>
      <c r="B321" t="s">
        <v>192</v>
      </c>
      <c r="C321" t="s">
        <v>40</v>
      </c>
      <c r="D321" s="1">
        <v>43525</v>
      </c>
      <c r="E321" s="1">
        <v>43890</v>
      </c>
      <c r="F321" t="s">
        <v>41</v>
      </c>
      <c r="G321">
        <v>3</v>
      </c>
      <c r="H321" t="s">
        <v>125</v>
      </c>
      <c r="I321" t="s">
        <v>43</v>
      </c>
      <c r="J321" t="s">
        <v>126</v>
      </c>
      <c r="K321" t="s">
        <v>44</v>
      </c>
      <c r="L321">
        <v>18562.5</v>
      </c>
      <c r="M321" s="1">
        <v>43525</v>
      </c>
      <c r="N321" t="s">
        <v>45</v>
      </c>
      <c r="O321" t="s">
        <v>44</v>
      </c>
      <c r="P321" t="s">
        <v>47</v>
      </c>
      <c r="Q321" s="1">
        <v>43852</v>
      </c>
      <c r="R321" t="s">
        <v>48</v>
      </c>
      <c r="S321" t="s">
        <v>41</v>
      </c>
      <c r="T321" t="s">
        <v>130</v>
      </c>
      <c r="U321" t="s">
        <v>125</v>
      </c>
      <c r="V321">
        <v>0</v>
      </c>
      <c r="W321">
        <v>100000</v>
      </c>
      <c r="X321" s="1">
        <v>43769</v>
      </c>
      <c r="Y321" t="s">
        <v>131</v>
      </c>
      <c r="Z321" t="s">
        <v>43</v>
      </c>
      <c r="AA321" t="s">
        <v>41</v>
      </c>
      <c r="AB321" t="s">
        <v>132</v>
      </c>
      <c r="AC321" t="s">
        <v>133</v>
      </c>
      <c r="AF321" t="s">
        <v>137</v>
      </c>
      <c r="AG321" s="1">
        <v>43840</v>
      </c>
      <c r="AH321" t="s">
        <v>125</v>
      </c>
      <c r="AI321" t="s">
        <v>92</v>
      </c>
      <c r="AJ321">
        <v>1278023</v>
      </c>
      <c r="AK321">
        <v>12365300</v>
      </c>
      <c r="AL321">
        <v>12900</v>
      </c>
    </row>
    <row r="322" spans="1:38" x14ac:dyDescent="0.25">
      <c r="A322" t="s">
        <v>191</v>
      </c>
      <c r="B322" t="s">
        <v>192</v>
      </c>
      <c r="C322" t="s">
        <v>40</v>
      </c>
      <c r="D322" s="1">
        <v>43525</v>
      </c>
      <c r="E322" s="1">
        <v>43890</v>
      </c>
      <c r="F322" t="s">
        <v>41</v>
      </c>
      <c r="G322">
        <v>3</v>
      </c>
      <c r="H322" t="s">
        <v>125</v>
      </c>
      <c r="I322" t="s">
        <v>43</v>
      </c>
      <c r="J322" t="s">
        <v>126</v>
      </c>
      <c r="K322" t="s">
        <v>44</v>
      </c>
      <c r="L322">
        <v>18562.5</v>
      </c>
      <c r="M322" s="1">
        <v>43525</v>
      </c>
      <c r="N322" t="s">
        <v>45</v>
      </c>
      <c r="O322" t="s">
        <v>44</v>
      </c>
      <c r="P322" t="s">
        <v>47</v>
      </c>
      <c r="Q322" s="1">
        <v>43852</v>
      </c>
      <c r="R322" t="s">
        <v>48</v>
      </c>
      <c r="S322" t="s">
        <v>138</v>
      </c>
      <c r="T322" t="s">
        <v>139</v>
      </c>
      <c r="U322" t="s">
        <v>125</v>
      </c>
      <c r="V322">
        <v>0</v>
      </c>
      <c r="W322">
        <v>10000</v>
      </c>
      <c r="X322" s="1">
        <v>43738</v>
      </c>
      <c r="Y322" t="s">
        <v>140</v>
      </c>
      <c r="Z322" t="s">
        <v>43</v>
      </c>
      <c r="AA322" t="s">
        <v>41</v>
      </c>
      <c r="AB322" t="s">
        <v>132</v>
      </c>
      <c r="AC322" t="s">
        <v>132</v>
      </c>
      <c r="AF322" t="s">
        <v>134</v>
      </c>
      <c r="AG322" s="1">
        <v>43843</v>
      </c>
      <c r="AH322" t="s">
        <v>125</v>
      </c>
      <c r="AI322" t="s">
        <v>92</v>
      </c>
      <c r="AJ322">
        <v>1278023</v>
      </c>
      <c r="AK322">
        <v>12365300</v>
      </c>
      <c r="AL322">
        <v>12900</v>
      </c>
    </row>
    <row r="323" spans="1:38" x14ac:dyDescent="0.25">
      <c r="A323" t="s">
        <v>191</v>
      </c>
      <c r="B323" t="s">
        <v>192</v>
      </c>
      <c r="C323" t="s">
        <v>40</v>
      </c>
      <c r="D323" s="1">
        <v>43525</v>
      </c>
      <c r="E323" s="1">
        <v>43890</v>
      </c>
      <c r="F323" t="s">
        <v>41</v>
      </c>
      <c r="G323">
        <v>3</v>
      </c>
      <c r="H323" t="s">
        <v>125</v>
      </c>
      <c r="I323" t="s">
        <v>43</v>
      </c>
      <c r="J323" t="s">
        <v>126</v>
      </c>
      <c r="K323" t="s">
        <v>44</v>
      </c>
      <c r="L323">
        <v>18562.5</v>
      </c>
      <c r="M323" s="1">
        <v>43525</v>
      </c>
      <c r="N323" t="s">
        <v>45</v>
      </c>
      <c r="O323" t="s">
        <v>44</v>
      </c>
      <c r="P323" t="s">
        <v>47</v>
      </c>
      <c r="Q323" s="1">
        <v>43852</v>
      </c>
      <c r="R323" t="s">
        <v>48</v>
      </c>
      <c r="S323" t="s">
        <v>138</v>
      </c>
      <c r="T323" t="s">
        <v>139</v>
      </c>
      <c r="U323" t="s">
        <v>125</v>
      </c>
      <c r="V323">
        <v>0</v>
      </c>
      <c r="W323">
        <v>10000</v>
      </c>
      <c r="X323" s="1">
        <v>43738</v>
      </c>
      <c r="Y323" t="s">
        <v>140</v>
      </c>
      <c r="Z323" t="s">
        <v>43</v>
      </c>
      <c r="AA323" t="s">
        <v>41</v>
      </c>
      <c r="AB323" t="s">
        <v>132</v>
      </c>
      <c r="AC323" t="s">
        <v>132</v>
      </c>
      <c r="AF323" t="s">
        <v>135</v>
      </c>
      <c r="AG323" s="1">
        <v>43843</v>
      </c>
      <c r="AH323" t="s">
        <v>125</v>
      </c>
      <c r="AI323" t="s">
        <v>92</v>
      </c>
      <c r="AJ323">
        <v>1278023</v>
      </c>
      <c r="AK323">
        <v>12365300</v>
      </c>
      <c r="AL323">
        <v>12900</v>
      </c>
    </row>
    <row r="324" spans="1:38" x14ac:dyDescent="0.25">
      <c r="A324" t="s">
        <v>191</v>
      </c>
      <c r="B324" t="s">
        <v>192</v>
      </c>
      <c r="C324" t="s">
        <v>40</v>
      </c>
      <c r="D324" s="1">
        <v>43525</v>
      </c>
      <c r="E324" s="1">
        <v>43890</v>
      </c>
      <c r="F324" t="s">
        <v>41</v>
      </c>
      <c r="G324">
        <v>3</v>
      </c>
      <c r="H324" t="s">
        <v>125</v>
      </c>
      <c r="I324" t="s">
        <v>43</v>
      </c>
      <c r="J324" t="s">
        <v>126</v>
      </c>
      <c r="K324" t="s">
        <v>44</v>
      </c>
      <c r="L324">
        <v>18562.5</v>
      </c>
      <c r="M324" s="1">
        <v>43525</v>
      </c>
      <c r="N324" t="s">
        <v>45</v>
      </c>
      <c r="O324" t="s">
        <v>44</v>
      </c>
      <c r="P324" t="s">
        <v>47</v>
      </c>
      <c r="Q324" s="1">
        <v>43852</v>
      </c>
      <c r="R324" t="s">
        <v>48</v>
      </c>
      <c r="S324" t="s">
        <v>138</v>
      </c>
      <c r="T324" t="s">
        <v>139</v>
      </c>
      <c r="U324" t="s">
        <v>125</v>
      </c>
      <c r="V324">
        <v>0</v>
      </c>
      <c r="W324">
        <v>10000</v>
      </c>
      <c r="X324" s="1">
        <v>43738</v>
      </c>
      <c r="Y324" t="s">
        <v>140</v>
      </c>
      <c r="Z324" t="s">
        <v>43</v>
      </c>
      <c r="AA324" t="s">
        <v>41</v>
      </c>
      <c r="AB324" t="s">
        <v>132</v>
      </c>
      <c r="AC324" t="s">
        <v>132</v>
      </c>
      <c r="AF324" t="s">
        <v>136</v>
      </c>
      <c r="AG324" s="1">
        <v>43839</v>
      </c>
      <c r="AH324" t="s">
        <v>125</v>
      </c>
      <c r="AI324" t="s">
        <v>92</v>
      </c>
      <c r="AJ324">
        <v>1278023</v>
      </c>
      <c r="AK324">
        <v>12365300</v>
      </c>
      <c r="AL324">
        <v>12900</v>
      </c>
    </row>
    <row r="325" spans="1:38" x14ac:dyDescent="0.25">
      <c r="A325" t="s">
        <v>191</v>
      </c>
      <c r="B325" t="s">
        <v>192</v>
      </c>
      <c r="C325" t="s">
        <v>40</v>
      </c>
      <c r="D325" s="1">
        <v>43525</v>
      </c>
      <c r="E325" s="1">
        <v>43890</v>
      </c>
      <c r="F325" t="s">
        <v>41</v>
      </c>
      <c r="G325">
        <v>3</v>
      </c>
      <c r="H325" t="s">
        <v>125</v>
      </c>
      <c r="I325" t="s">
        <v>43</v>
      </c>
      <c r="J325" t="s">
        <v>126</v>
      </c>
      <c r="K325" t="s">
        <v>44</v>
      </c>
      <c r="L325">
        <v>18562.5</v>
      </c>
      <c r="M325" s="1">
        <v>43525</v>
      </c>
      <c r="N325" t="s">
        <v>45</v>
      </c>
      <c r="O325" t="s">
        <v>44</v>
      </c>
      <c r="P325" t="s">
        <v>47</v>
      </c>
      <c r="Q325" s="1">
        <v>43852</v>
      </c>
      <c r="R325" t="s">
        <v>48</v>
      </c>
      <c r="S325" t="s">
        <v>138</v>
      </c>
      <c r="T325" t="s">
        <v>139</v>
      </c>
      <c r="U325" t="s">
        <v>125</v>
      </c>
      <c r="V325">
        <v>0</v>
      </c>
      <c r="W325">
        <v>10000</v>
      </c>
      <c r="X325" s="1">
        <v>43738</v>
      </c>
      <c r="Y325" t="s">
        <v>140</v>
      </c>
      <c r="Z325" t="s">
        <v>43</v>
      </c>
      <c r="AA325" t="s">
        <v>41</v>
      </c>
      <c r="AB325" t="s">
        <v>132</v>
      </c>
      <c r="AC325" t="s">
        <v>132</v>
      </c>
      <c r="AF325" t="s">
        <v>137</v>
      </c>
      <c r="AG325" s="1">
        <v>43840</v>
      </c>
      <c r="AH325" t="s">
        <v>125</v>
      </c>
      <c r="AI325" t="s">
        <v>92</v>
      </c>
      <c r="AJ325">
        <v>1278023</v>
      </c>
      <c r="AK325">
        <v>12365300</v>
      </c>
      <c r="AL325">
        <v>12900</v>
      </c>
    </row>
    <row r="326" spans="1:38" x14ac:dyDescent="0.25">
      <c r="A326" t="s">
        <v>193</v>
      </c>
      <c r="B326" t="s">
        <v>194</v>
      </c>
      <c r="C326" t="s">
        <v>40</v>
      </c>
      <c r="D326" s="1">
        <v>43192</v>
      </c>
      <c r="E326" s="1">
        <v>43556</v>
      </c>
      <c r="F326" t="s">
        <v>77</v>
      </c>
      <c r="G326">
        <v>12</v>
      </c>
      <c r="H326" t="s">
        <v>155</v>
      </c>
      <c r="I326" t="s">
        <v>43</v>
      </c>
      <c r="J326" t="s">
        <v>126</v>
      </c>
      <c r="K326" t="s">
        <v>44</v>
      </c>
      <c r="L326">
        <v>0</v>
      </c>
      <c r="M326" s="1">
        <v>43314</v>
      </c>
      <c r="N326" t="s">
        <v>45</v>
      </c>
      <c r="O326" t="s">
        <v>46</v>
      </c>
      <c r="P326" t="s">
        <v>47</v>
      </c>
      <c r="Q326" s="1">
        <v>43852</v>
      </c>
      <c r="R326" t="s">
        <v>48</v>
      </c>
      <c r="S326" t="s">
        <v>156</v>
      </c>
      <c r="T326" t="s">
        <v>157</v>
      </c>
      <c r="U326" t="s">
        <v>155</v>
      </c>
      <c r="V326">
        <v>500000</v>
      </c>
      <c r="W326">
        <v>75000</v>
      </c>
      <c r="X326" s="1">
        <v>43982</v>
      </c>
      <c r="Y326" t="s">
        <v>51</v>
      </c>
      <c r="Z326" t="s">
        <v>43</v>
      </c>
      <c r="AA326" t="s">
        <v>77</v>
      </c>
      <c r="AB326" t="s">
        <v>158</v>
      </c>
      <c r="AC326" t="s">
        <v>159</v>
      </c>
      <c r="AF326" t="s">
        <v>160</v>
      </c>
      <c r="AG326" s="1">
        <v>43851</v>
      </c>
    </row>
    <row r="327" spans="1:38" x14ac:dyDescent="0.25">
      <c r="A327" t="s">
        <v>193</v>
      </c>
      <c r="B327" t="s">
        <v>194</v>
      </c>
      <c r="C327" t="s">
        <v>40</v>
      </c>
      <c r="D327" s="1">
        <v>43192</v>
      </c>
      <c r="E327" s="1">
        <v>43556</v>
      </c>
      <c r="F327" t="s">
        <v>77</v>
      </c>
      <c r="G327">
        <v>12</v>
      </c>
      <c r="H327" t="s">
        <v>155</v>
      </c>
      <c r="I327" t="s">
        <v>43</v>
      </c>
      <c r="J327" t="s">
        <v>126</v>
      </c>
      <c r="K327" t="s">
        <v>44</v>
      </c>
      <c r="L327">
        <v>0</v>
      </c>
      <c r="M327" s="1">
        <v>43314</v>
      </c>
      <c r="N327" t="s">
        <v>45</v>
      </c>
      <c r="O327" t="s">
        <v>46</v>
      </c>
      <c r="P327" t="s">
        <v>47</v>
      </c>
      <c r="Q327" s="1">
        <v>43852</v>
      </c>
      <c r="R327" t="s">
        <v>48</v>
      </c>
      <c r="S327" t="s">
        <v>156</v>
      </c>
      <c r="T327" t="s">
        <v>157</v>
      </c>
      <c r="U327" t="s">
        <v>155</v>
      </c>
      <c r="V327">
        <v>500000</v>
      </c>
      <c r="W327">
        <v>75000</v>
      </c>
      <c r="X327" s="1">
        <v>43982</v>
      </c>
      <c r="Y327" t="s">
        <v>51</v>
      </c>
      <c r="Z327" t="s">
        <v>43</v>
      </c>
      <c r="AA327" t="s">
        <v>77</v>
      </c>
      <c r="AB327" t="s">
        <v>158</v>
      </c>
      <c r="AC327" t="s">
        <v>159</v>
      </c>
      <c r="AF327" t="s">
        <v>161</v>
      </c>
      <c r="AG327" s="1">
        <v>43851</v>
      </c>
    </row>
    <row r="328" spans="1:38" x14ac:dyDescent="0.25">
      <c r="A328" t="s">
        <v>193</v>
      </c>
      <c r="B328" t="s">
        <v>194</v>
      </c>
      <c r="C328" t="s">
        <v>40</v>
      </c>
      <c r="D328" s="1">
        <v>43192</v>
      </c>
      <c r="E328" s="1">
        <v>43556</v>
      </c>
      <c r="F328" t="s">
        <v>77</v>
      </c>
      <c r="G328">
        <v>12</v>
      </c>
      <c r="H328" t="s">
        <v>155</v>
      </c>
      <c r="I328" t="s">
        <v>43</v>
      </c>
      <c r="J328" t="s">
        <v>126</v>
      </c>
      <c r="K328" t="s">
        <v>44</v>
      </c>
      <c r="L328">
        <v>0</v>
      </c>
      <c r="M328" s="1">
        <v>43314</v>
      </c>
      <c r="N328" t="s">
        <v>45</v>
      </c>
      <c r="O328" t="s">
        <v>46</v>
      </c>
      <c r="P328" t="s">
        <v>47</v>
      </c>
      <c r="Q328" s="1">
        <v>43852</v>
      </c>
      <c r="R328" t="s">
        <v>48</v>
      </c>
      <c r="S328" t="s">
        <v>156</v>
      </c>
      <c r="T328" t="s">
        <v>157</v>
      </c>
      <c r="U328" t="s">
        <v>155</v>
      </c>
      <c r="V328">
        <v>500000</v>
      </c>
      <c r="W328">
        <v>75000</v>
      </c>
      <c r="X328" s="1">
        <v>43982</v>
      </c>
      <c r="Y328" t="s">
        <v>51</v>
      </c>
      <c r="Z328" t="s">
        <v>43</v>
      </c>
      <c r="AA328" t="s">
        <v>77</v>
      </c>
      <c r="AB328" t="s">
        <v>158</v>
      </c>
      <c r="AC328" t="s">
        <v>159</v>
      </c>
      <c r="AF328" t="s">
        <v>162</v>
      </c>
      <c r="AG328" s="1">
        <v>43851</v>
      </c>
    </row>
    <row r="329" spans="1:38" x14ac:dyDescent="0.25">
      <c r="A329" t="s">
        <v>193</v>
      </c>
      <c r="B329" t="s">
        <v>194</v>
      </c>
      <c r="C329" t="s">
        <v>40</v>
      </c>
      <c r="D329" s="1">
        <v>43192</v>
      </c>
      <c r="E329" s="1">
        <v>43556</v>
      </c>
      <c r="F329" t="s">
        <v>77</v>
      </c>
      <c r="G329">
        <v>12</v>
      </c>
      <c r="H329" t="s">
        <v>155</v>
      </c>
      <c r="I329" t="s">
        <v>43</v>
      </c>
      <c r="J329" t="s">
        <v>126</v>
      </c>
      <c r="K329" t="s">
        <v>44</v>
      </c>
      <c r="L329">
        <v>0</v>
      </c>
      <c r="M329" s="1">
        <v>43314</v>
      </c>
      <c r="N329" t="s">
        <v>45</v>
      </c>
      <c r="O329" t="s">
        <v>46</v>
      </c>
      <c r="P329" t="s">
        <v>47</v>
      </c>
      <c r="Q329" s="1">
        <v>43852</v>
      </c>
      <c r="R329" t="s">
        <v>48</v>
      </c>
      <c r="S329" t="s">
        <v>156</v>
      </c>
      <c r="T329" t="s">
        <v>157</v>
      </c>
      <c r="U329" t="s">
        <v>155</v>
      </c>
      <c r="V329">
        <v>500000</v>
      </c>
      <c r="W329">
        <v>75000</v>
      </c>
      <c r="X329" s="1">
        <v>43982</v>
      </c>
      <c r="Y329" t="s">
        <v>51</v>
      </c>
      <c r="Z329" t="s">
        <v>43</v>
      </c>
      <c r="AA329" t="s">
        <v>77</v>
      </c>
      <c r="AB329" t="s">
        <v>158</v>
      </c>
      <c r="AC329" t="s">
        <v>159</v>
      </c>
      <c r="AF329" t="s">
        <v>163</v>
      </c>
      <c r="AG329" s="1">
        <v>43852</v>
      </c>
    </row>
    <row r="330" spans="1:38" x14ac:dyDescent="0.25">
      <c r="A330" t="s">
        <v>193</v>
      </c>
      <c r="B330" t="s">
        <v>194</v>
      </c>
      <c r="C330" t="s">
        <v>40</v>
      </c>
      <c r="D330" s="1">
        <v>43192</v>
      </c>
      <c r="E330" s="1">
        <v>43556</v>
      </c>
      <c r="F330" t="s">
        <v>77</v>
      </c>
      <c r="G330">
        <v>12</v>
      </c>
      <c r="H330" t="s">
        <v>155</v>
      </c>
      <c r="I330" t="s">
        <v>43</v>
      </c>
      <c r="J330" t="s">
        <v>126</v>
      </c>
      <c r="K330" t="s">
        <v>44</v>
      </c>
      <c r="L330">
        <v>0</v>
      </c>
      <c r="M330" s="1">
        <v>43314</v>
      </c>
      <c r="N330" t="s">
        <v>45</v>
      </c>
      <c r="O330" t="s">
        <v>46</v>
      </c>
      <c r="P330" t="s">
        <v>47</v>
      </c>
      <c r="Q330" s="1">
        <v>43852</v>
      </c>
      <c r="R330" t="s">
        <v>48</v>
      </c>
      <c r="S330" t="s">
        <v>164</v>
      </c>
      <c r="T330" t="s">
        <v>165</v>
      </c>
      <c r="U330" t="s">
        <v>155</v>
      </c>
      <c r="V330">
        <v>0</v>
      </c>
      <c r="W330">
        <v>50000</v>
      </c>
      <c r="X330" s="1">
        <v>43921</v>
      </c>
      <c r="Y330" t="s">
        <v>51</v>
      </c>
      <c r="Z330" t="s">
        <v>43</v>
      </c>
      <c r="AA330" t="s">
        <v>77</v>
      </c>
      <c r="AB330" t="s">
        <v>158</v>
      </c>
      <c r="AC330" t="s">
        <v>166</v>
      </c>
      <c r="AF330" t="s">
        <v>160</v>
      </c>
      <c r="AG330" s="1">
        <v>43851</v>
      </c>
    </row>
    <row r="331" spans="1:38" x14ac:dyDescent="0.25">
      <c r="A331" t="s">
        <v>193</v>
      </c>
      <c r="B331" t="s">
        <v>194</v>
      </c>
      <c r="C331" t="s">
        <v>40</v>
      </c>
      <c r="D331" s="1">
        <v>43192</v>
      </c>
      <c r="E331" s="1">
        <v>43556</v>
      </c>
      <c r="F331" t="s">
        <v>77</v>
      </c>
      <c r="G331">
        <v>12</v>
      </c>
      <c r="H331" t="s">
        <v>155</v>
      </c>
      <c r="I331" t="s">
        <v>43</v>
      </c>
      <c r="J331" t="s">
        <v>126</v>
      </c>
      <c r="K331" t="s">
        <v>44</v>
      </c>
      <c r="L331">
        <v>0</v>
      </c>
      <c r="M331" s="1">
        <v>43314</v>
      </c>
      <c r="N331" t="s">
        <v>45</v>
      </c>
      <c r="O331" t="s">
        <v>46</v>
      </c>
      <c r="P331" t="s">
        <v>47</v>
      </c>
      <c r="Q331" s="1">
        <v>43852</v>
      </c>
      <c r="R331" t="s">
        <v>48</v>
      </c>
      <c r="S331" t="s">
        <v>164</v>
      </c>
      <c r="T331" t="s">
        <v>165</v>
      </c>
      <c r="U331" t="s">
        <v>155</v>
      </c>
      <c r="V331">
        <v>0</v>
      </c>
      <c r="W331">
        <v>50000</v>
      </c>
      <c r="X331" s="1">
        <v>43921</v>
      </c>
      <c r="Y331" t="s">
        <v>51</v>
      </c>
      <c r="Z331" t="s">
        <v>43</v>
      </c>
      <c r="AA331" t="s">
        <v>77</v>
      </c>
      <c r="AB331" t="s">
        <v>158</v>
      </c>
      <c r="AC331" t="s">
        <v>166</v>
      </c>
      <c r="AF331" t="s">
        <v>161</v>
      </c>
      <c r="AG331" s="1">
        <v>43851</v>
      </c>
    </row>
    <row r="332" spans="1:38" x14ac:dyDescent="0.25">
      <c r="A332" t="s">
        <v>193</v>
      </c>
      <c r="B332" t="s">
        <v>194</v>
      </c>
      <c r="C332" t="s">
        <v>40</v>
      </c>
      <c r="D332" s="1">
        <v>43192</v>
      </c>
      <c r="E332" s="1">
        <v>43556</v>
      </c>
      <c r="F332" t="s">
        <v>77</v>
      </c>
      <c r="G332">
        <v>12</v>
      </c>
      <c r="H332" t="s">
        <v>155</v>
      </c>
      <c r="I332" t="s">
        <v>43</v>
      </c>
      <c r="J332" t="s">
        <v>126</v>
      </c>
      <c r="K332" t="s">
        <v>44</v>
      </c>
      <c r="L332">
        <v>0</v>
      </c>
      <c r="M332" s="1">
        <v>43314</v>
      </c>
      <c r="N332" t="s">
        <v>45</v>
      </c>
      <c r="O332" t="s">
        <v>46</v>
      </c>
      <c r="P332" t="s">
        <v>47</v>
      </c>
      <c r="Q332" s="1">
        <v>43852</v>
      </c>
      <c r="R332" t="s">
        <v>48</v>
      </c>
      <c r="S332" t="s">
        <v>164</v>
      </c>
      <c r="T332" t="s">
        <v>165</v>
      </c>
      <c r="U332" t="s">
        <v>155</v>
      </c>
      <c r="V332">
        <v>0</v>
      </c>
      <c r="W332">
        <v>50000</v>
      </c>
      <c r="X332" s="1">
        <v>43921</v>
      </c>
      <c r="Y332" t="s">
        <v>51</v>
      </c>
      <c r="Z332" t="s">
        <v>43</v>
      </c>
      <c r="AA332" t="s">
        <v>77</v>
      </c>
      <c r="AB332" t="s">
        <v>158</v>
      </c>
      <c r="AC332" t="s">
        <v>166</v>
      </c>
      <c r="AF332" t="s">
        <v>162</v>
      </c>
      <c r="AG332" s="1">
        <v>43851</v>
      </c>
    </row>
    <row r="333" spans="1:38" x14ac:dyDescent="0.25">
      <c r="A333" t="s">
        <v>193</v>
      </c>
      <c r="B333" t="s">
        <v>194</v>
      </c>
      <c r="C333" t="s">
        <v>40</v>
      </c>
      <c r="D333" s="1">
        <v>43192</v>
      </c>
      <c r="E333" s="1">
        <v>43556</v>
      </c>
      <c r="F333" t="s">
        <v>77</v>
      </c>
      <c r="G333">
        <v>12</v>
      </c>
      <c r="H333" t="s">
        <v>155</v>
      </c>
      <c r="I333" t="s">
        <v>43</v>
      </c>
      <c r="J333" t="s">
        <v>126</v>
      </c>
      <c r="K333" t="s">
        <v>44</v>
      </c>
      <c r="L333">
        <v>0</v>
      </c>
      <c r="M333" s="1">
        <v>43314</v>
      </c>
      <c r="N333" t="s">
        <v>45</v>
      </c>
      <c r="O333" t="s">
        <v>46</v>
      </c>
      <c r="P333" t="s">
        <v>47</v>
      </c>
      <c r="Q333" s="1">
        <v>43852</v>
      </c>
      <c r="R333" t="s">
        <v>48</v>
      </c>
      <c r="S333" t="s">
        <v>164</v>
      </c>
      <c r="T333" t="s">
        <v>165</v>
      </c>
      <c r="U333" t="s">
        <v>155</v>
      </c>
      <c r="V333">
        <v>0</v>
      </c>
      <c r="W333">
        <v>50000</v>
      </c>
      <c r="X333" s="1">
        <v>43921</v>
      </c>
      <c r="Y333" t="s">
        <v>51</v>
      </c>
      <c r="Z333" t="s">
        <v>43</v>
      </c>
      <c r="AA333" t="s">
        <v>77</v>
      </c>
      <c r="AB333" t="s">
        <v>158</v>
      </c>
      <c r="AC333" t="s">
        <v>166</v>
      </c>
      <c r="AF333" t="s">
        <v>163</v>
      </c>
      <c r="AG333" s="1">
        <v>43852</v>
      </c>
    </row>
    <row r="334" spans="1:38" x14ac:dyDescent="0.25">
      <c r="A334" t="s">
        <v>195</v>
      </c>
      <c r="B334" t="s">
        <v>196</v>
      </c>
      <c r="C334" t="s">
        <v>71</v>
      </c>
      <c r="D334" s="1">
        <v>43280</v>
      </c>
      <c r="E334" s="1">
        <v>43644</v>
      </c>
      <c r="F334" t="s">
        <v>84</v>
      </c>
      <c r="G334">
        <v>10</v>
      </c>
      <c r="H334" t="s">
        <v>85</v>
      </c>
      <c r="I334" t="s">
        <v>43</v>
      </c>
      <c r="J334" t="s">
        <v>86</v>
      </c>
      <c r="K334" t="s">
        <v>44</v>
      </c>
      <c r="L334">
        <v>4330.05</v>
      </c>
      <c r="M334" s="1">
        <v>43280</v>
      </c>
      <c r="N334" t="s">
        <v>45</v>
      </c>
      <c r="O334" t="s">
        <v>106</v>
      </c>
      <c r="P334" t="s">
        <v>47</v>
      </c>
      <c r="Q334" s="1">
        <v>43852</v>
      </c>
      <c r="R334" t="s">
        <v>48</v>
      </c>
      <c r="S334" t="s">
        <v>87</v>
      </c>
      <c r="T334" t="s">
        <v>88</v>
      </c>
      <c r="U334" t="s">
        <v>85</v>
      </c>
      <c r="V334">
        <v>1400000</v>
      </c>
      <c r="W334">
        <v>100000</v>
      </c>
      <c r="X334" s="1">
        <v>43808</v>
      </c>
      <c r="Y334" t="s">
        <v>51</v>
      </c>
      <c r="Z334" t="s">
        <v>43</v>
      </c>
      <c r="AA334" t="s">
        <v>86</v>
      </c>
      <c r="AB334" t="s">
        <v>89</v>
      </c>
      <c r="AC334" t="s">
        <v>90</v>
      </c>
      <c r="AF334" t="s">
        <v>91</v>
      </c>
      <c r="AG334" s="1">
        <v>43852</v>
      </c>
      <c r="AH334" t="s">
        <v>85</v>
      </c>
      <c r="AI334" t="s">
        <v>92</v>
      </c>
      <c r="AJ334">
        <v>19888</v>
      </c>
      <c r="AK334">
        <v>128777</v>
      </c>
      <c r="AL334">
        <v>198882</v>
      </c>
    </row>
    <row r="335" spans="1:38" x14ac:dyDescent="0.25">
      <c r="A335" t="s">
        <v>195</v>
      </c>
      <c r="B335" t="s">
        <v>196</v>
      </c>
      <c r="C335" t="s">
        <v>71</v>
      </c>
      <c r="D335" s="1">
        <v>43280</v>
      </c>
      <c r="E335" s="1">
        <v>43644</v>
      </c>
      <c r="F335" t="s">
        <v>84</v>
      </c>
      <c r="G335">
        <v>10</v>
      </c>
      <c r="H335" t="s">
        <v>85</v>
      </c>
      <c r="I335" t="s">
        <v>43</v>
      </c>
      <c r="J335" t="s">
        <v>86</v>
      </c>
      <c r="K335" t="s">
        <v>44</v>
      </c>
      <c r="L335">
        <v>4330.05</v>
      </c>
      <c r="M335" s="1">
        <v>43280</v>
      </c>
      <c r="N335" t="s">
        <v>45</v>
      </c>
      <c r="O335" t="s">
        <v>106</v>
      </c>
      <c r="P335" t="s">
        <v>47</v>
      </c>
      <c r="Q335" s="1">
        <v>43852</v>
      </c>
      <c r="R335" t="s">
        <v>48</v>
      </c>
      <c r="S335" t="s">
        <v>87</v>
      </c>
      <c r="T335" t="s">
        <v>88</v>
      </c>
      <c r="U335" t="s">
        <v>85</v>
      </c>
      <c r="V335">
        <v>1400000</v>
      </c>
      <c r="W335">
        <v>100000</v>
      </c>
      <c r="X335" s="1">
        <v>43808</v>
      </c>
      <c r="Y335" t="s">
        <v>51</v>
      </c>
      <c r="Z335" t="s">
        <v>43</v>
      </c>
      <c r="AA335" t="s">
        <v>86</v>
      </c>
      <c r="AB335" t="s">
        <v>89</v>
      </c>
      <c r="AC335" t="s">
        <v>90</v>
      </c>
      <c r="AF335" t="s">
        <v>93</v>
      </c>
      <c r="AG335" s="1">
        <v>43843</v>
      </c>
      <c r="AH335" t="s">
        <v>85</v>
      </c>
      <c r="AI335" t="s">
        <v>92</v>
      </c>
      <c r="AJ335">
        <v>19888</v>
      </c>
      <c r="AK335">
        <v>128777</v>
      </c>
      <c r="AL335">
        <v>198882</v>
      </c>
    </row>
    <row r="336" spans="1:38" x14ac:dyDescent="0.25">
      <c r="A336" t="s">
        <v>195</v>
      </c>
      <c r="B336" t="s">
        <v>196</v>
      </c>
      <c r="C336" t="s">
        <v>71</v>
      </c>
      <c r="D336" s="1">
        <v>43280</v>
      </c>
      <c r="E336" s="1">
        <v>43644</v>
      </c>
      <c r="F336" t="s">
        <v>84</v>
      </c>
      <c r="G336">
        <v>10</v>
      </c>
      <c r="H336" t="s">
        <v>85</v>
      </c>
      <c r="I336" t="s">
        <v>43</v>
      </c>
      <c r="J336" t="s">
        <v>86</v>
      </c>
      <c r="K336" t="s">
        <v>44</v>
      </c>
      <c r="L336">
        <v>4330.05</v>
      </c>
      <c r="M336" s="1">
        <v>43280</v>
      </c>
      <c r="N336" t="s">
        <v>45</v>
      </c>
      <c r="O336" t="s">
        <v>106</v>
      </c>
      <c r="P336" t="s">
        <v>47</v>
      </c>
      <c r="Q336" s="1">
        <v>43852</v>
      </c>
      <c r="R336" t="s">
        <v>48</v>
      </c>
      <c r="S336" t="s">
        <v>94</v>
      </c>
      <c r="T336" t="s">
        <v>95</v>
      </c>
      <c r="U336" t="s">
        <v>85</v>
      </c>
      <c r="V336">
        <v>4500000</v>
      </c>
      <c r="W336">
        <v>300000</v>
      </c>
      <c r="X336" s="1">
        <v>43767</v>
      </c>
      <c r="Y336" t="s">
        <v>51</v>
      </c>
      <c r="Z336" t="s">
        <v>43</v>
      </c>
      <c r="AA336" t="s">
        <v>86</v>
      </c>
      <c r="AB336" t="s">
        <v>89</v>
      </c>
      <c r="AC336" t="s">
        <v>90</v>
      </c>
      <c r="AF336" t="s">
        <v>91</v>
      </c>
      <c r="AG336" s="1">
        <v>43852</v>
      </c>
      <c r="AH336" t="s">
        <v>85</v>
      </c>
      <c r="AI336" t="s">
        <v>92</v>
      </c>
      <c r="AJ336">
        <v>19888</v>
      </c>
      <c r="AK336">
        <v>128777</v>
      </c>
      <c r="AL336">
        <v>198882</v>
      </c>
    </row>
    <row r="337" spans="1:38" x14ac:dyDescent="0.25">
      <c r="A337" t="s">
        <v>195</v>
      </c>
      <c r="B337" t="s">
        <v>196</v>
      </c>
      <c r="C337" t="s">
        <v>71</v>
      </c>
      <c r="D337" s="1">
        <v>43280</v>
      </c>
      <c r="E337" s="1">
        <v>43644</v>
      </c>
      <c r="F337" t="s">
        <v>84</v>
      </c>
      <c r="G337">
        <v>10</v>
      </c>
      <c r="H337" t="s">
        <v>85</v>
      </c>
      <c r="I337" t="s">
        <v>43</v>
      </c>
      <c r="J337" t="s">
        <v>86</v>
      </c>
      <c r="K337" t="s">
        <v>44</v>
      </c>
      <c r="L337">
        <v>4330.05</v>
      </c>
      <c r="M337" s="1">
        <v>43280</v>
      </c>
      <c r="N337" t="s">
        <v>45</v>
      </c>
      <c r="O337" t="s">
        <v>106</v>
      </c>
      <c r="P337" t="s">
        <v>47</v>
      </c>
      <c r="Q337" s="1">
        <v>43852</v>
      </c>
      <c r="R337" t="s">
        <v>48</v>
      </c>
      <c r="S337" t="s">
        <v>94</v>
      </c>
      <c r="T337" t="s">
        <v>95</v>
      </c>
      <c r="U337" t="s">
        <v>85</v>
      </c>
      <c r="V337">
        <v>4500000</v>
      </c>
      <c r="W337">
        <v>300000</v>
      </c>
      <c r="X337" s="1">
        <v>43767</v>
      </c>
      <c r="Y337" t="s">
        <v>51</v>
      </c>
      <c r="Z337" t="s">
        <v>43</v>
      </c>
      <c r="AA337" t="s">
        <v>86</v>
      </c>
      <c r="AB337" t="s">
        <v>89</v>
      </c>
      <c r="AC337" t="s">
        <v>90</v>
      </c>
      <c r="AF337" t="s">
        <v>93</v>
      </c>
      <c r="AG337" s="1">
        <v>43843</v>
      </c>
      <c r="AH337" t="s">
        <v>85</v>
      </c>
      <c r="AI337" t="s">
        <v>92</v>
      </c>
      <c r="AJ337">
        <v>19888</v>
      </c>
      <c r="AK337">
        <v>128777</v>
      </c>
      <c r="AL337">
        <v>198882</v>
      </c>
    </row>
    <row r="338" spans="1:38" x14ac:dyDescent="0.25">
      <c r="A338" t="s">
        <v>195</v>
      </c>
      <c r="B338" t="s">
        <v>196</v>
      </c>
      <c r="C338" t="s">
        <v>71</v>
      </c>
      <c r="D338" s="1">
        <v>43280</v>
      </c>
      <c r="E338" s="1">
        <v>43644</v>
      </c>
      <c r="F338" t="s">
        <v>84</v>
      </c>
      <c r="G338">
        <v>10</v>
      </c>
      <c r="H338" t="s">
        <v>85</v>
      </c>
      <c r="I338" t="s">
        <v>43</v>
      </c>
      <c r="J338" t="s">
        <v>86</v>
      </c>
      <c r="K338" t="s">
        <v>44</v>
      </c>
      <c r="L338">
        <v>4330.05</v>
      </c>
      <c r="M338" s="1">
        <v>43280</v>
      </c>
      <c r="N338" t="s">
        <v>45</v>
      </c>
      <c r="O338" t="s">
        <v>106</v>
      </c>
      <c r="P338" t="s">
        <v>47</v>
      </c>
      <c r="Q338" s="1">
        <v>43852</v>
      </c>
      <c r="R338" t="s">
        <v>48</v>
      </c>
      <c r="S338" t="s">
        <v>96</v>
      </c>
      <c r="T338" t="s">
        <v>97</v>
      </c>
      <c r="U338" t="s">
        <v>85</v>
      </c>
      <c r="V338">
        <v>600000</v>
      </c>
      <c r="W338">
        <v>100000</v>
      </c>
      <c r="X338" s="1">
        <v>43799</v>
      </c>
      <c r="Y338" t="s">
        <v>51</v>
      </c>
      <c r="Z338" t="s">
        <v>43</v>
      </c>
      <c r="AA338" t="s">
        <v>98</v>
      </c>
      <c r="AB338" t="s">
        <v>89</v>
      </c>
      <c r="AC338" t="s">
        <v>90</v>
      </c>
      <c r="AF338" t="s">
        <v>91</v>
      </c>
      <c r="AG338" s="1">
        <v>43852</v>
      </c>
      <c r="AH338" t="s">
        <v>85</v>
      </c>
      <c r="AI338" t="s">
        <v>92</v>
      </c>
      <c r="AJ338">
        <v>19888</v>
      </c>
      <c r="AK338">
        <v>128777</v>
      </c>
      <c r="AL338">
        <v>198882</v>
      </c>
    </row>
    <row r="339" spans="1:38" x14ac:dyDescent="0.25">
      <c r="A339" t="s">
        <v>195</v>
      </c>
      <c r="B339" t="s">
        <v>196</v>
      </c>
      <c r="C339" t="s">
        <v>71</v>
      </c>
      <c r="D339" s="1">
        <v>43280</v>
      </c>
      <c r="E339" s="1">
        <v>43644</v>
      </c>
      <c r="F339" t="s">
        <v>84</v>
      </c>
      <c r="G339">
        <v>10</v>
      </c>
      <c r="H339" t="s">
        <v>85</v>
      </c>
      <c r="I339" t="s">
        <v>43</v>
      </c>
      <c r="J339" t="s">
        <v>86</v>
      </c>
      <c r="K339" t="s">
        <v>44</v>
      </c>
      <c r="L339">
        <v>4330.05</v>
      </c>
      <c r="M339" s="1">
        <v>43280</v>
      </c>
      <c r="N339" t="s">
        <v>45</v>
      </c>
      <c r="O339" t="s">
        <v>106</v>
      </c>
      <c r="P339" t="s">
        <v>47</v>
      </c>
      <c r="Q339" s="1">
        <v>43852</v>
      </c>
      <c r="R339" t="s">
        <v>48</v>
      </c>
      <c r="S339" t="s">
        <v>96</v>
      </c>
      <c r="T339" t="s">
        <v>97</v>
      </c>
      <c r="U339" t="s">
        <v>85</v>
      </c>
      <c r="V339">
        <v>600000</v>
      </c>
      <c r="W339">
        <v>100000</v>
      </c>
      <c r="X339" s="1">
        <v>43799</v>
      </c>
      <c r="Y339" t="s">
        <v>51</v>
      </c>
      <c r="Z339" t="s">
        <v>43</v>
      </c>
      <c r="AA339" t="s">
        <v>98</v>
      </c>
      <c r="AB339" t="s">
        <v>89</v>
      </c>
      <c r="AC339" t="s">
        <v>90</v>
      </c>
      <c r="AF339" t="s">
        <v>93</v>
      </c>
      <c r="AG339" s="1">
        <v>43843</v>
      </c>
      <c r="AH339" t="s">
        <v>85</v>
      </c>
      <c r="AI339" t="s">
        <v>92</v>
      </c>
      <c r="AJ339">
        <v>19888</v>
      </c>
      <c r="AK339">
        <v>128777</v>
      </c>
      <c r="AL339">
        <v>198882</v>
      </c>
    </row>
    <row r="340" spans="1:38" x14ac:dyDescent="0.25">
      <c r="A340" t="s">
        <v>195</v>
      </c>
      <c r="B340" t="s">
        <v>196</v>
      </c>
      <c r="C340" t="s">
        <v>71</v>
      </c>
      <c r="D340" s="1">
        <v>43280</v>
      </c>
      <c r="E340" s="1">
        <v>43644</v>
      </c>
      <c r="F340" t="s">
        <v>84</v>
      </c>
      <c r="G340">
        <v>10</v>
      </c>
      <c r="H340" t="s">
        <v>85</v>
      </c>
      <c r="I340" t="s">
        <v>43</v>
      </c>
      <c r="J340" t="s">
        <v>86</v>
      </c>
      <c r="K340" t="s">
        <v>44</v>
      </c>
      <c r="L340">
        <v>4330.05</v>
      </c>
      <c r="M340" s="1">
        <v>43280</v>
      </c>
      <c r="N340" t="s">
        <v>45</v>
      </c>
      <c r="O340" t="s">
        <v>106</v>
      </c>
      <c r="P340" t="s">
        <v>47</v>
      </c>
      <c r="Q340" s="1">
        <v>43852</v>
      </c>
      <c r="R340" t="s">
        <v>48</v>
      </c>
      <c r="S340" t="s">
        <v>99</v>
      </c>
      <c r="T340" t="s">
        <v>100</v>
      </c>
      <c r="U340" t="s">
        <v>85</v>
      </c>
      <c r="V340">
        <v>210000</v>
      </c>
      <c r="W340">
        <v>35000</v>
      </c>
      <c r="X340" s="1">
        <v>43799</v>
      </c>
      <c r="Y340" t="s">
        <v>51</v>
      </c>
      <c r="Z340" t="s">
        <v>43</v>
      </c>
      <c r="AA340" t="s">
        <v>98</v>
      </c>
      <c r="AB340" t="s">
        <v>89</v>
      </c>
      <c r="AC340" t="s">
        <v>101</v>
      </c>
      <c r="AF340" t="s">
        <v>91</v>
      </c>
      <c r="AG340" s="1">
        <v>43852</v>
      </c>
      <c r="AH340" t="s">
        <v>85</v>
      </c>
      <c r="AI340" t="s">
        <v>92</v>
      </c>
      <c r="AJ340">
        <v>19888</v>
      </c>
      <c r="AK340">
        <v>128777</v>
      </c>
      <c r="AL340">
        <v>198882</v>
      </c>
    </row>
    <row r="341" spans="1:38" x14ac:dyDescent="0.25">
      <c r="A341" t="s">
        <v>195</v>
      </c>
      <c r="B341" t="s">
        <v>196</v>
      </c>
      <c r="C341" t="s">
        <v>71</v>
      </c>
      <c r="D341" s="1">
        <v>43280</v>
      </c>
      <c r="E341" s="1">
        <v>43644</v>
      </c>
      <c r="F341" t="s">
        <v>84</v>
      </c>
      <c r="G341">
        <v>10</v>
      </c>
      <c r="H341" t="s">
        <v>85</v>
      </c>
      <c r="I341" t="s">
        <v>43</v>
      </c>
      <c r="J341" t="s">
        <v>86</v>
      </c>
      <c r="K341" t="s">
        <v>44</v>
      </c>
      <c r="L341">
        <v>4330.05</v>
      </c>
      <c r="M341" s="1">
        <v>43280</v>
      </c>
      <c r="N341" t="s">
        <v>45</v>
      </c>
      <c r="O341" t="s">
        <v>106</v>
      </c>
      <c r="P341" t="s">
        <v>47</v>
      </c>
      <c r="Q341" s="1">
        <v>43852</v>
      </c>
      <c r="R341" t="s">
        <v>48</v>
      </c>
      <c r="S341" t="s">
        <v>99</v>
      </c>
      <c r="T341" t="s">
        <v>100</v>
      </c>
      <c r="U341" t="s">
        <v>85</v>
      </c>
      <c r="V341">
        <v>210000</v>
      </c>
      <c r="W341">
        <v>35000</v>
      </c>
      <c r="X341" s="1">
        <v>43799</v>
      </c>
      <c r="Y341" t="s">
        <v>51</v>
      </c>
      <c r="Z341" t="s">
        <v>43</v>
      </c>
      <c r="AA341" t="s">
        <v>98</v>
      </c>
      <c r="AB341" t="s">
        <v>89</v>
      </c>
      <c r="AC341" t="s">
        <v>101</v>
      </c>
      <c r="AF341" t="s">
        <v>93</v>
      </c>
      <c r="AG341" s="1">
        <v>43843</v>
      </c>
      <c r="AH341" t="s">
        <v>85</v>
      </c>
      <c r="AI341" t="s">
        <v>92</v>
      </c>
      <c r="AJ341">
        <v>19888</v>
      </c>
      <c r="AK341">
        <v>128777</v>
      </c>
      <c r="AL341">
        <v>198882</v>
      </c>
    </row>
    <row r="342" spans="1:38" x14ac:dyDescent="0.25">
      <c r="A342" t="s">
        <v>195</v>
      </c>
      <c r="B342" t="s">
        <v>196</v>
      </c>
      <c r="C342" t="s">
        <v>71</v>
      </c>
      <c r="D342" s="1">
        <v>43280</v>
      </c>
      <c r="E342" s="1">
        <v>43644</v>
      </c>
      <c r="F342" t="s">
        <v>84</v>
      </c>
      <c r="G342">
        <v>10</v>
      </c>
      <c r="H342" t="s">
        <v>85</v>
      </c>
      <c r="I342" t="s">
        <v>43</v>
      </c>
      <c r="J342" t="s">
        <v>86</v>
      </c>
      <c r="K342" t="s">
        <v>44</v>
      </c>
      <c r="L342">
        <v>4330.05</v>
      </c>
      <c r="M342" s="1">
        <v>43280</v>
      </c>
      <c r="N342" t="s">
        <v>45</v>
      </c>
      <c r="O342" t="s">
        <v>106</v>
      </c>
      <c r="P342" t="s">
        <v>47</v>
      </c>
      <c r="Q342" s="1">
        <v>43852</v>
      </c>
      <c r="R342" t="s">
        <v>48</v>
      </c>
      <c r="S342" t="s">
        <v>102</v>
      </c>
      <c r="T342" t="s">
        <v>103</v>
      </c>
      <c r="U342" t="s">
        <v>85</v>
      </c>
      <c r="V342">
        <v>5000000</v>
      </c>
      <c r="W342">
        <v>250000</v>
      </c>
      <c r="X342" s="1">
        <v>43799</v>
      </c>
      <c r="Y342" t="s">
        <v>51</v>
      </c>
      <c r="Z342" t="s">
        <v>43</v>
      </c>
      <c r="AA342" t="s">
        <v>86</v>
      </c>
      <c r="AB342" t="s">
        <v>89</v>
      </c>
      <c r="AC342" t="s">
        <v>90</v>
      </c>
      <c r="AF342" t="s">
        <v>91</v>
      </c>
      <c r="AG342" s="1">
        <v>43852</v>
      </c>
      <c r="AH342" t="s">
        <v>85</v>
      </c>
      <c r="AI342" t="s">
        <v>92</v>
      </c>
      <c r="AJ342">
        <v>19888</v>
      </c>
      <c r="AK342">
        <v>128777</v>
      </c>
      <c r="AL342">
        <v>198882</v>
      </c>
    </row>
    <row r="343" spans="1:38" x14ac:dyDescent="0.25">
      <c r="A343" t="s">
        <v>195</v>
      </c>
      <c r="B343" t="s">
        <v>196</v>
      </c>
      <c r="C343" t="s">
        <v>71</v>
      </c>
      <c r="D343" s="1">
        <v>43280</v>
      </c>
      <c r="E343" s="1">
        <v>43644</v>
      </c>
      <c r="F343" t="s">
        <v>84</v>
      </c>
      <c r="G343">
        <v>10</v>
      </c>
      <c r="H343" t="s">
        <v>85</v>
      </c>
      <c r="I343" t="s">
        <v>43</v>
      </c>
      <c r="J343" t="s">
        <v>86</v>
      </c>
      <c r="K343" t="s">
        <v>44</v>
      </c>
      <c r="L343">
        <v>4330.05</v>
      </c>
      <c r="M343" s="1">
        <v>43280</v>
      </c>
      <c r="N343" t="s">
        <v>45</v>
      </c>
      <c r="O343" t="s">
        <v>106</v>
      </c>
      <c r="P343" t="s">
        <v>47</v>
      </c>
      <c r="Q343" s="1">
        <v>43852</v>
      </c>
      <c r="R343" t="s">
        <v>48</v>
      </c>
      <c r="S343" t="s">
        <v>102</v>
      </c>
      <c r="T343" t="s">
        <v>103</v>
      </c>
      <c r="U343" t="s">
        <v>85</v>
      </c>
      <c r="V343">
        <v>5000000</v>
      </c>
      <c r="W343">
        <v>250000</v>
      </c>
      <c r="X343" s="1">
        <v>43799</v>
      </c>
      <c r="Y343" t="s">
        <v>51</v>
      </c>
      <c r="Z343" t="s">
        <v>43</v>
      </c>
      <c r="AA343" t="s">
        <v>86</v>
      </c>
      <c r="AB343" t="s">
        <v>89</v>
      </c>
      <c r="AC343" t="s">
        <v>90</v>
      </c>
      <c r="AF343" t="s">
        <v>93</v>
      </c>
      <c r="AG343" s="1">
        <v>43843</v>
      </c>
      <c r="AH343" t="s">
        <v>85</v>
      </c>
      <c r="AI343" t="s">
        <v>92</v>
      </c>
      <c r="AJ343">
        <v>19888</v>
      </c>
      <c r="AK343">
        <v>128777</v>
      </c>
      <c r="AL343">
        <v>198882</v>
      </c>
    </row>
    <row r="344" spans="1:38" x14ac:dyDescent="0.25">
      <c r="A344" t="s">
        <v>197</v>
      </c>
      <c r="B344" t="s">
        <v>196</v>
      </c>
      <c r="C344" t="s">
        <v>71</v>
      </c>
      <c r="D344" s="1">
        <v>43280</v>
      </c>
      <c r="E344" s="1">
        <v>43644</v>
      </c>
      <c r="F344" t="s">
        <v>84</v>
      </c>
      <c r="G344">
        <v>10</v>
      </c>
      <c r="H344" t="s">
        <v>85</v>
      </c>
      <c r="I344" t="s">
        <v>43</v>
      </c>
      <c r="J344" t="s">
        <v>86</v>
      </c>
      <c r="K344" t="s">
        <v>44</v>
      </c>
      <c r="L344">
        <v>13134.29</v>
      </c>
      <c r="M344" s="1">
        <v>43286</v>
      </c>
      <c r="N344" t="s">
        <v>108</v>
      </c>
      <c r="O344" t="s">
        <v>106</v>
      </c>
      <c r="P344" t="s">
        <v>47</v>
      </c>
      <c r="Q344" s="1">
        <v>43852</v>
      </c>
      <c r="R344" t="s">
        <v>48</v>
      </c>
      <c r="S344" t="s">
        <v>87</v>
      </c>
      <c r="T344" t="s">
        <v>88</v>
      </c>
      <c r="U344" t="s">
        <v>85</v>
      </c>
      <c r="V344">
        <v>1400000</v>
      </c>
      <c r="W344">
        <v>100000</v>
      </c>
      <c r="X344" s="1">
        <v>43808</v>
      </c>
      <c r="Y344" t="s">
        <v>51</v>
      </c>
      <c r="Z344" t="s">
        <v>43</v>
      </c>
      <c r="AA344" t="s">
        <v>86</v>
      </c>
      <c r="AB344" t="s">
        <v>89</v>
      </c>
      <c r="AC344" t="s">
        <v>90</v>
      </c>
      <c r="AF344" t="s">
        <v>91</v>
      </c>
      <c r="AG344" s="1">
        <v>43852</v>
      </c>
      <c r="AH344" t="s">
        <v>85</v>
      </c>
      <c r="AI344" t="s">
        <v>92</v>
      </c>
      <c r="AJ344">
        <v>19888</v>
      </c>
      <c r="AK344">
        <v>128777</v>
      </c>
      <c r="AL344">
        <v>198882</v>
      </c>
    </row>
    <row r="345" spans="1:38" x14ac:dyDescent="0.25">
      <c r="A345" t="s">
        <v>197</v>
      </c>
      <c r="B345" t="s">
        <v>196</v>
      </c>
      <c r="C345" t="s">
        <v>71</v>
      </c>
      <c r="D345" s="1">
        <v>43280</v>
      </c>
      <c r="E345" s="1">
        <v>43644</v>
      </c>
      <c r="F345" t="s">
        <v>84</v>
      </c>
      <c r="G345">
        <v>10</v>
      </c>
      <c r="H345" t="s">
        <v>85</v>
      </c>
      <c r="I345" t="s">
        <v>43</v>
      </c>
      <c r="J345" t="s">
        <v>86</v>
      </c>
      <c r="K345" t="s">
        <v>44</v>
      </c>
      <c r="L345">
        <v>13134.29</v>
      </c>
      <c r="M345" s="1">
        <v>43286</v>
      </c>
      <c r="N345" t="s">
        <v>108</v>
      </c>
      <c r="O345" t="s">
        <v>106</v>
      </c>
      <c r="P345" t="s">
        <v>47</v>
      </c>
      <c r="Q345" s="1">
        <v>43852</v>
      </c>
      <c r="R345" t="s">
        <v>48</v>
      </c>
      <c r="S345" t="s">
        <v>87</v>
      </c>
      <c r="T345" t="s">
        <v>88</v>
      </c>
      <c r="U345" t="s">
        <v>85</v>
      </c>
      <c r="V345">
        <v>1400000</v>
      </c>
      <c r="W345">
        <v>100000</v>
      </c>
      <c r="X345" s="1">
        <v>43808</v>
      </c>
      <c r="Y345" t="s">
        <v>51</v>
      </c>
      <c r="Z345" t="s">
        <v>43</v>
      </c>
      <c r="AA345" t="s">
        <v>86</v>
      </c>
      <c r="AB345" t="s">
        <v>89</v>
      </c>
      <c r="AC345" t="s">
        <v>90</v>
      </c>
      <c r="AF345" t="s">
        <v>93</v>
      </c>
      <c r="AG345" s="1">
        <v>43843</v>
      </c>
      <c r="AH345" t="s">
        <v>85</v>
      </c>
      <c r="AI345" t="s">
        <v>92</v>
      </c>
      <c r="AJ345">
        <v>19888</v>
      </c>
      <c r="AK345">
        <v>128777</v>
      </c>
      <c r="AL345">
        <v>198882</v>
      </c>
    </row>
    <row r="346" spans="1:38" x14ac:dyDescent="0.25">
      <c r="A346" t="s">
        <v>197</v>
      </c>
      <c r="B346" t="s">
        <v>196</v>
      </c>
      <c r="C346" t="s">
        <v>71</v>
      </c>
      <c r="D346" s="1">
        <v>43280</v>
      </c>
      <c r="E346" s="1">
        <v>43644</v>
      </c>
      <c r="F346" t="s">
        <v>84</v>
      </c>
      <c r="G346">
        <v>10</v>
      </c>
      <c r="H346" t="s">
        <v>85</v>
      </c>
      <c r="I346" t="s">
        <v>43</v>
      </c>
      <c r="J346" t="s">
        <v>86</v>
      </c>
      <c r="K346" t="s">
        <v>44</v>
      </c>
      <c r="L346">
        <v>13134.29</v>
      </c>
      <c r="M346" s="1">
        <v>43286</v>
      </c>
      <c r="N346" t="s">
        <v>108</v>
      </c>
      <c r="O346" t="s">
        <v>106</v>
      </c>
      <c r="P346" t="s">
        <v>47</v>
      </c>
      <c r="Q346" s="1">
        <v>43852</v>
      </c>
      <c r="R346" t="s">
        <v>48</v>
      </c>
      <c r="S346" t="s">
        <v>94</v>
      </c>
      <c r="T346" t="s">
        <v>95</v>
      </c>
      <c r="U346" t="s">
        <v>85</v>
      </c>
      <c r="V346">
        <v>4500000</v>
      </c>
      <c r="W346">
        <v>300000</v>
      </c>
      <c r="X346" s="1">
        <v>43767</v>
      </c>
      <c r="Y346" t="s">
        <v>51</v>
      </c>
      <c r="Z346" t="s">
        <v>43</v>
      </c>
      <c r="AA346" t="s">
        <v>86</v>
      </c>
      <c r="AB346" t="s">
        <v>89</v>
      </c>
      <c r="AC346" t="s">
        <v>90</v>
      </c>
      <c r="AF346" t="s">
        <v>91</v>
      </c>
      <c r="AG346" s="1">
        <v>43852</v>
      </c>
      <c r="AH346" t="s">
        <v>85</v>
      </c>
      <c r="AI346" t="s">
        <v>92</v>
      </c>
      <c r="AJ346">
        <v>19888</v>
      </c>
      <c r="AK346">
        <v>128777</v>
      </c>
      <c r="AL346">
        <v>198882</v>
      </c>
    </row>
    <row r="347" spans="1:38" x14ac:dyDescent="0.25">
      <c r="A347" t="s">
        <v>197</v>
      </c>
      <c r="B347" t="s">
        <v>196</v>
      </c>
      <c r="C347" t="s">
        <v>71</v>
      </c>
      <c r="D347" s="1">
        <v>43280</v>
      </c>
      <c r="E347" s="1">
        <v>43644</v>
      </c>
      <c r="F347" t="s">
        <v>84</v>
      </c>
      <c r="G347">
        <v>10</v>
      </c>
      <c r="H347" t="s">
        <v>85</v>
      </c>
      <c r="I347" t="s">
        <v>43</v>
      </c>
      <c r="J347" t="s">
        <v>86</v>
      </c>
      <c r="K347" t="s">
        <v>44</v>
      </c>
      <c r="L347">
        <v>13134.29</v>
      </c>
      <c r="M347" s="1">
        <v>43286</v>
      </c>
      <c r="N347" t="s">
        <v>108</v>
      </c>
      <c r="O347" t="s">
        <v>106</v>
      </c>
      <c r="P347" t="s">
        <v>47</v>
      </c>
      <c r="Q347" s="1">
        <v>43852</v>
      </c>
      <c r="R347" t="s">
        <v>48</v>
      </c>
      <c r="S347" t="s">
        <v>94</v>
      </c>
      <c r="T347" t="s">
        <v>95</v>
      </c>
      <c r="U347" t="s">
        <v>85</v>
      </c>
      <c r="V347">
        <v>4500000</v>
      </c>
      <c r="W347">
        <v>300000</v>
      </c>
      <c r="X347" s="1">
        <v>43767</v>
      </c>
      <c r="Y347" t="s">
        <v>51</v>
      </c>
      <c r="Z347" t="s">
        <v>43</v>
      </c>
      <c r="AA347" t="s">
        <v>86</v>
      </c>
      <c r="AB347" t="s">
        <v>89</v>
      </c>
      <c r="AC347" t="s">
        <v>90</v>
      </c>
      <c r="AF347" t="s">
        <v>93</v>
      </c>
      <c r="AG347" s="1">
        <v>43843</v>
      </c>
      <c r="AH347" t="s">
        <v>85</v>
      </c>
      <c r="AI347" t="s">
        <v>92</v>
      </c>
      <c r="AJ347">
        <v>19888</v>
      </c>
      <c r="AK347">
        <v>128777</v>
      </c>
      <c r="AL347">
        <v>198882</v>
      </c>
    </row>
    <row r="348" spans="1:38" x14ac:dyDescent="0.25">
      <c r="A348" t="s">
        <v>197</v>
      </c>
      <c r="B348" t="s">
        <v>196</v>
      </c>
      <c r="C348" t="s">
        <v>71</v>
      </c>
      <c r="D348" s="1">
        <v>43280</v>
      </c>
      <c r="E348" s="1">
        <v>43644</v>
      </c>
      <c r="F348" t="s">
        <v>84</v>
      </c>
      <c r="G348">
        <v>10</v>
      </c>
      <c r="H348" t="s">
        <v>85</v>
      </c>
      <c r="I348" t="s">
        <v>43</v>
      </c>
      <c r="J348" t="s">
        <v>86</v>
      </c>
      <c r="K348" t="s">
        <v>44</v>
      </c>
      <c r="L348">
        <v>13134.29</v>
      </c>
      <c r="M348" s="1">
        <v>43286</v>
      </c>
      <c r="N348" t="s">
        <v>108</v>
      </c>
      <c r="O348" t="s">
        <v>106</v>
      </c>
      <c r="P348" t="s">
        <v>47</v>
      </c>
      <c r="Q348" s="1">
        <v>43852</v>
      </c>
      <c r="R348" t="s">
        <v>48</v>
      </c>
      <c r="S348" t="s">
        <v>96</v>
      </c>
      <c r="T348" t="s">
        <v>97</v>
      </c>
      <c r="U348" t="s">
        <v>85</v>
      </c>
      <c r="V348">
        <v>600000</v>
      </c>
      <c r="W348">
        <v>100000</v>
      </c>
      <c r="X348" s="1">
        <v>43799</v>
      </c>
      <c r="Y348" t="s">
        <v>51</v>
      </c>
      <c r="Z348" t="s">
        <v>43</v>
      </c>
      <c r="AA348" t="s">
        <v>98</v>
      </c>
      <c r="AB348" t="s">
        <v>89</v>
      </c>
      <c r="AC348" t="s">
        <v>90</v>
      </c>
      <c r="AF348" t="s">
        <v>91</v>
      </c>
      <c r="AG348" s="1">
        <v>43852</v>
      </c>
      <c r="AH348" t="s">
        <v>85</v>
      </c>
      <c r="AI348" t="s">
        <v>92</v>
      </c>
      <c r="AJ348">
        <v>19888</v>
      </c>
      <c r="AK348">
        <v>128777</v>
      </c>
      <c r="AL348">
        <v>198882</v>
      </c>
    </row>
    <row r="349" spans="1:38" x14ac:dyDescent="0.25">
      <c r="A349" t="s">
        <v>197</v>
      </c>
      <c r="B349" t="s">
        <v>196</v>
      </c>
      <c r="C349" t="s">
        <v>71</v>
      </c>
      <c r="D349" s="1">
        <v>43280</v>
      </c>
      <c r="E349" s="1">
        <v>43644</v>
      </c>
      <c r="F349" t="s">
        <v>84</v>
      </c>
      <c r="G349">
        <v>10</v>
      </c>
      <c r="H349" t="s">
        <v>85</v>
      </c>
      <c r="I349" t="s">
        <v>43</v>
      </c>
      <c r="J349" t="s">
        <v>86</v>
      </c>
      <c r="K349" t="s">
        <v>44</v>
      </c>
      <c r="L349">
        <v>13134.29</v>
      </c>
      <c r="M349" s="1">
        <v>43286</v>
      </c>
      <c r="N349" t="s">
        <v>108</v>
      </c>
      <c r="O349" t="s">
        <v>106</v>
      </c>
      <c r="P349" t="s">
        <v>47</v>
      </c>
      <c r="Q349" s="1">
        <v>43852</v>
      </c>
      <c r="R349" t="s">
        <v>48</v>
      </c>
      <c r="S349" t="s">
        <v>96</v>
      </c>
      <c r="T349" t="s">
        <v>97</v>
      </c>
      <c r="U349" t="s">
        <v>85</v>
      </c>
      <c r="V349">
        <v>600000</v>
      </c>
      <c r="W349">
        <v>100000</v>
      </c>
      <c r="X349" s="1">
        <v>43799</v>
      </c>
      <c r="Y349" t="s">
        <v>51</v>
      </c>
      <c r="Z349" t="s">
        <v>43</v>
      </c>
      <c r="AA349" t="s">
        <v>98</v>
      </c>
      <c r="AB349" t="s">
        <v>89</v>
      </c>
      <c r="AC349" t="s">
        <v>90</v>
      </c>
      <c r="AF349" t="s">
        <v>93</v>
      </c>
      <c r="AG349" s="1">
        <v>43843</v>
      </c>
      <c r="AH349" t="s">
        <v>85</v>
      </c>
      <c r="AI349" t="s">
        <v>92</v>
      </c>
      <c r="AJ349">
        <v>19888</v>
      </c>
      <c r="AK349">
        <v>128777</v>
      </c>
      <c r="AL349">
        <v>198882</v>
      </c>
    </row>
    <row r="350" spans="1:38" x14ac:dyDescent="0.25">
      <c r="A350" t="s">
        <v>197</v>
      </c>
      <c r="B350" t="s">
        <v>196</v>
      </c>
      <c r="C350" t="s">
        <v>71</v>
      </c>
      <c r="D350" s="1">
        <v>43280</v>
      </c>
      <c r="E350" s="1">
        <v>43644</v>
      </c>
      <c r="F350" t="s">
        <v>84</v>
      </c>
      <c r="G350">
        <v>10</v>
      </c>
      <c r="H350" t="s">
        <v>85</v>
      </c>
      <c r="I350" t="s">
        <v>43</v>
      </c>
      <c r="J350" t="s">
        <v>86</v>
      </c>
      <c r="K350" t="s">
        <v>44</v>
      </c>
      <c r="L350">
        <v>13134.29</v>
      </c>
      <c r="M350" s="1">
        <v>43286</v>
      </c>
      <c r="N350" t="s">
        <v>108</v>
      </c>
      <c r="O350" t="s">
        <v>106</v>
      </c>
      <c r="P350" t="s">
        <v>47</v>
      </c>
      <c r="Q350" s="1">
        <v>43852</v>
      </c>
      <c r="R350" t="s">
        <v>48</v>
      </c>
      <c r="S350" t="s">
        <v>99</v>
      </c>
      <c r="T350" t="s">
        <v>100</v>
      </c>
      <c r="U350" t="s">
        <v>85</v>
      </c>
      <c r="V350">
        <v>210000</v>
      </c>
      <c r="W350">
        <v>35000</v>
      </c>
      <c r="X350" s="1">
        <v>43799</v>
      </c>
      <c r="Y350" t="s">
        <v>51</v>
      </c>
      <c r="Z350" t="s">
        <v>43</v>
      </c>
      <c r="AA350" t="s">
        <v>98</v>
      </c>
      <c r="AB350" t="s">
        <v>89</v>
      </c>
      <c r="AC350" t="s">
        <v>101</v>
      </c>
      <c r="AF350" t="s">
        <v>91</v>
      </c>
      <c r="AG350" s="1">
        <v>43852</v>
      </c>
      <c r="AH350" t="s">
        <v>85</v>
      </c>
      <c r="AI350" t="s">
        <v>92</v>
      </c>
      <c r="AJ350">
        <v>19888</v>
      </c>
      <c r="AK350">
        <v>128777</v>
      </c>
      <c r="AL350">
        <v>198882</v>
      </c>
    </row>
    <row r="351" spans="1:38" x14ac:dyDescent="0.25">
      <c r="A351" t="s">
        <v>197</v>
      </c>
      <c r="B351" t="s">
        <v>196</v>
      </c>
      <c r="C351" t="s">
        <v>71</v>
      </c>
      <c r="D351" s="1">
        <v>43280</v>
      </c>
      <c r="E351" s="1">
        <v>43644</v>
      </c>
      <c r="F351" t="s">
        <v>84</v>
      </c>
      <c r="G351">
        <v>10</v>
      </c>
      <c r="H351" t="s">
        <v>85</v>
      </c>
      <c r="I351" t="s">
        <v>43</v>
      </c>
      <c r="J351" t="s">
        <v>86</v>
      </c>
      <c r="K351" t="s">
        <v>44</v>
      </c>
      <c r="L351">
        <v>13134.29</v>
      </c>
      <c r="M351" s="1">
        <v>43286</v>
      </c>
      <c r="N351" t="s">
        <v>108</v>
      </c>
      <c r="O351" t="s">
        <v>106</v>
      </c>
      <c r="P351" t="s">
        <v>47</v>
      </c>
      <c r="Q351" s="1">
        <v>43852</v>
      </c>
      <c r="R351" t="s">
        <v>48</v>
      </c>
      <c r="S351" t="s">
        <v>99</v>
      </c>
      <c r="T351" t="s">
        <v>100</v>
      </c>
      <c r="U351" t="s">
        <v>85</v>
      </c>
      <c r="V351">
        <v>210000</v>
      </c>
      <c r="W351">
        <v>35000</v>
      </c>
      <c r="X351" s="1">
        <v>43799</v>
      </c>
      <c r="Y351" t="s">
        <v>51</v>
      </c>
      <c r="Z351" t="s">
        <v>43</v>
      </c>
      <c r="AA351" t="s">
        <v>98</v>
      </c>
      <c r="AB351" t="s">
        <v>89</v>
      </c>
      <c r="AC351" t="s">
        <v>101</v>
      </c>
      <c r="AF351" t="s">
        <v>93</v>
      </c>
      <c r="AG351" s="1">
        <v>43843</v>
      </c>
      <c r="AH351" t="s">
        <v>85</v>
      </c>
      <c r="AI351" t="s">
        <v>92</v>
      </c>
      <c r="AJ351">
        <v>19888</v>
      </c>
      <c r="AK351">
        <v>128777</v>
      </c>
      <c r="AL351">
        <v>198882</v>
      </c>
    </row>
    <row r="352" spans="1:38" x14ac:dyDescent="0.25">
      <c r="A352" t="s">
        <v>197</v>
      </c>
      <c r="B352" t="s">
        <v>196</v>
      </c>
      <c r="C352" t="s">
        <v>71</v>
      </c>
      <c r="D352" s="1">
        <v>43280</v>
      </c>
      <c r="E352" s="1">
        <v>43644</v>
      </c>
      <c r="F352" t="s">
        <v>84</v>
      </c>
      <c r="G352">
        <v>10</v>
      </c>
      <c r="H352" t="s">
        <v>85</v>
      </c>
      <c r="I352" t="s">
        <v>43</v>
      </c>
      <c r="J352" t="s">
        <v>86</v>
      </c>
      <c r="K352" t="s">
        <v>44</v>
      </c>
      <c r="L352">
        <v>13134.29</v>
      </c>
      <c r="M352" s="1">
        <v>43286</v>
      </c>
      <c r="N352" t="s">
        <v>108</v>
      </c>
      <c r="O352" t="s">
        <v>106</v>
      </c>
      <c r="P352" t="s">
        <v>47</v>
      </c>
      <c r="Q352" s="1">
        <v>43852</v>
      </c>
      <c r="R352" t="s">
        <v>48</v>
      </c>
      <c r="S352" t="s">
        <v>102</v>
      </c>
      <c r="T352" t="s">
        <v>103</v>
      </c>
      <c r="U352" t="s">
        <v>85</v>
      </c>
      <c r="V352">
        <v>5000000</v>
      </c>
      <c r="W352">
        <v>250000</v>
      </c>
      <c r="X352" s="1">
        <v>43799</v>
      </c>
      <c r="Y352" t="s">
        <v>51</v>
      </c>
      <c r="Z352" t="s">
        <v>43</v>
      </c>
      <c r="AA352" t="s">
        <v>86</v>
      </c>
      <c r="AB352" t="s">
        <v>89</v>
      </c>
      <c r="AC352" t="s">
        <v>90</v>
      </c>
      <c r="AF352" t="s">
        <v>91</v>
      </c>
      <c r="AG352" s="1">
        <v>43852</v>
      </c>
      <c r="AH352" t="s">
        <v>85</v>
      </c>
      <c r="AI352" t="s">
        <v>92</v>
      </c>
      <c r="AJ352">
        <v>19888</v>
      </c>
      <c r="AK352">
        <v>128777</v>
      </c>
      <c r="AL352">
        <v>198882</v>
      </c>
    </row>
    <row r="353" spans="1:38" x14ac:dyDescent="0.25">
      <c r="A353" t="s">
        <v>197</v>
      </c>
      <c r="B353" t="s">
        <v>196</v>
      </c>
      <c r="C353" t="s">
        <v>71</v>
      </c>
      <c r="D353" s="1">
        <v>43280</v>
      </c>
      <c r="E353" s="1">
        <v>43644</v>
      </c>
      <c r="F353" t="s">
        <v>84</v>
      </c>
      <c r="G353">
        <v>10</v>
      </c>
      <c r="H353" t="s">
        <v>85</v>
      </c>
      <c r="I353" t="s">
        <v>43</v>
      </c>
      <c r="J353" t="s">
        <v>86</v>
      </c>
      <c r="K353" t="s">
        <v>44</v>
      </c>
      <c r="L353">
        <v>13134.29</v>
      </c>
      <c r="M353" s="1">
        <v>43286</v>
      </c>
      <c r="N353" t="s">
        <v>108</v>
      </c>
      <c r="O353" t="s">
        <v>106</v>
      </c>
      <c r="P353" t="s">
        <v>47</v>
      </c>
      <c r="Q353" s="1">
        <v>43852</v>
      </c>
      <c r="R353" t="s">
        <v>48</v>
      </c>
      <c r="S353" t="s">
        <v>102</v>
      </c>
      <c r="T353" t="s">
        <v>103</v>
      </c>
      <c r="U353" t="s">
        <v>85</v>
      </c>
      <c r="V353">
        <v>5000000</v>
      </c>
      <c r="W353">
        <v>250000</v>
      </c>
      <c r="X353" s="1">
        <v>43799</v>
      </c>
      <c r="Y353" t="s">
        <v>51</v>
      </c>
      <c r="Z353" t="s">
        <v>43</v>
      </c>
      <c r="AA353" t="s">
        <v>86</v>
      </c>
      <c r="AB353" t="s">
        <v>89</v>
      </c>
      <c r="AC353" t="s">
        <v>90</v>
      </c>
      <c r="AF353" t="s">
        <v>93</v>
      </c>
      <c r="AG353" s="1">
        <v>43843</v>
      </c>
      <c r="AH353" t="s">
        <v>85</v>
      </c>
      <c r="AI353" t="s">
        <v>92</v>
      </c>
      <c r="AJ353">
        <v>19888</v>
      </c>
      <c r="AK353">
        <v>128777</v>
      </c>
      <c r="AL353">
        <v>198882</v>
      </c>
    </row>
    <row r="354" spans="1:38" x14ac:dyDescent="0.25">
      <c r="A354" t="s">
        <v>198</v>
      </c>
      <c r="B354" t="s">
        <v>199</v>
      </c>
      <c r="C354" t="s">
        <v>40</v>
      </c>
      <c r="D354" s="1">
        <v>43645</v>
      </c>
      <c r="E354" s="1">
        <v>44010</v>
      </c>
      <c r="F354" t="s">
        <v>84</v>
      </c>
      <c r="G354">
        <v>10</v>
      </c>
      <c r="H354" t="s">
        <v>85</v>
      </c>
      <c r="I354" t="s">
        <v>43</v>
      </c>
      <c r="J354" t="s">
        <v>86</v>
      </c>
      <c r="K354" t="s">
        <v>44</v>
      </c>
      <c r="L354">
        <v>8604.68</v>
      </c>
      <c r="M354" s="1">
        <v>43645</v>
      </c>
      <c r="N354" t="s">
        <v>45</v>
      </c>
      <c r="O354" t="s">
        <v>44</v>
      </c>
      <c r="P354" t="s">
        <v>47</v>
      </c>
      <c r="Q354" s="1">
        <v>43852</v>
      </c>
      <c r="R354" t="s">
        <v>48</v>
      </c>
      <c r="S354" t="s">
        <v>87</v>
      </c>
      <c r="T354" t="s">
        <v>88</v>
      </c>
      <c r="U354" t="s">
        <v>85</v>
      </c>
      <c r="V354">
        <v>1400000</v>
      </c>
      <c r="W354">
        <v>100000</v>
      </c>
      <c r="X354" s="1">
        <v>43808</v>
      </c>
      <c r="Y354" t="s">
        <v>51</v>
      </c>
      <c r="Z354" t="s">
        <v>43</v>
      </c>
      <c r="AA354" t="s">
        <v>86</v>
      </c>
      <c r="AB354" t="s">
        <v>89</v>
      </c>
      <c r="AC354" t="s">
        <v>90</v>
      </c>
      <c r="AF354" t="s">
        <v>91</v>
      </c>
      <c r="AG354" s="1">
        <v>43852</v>
      </c>
      <c r="AH354" t="s">
        <v>85</v>
      </c>
      <c r="AI354" t="s">
        <v>92</v>
      </c>
      <c r="AJ354">
        <v>19888</v>
      </c>
      <c r="AK354">
        <v>128777</v>
      </c>
      <c r="AL354">
        <v>198882</v>
      </c>
    </row>
    <row r="355" spans="1:38" x14ac:dyDescent="0.25">
      <c r="A355" t="s">
        <v>198</v>
      </c>
      <c r="B355" t="s">
        <v>199</v>
      </c>
      <c r="C355" t="s">
        <v>40</v>
      </c>
      <c r="D355" s="1">
        <v>43645</v>
      </c>
      <c r="E355" s="1">
        <v>44010</v>
      </c>
      <c r="F355" t="s">
        <v>84</v>
      </c>
      <c r="G355">
        <v>10</v>
      </c>
      <c r="H355" t="s">
        <v>85</v>
      </c>
      <c r="I355" t="s">
        <v>43</v>
      </c>
      <c r="J355" t="s">
        <v>86</v>
      </c>
      <c r="K355" t="s">
        <v>44</v>
      </c>
      <c r="L355">
        <v>8604.68</v>
      </c>
      <c r="M355" s="1">
        <v>43645</v>
      </c>
      <c r="N355" t="s">
        <v>45</v>
      </c>
      <c r="O355" t="s">
        <v>44</v>
      </c>
      <c r="P355" t="s">
        <v>47</v>
      </c>
      <c r="Q355" s="1">
        <v>43852</v>
      </c>
      <c r="R355" t="s">
        <v>48</v>
      </c>
      <c r="S355" t="s">
        <v>87</v>
      </c>
      <c r="T355" t="s">
        <v>88</v>
      </c>
      <c r="U355" t="s">
        <v>85</v>
      </c>
      <c r="V355">
        <v>1400000</v>
      </c>
      <c r="W355">
        <v>100000</v>
      </c>
      <c r="X355" s="1">
        <v>43808</v>
      </c>
      <c r="Y355" t="s">
        <v>51</v>
      </c>
      <c r="Z355" t="s">
        <v>43</v>
      </c>
      <c r="AA355" t="s">
        <v>86</v>
      </c>
      <c r="AB355" t="s">
        <v>89</v>
      </c>
      <c r="AC355" t="s">
        <v>90</v>
      </c>
      <c r="AF355" t="s">
        <v>93</v>
      </c>
      <c r="AG355" s="1">
        <v>43843</v>
      </c>
      <c r="AH355" t="s">
        <v>85</v>
      </c>
      <c r="AI355" t="s">
        <v>92</v>
      </c>
      <c r="AJ355">
        <v>19888</v>
      </c>
      <c r="AK355">
        <v>128777</v>
      </c>
      <c r="AL355">
        <v>198882</v>
      </c>
    </row>
    <row r="356" spans="1:38" x14ac:dyDescent="0.25">
      <c r="A356" t="s">
        <v>198</v>
      </c>
      <c r="B356" t="s">
        <v>199</v>
      </c>
      <c r="C356" t="s">
        <v>40</v>
      </c>
      <c r="D356" s="1">
        <v>43645</v>
      </c>
      <c r="E356" s="1">
        <v>44010</v>
      </c>
      <c r="F356" t="s">
        <v>84</v>
      </c>
      <c r="G356">
        <v>10</v>
      </c>
      <c r="H356" t="s">
        <v>85</v>
      </c>
      <c r="I356" t="s">
        <v>43</v>
      </c>
      <c r="J356" t="s">
        <v>86</v>
      </c>
      <c r="K356" t="s">
        <v>44</v>
      </c>
      <c r="L356">
        <v>8604.68</v>
      </c>
      <c r="M356" s="1">
        <v>43645</v>
      </c>
      <c r="N356" t="s">
        <v>45</v>
      </c>
      <c r="O356" t="s">
        <v>44</v>
      </c>
      <c r="P356" t="s">
        <v>47</v>
      </c>
      <c r="Q356" s="1">
        <v>43852</v>
      </c>
      <c r="R356" t="s">
        <v>48</v>
      </c>
      <c r="S356" t="s">
        <v>94</v>
      </c>
      <c r="T356" t="s">
        <v>95</v>
      </c>
      <c r="U356" t="s">
        <v>85</v>
      </c>
      <c r="V356">
        <v>4500000</v>
      </c>
      <c r="W356">
        <v>300000</v>
      </c>
      <c r="X356" s="1">
        <v>43767</v>
      </c>
      <c r="Y356" t="s">
        <v>51</v>
      </c>
      <c r="Z356" t="s">
        <v>43</v>
      </c>
      <c r="AA356" t="s">
        <v>86</v>
      </c>
      <c r="AB356" t="s">
        <v>89</v>
      </c>
      <c r="AC356" t="s">
        <v>90</v>
      </c>
      <c r="AF356" t="s">
        <v>91</v>
      </c>
      <c r="AG356" s="1">
        <v>43852</v>
      </c>
      <c r="AH356" t="s">
        <v>85</v>
      </c>
      <c r="AI356" t="s">
        <v>92</v>
      </c>
      <c r="AJ356">
        <v>19888</v>
      </c>
      <c r="AK356">
        <v>128777</v>
      </c>
      <c r="AL356">
        <v>198882</v>
      </c>
    </row>
    <row r="357" spans="1:38" x14ac:dyDescent="0.25">
      <c r="A357" t="s">
        <v>198</v>
      </c>
      <c r="B357" t="s">
        <v>199</v>
      </c>
      <c r="C357" t="s">
        <v>40</v>
      </c>
      <c r="D357" s="1">
        <v>43645</v>
      </c>
      <c r="E357" s="1">
        <v>44010</v>
      </c>
      <c r="F357" t="s">
        <v>84</v>
      </c>
      <c r="G357">
        <v>10</v>
      </c>
      <c r="H357" t="s">
        <v>85</v>
      </c>
      <c r="I357" t="s">
        <v>43</v>
      </c>
      <c r="J357" t="s">
        <v>86</v>
      </c>
      <c r="K357" t="s">
        <v>44</v>
      </c>
      <c r="L357">
        <v>8604.68</v>
      </c>
      <c r="M357" s="1">
        <v>43645</v>
      </c>
      <c r="N357" t="s">
        <v>45</v>
      </c>
      <c r="O357" t="s">
        <v>44</v>
      </c>
      <c r="P357" t="s">
        <v>47</v>
      </c>
      <c r="Q357" s="1">
        <v>43852</v>
      </c>
      <c r="R357" t="s">
        <v>48</v>
      </c>
      <c r="S357" t="s">
        <v>94</v>
      </c>
      <c r="T357" t="s">
        <v>95</v>
      </c>
      <c r="U357" t="s">
        <v>85</v>
      </c>
      <c r="V357">
        <v>4500000</v>
      </c>
      <c r="W357">
        <v>300000</v>
      </c>
      <c r="X357" s="1">
        <v>43767</v>
      </c>
      <c r="Y357" t="s">
        <v>51</v>
      </c>
      <c r="Z357" t="s">
        <v>43</v>
      </c>
      <c r="AA357" t="s">
        <v>86</v>
      </c>
      <c r="AB357" t="s">
        <v>89</v>
      </c>
      <c r="AC357" t="s">
        <v>90</v>
      </c>
      <c r="AF357" t="s">
        <v>93</v>
      </c>
      <c r="AG357" s="1">
        <v>43843</v>
      </c>
      <c r="AH357" t="s">
        <v>85</v>
      </c>
      <c r="AI357" t="s">
        <v>92</v>
      </c>
      <c r="AJ357">
        <v>19888</v>
      </c>
      <c r="AK357">
        <v>128777</v>
      </c>
      <c r="AL357">
        <v>198882</v>
      </c>
    </row>
    <row r="358" spans="1:38" x14ac:dyDescent="0.25">
      <c r="A358" t="s">
        <v>198</v>
      </c>
      <c r="B358" t="s">
        <v>199</v>
      </c>
      <c r="C358" t="s">
        <v>40</v>
      </c>
      <c r="D358" s="1">
        <v>43645</v>
      </c>
      <c r="E358" s="1">
        <v>44010</v>
      </c>
      <c r="F358" t="s">
        <v>84</v>
      </c>
      <c r="G358">
        <v>10</v>
      </c>
      <c r="H358" t="s">
        <v>85</v>
      </c>
      <c r="I358" t="s">
        <v>43</v>
      </c>
      <c r="J358" t="s">
        <v>86</v>
      </c>
      <c r="K358" t="s">
        <v>44</v>
      </c>
      <c r="L358">
        <v>8604.68</v>
      </c>
      <c r="M358" s="1">
        <v>43645</v>
      </c>
      <c r="N358" t="s">
        <v>45</v>
      </c>
      <c r="O358" t="s">
        <v>44</v>
      </c>
      <c r="P358" t="s">
        <v>47</v>
      </c>
      <c r="Q358" s="1">
        <v>43852</v>
      </c>
      <c r="R358" t="s">
        <v>48</v>
      </c>
      <c r="S358" t="s">
        <v>96</v>
      </c>
      <c r="T358" t="s">
        <v>97</v>
      </c>
      <c r="U358" t="s">
        <v>85</v>
      </c>
      <c r="V358">
        <v>600000</v>
      </c>
      <c r="W358">
        <v>100000</v>
      </c>
      <c r="X358" s="1">
        <v>43799</v>
      </c>
      <c r="Y358" t="s">
        <v>51</v>
      </c>
      <c r="Z358" t="s">
        <v>43</v>
      </c>
      <c r="AA358" t="s">
        <v>98</v>
      </c>
      <c r="AB358" t="s">
        <v>89</v>
      </c>
      <c r="AC358" t="s">
        <v>90</v>
      </c>
      <c r="AF358" t="s">
        <v>91</v>
      </c>
      <c r="AG358" s="1">
        <v>43852</v>
      </c>
      <c r="AH358" t="s">
        <v>85</v>
      </c>
      <c r="AI358" t="s">
        <v>92</v>
      </c>
      <c r="AJ358">
        <v>19888</v>
      </c>
      <c r="AK358">
        <v>128777</v>
      </c>
      <c r="AL358">
        <v>198882</v>
      </c>
    </row>
    <row r="359" spans="1:38" x14ac:dyDescent="0.25">
      <c r="A359" t="s">
        <v>198</v>
      </c>
      <c r="B359" t="s">
        <v>199</v>
      </c>
      <c r="C359" t="s">
        <v>40</v>
      </c>
      <c r="D359" s="1">
        <v>43645</v>
      </c>
      <c r="E359" s="1">
        <v>44010</v>
      </c>
      <c r="F359" t="s">
        <v>84</v>
      </c>
      <c r="G359">
        <v>10</v>
      </c>
      <c r="H359" t="s">
        <v>85</v>
      </c>
      <c r="I359" t="s">
        <v>43</v>
      </c>
      <c r="J359" t="s">
        <v>86</v>
      </c>
      <c r="K359" t="s">
        <v>44</v>
      </c>
      <c r="L359">
        <v>8604.68</v>
      </c>
      <c r="M359" s="1">
        <v>43645</v>
      </c>
      <c r="N359" t="s">
        <v>45</v>
      </c>
      <c r="O359" t="s">
        <v>44</v>
      </c>
      <c r="P359" t="s">
        <v>47</v>
      </c>
      <c r="Q359" s="1">
        <v>43852</v>
      </c>
      <c r="R359" t="s">
        <v>48</v>
      </c>
      <c r="S359" t="s">
        <v>96</v>
      </c>
      <c r="T359" t="s">
        <v>97</v>
      </c>
      <c r="U359" t="s">
        <v>85</v>
      </c>
      <c r="V359">
        <v>600000</v>
      </c>
      <c r="W359">
        <v>100000</v>
      </c>
      <c r="X359" s="1">
        <v>43799</v>
      </c>
      <c r="Y359" t="s">
        <v>51</v>
      </c>
      <c r="Z359" t="s">
        <v>43</v>
      </c>
      <c r="AA359" t="s">
        <v>98</v>
      </c>
      <c r="AB359" t="s">
        <v>89</v>
      </c>
      <c r="AC359" t="s">
        <v>90</v>
      </c>
      <c r="AF359" t="s">
        <v>93</v>
      </c>
      <c r="AG359" s="1">
        <v>43843</v>
      </c>
      <c r="AH359" t="s">
        <v>85</v>
      </c>
      <c r="AI359" t="s">
        <v>92</v>
      </c>
      <c r="AJ359">
        <v>19888</v>
      </c>
      <c r="AK359">
        <v>128777</v>
      </c>
      <c r="AL359">
        <v>198882</v>
      </c>
    </row>
    <row r="360" spans="1:38" x14ac:dyDescent="0.25">
      <c r="A360" t="s">
        <v>198</v>
      </c>
      <c r="B360" t="s">
        <v>199</v>
      </c>
      <c r="C360" t="s">
        <v>40</v>
      </c>
      <c r="D360" s="1">
        <v>43645</v>
      </c>
      <c r="E360" s="1">
        <v>44010</v>
      </c>
      <c r="F360" t="s">
        <v>84</v>
      </c>
      <c r="G360">
        <v>10</v>
      </c>
      <c r="H360" t="s">
        <v>85</v>
      </c>
      <c r="I360" t="s">
        <v>43</v>
      </c>
      <c r="J360" t="s">
        <v>86</v>
      </c>
      <c r="K360" t="s">
        <v>44</v>
      </c>
      <c r="L360">
        <v>8604.68</v>
      </c>
      <c r="M360" s="1">
        <v>43645</v>
      </c>
      <c r="N360" t="s">
        <v>45</v>
      </c>
      <c r="O360" t="s">
        <v>44</v>
      </c>
      <c r="P360" t="s">
        <v>47</v>
      </c>
      <c r="Q360" s="1">
        <v>43852</v>
      </c>
      <c r="R360" t="s">
        <v>48</v>
      </c>
      <c r="S360" t="s">
        <v>99</v>
      </c>
      <c r="T360" t="s">
        <v>100</v>
      </c>
      <c r="U360" t="s">
        <v>85</v>
      </c>
      <c r="V360">
        <v>210000</v>
      </c>
      <c r="W360">
        <v>35000</v>
      </c>
      <c r="X360" s="1">
        <v>43799</v>
      </c>
      <c r="Y360" t="s">
        <v>51</v>
      </c>
      <c r="Z360" t="s">
        <v>43</v>
      </c>
      <c r="AA360" t="s">
        <v>98</v>
      </c>
      <c r="AB360" t="s">
        <v>89</v>
      </c>
      <c r="AC360" t="s">
        <v>101</v>
      </c>
      <c r="AF360" t="s">
        <v>91</v>
      </c>
      <c r="AG360" s="1">
        <v>43852</v>
      </c>
      <c r="AH360" t="s">
        <v>85</v>
      </c>
      <c r="AI360" t="s">
        <v>92</v>
      </c>
      <c r="AJ360">
        <v>19888</v>
      </c>
      <c r="AK360">
        <v>128777</v>
      </c>
      <c r="AL360">
        <v>198882</v>
      </c>
    </row>
    <row r="361" spans="1:38" x14ac:dyDescent="0.25">
      <c r="A361" t="s">
        <v>198</v>
      </c>
      <c r="B361" t="s">
        <v>199</v>
      </c>
      <c r="C361" t="s">
        <v>40</v>
      </c>
      <c r="D361" s="1">
        <v>43645</v>
      </c>
      <c r="E361" s="1">
        <v>44010</v>
      </c>
      <c r="F361" t="s">
        <v>84</v>
      </c>
      <c r="G361">
        <v>10</v>
      </c>
      <c r="H361" t="s">
        <v>85</v>
      </c>
      <c r="I361" t="s">
        <v>43</v>
      </c>
      <c r="J361" t="s">
        <v>86</v>
      </c>
      <c r="K361" t="s">
        <v>44</v>
      </c>
      <c r="L361">
        <v>8604.68</v>
      </c>
      <c r="M361" s="1">
        <v>43645</v>
      </c>
      <c r="N361" t="s">
        <v>45</v>
      </c>
      <c r="O361" t="s">
        <v>44</v>
      </c>
      <c r="P361" t="s">
        <v>47</v>
      </c>
      <c r="Q361" s="1">
        <v>43852</v>
      </c>
      <c r="R361" t="s">
        <v>48</v>
      </c>
      <c r="S361" t="s">
        <v>99</v>
      </c>
      <c r="T361" t="s">
        <v>100</v>
      </c>
      <c r="U361" t="s">
        <v>85</v>
      </c>
      <c r="V361">
        <v>210000</v>
      </c>
      <c r="W361">
        <v>35000</v>
      </c>
      <c r="X361" s="1">
        <v>43799</v>
      </c>
      <c r="Y361" t="s">
        <v>51</v>
      </c>
      <c r="Z361" t="s">
        <v>43</v>
      </c>
      <c r="AA361" t="s">
        <v>98</v>
      </c>
      <c r="AB361" t="s">
        <v>89</v>
      </c>
      <c r="AC361" t="s">
        <v>101</v>
      </c>
      <c r="AF361" t="s">
        <v>93</v>
      </c>
      <c r="AG361" s="1">
        <v>43843</v>
      </c>
      <c r="AH361" t="s">
        <v>85</v>
      </c>
      <c r="AI361" t="s">
        <v>92</v>
      </c>
      <c r="AJ361">
        <v>19888</v>
      </c>
      <c r="AK361">
        <v>128777</v>
      </c>
      <c r="AL361">
        <v>198882</v>
      </c>
    </row>
    <row r="362" spans="1:38" x14ac:dyDescent="0.25">
      <c r="A362" t="s">
        <v>198</v>
      </c>
      <c r="B362" t="s">
        <v>199</v>
      </c>
      <c r="C362" t="s">
        <v>40</v>
      </c>
      <c r="D362" s="1">
        <v>43645</v>
      </c>
      <c r="E362" s="1">
        <v>44010</v>
      </c>
      <c r="F362" t="s">
        <v>84</v>
      </c>
      <c r="G362">
        <v>10</v>
      </c>
      <c r="H362" t="s">
        <v>85</v>
      </c>
      <c r="I362" t="s">
        <v>43</v>
      </c>
      <c r="J362" t="s">
        <v>86</v>
      </c>
      <c r="K362" t="s">
        <v>44</v>
      </c>
      <c r="L362">
        <v>8604.68</v>
      </c>
      <c r="M362" s="1">
        <v>43645</v>
      </c>
      <c r="N362" t="s">
        <v>45</v>
      </c>
      <c r="O362" t="s">
        <v>44</v>
      </c>
      <c r="P362" t="s">
        <v>47</v>
      </c>
      <c r="Q362" s="1">
        <v>43852</v>
      </c>
      <c r="R362" t="s">
        <v>48</v>
      </c>
      <c r="S362" t="s">
        <v>102</v>
      </c>
      <c r="T362" t="s">
        <v>103</v>
      </c>
      <c r="U362" t="s">
        <v>85</v>
      </c>
      <c r="V362">
        <v>5000000</v>
      </c>
      <c r="W362">
        <v>250000</v>
      </c>
      <c r="X362" s="1">
        <v>43799</v>
      </c>
      <c r="Y362" t="s">
        <v>51</v>
      </c>
      <c r="Z362" t="s">
        <v>43</v>
      </c>
      <c r="AA362" t="s">
        <v>86</v>
      </c>
      <c r="AB362" t="s">
        <v>89</v>
      </c>
      <c r="AC362" t="s">
        <v>90</v>
      </c>
      <c r="AF362" t="s">
        <v>91</v>
      </c>
      <c r="AG362" s="1">
        <v>43852</v>
      </c>
      <c r="AH362" t="s">
        <v>85</v>
      </c>
      <c r="AI362" t="s">
        <v>92</v>
      </c>
      <c r="AJ362">
        <v>19888</v>
      </c>
      <c r="AK362">
        <v>128777</v>
      </c>
      <c r="AL362">
        <v>198882</v>
      </c>
    </row>
    <row r="363" spans="1:38" x14ac:dyDescent="0.25">
      <c r="A363" t="s">
        <v>198</v>
      </c>
      <c r="B363" t="s">
        <v>199</v>
      </c>
      <c r="C363" t="s">
        <v>40</v>
      </c>
      <c r="D363" s="1">
        <v>43645</v>
      </c>
      <c r="E363" s="1">
        <v>44010</v>
      </c>
      <c r="F363" t="s">
        <v>84</v>
      </c>
      <c r="G363">
        <v>10</v>
      </c>
      <c r="H363" t="s">
        <v>85</v>
      </c>
      <c r="I363" t="s">
        <v>43</v>
      </c>
      <c r="J363" t="s">
        <v>86</v>
      </c>
      <c r="K363" t="s">
        <v>44</v>
      </c>
      <c r="L363">
        <v>8604.68</v>
      </c>
      <c r="M363" s="1">
        <v>43645</v>
      </c>
      <c r="N363" t="s">
        <v>45</v>
      </c>
      <c r="O363" t="s">
        <v>44</v>
      </c>
      <c r="P363" t="s">
        <v>47</v>
      </c>
      <c r="Q363" s="1">
        <v>43852</v>
      </c>
      <c r="R363" t="s">
        <v>48</v>
      </c>
      <c r="S363" t="s">
        <v>102</v>
      </c>
      <c r="T363" t="s">
        <v>103</v>
      </c>
      <c r="U363" t="s">
        <v>85</v>
      </c>
      <c r="V363">
        <v>5000000</v>
      </c>
      <c r="W363">
        <v>250000</v>
      </c>
      <c r="X363" s="1">
        <v>43799</v>
      </c>
      <c r="Y363" t="s">
        <v>51</v>
      </c>
      <c r="Z363" t="s">
        <v>43</v>
      </c>
      <c r="AA363" t="s">
        <v>86</v>
      </c>
      <c r="AB363" t="s">
        <v>89</v>
      </c>
      <c r="AC363" t="s">
        <v>90</v>
      </c>
      <c r="AF363" t="s">
        <v>93</v>
      </c>
      <c r="AG363" s="1">
        <v>43843</v>
      </c>
      <c r="AH363" t="s">
        <v>85</v>
      </c>
      <c r="AI363" t="s">
        <v>92</v>
      </c>
      <c r="AJ363">
        <v>19888</v>
      </c>
      <c r="AK363">
        <v>128777</v>
      </c>
      <c r="AL363">
        <v>198882</v>
      </c>
    </row>
    <row r="364" spans="1:38" x14ac:dyDescent="0.25">
      <c r="A364" t="s">
        <v>200</v>
      </c>
      <c r="B364" t="s">
        <v>201</v>
      </c>
      <c r="C364" t="s">
        <v>71</v>
      </c>
      <c r="D364" s="1">
        <v>43280</v>
      </c>
      <c r="E364" s="1">
        <v>43644</v>
      </c>
      <c r="F364" t="s">
        <v>84</v>
      </c>
      <c r="G364">
        <v>10</v>
      </c>
      <c r="H364" t="s">
        <v>85</v>
      </c>
      <c r="I364" t="s">
        <v>43</v>
      </c>
      <c r="J364" t="s">
        <v>86</v>
      </c>
      <c r="K364" t="s">
        <v>44</v>
      </c>
      <c r="L364">
        <v>41313.599999999999</v>
      </c>
      <c r="M364" s="1">
        <v>43280</v>
      </c>
      <c r="N364" t="s">
        <v>45</v>
      </c>
      <c r="O364" t="s">
        <v>106</v>
      </c>
      <c r="P364" t="s">
        <v>47</v>
      </c>
      <c r="Q364" s="1">
        <v>43852</v>
      </c>
      <c r="R364" t="s">
        <v>48</v>
      </c>
      <c r="S364" t="s">
        <v>87</v>
      </c>
      <c r="T364" t="s">
        <v>88</v>
      </c>
      <c r="U364" t="s">
        <v>85</v>
      </c>
      <c r="V364">
        <v>1400000</v>
      </c>
      <c r="W364">
        <v>100000</v>
      </c>
      <c r="X364" s="1">
        <v>43808</v>
      </c>
      <c r="Y364" t="s">
        <v>51</v>
      </c>
      <c r="Z364" t="s">
        <v>43</v>
      </c>
      <c r="AA364" t="s">
        <v>86</v>
      </c>
      <c r="AB364" t="s">
        <v>89</v>
      </c>
      <c r="AC364" t="s">
        <v>90</v>
      </c>
      <c r="AF364" t="s">
        <v>91</v>
      </c>
      <c r="AG364" s="1">
        <v>43852</v>
      </c>
      <c r="AH364" t="s">
        <v>85</v>
      </c>
      <c r="AI364" t="s">
        <v>92</v>
      </c>
      <c r="AJ364">
        <v>19888</v>
      </c>
      <c r="AK364">
        <v>128777</v>
      </c>
      <c r="AL364">
        <v>198882</v>
      </c>
    </row>
    <row r="365" spans="1:38" x14ac:dyDescent="0.25">
      <c r="A365" t="s">
        <v>200</v>
      </c>
      <c r="B365" t="s">
        <v>201</v>
      </c>
      <c r="C365" t="s">
        <v>71</v>
      </c>
      <c r="D365" s="1">
        <v>43280</v>
      </c>
      <c r="E365" s="1">
        <v>43644</v>
      </c>
      <c r="F365" t="s">
        <v>84</v>
      </c>
      <c r="G365">
        <v>10</v>
      </c>
      <c r="H365" t="s">
        <v>85</v>
      </c>
      <c r="I365" t="s">
        <v>43</v>
      </c>
      <c r="J365" t="s">
        <v>86</v>
      </c>
      <c r="K365" t="s">
        <v>44</v>
      </c>
      <c r="L365">
        <v>41313.599999999999</v>
      </c>
      <c r="M365" s="1">
        <v>43280</v>
      </c>
      <c r="N365" t="s">
        <v>45</v>
      </c>
      <c r="O365" t="s">
        <v>106</v>
      </c>
      <c r="P365" t="s">
        <v>47</v>
      </c>
      <c r="Q365" s="1">
        <v>43852</v>
      </c>
      <c r="R365" t="s">
        <v>48</v>
      </c>
      <c r="S365" t="s">
        <v>87</v>
      </c>
      <c r="T365" t="s">
        <v>88</v>
      </c>
      <c r="U365" t="s">
        <v>85</v>
      </c>
      <c r="V365">
        <v>1400000</v>
      </c>
      <c r="W365">
        <v>100000</v>
      </c>
      <c r="X365" s="1">
        <v>43808</v>
      </c>
      <c r="Y365" t="s">
        <v>51</v>
      </c>
      <c r="Z365" t="s">
        <v>43</v>
      </c>
      <c r="AA365" t="s">
        <v>86</v>
      </c>
      <c r="AB365" t="s">
        <v>89</v>
      </c>
      <c r="AC365" t="s">
        <v>90</v>
      </c>
      <c r="AF365" t="s">
        <v>93</v>
      </c>
      <c r="AG365" s="1">
        <v>43843</v>
      </c>
      <c r="AH365" t="s">
        <v>85</v>
      </c>
      <c r="AI365" t="s">
        <v>92</v>
      </c>
      <c r="AJ365">
        <v>19888</v>
      </c>
      <c r="AK365">
        <v>128777</v>
      </c>
      <c r="AL365">
        <v>198882</v>
      </c>
    </row>
    <row r="366" spans="1:38" x14ac:dyDescent="0.25">
      <c r="A366" t="s">
        <v>200</v>
      </c>
      <c r="B366" t="s">
        <v>201</v>
      </c>
      <c r="C366" t="s">
        <v>71</v>
      </c>
      <c r="D366" s="1">
        <v>43280</v>
      </c>
      <c r="E366" s="1">
        <v>43644</v>
      </c>
      <c r="F366" t="s">
        <v>84</v>
      </c>
      <c r="G366">
        <v>10</v>
      </c>
      <c r="H366" t="s">
        <v>85</v>
      </c>
      <c r="I366" t="s">
        <v>43</v>
      </c>
      <c r="J366" t="s">
        <v>86</v>
      </c>
      <c r="K366" t="s">
        <v>44</v>
      </c>
      <c r="L366">
        <v>41313.599999999999</v>
      </c>
      <c r="M366" s="1">
        <v>43280</v>
      </c>
      <c r="N366" t="s">
        <v>45</v>
      </c>
      <c r="O366" t="s">
        <v>106</v>
      </c>
      <c r="P366" t="s">
        <v>47</v>
      </c>
      <c r="Q366" s="1">
        <v>43852</v>
      </c>
      <c r="R366" t="s">
        <v>48</v>
      </c>
      <c r="S366" t="s">
        <v>94</v>
      </c>
      <c r="T366" t="s">
        <v>95</v>
      </c>
      <c r="U366" t="s">
        <v>85</v>
      </c>
      <c r="V366">
        <v>4500000</v>
      </c>
      <c r="W366">
        <v>300000</v>
      </c>
      <c r="X366" s="1">
        <v>43767</v>
      </c>
      <c r="Y366" t="s">
        <v>51</v>
      </c>
      <c r="Z366" t="s">
        <v>43</v>
      </c>
      <c r="AA366" t="s">
        <v>86</v>
      </c>
      <c r="AB366" t="s">
        <v>89</v>
      </c>
      <c r="AC366" t="s">
        <v>90</v>
      </c>
      <c r="AF366" t="s">
        <v>91</v>
      </c>
      <c r="AG366" s="1">
        <v>43852</v>
      </c>
      <c r="AH366" t="s">
        <v>85</v>
      </c>
      <c r="AI366" t="s">
        <v>92</v>
      </c>
      <c r="AJ366">
        <v>19888</v>
      </c>
      <c r="AK366">
        <v>128777</v>
      </c>
      <c r="AL366">
        <v>198882</v>
      </c>
    </row>
    <row r="367" spans="1:38" x14ac:dyDescent="0.25">
      <c r="A367" t="s">
        <v>200</v>
      </c>
      <c r="B367" t="s">
        <v>201</v>
      </c>
      <c r="C367" t="s">
        <v>71</v>
      </c>
      <c r="D367" s="1">
        <v>43280</v>
      </c>
      <c r="E367" s="1">
        <v>43644</v>
      </c>
      <c r="F367" t="s">
        <v>84</v>
      </c>
      <c r="G367">
        <v>10</v>
      </c>
      <c r="H367" t="s">
        <v>85</v>
      </c>
      <c r="I367" t="s">
        <v>43</v>
      </c>
      <c r="J367" t="s">
        <v>86</v>
      </c>
      <c r="K367" t="s">
        <v>44</v>
      </c>
      <c r="L367">
        <v>41313.599999999999</v>
      </c>
      <c r="M367" s="1">
        <v>43280</v>
      </c>
      <c r="N367" t="s">
        <v>45</v>
      </c>
      <c r="O367" t="s">
        <v>106</v>
      </c>
      <c r="P367" t="s">
        <v>47</v>
      </c>
      <c r="Q367" s="1">
        <v>43852</v>
      </c>
      <c r="R367" t="s">
        <v>48</v>
      </c>
      <c r="S367" t="s">
        <v>94</v>
      </c>
      <c r="T367" t="s">
        <v>95</v>
      </c>
      <c r="U367" t="s">
        <v>85</v>
      </c>
      <c r="V367">
        <v>4500000</v>
      </c>
      <c r="W367">
        <v>300000</v>
      </c>
      <c r="X367" s="1">
        <v>43767</v>
      </c>
      <c r="Y367" t="s">
        <v>51</v>
      </c>
      <c r="Z367" t="s">
        <v>43</v>
      </c>
      <c r="AA367" t="s">
        <v>86</v>
      </c>
      <c r="AB367" t="s">
        <v>89</v>
      </c>
      <c r="AC367" t="s">
        <v>90</v>
      </c>
      <c r="AF367" t="s">
        <v>93</v>
      </c>
      <c r="AG367" s="1">
        <v>43843</v>
      </c>
      <c r="AH367" t="s">
        <v>85</v>
      </c>
      <c r="AI367" t="s">
        <v>92</v>
      </c>
      <c r="AJ367">
        <v>19888</v>
      </c>
      <c r="AK367">
        <v>128777</v>
      </c>
      <c r="AL367">
        <v>198882</v>
      </c>
    </row>
    <row r="368" spans="1:38" x14ac:dyDescent="0.25">
      <c r="A368" t="s">
        <v>200</v>
      </c>
      <c r="B368" t="s">
        <v>201</v>
      </c>
      <c r="C368" t="s">
        <v>71</v>
      </c>
      <c r="D368" s="1">
        <v>43280</v>
      </c>
      <c r="E368" s="1">
        <v>43644</v>
      </c>
      <c r="F368" t="s">
        <v>84</v>
      </c>
      <c r="G368">
        <v>10</v>
      </c>
      <c r="H368" t="s">
        <v>85</v>
      </c>
      <c r="I368" t="s">
        <v>43</v>
      </c>
      <c r="J368" t="s">
        <v>86</v>
      </c>
      <c r="K368" t="s">
        <v>44</v>
      </c>
      <c r="L368">
        <v>41313.599999999999</v>
      </c>
      <c r="M368" s="1">
        <v>43280</v>
      </c>
      <c r="N368" t="s">
        <v>45</v>
      </c>
      <c r="O368" t="s">
        <v>106</v>
      </c>
      <c r="P368" t="s">
        <v>47</v>
      </c>
      <c r="Q368" s="1">
        <v>43852</v>
      </c>
      <c r="R368" t="s">
        <v>48</v>
      </c>
      <c r="S368" t="s">
        <v>96</v>
      </c>
      <c r="T368" t="s">
        <v>97</v>
      </c>
      <c r="U368" t="s">
        <v>85</v>
      </c>
      <c r="V368">
        <v>600000</v>
      </c>
      <c r="W368">
        <v>100000</v>
      </c>
      <c r="X368" s="1">
        <v>43799</v>
      </c>
      <c r="Y368" t="s">
        <v>51</v>
      </c>
      <c r="Z368" t="s">
        <v>43</v>
      </c>
      <c r="AA368" t="s">
        <v>98</v>
      </c>
      <c r="AB368" t="s">
        <v>89</v>
      </c>
      <c r="AC368" t="s">
        <v>90</v>
      </c>
      <c r="AF368" t="s">
        <v>91</v>
      </c>
      <c r="AG368" s="1">
        <v>43852</v>
      </c>
      <c r="AH368" t="s">
        <v>85</v>
      </c>
      <c r="AI368" t="s">
        <v>92</v>
      </c>
      <c r="AJ368">
        <v>19888</v>
      </c>
      <c r="AK368">
        <v>128777</v>
      </c>
      <c r="AL368">
        <v>198882</v>
      </c>
    </row>
    <row r="369" spans="1:38" x14ac:dyDescent="0.25">
      <c r="A369" t="s">
        <v>200</v>
      </c>
      <c r="B369" t="s">
        <v>201</v>
      </c>
      <c r="C369" t="s">
        <v>71</v>
      </c>
      <c r="D369" s="1">
        <v>43280</v>
      </c>
      <c r="E369" s="1">
        <v>43644</v>
      </c>
      <c r="F369" t="s">
        <v>84</v>
      </c>
      <c r="G369">
        <v>10</v>
      </c>
      <c r="H369" t="s">
        <v>85</v>
      </c>
      <c r="I369" t="s">
        <v>43</v>
      </c>
      <c r="J369" t="s">
        <v>86</v>
      </c>
      <c r="K369" t="s">
        <v>44</v>
      </c>
      <c r="L369">
        <v>41313.599999999999</v>
      </c>
      <c r="M369" s="1">
        <v>43280</v>
      </c>
      <c r="N369" t="s">
        <v>45</v>
      </c>
      <c r="O369" t="s">
        <v>106</v>
      </c>
      <c r="P369" t="s">
        <v>47</v>
      </c>
      <c r="Q369" s="1">
        <v>43852</v>
      </c>
      <c r="R369" t="s">
        <v>48</v>
      </c>
      <c r="S369" t="s">
        <v>96</v>
      </c>
      <c r="T369" t="s">
        <v>97</v>
      </c>
      <c r="U369" t="s">
        <v>85</v>
      </c>
      <c r="V369">
        <v>600000</v>
      </c>
      <c r="W369">
        <v>100000</v>
      </c>
      <c r="X369" s="1">
        <v>43799</v>
      </c>
      <c r="Y369" t="s">
        <v>51</v>
      </c>
      <c r="Z369" t="s">
        <v>43</v>
      </c>
      <c r="AA369" t="s">
        <v>98</v>
      </c>
      <c r="AB369" t="s">
        <v>89</v>
      </c>
      <c r="AC369" t="s">
        <v>90</v>
      </c>
      <c r="AF369" t="s">
        <v>93</v>
      </c>
      <c r="AG369" s="1">
        <v>43843</v>
      </c>
      <c r="AH369" t="s">
        <v>85</v>
      </c>
      <c r="AI369" t="s">
        <v>92</v>
      </c>
      <c r="AJ369">
        <v>19888</v>
      </c>
      <c r="AK369">
        <v>128777</v>
      </c>
      <c r="AL369">
        <v>198882</v>
      </c>
    </row>
    <row r="370" spans="1:38" x14ac:dyDescent="0.25">
      <c r="A370" t="s">
        <v>200</v>
      </c>
      <c r="B370" t="s">
        <v>201</v>
      </c>
      <c r="C370" t="s">
        <v>71</v>
      </c>
      <c r="D370" s="1">
        <v>43280</v>
      </c>
      <c r="E370" s="1">
        <v>43644</v>
      </c>
      <c r="F370" t="s">
        <v>84</v>
      </c>
      <c r="G370">
        <v>10</v>
      </c>
      <c r="H370" t="s">
        <v>85</v>
      </c>
      <c r="I370" t="s">
        <v>43</v>
      </c>
      <c r="J370" t="s">
        <v>86</v>
      </c>
      <c r="K370" t="s">
        <v>44</v>
      </c>
      <c r="L370">
        <v>41313.599999999999</v>
      </c>
      <c r="M370" s="1">
        <v>43280</v>
      </c>
      <c r="N370" t="s">
        <v>45</v>
      </c>
      <c r="O370" t="s">
        <v>106</v>
      </c>
      <c r="P370" t="s">
        <v>47</v>
      </c>
      <c r="Q370" s="1">
        <v>43852</v>
      </c>
      <c r="R370" t="s">
        <v>48</v>
      </c>
      <c r="S370" t="s">
        <v>99</v>
      </c>
      <c r="T370" t="s">
        <v>100</v>
      </c>
      <c r="U370" t="s">
        <v>85</v>
      </c>
      <c r="V370">
        <v>210000</v>
      </c>
      <c r="W370">
        <v>35000</v>
      </c>
      <c r="X370" s="1">
        <v>43799</v>
      </c>
      <c r="Y370" t="s">
        <v>51</v>
      </c>
      <c r="Z370" t="s">
        <v>43</v>
      </c>
      <c r="AA370" t="s">
        <v>98</v>
      </c>
      <c r="AB370" t="s">
        <v>89</v>
      </c>
      <c r="AC370" t="s">
        <v>101</v>
      </c>
      <c r="AF370" t="s">
        <v>91</v>
      </c>
      <c r="AG370" s="1">
        <v>43852</v>
      </c>
      <c r="AH370" t="s">
        <v>85</v>
      </c>
      <c r="AI370" t="s">
        <v>92</v>
      </c>
      <c r="AJ370">
        <v>19888</v>
      </c>
      <c r="AK370">
        <v>128777</v>
      </c>
      <c r="AL370">
        <v>198882</v>
      </c>
    </row>
    <row r="371" spans="1:38" x14ac:dyDescent="0.25">
      <c r="A371" t="s">
        <v>200</v>
      </c>
      <c r="B371" t="s">
        <v>201</v>
      </c>
      <c r="C371" t="s">
        <v>71</v>
      </c>
      <c r="D371" s="1">
        <v>43280</v>
      </c>
      <c r="E371" s="1">
        <v>43644</v>
      </c>
      <c r="F371" t="s">
        <v>84</v>
      </c>
      <c r="G371">
        <v>10</v>
      </c>
      <c r="H371" t="s">
        <v>85</v>
      </c>
      <c r="I371" t="s">
        <v>43</v>
      </c>
      <c r="J371" t="s">
        <v>86</v>
      </c>
      <c r="K371" t="s">
        <v>44</v>
      </c>
      <c r="L371">
        <v>41313.599999999999</v>
      </c>
      <c r="M371" s="1">
        <v>43280</v>
      </c>
      <c r="N371" t="s">
        <v>45</v>
      </c>
      <c r="O371" t="s">
        <v>106</v>
      </c>
      <c r="P371" t="s">
        <v>47</v>
      </c>
      <c r="Q371" s="1">
        <v>43852</v>
      </c>
      <c r="R371" t="s">
        <v>48</v>
      </c>
      <c r="S371" t="s">
        <v>99</v>
      </c>
      <c r="T371" t="s">
        <v>100</v>
      </c>
      <c r="U371" t="s">
        <v>85</v>
      </c>
      <c r="V371">
        <v>210000</v>
      </c>
      <c r="W371">
        <v>35000</v>
      </c>
      <c r="X371" s="1">
        <v>43799</v>
      </c>
      <c r="Y371" t="s">
        <v>51</v>
      </c>
      <c r="Z371" t="s">
        <v>43</v>
      </c>
      <c r="AA371" t="s">
        <v>98</v>
      </c>
      <c r="AB371" t="s">
        <v>89</v>
      </c>
      <c r="AC371" t="s">
        <v>101</v>
      </c>
      <c r="AF371" t="s">
        <v>93</v>
      </c>
      <c r="AG371" s="1">
        <v>43843</v>
      </c>
      <c r="AH371" t="s">
        <v>85</v>
      </c>
      <c r="AI371" t="s">
        <v>92</v>
      </c>
      <c r="AJ371">
        <v>19888</v>
      </c>
      <c r="AK371">
        <v>128777</v>
      </c>
      <c r="AL371">
        <v>198882</v>
      </c>
    </row>
    <row r="372" spans="1:38" x14ac:dyDescent="0.25">
      <c r="A372" t="s">
        <v>200</v>
      </c>
      <c r="B372" t="s">
        <v>201</v>
      </c>
      <c r="C372" t="s">
        <v>71</v>
      </c>
      <c r="D372" s="1">
        <v>43280</v>
      </c>
      <c r="E372" s="1">
        <v>43644</v>
      </c>
      <c r="F372" t="s">
        <v>84</v>
      </c>
      <c r="G372">
        <v>10</v>
      </c>
      <c r="H372" t="s">
        <v>85</v>
      </c>
      <c r="I372" t="s">
        <v>43</v>
      </c>
      <c r="J372" t="s">
        <v>86</v>
      </c>
      <c r="K372" t="s">
        <v>44</v>
      </c>
      <c r="L372">
        <v>41313.599999999999</v>
      </c>
      <c r="M372" s="1">
        <v>43280</v>
      </c>
      <c r="N372" t="s">
        <v>45</v>
      </c>
      <c r="O372" t="s">
        <v>106</v>
      </c>
      <c r="P372" t="s">
        <v>47</v>
      </c>
      <c r="Q372" s="1">
        <v>43852</v>
      </c>
      <c r="R372" t="s">
        <v>48</v>
      </c>
      <c r="S372" t="s">
        <v>102</v>
      </c>
      <c r="T372" t="s">
        <v>103</v>
      </c>
      <c r="U372" t="s">
        <v>85</v>
      </c>
      <c r="V372">
        <v>5000000</v>
      </c>
      <c r="W372">
        <v>250000</v>
      </c>
      <c r="X372" s="1">
        <v>43799</v>
      </c>
      <c r="Y372" t="s">
        <v>51</v>
      </c>
      <c r="Z372" t="s">
        <v>43</v>
      </c>
      <c r="AA372" t="s">
        <v>86</v>
      </c>
      <c r="AB372" t="s">
        <v>89</v>
      </c>
      <c r="AC372" t="s">
        <v>90</v>
      </c>
      <c r="AF372" t="s">
        <v>91</v>
      </c>
      <c r="AG372" s="1">
        <v>43852</v>
      </c>
      <c r="AH372" t="s">
        <v>85</v>
      </c>
      <c r="AI372" t="s">
        <v>92</v>
      </c>
      <c r="AJ372">
        <v>19888</v>
      </c>
      <c r="AK372">
        <v>128777</v>
      </c>
      <c r="AL372">
        <v>198882</v>
      </c>
    </row>
    <row r="373" spans="1:38" x14ac:dyDescent="0.25">
      <c r="A373" t="s">
        <v>200</v>
      </c>
      <c r="B373" t="s">
        <v>201</v>
      </c>
      <c r="C373" t="s">
        <v>71</v>
      </c>
      <c r="D373" s="1">
        <v>43280</v>
      </c>
      <c r="E373" s="1">
        <v>43644</v>
      </c>
      <c r="F373" t="s">
        <v>84</v>
      </c>
      <c r="G373">
        <v>10</v>
      </c>
      <c r="H373" t="s">
        <v>85</v>
      </c>
      <c r="I373" t="s">
        <v>43</v>
      </c>
      <c r="J373" t="s">
        <v>86</v>
      </c>
      <c r="K373" t="s">
        <v>44</v>
      </c>
      <c r="L373">
        <v>41313.599999999999</v>
      </c>
      <c r="M373" s="1">
        <v>43280</v>
      </c>
      <c r="N373" t="s">
        <v>45</v>
      </c>
      <c r="O373" t="s">
        <v>106</v>
      </c>
      <c r="P373" t="s">
        <v>47</v>
      </c>
      <c r="Q373" s="1">
        <v>43852</v>
      </c>
      <c r="R373" t="s">
        <v>48</v>
      </c>
      <c r="S373" t="s">
        <v>102</v>
      </c>
      <c r="T373" t="s">
        <v>103</v>
      </c>
      <c r="U373" t="s">
        <v>85</v>
      </c>
      <c r="V373">
        <v>5000000</v>
      </c>
      <c r="W373">
        <v>250000</v>
      </c>
      <c r="X373" s="1">
        <v>43799</v>
      </c>
      <c r="Y373" t="s">
        <v>51</v>
      </c>
      <c r="Z373" t="s">
        <v>43</v>
      </c>
      <c r="AA373" t="s">
        <v>86</v>
      </c>
      <c r="AB373" t="s">
        <v>89</v>
      </c>
      <c r="AC373" t="s">
        <v>90</v>
      </c>
      <c r="AF373" t="s">
        <v>93</v>
      </c>
      <c r="AG373" s="1">
        <v>43843</v>
      </c>
      <c r="AH373" t="s">
        <v>85</v>
      </c>
      <c r="AI373" t="s">
        <v>92</v>
      </c>
      <c r="AJ373">
        <v>19888</v>
      </c>
      <c r="AK373">
        <v>128777</v>
      </c>
      <c r="AL373">
        <v>198882</v>
      </c>
    </row>
    <row r="374" spans="1:38" x14ac:dyDescent="0.25">
      <c r="A374" t="s">
        <v>202</v>
      </c>
      <c r="B374" t="s">
        <v>201</v>
      </c>
      <c r="C374" t="s">
        <v>71</v>
      </c>
      <c r="D374" s="1">
        <v>43280</v>
      </c>
      <c r="E374" s="1">
        <v>43644</v>
      </c>
      <c r="F374" t="s">
        <v>84</v>
      </c>
      <c r="G374">
        <v>10</v>
      </c>
      <c r="H374" t="s">
        <v>85</v>
      </c>
      <c r="I374" t="s">
        <v>43</v>
      </c>
      <c r="J374" t="s">
        <v>86</v>
      </c>
      <c r="K374" t="s">
        <v>44</v>
      </c>
      <c r="L374">
        <v>13134.29</v>
      </c>
      <c r="M374" s="1">
        <v>43312</v>
      </c>
      <c r="N374" t="s">
        <v>108</v>
      </c>
      <c r="O374" t="s">
        <v>106</v>
      </c>
      <c r="P374" t="s">
        <v>47</v>
      </c>
      <c r="Q374" s="1">
        <v>43852</v>
      </c>
      <c r="R374" t="s">
        <v>48</v>
      </c>
      <c r="S374" t="s">
        <v>87</v>
      </c>
      <c r="T374" t="s">
        <v>88</v>
      </c>
      <c r="U374" t="s">
        <v>85</v>
      </c>
      <c r="V374">
        <v>1400000</v>
      </c>
      <c r="W374">
        <v>100000</v>
      </c>
      <c r="X374" s="1">
        <v>43808</v>
      </c>
      <c r="Y374" t="s">
        <v>51</v>
      </c>
      <c r="Z374" t="s">
        <v>43</v>
      </c>
      <c r="AA374" t="s">
        <v>86</v>
      </c>
      <c r="AB374" t="s">
        <v>89</v>
      </c>
      <c r="AC374" t="s">
        <v>90</v>
      </c>
      <c r="AF374" t="s">
        <v>91</v>
      </c>
      <c r="AG374" s="1">
        <v>43852</v>
      </c>
      <c r="AH374" t="s">
        <v>85</v>
      </c>
      <c r="AI374" t="s">
        <v>92</v>
      </c>
      <c r="AJ374">
        <v>19888</v>
      </c>
      <c r="AK374">
        <v>128777</v>
      </c>
      <c r="AL374">
        <v>198882</v>
      </c>
    </row>
    <row r="375" spans="1:38" x14ac:dyDescent="0.25">
      <c r="A375" t="s">
        <v>202</v>
      </c>
      <c r="B375" t="s">
        <v>201</v>
      </c>
      <c r="C375" t="s">
        <v>71</v>
      </c>
      <c r="D375" s="1">
        <v>43280</v>
      </c>
      <c r="E375" s="1">
        <v>43644</v>
      </c>
      <c r="F375" t="s">
        <v>84</v>
      </c>
      <c r="G375">
        <v>10</v>
      </c>
      <c r="H375" t="s">
        <v>85</v>
      </c>
      <c r="I375" t="s">
        <v>43</v>
      </c>
      <c r="J375" t="s">
        <v>86</v>
      </c>
      <c r="K375" t="s">
        <v>44</v>
      </c>
      <c r="L375">
        <v>13134.29</v>
      </c>
      <c r="M375" s="1">
        <v>43312</v>
      </c>
      <c r="N375" t="s">
        <v>108</v>
      </c>
      <c r="O375" t="s">
        <v>106</v>
      </c>
      <c r="P375" t="s">
        <v>47</v>
      </c>
      <c r="Q375" s="1">
        <v>43852</v>
      </c>
      <c r="R375" t="s">
        <v>48</v>
      </c>
      <c r="S375" t="s">
        <v>87</v>
      </c>
      <c r="T375" t="s">
        <v>88</v>
      </c>
      <c r="U375" t="s">
        <v>85</v>
      </c>
      <c r="V375">
        <v>1400000</v>
      </c>
      <c r="W375">
        <v>100000</v>
      </c>
      <c r="X375" s="1">
        <v>43808</v>
      </c>
      <c r="Y375" t="s">
        <v>51</v>
      </c>
      <c r="Z375" t="s">
        <v>43</v>
      </c>
      <c r="AA375" t="s">
        <v>86</v>
      </c>
      <c r="AB375" t="s">
        <v>89</v>
      </c>
      <c r="AC375" t="s">
        <v>90</v>
      </c>
      <c r="AF375" t="s">
        <v>93</v>
      </c>
      <c r="AG375" s="1">
        <v>43843</v>
      </c>
      <c r="AH375" t="s">
        <v>85</v>
      </c>
      <c r="AI375" t="s">
        <v>92</v>
      </c>
      <c r="AJ375">
        <v>19888</v>
      </c>
      <c r="AK375">
        <v>128777</v>
      </c>
      <c r="AL375">
        <v>198882</v>
      </c>
    </row>
    <row r="376" spans="1:38" x14ac:dyDescent="0.25">
      <c r="A376" t="s">
        <v>202</v>
      </c>
      <c r="B376" t="s">
        <v>201</v>
      </c>
      <c r="C376" t="s">
        <v>71</v>
      </c>
      <c r="D376" s="1">
        <v>43280</v>
      </c>
      <c r="E376" s="1">
        <v>43644</v>
      </c>
      <c r="F376" t="s">
        <v>84</v>
      </c>
      <c r="G376">
        <v>10</v>
      </c>
      <c r="H376" t="s">
        <v>85</v>
      </c>
      <c r="I376" t="s">
        <v>43</v>
      </c>
      <c r="J376" t="s">
        <v>86</v>
      </c>
      <c r="K376" t="s">
        <v>44</v>
      </c>
      <c r="L376">
        <v>13134.29</v>
      </c>
      <c r="M376" s="1">
        <v>43312</v>
      </c>
      <c r="N376" t="s">
        <v>108</v>
      </c>
      <c r="O376" t="s">
        <v>106</v>
      </c>
      <c r="P376" t="s">
        <v>47</v>
      </c>
      <c r="Q376" s="1">
        <v>43852</v>
      </c>
      <c r="R376" t="s">
        <v>48</v>
      </c>
      <c r="S376" t="s">
        <v>94</v>
      </c>
      <c r="T376" t="s">
        <v>95</v>
      </c>
      <c r="U376" t="s">
        <v>85</v>
      </c>
      <c r="V376">
        <v>4500000</v>
      </c>
      <c r="W376">
        <v>300000</v>
      </c>
      <c r="X376" s="1">
        <v>43767</v>
      </c>
      <c r="Y376" t="s">
        <v>51</v>
      </c>
      <c r="Z376" t="s">
        <v>43</v>
      </c>
      <c r="AA376" t="s">
        <v>86</v>
      </c>
      <c r="AB376" t="s">
        <v>89</v>
      </c>
      <c r="AC376" t="s">
        <v>90</v>
      </c>
      <c r="AF376" t="s">
        <v>91</v>
      </c>
      <c r="AG376" s="1">
        <v>43852</v>
      </c>
      <c r="AH376" t="s">
        <v>85</v>
      </c>
      <c r="AI376" t="s">
        <v>92</v>
      </c>
      <c r="AJ376">
        <v>19888</v>
      </c>
      <c r="AK376">
        <v>128777</v>
      </c>
      <c r="AL376">
        <v>198882</v>
      </c>
    </row>
    <row r="377" spans="1:38" x14ac:dyDescent="0.25">
      <c r="A377" t="s">
        <v>202</v>
      </c>
      <c r="B377" t="s">
        <v>201</v>
      </c>
      <c r="C377" t="s">
        <v>71</v>
      </c>
      <c r="D377" s="1">
        <v>43280</v>
      </c>
      <c r="E377" s="1">
        <v>43644</v>
      </c>
      <c r="F377" t="s">
        <v>84</v>
      </c>
      <c r="G377">
        <v>10</v>
      </c>
      <c r="H377" t="s">
        <v>85</v>
      </c>
      <c r="I377" t="s">
        <v>43</v>
      </c>
      <c r="J377" t="s">
        <v>86</v>
      </c>
      <c r="K377" t="s">
        <v>44</v>
      </c>
      <c r="L377">
        <v>13134.29</v>
      </c>
      <c r="M377" s="1">
        <v>43312</v>
      </c>
      <c r="N377" t="s">
        <v>108</v>
      </c>
      <c r="O377" t="s">
        <v>106</v>
      </c>
      <c r="P377" t="s">
        <v>47</v>
      </c>
      <c r="Q377" s="1">
        <v>43852</v>
      </c>
      <c r="R377" t="s">
        <v>48</v>
      </c>
      <c r="S377" t="s">
        <v>94</v>
      </c>
      <c r="T377" t="s">
        <v>95</v>
      </c>
      <c r="U377" t="s">
        <v>85</v>
      </c>
      <c r="V377">
        <v>4500000</v>
      </c>
      <c r="W377">
        <v>300000</v>
      </c>
      <c r="X377" s="1">
        <v>43767</v>
      </c>
      <c r="Y377" t="s">
        <v>51</v>
      </c>
      <c r="Z377" t="s">
        <v>43</v>
      </c>
      <c r="AA377" t="s">
        <v>86</v>
      </c>
      <c r="AB377" t="s">
        <v>89</v>
      </c>
      <c r="AC377" t="s">
        <v>90</v>
      </c>
      <c r="AF377" t="s">
        <v>93</v>
      </c>
      <c r="AG377" s="1">
        <v>43843</v>
      </c>
      <c r="AH377" t="s">
        <v>85</v>
      </c>
      <c r="AI377" t="s">
        <v>92</v>
      </c>
      <c r="AJ377">
        <v>19888</v>
      </c>
      <c r="AK377">
        <v>128777</v>
      </c>
      <c r="AL377">
        <v>198882</v>
      </c>
    </row>
    <row r="378" spans="1:38" x14ac:dyDescent="0.25">
      <c r="A378" t="s">
        <v>202</v>
      </c>
      <c r="B378" t="s">
        <v>201</v>
      </c>
      <c r="C378" t="s">
        <v>71</v>
      </c>
      <c r="D378" s="1">
        <v>43280</v>
      </c>
      <c r="E378" s="1">
        <v>43644</v>
      </c>
      <c r="F378" t="s">
        <v>84</v>
      </c>
      <c r="G378">
        <v>10</v>
      </c>
      <c r="H378" t="s">
        <v>85</v>
      </c>
      <c r="I378" t="s">
        <v>43</v>
      </c>
      <c r="J378" t="s">
        <v>86</v>
      </c>
      <c r="K378" t="s">
        <v>44</v>
      </c>
      <c r="L378">
        <v>13134.29</v>
      </c>
      <c r="M378" s="1">
        <v>43312</v>
      </c>
      <c r="N378" t="s">
        <v>108</v>
      </c>
      <c r="O378" t="s">
        <v>106</v>
      </c>
      <c r="P378" t="s">
        <v>47</v>
      </c>
      <c r="Q378" s="1">
        <v>43852</v>
      </c>
      <c r="R378" t="s">
        <v>48</v>
      </c>
      <c r="S378" t="s">
        <v>96</v>
      </c>
      <c r="T378" t="s">
        <v>97</v>
      </c>
      <c r="U378" t="s">
        <v>85</v>
      </c>
      <c r="V378">
        <v>600000</v>
      </c>
      <c r="W378">
        <v>100000</v>
      </c>
      <c r="X378" s="1">
        <v>43799</v>
      </c>
      <c r="Y378" t="s">
        <v>51</v>
      </c>
      <c r="Z378" t="s">
        <v>43</v>
      </c>
      <c r="AA378" t="s">
        <v>98</v>
      </c>
      <c r="AB378" t="s">
        <v>89</v>
      </c>
      <c r="AC378" t="s">
        <v>90</v>
      </c>
      <c r="AF378" t="s">
        <v>91</v>
      </c>
      <c r="AG378" s="1">
        <v>43852</v>
      </c>
      <c r="AH378" t="s">
        <v>85</v>
      </c>
      <c r="AI378" t="s">
        <v>92</v>
      </c>
      <c r="AJ378">
        <v>19888</v>
      </c>
      <c r="AK378">
        <v>128777</v>
      </c>
      <c r="AL378">
        <v>198882</v>
      </c>
    </row>
    <row r="379" spans="1:38" x14ac:dyDescent="0.25">
      <c r="A379" t="s">
        <v>202</v>
      </c>
      <c r="B379" t="s">
        <v>201</v>
      </c>
      <c r="C379" t="s">
        <v>71</v>
      </c>
      <c r="D379" s="1">
        <v>43280</v>
      </c>
      <c r="E379" s="1">
        <v>43644</v>
      </c>
      <c r="F379" t="s">
        <v>84</v>
      </c>
      <c r="G379">
        <v>10</v>
      </c>
      <c r="H379" t="s">
        <v>85</v>
      </c>
      <c r="I379" t="s">
        <v>43</v>
      </c>
      <c r="J379" t="s">
        <v>86</v>
      </c>
      <c r="K379" t="s">
        <v>44</v>
      </c>
      <c r="L379">
        <v>13134.29</v>
      </c>
      <c r="M379" s="1">
        <v>43312</v>
      </c>
      <c r="N379" t="s">
        <v>108</v>
      </c>
      <c r="O379" t="s">
        <v>106</v>
      </c>
      <c r="P379" t="s">
        <v>47</v>
      </c>
      <c r="Q379" s="1">
        <v>43852</v>
      </c>
      <c r="R379" t="s">
        <v>48</v>
      </c>
      <c r="S379" t="s">
        <v>96</v>
      </c>
      <c r="T379" t="s">
        <v>97</v>
      </c>
      <c r="U379" t="s">
        <v>85</v>
      </c>
      <c r="V379">
        <v>600000</v>
      </c>
      <c r="W379">
        <v>100000</v>
      </c>
      <c r="X379" s="1">
        <v>43799</v>
      </c>
      <c r="Y379" t="s">
        <v>51</v>
      </c>
      <c r="Z379" t="s">
        <v>43</v>
      </c>
      <c r="AA379" t="s">
        <v>98</v>
      </c>
      <c r="AB379" t="s">
        <v>89</v>
      </c>
      <c r="AC379" t="s">
        <v>90</v>
      </c>
      <c r="AF379" t="s">
        <v>93</v>
      </c>
      <c r="AG379" s="1">
        <v>43843</v>
      </c>
      <c r="AH379" t="s">
        <v>85</v>
      </c>
      <c r="AI379" t="s">
        <v>92</v>
      </c>
      <c r="AJ379">
        <v>19888</v>
      </c>
      <c r="AK379">
        <v>128777</v>
      </c>
      <c r="AL379">
        <v>198882</v>
      </c>
    </row>
    <row r="380" spans="1:38" x14ac:dyDescent="0.25">
      <c r="A380" t="s">
        <v>202</v>
      </c>
      <c r="B380" t="s">
        <v>201</v>
      </c>
      <c r="C380" t="s">
        <v>71</v>
      </c>
      <c r="D380" s="1">
        <v>43280</v>
      </c>
      <c r="E380" s="1">
        <v>43644</v>
      </c>
      <c r="F380" t="s">
        <v>84</v>
      </c>
      <c r="G380">
        <v>10</v>
      </c>
      <c r="H380" t="s">
        <v>85</v>
      </c>
      <c r="I380" t="s">
        <v>43</v>
      </c>
      <c r="J380" t="s">
        <v>86</v>
      </c>
      <c r="K380" t="s">
        <v>44</v>
      </c>
      <c r="L380">
        <v>13134.29</v>
      </c>
      <c r="M380" s="1">
        <v>43312</v>
      </c>
      <c r="N380" t="s">
        <v>108</v>
      </c>
      <c r="O380" t="s">
        <v>106</v>
      </c>
      <c r="P380" t="s">
        <v>47</v>
      </c>
      <c r="Q380" s="1">
        <v>43852</v>
      </c>
      <c r="R380" t="s">
        <v>48</v>
      </c>
      <c r="S380" t="s">
        <v>99</v>
      </c>
      <c r="T380" t="s">
        <v>100</v>
      </c>
      <c r="U380" t="s">
        <v>85</v>
      </c>
      <c r="V380">
        <v>210000</v>
      </c>
      <c r="W380">
        <v>35000</v>
      </c>
      <c r="X380" s="1">
        <v>43799</v>
      </c>
      <c r="Y380" t="s">
        <v>51</v>
      </c>
      <c r="Z380" t="s">
        <v>43</v>
      </c>
      <c r="AA380" t="s">
        <v>98</v>
      </c>
      <c r="AB380" t="s">
        <v>89</v>
      </c>
      <c r="AC380" t="s">
        <v>101</v>
      </c>
      <c r="AF380" t="s">
        <v>91</v>
      </c>
      <c r="AG380" s="1">
        <v>43852</v>
      </c>
      <c r="AH380" t="s">
        <v>85</v>
      </c>
      <c r="AI380" t="s">
        <v>92</v>
      </c>
      <c r="AJ380">
        <v>19888</v>
      </c>
      <c r="AK380">
        <v>128777</v>
      </c>
      <c r="AL380">
        <v>198882</v>
      </c>
    </row>
    <row r="381" spans="1:38" x14ac:dyDescent="0.25">
      <c r="A381" t="s">
        <v>202</v>
      </c>
      <c r="B381" t="s">
        <v>201</v>
      </c>
      <c r="C381" t="s">
        <v>71</v>
      </c>
      <c r="D381" s="1">
        <v>43280</v>
      </c>
      <c r="E381" s="1">
        <v>43644</v>
      </c>
      <c r="F381" t="s">
        <v>84</v>
      </c>
      <c r="G381">
        <v>10</v>
      </c>
      <c r="H381" t="s">
        <v>85</v>
      </c>
      <c r="I381" t="s">
        <v>43</v>
      </c>
      <c r="J381" t="s">
        <v>86</v>
      </c>
      <c r="K381" t="s">
        <v>44</v>
      </c>
      <c r="L381">
        <v>13134.29</v>
      </c>
      <c r="M381" s="1">
        <v>43312</v>
      </c>
      <c r="N381" t="s">
        <v>108</v>
      </c>
      <c r="O381" t="s">
        <v>106</v>
      </c>
      <c r="P381" t="s">
        <v>47</v>
      </c>
      <c r="Q381" s="1">
        <v>43852</v>
      </c>
      <c r="R381" t="s">
        <v>48</v>
      </c>
      <c r="S381" t="s">
        <v>99</v>
      </c>
      <c r="T381" t="s">
        <v>100</v>
      </c>
      <c r="U381" t="s">
        <v>85</v>
      </c>
      <c r="V381">
        <v>210000</v>
      </c>
      <c r="W381">
        <v>35000</v>
      </c>
      <c r="X381" s="1">
        <v>43799</v>
      </c>
      <c r="Y381" t="s">
        <v>51</v>
      </c>
      <c r="Z381" t="s">
        <v>43</v>
      </c>
      <c r="AA381" t="s">
        <v>98</v>
      </c>
      <c r="AB381" t="s">
        <v>89</v>
      </c>
      <c r="AC381" t="s">
        <v>101</v>
      </c>
      <c r="AF381" t="s">
        <v>93</v>
      </c>
      <c r="AG381" s="1">
        <v>43843</v>
      </c>
      <c r="AH381" t="s">
        <v>85</v>
      </c>
      <c r="AI381" t="s">
        <v>92</v>
      </c>
      <c r="AJ381">
        <v>19888</v>
      </c>
      <c r="AK381">
        <v>128777</v>
      </c>
      <c r="AL381">
        <v>198882</v>
      </c>
    </row>
    <row r="382" spans="1:38" x14ac:dyDescent="0.25">
      <c r="A382" t="s">
        <v>202</v>
      </c>
      <c r="B382" t="s">
        <v>201</v>
      </c>
      <c r="C382" t="s">
        <v>71</v>
      </c>
      <c r="D382" s="1">
        <v>43280</v>
      </c>
      <c r="E382" s="1">
        <v>43644</v>
      </c>
      <c r="F382" t="s">
        <v>84</v>
      </c>
      <c r="G382">
        <v>10</v>
      </c>
      <c r="H382" t="s">
        <v>85</v>
      </c>
      <c r="I382" t="s">
        <v>43</v>
      </c>
      <c r="J382" t="s">
        <v>86</v>
      </c>
      <c r="K382" t="s">
        <v>44</v>
      </c>
      <c r="L382">
        <v>13134.29</v>
      </c>
      <c r="M382" s="1">
        <v>43312</v>
      </c>
      <c r="N382" t="s">
        <v>108</v>
      </c>
      <c r="O382" t="s">
        <v>106</v>
      </c>
      <c r="P382" t="s">
        <v>47</v>
      </c>
      <c r="Q382" s="1">
        <v>43852</v>
      </c>
      <c r="R382" t="s">
        <v>48</v>
      </c>
      <c r="S382" t="s">
        <v>102</v>
      </c>
      <c r="T382" t="s">
        <v>103</v>
      </c>
      <c r="U382" t="s">
        <v>85</v>
      </c>
      <c r="V382">
        <v>5000000</v>
      </c>
      <c r="W382">
        <v>250000</v>
      </c>
      <c r="X382" s="1">
        <v>43799</v>
      </c>
      <c r="Y382" t="s">
        <v>51</v>
      </c>
      <c r="Z382" t="s">
        <v>43</v>
      </c>
      <c r="AA382" t="s">
        <v>86</v>
      </c>
      <c r="AB382" t="s">
        <v>89</v>
      </c>
      <c r="AC382" t="s">
        <v>90</v>
      </c>
      <c r="AF382" t="s">
        <v>91</v>
      </c>
      <c r="AG382" s="1">
        <v>43852</v>
      </c>
      <c r="AH382" t="s">
        <v>85</v>
      </c>
      <c r="AI382" t="s">
        <v>92</v>
      </c>
      <c r="AJ382">
        <v>19888</v>
      </c>
      <c r="AK382">
        <v>128777</v>
      </c>
      <c r="AL382">
        <v>198882</v>
      </c>
    </row>
    <row r="383" spans="1:38" x14ac:dyDescent="0.25">
      <c r="A383" t="s">
        <v>202</v>
      </c>
      <c r="B383" t="s">
        <v>201</v>
      </c>
      <c r="C383" t="s">
        <v>71</v>
      </c>
      <c r="D383" s="1">
        <v>43280</v>
      </c>
      <c r="E383" s="1">
        <v>43644</v>
      </c>
      <c r="F383" t="s">
        <v>84</v>
      </c>
      <c r="G383">
        <v>10</v>
      </c>
      <c r="H383" t="s">
        <v>85</v>
      </c>
      <c r="I383" t="s">
        <v>43</v>
      </c>
      <c r="J383" t="s">
        <v>86</v>
      </c>
      <c r="K383" t="s">
        <v>44</v>
      </c>
      <c r="L383">
        <v>13134.29</v>
      </c>
      <c r="M383" s="1">
        <v>43312</v>
      </c>
      <c r="N383" t="s">
        <v>108</v>
      </c>
      <c r="O383" t="s">
        <v>106</v>
      </c>
      <c r="P383" t="s">
        <v>47</v>
      </c>
      <c r="Q383" s="1">
        <v>43852</v>
      </c>
      <c r="R383" t="s">
        <v>48</v>
      </c>
      <c r="S383" t="s">
        <v>102</v>
      </c>
      <c r="T383" t="s">
        <v>103</v>
      </c>
      <c r="U383" t="s">
        <v>85</v>
      </c>
      <c r="V383">
        <v>5000000</v>
      </c>
      <c r="W383">
        <v>250000</v>
      </c>
      <c r="X383" s="1">
        <v>43799</v>
      </c>
      <c r="Y383" t="s">
        <v>51</v>
      </c>
      <c r="Z383" t="s">
        <v>43</v>
      </c>
      <c r="AA383" t="s">
        <v>86</v>
      </c>
      <c r="AB383" t="s">
        <v>89</v>
      </c>
      <c r="AC383" t="s">
        <v>90</v>
      </c>
      <c r="AF383" t="s">
        <v>93</v>
      </c>
      <c r="AG383" s="1">
        <v>43843</v>
      </c>
      <c r="AH383" t="s">
        <v>85</v>
      </c>
      <c r="AI383" t="s">
        <v>92</v>
      </c>
      <c r="AJ383">
        <v>19888</v>
      </c>
      <c r="AK383">
        <v>128777</v>
      </c>
      <c r="AL383">
        <v>198882</v>
      </c>
    </row>
    <row r="384" spans="1:38" x14ac:dyDescent="0.25">
      <c r="A384" t="s">
        <v>203</v>
      </c>
      <c r="B384" t="s">
        <v>204</v>
      </c>
      <c r="C384" t="s">
        <v>40</v>
      </c>
      <c r="D384" s="1">
        <v>43645</v>
      </c>
      <c r="E384" s="1">
        <v>44010</v>
      </c>
      <c r="F384" t="s">
        <v>84</v>
      </c>
      <c r="G384">
        <v>10</v>
      </c>
      <c r="H384" t="s">
        <v>85</v>
      </c>
      <c r="I384" t="s">
        <v>43</v>
      </c>
      <c r="J384" t="s">
        <v>86</v>
      </c>
      <c r="K384" t="s">
        <v>44</v>
      </c>
      <c r="L384">
        <v>74672.78</v>
      </c>
      <c r="M384" s="1">
        <v>43645</v>
      </c>
      <c r="N384" t="s">
        <v>45</v>
      </c>
      <c r="O384" t="s">
        <v>44</v>
      </c>
      <c r="P384" t="s">
        <v>47</v>
      </c>
      <c r="Q384" s="1">
        <v>43852</v>
      </c>
      <c r="R384" t="s">
        <v>48</v>
      </c>
      <c r="S384" t="s">
        <v>87</v>
      </c>
      <c r="T384" t="s">
        <v>88</v>
      </c>
      <c r="U384" t="s">
        <v>85</v>
      </c>
      <c r="V384">
        <v>1400000</v>
      </c>
      <c r="W384">
        <v>100000</v>
      </c>
      <c r="X384" s="1">
        <v>43808</v>
      </c>
      <c r="Y384" t="s">
        <v>51</v>
      </c>
      <c r="Z384" t="s">
        <v>43</v>
      </c>
      <c r="AA384" t="s">
        <v>86</v>
      </c>
      <c r="AB384" t="s">
        <v>89</v>
      </c>
      <c r="AC384" t="s">
        <v>90</v>
      </c>
      <c r="AF384" t="s">
        <v>91</v>
      </c>
      <c r="AG384" s="1">
        <v>43852</v>
      </c>
      <c r="AH384" t="s">
        <v>85</v>
      </c>
      <c r="AI384" t="s">
        <v>92</v>
      </c>
      <c r="AJ384">
        <v>19888</v>
      </c>
      <c r="AK384">
        <v>128777</v>
      </c>
      <c r="AL384">
        <v>198882</v>
      </c>
    </row>
    <row r="385" spans="1:38" x14ac:dyDescent="0.25">
      <c r="A385" t="s">
        <v>203</v>
      </c>
      <c r="B385" t="s">
        <v>204</v>
      </c>
      <c r="C385" t="s">
        <v>40</v>
      </c>
      <c r="D385" s="1">
        <v>43645</v>
      </c>
      <c r="E385" s="1">
        <v>44010</v>
      </c>
      <c r="F385" t="s">
        <v>84</v>
      </c>
      <c r="G385">
        <v>10</v>
      </c>
      <c r="H385" t="s">
        <v>85</v>
      </c>
      <c r="I385" t="s">
        <v>43</v>
      </c>
      <c r="J385" t="s">
        <v>86</v>
      </c>
      <c r="K385" t="s">
        <v>44</v>
      </c>
      <c r="L385">
        <v>74672.78</v>
      </c>
      <c r="M385" s="1">
        <v>43645</v>
      </c>
      <c r="N385" t="s">
        <v>45</v>
      </c>
      <c r="O385" t="s">
        <v>44</v>
      </c>
      <c r="P385" t="s">
        <v>47</v>
      </c>
      <c r="Q385" s="1">
        <v>43852</v>
      </c>
      <c r="R385" t="s">
        <v>48</v>
      </c>
      <c r="S385" t="s">
        <v>87</v>
      </c>
      <c r="T385" t="s">
        <v>88</v>
      </c>
      <c r="U385" t="s">
        <v>85</v>
      </c>
      <c r="V385">
        <v>1400000</v>
      </c>
      <c r="W385">
        <v>100000</v>
      </c>
      <c r="X385" s="1">
        <v>43808</v>
      </c>
      <c r="Y385" t="s">
        <v>51</v>
      </c>
      <c r="Z385" t="s">
        <v>43</v>
      </c>
      <c r="AA385" t="s">
        <v>86</v>
      </c>
      <c r="AB385" t="s">
        <v>89</v>
      </c>
      <c r="AC385" t="s">
        <v>90</v>
      </c>
      <c r="AF385" t="s">
        <v>93</v>
      </c>
      <c r="AG385" s="1">
        <v>43843</v>
      </c>
      <c r="AH385" t="s">
        <v>85</v>
      </c>
      <c r="AI385" t="s">
        <v>92</v>
      </c>
      <c r="AJ385">
        <v>19888</v>
      </c>
      <c r="AK385">
        <v>128777</v>
      </c>
      <c r="AL385">
        <v>198882</v>
      </c>
    </row>
    <row r="386" spans="1:38" x14ac:dyDescent="0.25">
      <c r="A386" t="s">
        <v>203</v>
      </c>
      <c r="B386" t="s">
        <v>204</v>
      </c>
      <c r="C386" t="s">
        <v>40</v>
      </c>
      <c r="D386" s="1">
        <v>43645</v>
      </c>
      <c r="E386" s="1">
        <v>44010</v>
      </c>
      <c r="F386" t="s">
        <v>84</v>
      </c>
      <c r="G386">
        <v>10</v>
      </c>
      <c r="H386" t="s">
        <v>85</v>
      </c>
      <c r="I386" t="s">
        <v>43</v>
      </c>
      <c r="J386" t="s">
        <v>86</v>
      </c>
      <c r="K386" t="s">
        <v>44</v>
      </c>
      <c r="L386">
        <v>74672.78</v>
      </c>
      <c r="M386" s="1">
        <v>43645</v>
      </c>
      <c r="N386" t="s">
        <v>45</v>
      </c>
      <c r="O386" t="s">
        <v>44</v>
      </c>
      <c r="P386" t="s">
        <v>47</v>
      </c>
      <c r="Q386" s="1">
        <v>43852</v>
      </c>
      <c r="R386" t="s">
        <v>48</v>
      </c>
      <c r="S386" t="s">
        <v>94</v>
      </c>
      <c r="T386" t="s">
        <v>95</v>
      </c>
      <c r="U386" t="s">
        <v>85</v>
      </c>
      <c r="V386">
        <v>4500000</v>
      </c>
      <c r="W386">
        <v>300000</v>
      </c>
      <c r="X386" s="1">
        <v>43767</v>
      </c>
      <c r="Y386" t="s">
        <v>51</v>
      </c>
      <c r="Z386" t="s">
        <v>43</v>
      </c>
      <c r="AA386" t="s">
        <v>86</v>
      </c>
      <c r="AB386" t="s">
        <v>89</v>
      </c>
      <c r="AC386" t="s">
        <v>90</v>
      </c>
      <c r="AF386" t="s">
        <v>91</v>
      </c>
      <c r="AG386" s="1">
        <v>43852</v>
      </c>
      <c r="AH386" t="s">
        <v>85</v>
      </c>
      <c r="AI386" t="s">
        <v>92</v>
      </c>
      <c r="AJ386">
        <v>19888</v>
      </c>
      <c r="AK386">
        <v>128777</v>
      </c>
      <c r="AL386">
        <v>198882</v>
      </c>
    </row>
    <row r="387" spans="1:38" x14ac:dyDescent="0.25">
      <c r="A387" t="s">
        <v>203</v>
      </c>
      <c r="B387" t="s">
        <v>204</v>
      </c>
      <c r="C387" t="s">
        <v>40</v>
      </c>
      <c r="D387" s="1">
        <v>43645</v>
      </c>
      <c r="E387" s="1">
        <v>44010</v>
      </c>
      <c r="F387" t="s">
        <v>84</v>
      </c>
      <c r="G387">
        <v>10</v>
      </c>
      <c r="H387" t="s">
        <v>85</v>
      </c>
      <c r="I387" t="s">
        <v>43</v>
      </c>
      <c r="J387" t="s">
        <v>86</v>
      </c>
      <c r="K387" t="s">
        <v>44</v>
      </c>
      <c r="L387">
        <v>74672.78</v>
      </c>
      <c r="M387" s="1">
        <v>43645</v>
      </c>
      <c r="N387" t="s">
        <v>45</v>
      </c>
      <c r="O387" t="s">
        <v>44</v>
      </c>
      <c r="P387" t="s">
        <v>47</v>
      </c>
      <c r="Q387" s="1">
        <v>43852</v>
      </c>
      <c r="R387" t="s">
        <v>48</v>
      </c>
      <c r="S387" t="s">
        <v>94</v>
      </c>
      <c r="T387" t="s">
        <v>95</v>
      </c>
      <c r="U387" t="s">
        <v>85</v>
      </c>
      <c r="V387">
        <v>4500000</v>
      </c>
      <c r="W387">
        <v>300000</v>
      </c>
      <c r="X387" s="1">
        <v>43767</v>
      </c>
      <c r="Y387" t="s">
        <v>51</v>
      </c>
      <c r="Z387" t="s">
        <v>43</v>
      </c>
      <c r="AA387" t="s">
        <v>86</v>
      </c>
      <c r="AB387" t="s">
        <v>89</v>
      </c>
      <c r="AC387" t="s">
        <v>90</v>
      </c>
      <c r="AF387" t="s">
        <v>93</v>
      </c>
      <c r="AG387" s="1">
        <v>43843</v>
      </c>
      <c r="AH387" t="s">
        <v>85</v>
      </c>
      <c r="AI387" t="s">
        <v>92</v>
      </c>
      <c r="AJ387">
        <v>19888</v>
      </c>
      <c r="AK387">
        <v>128777</v>
      </c>
      <c r="AL387">
        <v>198882</v>
      </c>
    </row>
    <row r="388" spans="1:38" x14ac:dyDescent="0.25">
      <c r="A388" t="s">
        <v>203</v>
      </c>
      <c r="B388" t="s">
        <v>204</v>
      </c>
      <c r="C388" t="s">
        <v>40</v>
      </c>
      <c r="D388" s="1">
        <v>43645</v>
      </c>
      <c r="E388" s="1">
        <v>44010</v>
      </c>
      <c r="F388" t="s">
        <v>84</v>
      </c>
      <c r="G388">
        <v>10</v>
      </c>
      <c r="H388" t="s">
        <v>85</v>
      </c>
      <c r="I388" t="s">
        <v>43</v>
      </c>
      <c r="J388" t="s">
        <v>86</v>
      </c>
      <c r="K388" t="s">
        <v>44</v>
      </c>
      <c r="L388">
        <v>74672.78</v>
      </c>
      <c r="M388" s="1">
        <v>43645</v>
      </c>
      <c r="N388" t="s">
        <v>45</v>
      </c>
      <c r="O388" t="s">
        <v>44</v>
      </c>
      <c r="P388" t="s">
        <v>47</v>
      </c>
      <c r="Q388" s="1">
        <v>43852</v>
      </c>
      <c r="R388" t="s">
        <v>48</v>
      </c>
      <c r="S388" t="s">
        <v>96</v>
      </c>
      <c r="T388" t="s">
        <v>97</v>
      </c>
      <c r="U388" t="s">
        <v>85</v>
      </c>
      <c r="V388">
        <v>600000</v>
      </c>
      <c r="W388">
        <v>100000</v>
      </c>
      <c r="X388" s="1">
        <v>43799</v>
      </c>
      <c r="Y388" t="s">
        <v>51</v>
      </c>
      <c r="Z388" t="s">
        <v>43</v>
      </c>
      <c r="AA388" t="s">
        <v>98</v>
      </c>
      <c r="AB388" t="s">
        <v>89</v>
      </c>
      <c r="AC388" t="s">
        <v>90</v>
      </c>
      <c r="AF388" t="s">
        <v>91</v>
      </c>
      <c r="AG388" s="1">
        <v>43852</v>
      </c>
      <c r="AH388" t="s">
        <v>85</v>
      </c>
      <c r="AI388" t="s">
        <v>92</v>
      </c>
      <c r="AJ388">
        <v>19888</v>
      </c>
      <c r="AK388">
        <v>128777</v>
      </c>
      <c r="AL388">
        <v>198882</v>
      </c>
    </row>
    <row r="389" spans="1:38" x14ac:dyDescent="0.25">
      <c r="A389" t="s">
        <v>203</v>
      </c>
      <c r="B389" t="s">
        <v>204</v>
      </c>
      <c r="C389" t="s">
        <v>40</v>
      </c>
      <c r="D389" s="1">
        <v>43645</v>
      </c>
      <c r="E389" s="1">
        <v>44010</v>
      </c>
      <c r="F389" t="s">
        <v>84</v>
      </c>
      <c r="G389">
        <v>10</v>
      </c>
      <c r="H389" t="s">
        <v>85</v>
      </c>
      <c r="I389" t="s">
        <v>43</v>
      </c>
      <c r="J389" t="s">
        <v>86</v>
      </c>
      <c r="K389" t="s">
        <v>44</v>
      </c>
      <c r="L389">
        <v>74672.78</v>
      </c>
      <c r="M389" s="1">
        <v>43645</v>
      </c>
      <c r="N389" t="s">
        <v>45</v>
      </c>
      <c r="O389" t="s">
        <v>44</v>
      </c>
      <c r="P389" t="s">
        <v>47</v>
      </c>
      <c r="Q389" s="1">
        <v>43852</v>
      </c>
      <c r="R389" t="s">
        <v>48</v>
      </c>
      <c r="S389" t="s">
        <v>96</v>
      </c>
      <c r="T389" t="s">
        <v>97</v>
      </c>
      <c r="U389" t="s">
        <v>85</v>
      </c>
      <c r="V389">
        <v>600000</v>
      </c>
      <c r="W389">
        <v>100000</v>
      </c>
      <c r="X389" s="1">
        <v>43799</v>
      </c>
      <c r="Y389" t="s">
        <v>51</v>
      </c>
      <c r="Z389" t="s">
        <v>43</v>
      </c>
      <c r="AA389" t="s">
        <v>98</v>
      </c>
      <c r="AB389" t="s">
        <v>89</v>
      </c>
      <c r="AC389" t="s">
        <v>90</v>
      </c>
      <c r="AF389" t="s">
        <v>93</v>
      </c>
      <c r="AG389" s="1">
        <v>43843</v>
      </c>
      <c r="AH389" t="s">
        <v>85</v>
      </c>
      <c r="AI389" t="s">
        <v>92</v>
      </c>
      <c r="AJ389">
        <v>19888</v>
      </c>
      <c r="AK389">
        <v>128777</v>
      </c>
      <c r="AL389">
        <v>198882</v>
      </c>
    </row>
    <row r="390" spans="1:38" x14ac:dyDescent="0.25">
      <c r="A390" t="s">
        <v>203</v>
      </c>
      <c r="B390" t="s">
        <v>204</v>
      </c>
      <c r="C390" t="s">
        <v>40</v>
      </c>
      <c r="D390" s="1">
        <v>43645</v>
      </c>
      <c r="E390" s="1">
        <v>44010</v>
      </c>
      <c r="F390" t="s">
        <v>84</v>
      </c>
      <c r="G390">
        <v>10</v>
      </c>
      <c r="H390" t="s">
        <v>85</v>
      </c>
      <c r="I390" t="s">
        <v>43</v>
      </c>
      <c r="J390" t="s">
        <v>86</v>
      </c>
      <c r="K390" t="s">
        <v>44</v>
      </c>
      <c r="L390">
        <v>74672.78</v>
      </c>
      <c r="M390" s="1">
        <v>43645</v>
      </c>
      <c r="N390" t="s">
        <v>45</v>
      </c>
      <c r="O390" t="s">
        <v>44</v>
      </c>
      <c r="P390" t="s">
        <v>47</v>
      </c>
      <c r="Q390" s="1">
        <v>43852</v>
      </c>
      <c r="R390" t="s">
        <v>48</v>
      </c>
      <c r="S390" t="s">
        <v>99</v>
      </c>
      <c r="T390" t="s">
        <v>100</v>
      </c>
      <c r="U390" t="s">
        <v>85</v>
      </c>
      <c r="V390">
        <v>210000</v>
      </c>
      <c r="W390">
        <v>35000</v>
      </c>
      <c r="X390" s="1">
        <v>43799</v>
      </c>
      <c r="Y390" t="s">
        <v>51</v>
      </c>
      <c r="Z390" t="s">
        <v>43</v>
      </c>
      <c r="AA390" t="s">
        <v>98</v>
      </c>
      <c r="AB390" t="s">
        <v>89</v>
      </c>
      <c r="AC390" t="s">
        <v>101</v>
      </c>
      <c r="AF390" t="s">
        <v>91</v>
      </c>
      <c r="AG390" s="1">
        <v>43852</v>
      </c>
      <c r="AH390" t="s">
        <v>85</v>
      </c>
      <c r="AI390" t="s">
        <v>92</v>
      </c>
      <c r="AJ390">
        <v>19888</v>
      </c>
      <c r="AK390">
        <v>128777</v>
      </c>
      <c r="AL390">
        <v>198882</v>
      </c>
    </row>
    <row r="391" spans="1:38" x14ac:dyDescent="0.25">
      <c r="A391" t="s">
        <v>203</v>
      </c>
      <c r="B391" t="s">
        <v>204</v>
      </c>
      <c r="C391" t="s">
        <v>40</v>
      </c>
      <c r="D391" s="1">
        <v>43645</v>
      </c>
      <c r="E391" s="1">
        <v>44010</v>
      </c>
      <c r="F391" t="s">
        <v>84</v>
      </c>
      <c r="G391">
        <v>10</v>
      </c>
      <c r="H391" t="s">
        <v>85</v>
      </c>
      <c r="I391" t="s">
        <v>43</v>
      </c>
      <c r="J391" t="s">
        <v>86</v>
      </c>
      <c r="K391" t="s">
        <v>44</v>
      </c>
      <c r="L391">
        <v>74672.78</v>
      </c>
      <c r="M391" s="1">
        <v>43645</v>
      </c>
      <c r="N391" t="s">
        <v>45</v>
      </c>
      <c r="O391" t="s">
        <v>44</v>
      </c>
      <c r="P391" t="s">
        <v>47</v>
      </c>
      <c r="Q391" s="1">
        <v>43852</v>
      </c>
      <c r="R391" t="s">
        <v>48</v>
      </c>
      <c r="S391" t="s">
        <v>99</v>
      </c>
      <c r="T391" t="s">
        <v>100</v>
      </c>
      <c r="U391" t="s">
        <v>85</v>
      </c>
      <c r="V391">
        <v>210000</v>
      </c>
      <c r="W391">
        <v>35000</v>
      </c>
      <c r="X391" s="1">
        <v>43799</v>
      </c>
      <c r="Y391" t="s">
        <v>51</v>
      </c>
      <c r="Z391" t="s">
        <v>43</v>
      </c>
      <c r="AA391" t="s">
        <v>98</v>
      </c>
      <c r="AB391" t="s">
        <v>89</v>
      </c>
      <c r="AC391" t="s">
        <v>101</v>
      </c>
      <c r="AF391" t="s">
        <v>93</v>
      </c>
      <c r="AG391" s="1">
        <v>43843</v>
      </c>
      <c r="AH391" t="s">
        <v>85</v>
      </c>
      <c r="AI391" t="s">
        <v>92</v>
      </c>
      <c r="AJ391">
        <v>19888</v>
      </c>
      <c r="AK391">
        <v>128777</v>
      </c>
      <c r="AL391">
        <v>198882</v>
      </c>
    </row>
    <row r="392" spans="1:38" x14ac:dyDescent="0.25">
      <c r="A392" t="s">
        <v>203</v>
      </c>
      <c r="B392" t="s">
        <v>204</v>
      </c>
      <c r="C392" t="s">
        <v>40</v>
      </c>
      <c r="D392" s="1">
        <v>43645</v>
      </c>
      <c r="E392" s="1">
        <v>44010</v>
      </c>
      <c r="F392" t="s">
        <v>84</v>
      </c>
      <c r="G392">
        <v>10</v>
      </c>
      <c r="H392" t="s">
        <v>85</v>
      </c>
      <c r="I392" t="s">
        <v>43</v>
      </c>
      <c r="J392" t="s">
        <v>86</v>
      </c>
      <c r="K392" t="s">
        <v>44</v>
      </c>
      <c r="L392">
        <v>74672.78</v>
      </c>
      <c r="M392" s="1">
        <v>43645</v>
      </c>
      <c r="N392" t="s">
        <v>45</v>
      </c>
      <c r="O392" t="s">
        <v>44</v>
      </c>
      <c r="P392" t="s">
        <v>47</v>
      </c>
      <c r="Q392" s="1">
        <v>43852</v>
      </c>
      <c r="R392" t="s">
        <v>48</v>
      </c>
      <c r="S392" t="s">
        <v>102</v>
      </c>
      <c r="T392" t="s">
        <v>103</v>
      </c>
      <c r="U392" t="s">
        <v>85</v>
      </c>
      <c r="V392">
        <v>5000000</v>
      </c>
      <c r="W392">
        <v>250000</v>
      </c>
      <c r="X392" s="1">
        <v>43799</v>
      </c>
      <c r="Y392" t="s">
        <v>51</v>
      </c>
      <c r="Z392" t="s">
        <v>43</v>
      </c>
      <c r="AA392" t="s">
        <v>86</v>
      </c>
      <c r="AB392" t="s">
        <v>89</v>
      </c>
      <c r="AC392" t="s">
        <v>90</v>
      </c>
      <c r="AF392" t="s">
        <v>91</v>
      </c>
      <c r="AG392" s="1">
        <v>43852</v>
      </c>
      <c r="AH392" t="s">
        <v>85</v>
      </c>
      <c r="AI392" t="s">
        <v>92</v>
      </c>
      <c r="AJ392">
        <v>19888</v>
      </c>
      <c r="AK392">
        <v>128777</v>
      </c>
      <c r="AL392">
        <v>198882</v>
      </c>
    </row>
    <row r="393" spans="1:38" x14ac:dyDescent="0.25">
      <c r="A393" t="s">
        <v>203</v>
      </c>
      <c r="B393" t="s">
        <v>204</v>
      </c>
      <c r="C393" t="s">
        <v>40</v>
      </c>
      <c r="D393" s="1">
        <v>43645</v>
      </c>
      <c r="E393" s="1">
        <v>44010</v>
      </c>
      <c r="F393" t="s">
        <v>84</v>
      </c>
      <c r="G393">
        <v>10</v>
      </c>
      <c r="H393" t="s">
        <v>85</v>
      </c>
      <c r="I393" t="s">
        <v>43</v>
      </c>
      <c r="J393" t="s">
        <v>86</v>
      </c>
      <c r="K393" t="s">
        <v>44</v>
      </c>
      <c r="L393">
        <v>74672.78</v>
      </c>
      <c r="M393" s="1">
        <v>43645</v>
      </c>
      <c r="N393" t="s">
        <v>45</v>
      </c>
      <c r="O393" t="s">
        <v>44</v>
      </c>
      <c r="P393" t="s">
        <v>47</v>
      </c>
      <c r="Q393" s="1">
        <v>43852</v>
      </c>
      <c r="R393" t="s">
        <v>48</v>
      </c>
      <c r="S393" t="s">
        <v>102</v>
      </c>
      <c r="T393" t="s">
        <v>103</v>
      </c>
      <c r="U393" t="s">
        <v>85</v>
      </c>
      <c r="V393">
        <v>5000000</v>
      </c>
      <c r="W393">
        <v>250000</v>
      </c>
      <c r="X393" s="1">
        <v>43799</v>
      </c>
      <c r="Y393" t="s">
        <v>51</v>
      </c>
      <c r="Z393" t="s">
        <v>43</v>
      </c>
      <c r="AA393" t="s">
        <v>86</v>
      </c>
      <c r="AB393" t="s">
        <v>89</v>
      </c>
      <c r="AC393" t="s">
        <v>90</v>
      </c>
      <c r="AF393" t="s">
        <v>93</v>
      </c>
      <c r="AG393" s="1">
        <v>43843</v>
      </c>
      <c r="AH393" t="s">
        <v>85</v>
      </c>
      <c r="AI393" t="s">
        <v>92</v>
      </c>
      <c r="AJ393">
        <v>19888</v>
      </c>
      <c r="AK393">
        <v>128777</v>
      </c>
      <c r="AL393">
        <v>198882</v>
      </c>
    </row>
    <row r="394" spans="1:38" x14ac:dyDescent="0.25">
      <c r="A394" t="s">
        <v>205</v>
      </c>
      <c r="B394" t="s">
        <v>206</v>
      </c>
      <c r="C394" t="s">
        <v>40</v>
      </c>
      <c r="D394" s="1">
        <v>43103</v>
      </c>
      <c r="E394" s="1">
        <v>43467</v>
      </c>
      <c r="F394" t="s">
        <v>41</v>
      </c>
      <c r="G394">
        <v>12</v>
      </c>
      <c r="H394" t="s">
        <v>155</v>
      </c>
      <c r="I394" t="s">
        <v>43</v>
      </c>
      <c r="J394" t="s">
        <v>126</v>
      </c>
      <c r="K394" t="s">
        <v>44</v>
      </c>
      <c r="L394">
        <v>66622.350000000006</v>
      </c>
      <c r="M394" s="1">
        <v>43103</v>
      </c>
      <c r="N394" t="s">
        <v>45</v>
      </c>
      <c r="O394" t="s">
        <v>46</v>
      </c>
      <c r="P394" t="s">
        <v>47</v>
      </c>
      <c r="Q394" s="1">
        <v>43852</v>
      </c>
      <c r="R394" t="s">
        <v>48</v>
      </c>
      <c r="S394" t="s">
        <v>207</v>
      </c>
      <c r="T394" t="s">
        <v>208</v>
      </c>
      <c r="U394" t="s">
        <v>155</v>
      </c>
      <c r="V394">
        <v>0</v>
      </c>
      <c r="W394">
        <v>200000</v>
      </c>
      <c r="X394" s="1">
        <v>43921</v>
      </c>
      <c r="Y394" t="s">
        <v>51</v>
      </c>
      <c r="Z394" t="s">
        <v>43</v>
      </c>
      <c r="AA394" t="s">
        <v>41</v>
      </c>
      <c r="AB394" t="s">
        <v>52</v>
      </c>
      <c r="AC394" t="s">
        <v>53</v>
      </c>
      <c r="AF394" t="s">
        <v>160</v>
      </c>
      <c r="AG394" s="1">
        <v>43851</v>
      </c>
    </row>
    <row r="395" spans="1:38" x14ac:dyDescent="0.25">
      <c r="A395" t="s">
        <v>205</v>
      </c>
      <c r="B395" t="s">
        <v>206</v>
      </c>
      <c r="C395" t="s">
        <v>40</v>
      </c>
      <c r="D395" s="1">
        <v>43103</v>
      </c>
      <c r="E395" s="1">
        <v>43467</v>
      </c>
      <c r="F395" t="s">
        <v>41</v>
      </c>
      <c r="G395">
        <v>12</v>
      </c>
      <c r="H395" t="s">
        <v>155</v>
      </c>
      <c r="I395" t="s">
        <v>43</v>
      </c>
      <c r="J395" t="s">
        <v>126</v>
      </c>
      <c r="K395" t="s">
        <v>44</v>
      </c>
      <c r="L395">
        <v>66622.350000000006</v>
      </c>
      <c r="M395" s="1">
        <v>43103</v>
      </c>
      <c r="N395" t="s">
        <v>45</v>
      </c>
      <c r="O395" t="s">
        <v>46</v>
      </c>
      <c r="P395" t="s">
        <v>47</v>
      </c>
      <c r="Q395" s="1">
        <v>43852</v>
      </c>
      <c r="R395" t="s">
        <v>48</v>
      </c>
      <c r="S395" t="s">
        <v>207</v>
      </c>
      <c r="T395" t="s">
        <v>208</v>
      </c>
      <c r="U395" t="s">
        <v>155</v>
      </c>
      <c r="V395">
        <v>0</v>
      </c>
      <c r="W395">
        <v>200000</v>
      </c>
      <c r="X395" s="1">
        <v>43921</v>
      </c>
      <c r="Y395" t="s">
        <v>51</v>
      </c>
      <c r="Z395" t="s">
        <v>43</v>
      </c>
      <c r="AA395" t="s">
        <v>41</v>
      </c>
      <c r="AB395" t="s">
        <v>52</v>
      </c>
      <c r="AC395" t="s">
        <v>53</v>
      </c>
      <c r="AF395" t="s">
        <v>161</v>
      </c>
      <c r="AG395" s="1">
        <v>43851</v>
      </c>
    </row>
    <row r="396" spans="1:38" x14ac:dyDescent="0.25">
      <c r="A396" t="s">
        <v>205</v>
      </c>
      <c r="B396" t="s">
        <v>206</v>
      </c>
      <c r="C396" t="s">
        <v>40</v>
      </c>
      <c r="D396" s="1">
        <v>43103</v>
      </c>
      <c r="E396" s="1">
        <v>43467</v>
      </c>
      <c r="F396" t="s">
        <v>41</v>
      </c>
      <c r="G396">
        <v>12</v>
      </c>
      <c r="H396" t="s">
        <v>155</v>
      </c>
      <c r="I396" t="s">
        <v>43</v>
      </c>
      <c r="J396" t="s">
        <v>126</v>
      </c>
      <c r="K396" t="s">
        <v>44</v>
      </c>
      <c r="L396">
        <v>66622.350000000006</v>
      </c>
      <c r="M396" s="1">
        <v>43103</v>
      </c>
      <c r="N396" t="s">
        <v>45</v>
      </c>
      <c r="O396" t="s">
        <v>46</v>
      </c>
      <c r="P396" t="s">
        <v>47</v>
      </c>
      <c r="Q396" s="1">
        <v>43852</v>
      </c>
      <c r="R396" t="s">
        <v>48</v>
      </c>
      <c r="S396" t="s">
        <v>207</v>
      </c>
      <c r="T396" t="s">
        <v>208</v>
      </c>
      <c r="U396" t="s">
        <v>155</v>
      </c>
      <c r="V396">
        <v>0</v>
      </c>
      <c r="W396">
        <v>200000</v>
      </c>
      <c r="X396" s="1">
        <v>43921</v>
      </c>
      <c r="Y396" t="s">
        <v>51</v>
      </c>
      <c r="Z396" t="s">
        <v>43</v>
      </c>
      <c r="AA396" t="s">
        <v>41</v>
      </c>
      <c r="AB396" t="s">
        <v>52</v>
      </c>
      <c r="AC396" t="s">
        <v>53</v>
      </c>
      <c r="AF396" t="s">
        <v>162</v>
      </c>
      <c r="AG396" s="1">
        <v>43851</v>
      </c>
    </row>
    <row r="397" spans="1:38" x14ac:dyDescent="0.25">
      <c r="A397" t="s">
        <v>205</v>
      </c>
      <c r="B397" t="s">
        <v>206</v>
      </c>
      <c r="C397" t="s">
        <v>40</v>
      </c>
      <c r="D397" s="1">
        <v>43103</v>
      </c>
      <c r="E397" s="1">
        <v>43467</v>
      </c>
      <c r="F397" t="s">
        <v>41</v>
      </c>
      <c r="G397">
        <v>12</v>
      </c>
      <c r="H397" t="s">
        <v>155</v>
      </c>
      <c r="I397" t="s">
        <v>43</v>
      </c>
      <c r="J397" t="s">
        <v>126</v>
      </c>
      <c r="K397" t="s">
        <v>44</v>
      </c>
      <c r="L397">
        <v>66622.350000000006</v>
      </c>
      <c r="M397" s="1">
        <v>43103</v>
      </c>
      <c r="N397" t="s">
        <v>45</v>
      </c>
      <c r="O397" t="s">
        <v>46</v>
      </c>
      <c r="P397" t="s">
        <v>47</v>
      </c>
      <c r="Q397" s="1">
        <v>43852</v>
      </c>
      <c r="R397" t="s">
        <v>48</v>
      </c>
      <c r="S397" t="s">
        <v>207</v>
      </c>
      <c r="T397" t="s">
        <v>208</v>
      </c>
      <c r="U397" t="s">
        <v>155</v>
      </c>
      <c r="V397">
        <v>0</v>
      </c>
      <c r="W397">
        <v>200000</v>
      </c>
      <c r="X397" s="1">
        <v>43921</v>
      </c>
      <c r="Y397" t="s">
        <v>51</v>
      </c>
      <c r="Z397" t="s">
        <v>43</v>
      </c>
      <c r="AA397" t="s">
        <v>41</v>
      </c>
      <c r="AB397" t="s">
        <v>52</v>
      </c>
      <c r="AC397" t="s">
        <v>53</v>
      </c>
      <c r="AF397" t="s">
        <v>163</v>
      </c>
      <c r="AG397" s="1">
        <v>43852</v>
      </c>
    </row>
    <row r="398" spans="1:38" x14ac:dyDescent="0.25">
      <c r="A398" t="s">
        <v>209</v>
      </c>
      <c r="B398" t="s">
        <v>210</v>
      </c>
      <c r="C398" t="s">
        <v>40</v>
      </c>
      <c r="D398" s="1">
        <v>43191</v>
      </c>
      <c r="E398" s="1">
        <v>43555</v>
      </c>
      <c r="F398" t="s">
        <v>77</v>
      </c>
      <c r="G398">
        <v>12</v>
      </c>
      <c r="H398" t="s">
        <v>155</v>
      </c>
      <c r="I398" t="s">
        <v>43</v>
      </c>
      <c r="J398" t="s">
        <v>126</v>
      </c>
      <c r="K398" t="s">
        <v>44</v>
      </c>
      <c r="L398">
        <v>0</v>
      </c>
      <c r="M398" s="1">
        <v>43191</v>
      </c>
      <c r="N398" t="s">
        <v>45</v>
      </c>
      <c r="O398" t="s">
        <v>46</v>
      </c>
      <c r="P398" t="s">
        <v>47</v>
      </c>
      <c r="Q398" s="1">
        <v>43852</v>
      </c>
      <c r="R398" t="s">
        <v>48</v>
      </c>
      <c r="S398" t="s">
        <v>156</v>
      </c>
      <c r="T398" t="s">
        <v>157</v>
      </c>
      <c r="U398" t="s">
        <v>155</v>
      </c>
      <c r="V398">
        <v>500000</v>
      </c>
      <c r="W398">
        <v>75000</v>
      </c>
      <c r="X398" s="1">
        <v>43982</v>
      </c>
      <c r="Y398" t="s">
        <v>51</v>
      </c>
      <c r="Z398" t="s">
        <v>43</v>
      </c>
      <c r="AA398" t="s">
        <v>77</v>
      </c>
      <c r="AB398" t="s">
        <v>158</v>
      </c>
      <c r="AC398" t="s">
        <v>159</v>
      </c>
      <c r="AF398" t="s">
        <v>160</v>
      </c>
      <c r="AG398" s="1">
        <v>43851</v>
      </c>
    </row>
    <row r="399" spans="1:38" x14ac:dyDescent="0.25">
      <c r="A399" t="s">
        <v>209</v>
      </c>
      <c r="B399" t="s">
        <v>210</v>
      </c>
      <c r="C399" t="s">
        <v>40</v>
      </c>
      <c r="D399" s="1">
        <v>43191</v>
      </c>
      <c r="E399" s="1">
        <v>43555</v>
      </c>
      <c r="F399" t="s">
        <v>77</v>
      </c>
      <c r="G399">
        <v>12</v>
      </c>
      <c r="H399" t="s">
        <v>155</v>
      </c>
      <c r="I399" t="s">
        <v>43</v>
      </c>
      <c r="J399" t="s">
        <v>126</v>
      </c>
      <c r="K399" t="s">
        <v>44</v>
      </c>
      <c r="L399">
        <v>0</v>
      </c>
      <c r="M399" s="1">
        <v>43191</v>
      </c>
      <c r="N399" t="s">
        <v>45</v>
      </c>
      <c r="O399" t="s">
        <v>46</v>
      </c>
      <c r="P399" t="s">
        <v>47</v>
      </c>
      <c r="Q399" s="1">
        <v>43852</v>
      </c>
      <c r="R399" t="s">
        <v>48</v>
      </c>
      <c r="S399" t="s">
        <v>156</v>
      </c>
      <c r="T399" t="s">
        <v>157</v>
      </c>
      <c r="U399" t="s">
        <v>155</v>
      </c>
      <c r="V399">
        <v>500000</v>
      </c>
      <c r="W399">
        <v>75000</v>
      </c>
      <c r="X399" s="1">
        <v>43982</v>
      </c>
      <c r="Y399" t="s">
        <v>51</v>
      </c>
      <c r="Z399" t="s">
        <v>43</v>
      </c>
      <c r="AA399" t="s">
        <v>77</v>
      </c>
      <c r="AB399" t="s">
        <v>158</v>
      </c>
      <c r="AC399" t="s">
        <v>159</v>
      </c>
      <c r="AF399" t="s">
        <v>161</v>
      </c>
      <c r="AG399" s="1">
        <v>43851</v>
      </c>
    </row>
    <row r="400" spans="1:38" x14ac:dyDescent="0.25">
      <c r="A400" t="s">
        <v>209</v>
      </c>
      <c r="B400" t="s">
        <v>210</v>
      </c>
      <c r="C400" t="s">
        <v>40</v>
      </c>
      <c r="D400" s="1">
        <v>43191</v>
      </c>
      <c r="E400" s="1">
        <v>43555</v>
      </c>
      <c r="F400" t="s">
        <v>77</v>
      </c>
      <c r="G400">
        <v>12</v>
      </c>
      <c r="H400" t="s">
        <v>155</v>
      </c>
      <c r="I400" t="s">
        <v>43</v>
      </c>
      <c r="J400" t="s">
        <v>126</v>
      </c>
      <c r="K400" t="s">
        <v>44</v>
      </c>
      <c r="L400">
        <v>0</v>
      </c>
      <c r="M400" s="1">
        <v>43191</v>
      </c>
      <c r="N400" t="s">
        <v>45</v>
      </c>
      <c r="O400" t="s">
        <v>46</v>
      </c>
      <c r="P400" t="s">
        <v>47</v>
      </c>
      <c r="Q400" s="1">
        <v>43852</v>
      </c>
      <c r="R400" t="s">
        <v>48</v>
      </c>
      <c r="S400" t="s">
        <v>156</v>
      </c>
      <c r="T400" t="s">
        <v>157</v>
      </c>
      <c r="U400" t="s">
        <v>155</v>
      </c>
      <c r="V400">
        <v>500000</v>
      </c>
      <c r="W400">
        <v>75000</v>
      </c>
      <c r="X400" s="1">
        <v>43982</v>
      </c>
      <c r="Y400" t="s">
        <v>51</v>
      </c>
      <c r="Z400" t="s">
        <v>43</v>
      </c>
      <c r="AA400" t="s">
        <v>77</v>
      </c>
      <c r="AB400" t="s">
        <v>158</v>
      </c>
      <c r="AC400" t="s">
        <v>159</v>
      </c>
      <c r="AF400" t="s">
        <v>162</v>
      </c>
      <c r="AG400" s="1">
        <v>43851</v>
      </c>
    </row>
    <row r="401" spans="1:38" x14ac:dyDescent="0.25">
      <c r="A401" t="s">
        <v>209</v>
      </c>
      <c r="B401" t="s">
        <v>210</v>
      </c>
      <c r="C401" t="s">
        <v>40</v>
      </c>
      <c r="D401" s="1">
        <v>43191</v>
      </c>
      <c r="E401" s="1">
        <v>43555</v>
      </c>
      <c r="F401" t="s">
        <v>77</v>
      </c>
      <c r="G401">
        <v>12</v>
      </c>
      <c r="H401" t="s">
        <v>155</v>
      </c>
      <c r="I401" t="s">
        <v>43</v>
      </c>
      <c r="J401" t="s">
        <v>126</v>
      </c>
      <c r="K401" t="s">
        <v>44</v>
      </c>
      <c r="L401">
        <v>0</v>
      </c>
      <c r="M401" s="1">
        <v>43191</v>
      </c>
      <c r="N401" t="s">
        <v>45</v>
      </c>
      <c r="O401" t="s">
        <v>46</v>
      </c>
      <c r="P401" t="s">
        <v>47</v>
      </c>
      <c r="Q401" s="1">
        <v>43852</v>
      </c>
      <c r="R401" t="s">
        <v>48</v>
      </c>
      <c r="S401" t="s">
        <v>156</v>
      </c>
      <c r="T401" t="s">
        <v>157</v>
      </c>
      <c r="U401" t="s">
        <v>155</v>
      </c>
      <c r="V401">
        <v>500000</v>
      </c>
      <c r="W401">
        <v>75000</v>
      </c>
      <c r="X401" s="1">
        <v>43982</v>
      </c>
      <c r="Y401" t="s">
        <v>51</v>
      </c>
      <c r="Z401" t="s">
        <v>43</v>
      </c>
      <c r="AA401" t="s">
        <v>77</v>
      </c>
      <c r="AB401" t="s">
        <v>158</v>
      </c>
      <c r="AC401" t="s">
        <v>159</v>
      </c>
      <c r="AF401" t="s">
        <v>163</v>
      </c>
      <c r="AG401" s="1">
        <v>43852</v>
      </c>
    </row>
    <row r="402" spans="1:38" x14ac:dyDescent="0.25">
      <c r="A402" t="s">
        <v>209</v>
      </c>
      <c r="B402" t="s">
        <v>210</v>
      </c>
      <c r="C402" t="s">
        <v>40</v>
      </c>
      <c r="D402" s="1">
        <v>43191</v>
      </c>
      <c r="E402" s="1">
        <v>43555</v>
      </c>
      <c r="F402" t="s">
        <v>77</v>
      </c>
      <c r="G402">
        <v>12</v>
      </c>
      <c r="H402" t="s">
        <v>155</v>
      </c>
      <c r="I402" t="s">
        <v>43</v>
      </c>
      <c r="J402" t="s">
        <v>126</v>
      </c>
      <c r="K402" t="s">
        <v>44</v>
      </c>
      <c r="L402">
        <v>0</v>
      </c>
      <c r="M402" s="1">
        <v>43191</v>
      </c>
      <c r="N402" t="s">
        <v>45</v>
      </c>
      <c r="O402" t="s">
        <v>46</v>
      </c>
      <c r="P402" t="s">
        <v>47</v>
      </c>
      <c r="Q402" s="1">
        <v>43852</v>
      </c>
      <c r="R402" t="s">
        <v>48</v>
      </c>
      <c r="S402" t="s">
        <v>164</v>
      </c>
      <c r="T402" t="s">
        <v>165</v>
      </c>
      <c r="U402" t="s">
        <v>155</v>
      </c>
      <c r="V402">
        <v>0</v>
      </c>
      <c r="W402">
        <v>50000</v>
      </c>
      <c r="X402" s="1">
        <v>43921</v>
      </c>
      <c r="Y402" t="s">
        <v>51</v>
      </c>
      <c r="Z402" t="s">
        <v>43</v>
      </c>
      <c r="AA402" t="s">
        <v>77</v>
      </c>
      <c r="AB402" t="s">
        <v>158</v>
      </c>
      <c r="AC402" t="s">
        <v>166</v>
      </c>
      <c r="AF402" t="s">
        <v>160</v>
      </c>
      <c r="AG402" s="1">
        <v>43851</v>
      </c>
    </row>
    <row r="403" spans="1:38" x14ac:dyDescent="0.25">
      <c r="A403" t="s">
        <v>209</v>
      </c>
      <c r="B403" t="s">
        <v>210</v>
      </c>
      <c r="C403" t="s">
        <v>40</v>
      </c>
      <c r="D403" s="1">
        <v>43191</v>
      </c>
      <c r="E403" s="1">
        <v>43555</v>
      </c>
      <c r="F403" t="s">
        <v>77</v>
      </c>
      <c r="G403">
        <v>12</v>
      </c>
      <c r="H403" t="s">
        <v>155</v>
      </c>
      <c r="I403" t="s">
        <v>43</v>
      </c>
      <c r="J403" t="s">
        <v>126</v>
      </c>
      <c r="K403" t="s">
        <v>44</v>
      </c>
      <c r="L403">
        <v>0</v>
      </c>
      <c r="M403" s="1">
        <v>43191</v>
      </c>
      <c r="N403" t="s">
        <v>45</v>
      </c>
      <c r="O403" t="s">
        <v>46</v>
      </c>
      <c r="P403" t="s">
        <v>47</v>
      </c>
      <c r="Q403" s="1">
        <v>43852</v>
      </c>
      <c r="R403" t="s">
        <v>48</v>
      </c>
      <c r="S403" t="s">
        <v>164</v>
      </c>
      <c r="T403" t="s">
        <v>165</v>
      </c>
      <c r="U403" t="s">
        <v>155</v>
      </c>
      <c r="V403">
        <v>0</v>
      </c>
      <c r="W403">
        <v>50000</v>
      </c>
      <c r="X403" s="1">
        <v>43921</v>
      </c>
      <c r="Y403" t="s">
        <v>51</v>
      </c>
      <c r="Z403" t="s">
        <v>43</v>
      </c>
      <c r="AA403" t="s">
        <v>77</v>
      </c>
      <c r="AB403" t="s">
        <v>158</v>
      </c>
      <c r="AC403" t="s">
        <v>166</v>
      </c>
      <c r="AF403" t="s">
        <v>161</v>
      </c>
      <c r="AG403" s="1">
        <v>43851</v>
      </c>
    </row>
    <row r="404" spans="1:38" x14ac:dyDescent="0.25">
      <c r="A404" t="s">
        <v>209</v>
      </c>
      <c r="B404" t="s">
        <v>210</v>
      </c>
      <c r="C404" t="s">
        <v>40</v>
      </c>
      <c r="D404" s="1">
        <v>43191</v>
      </c>
      <c r="E404" s="1">
        <v>43555</v>
      </c>
      <c r="F404" t="s">
        <v>77</v>
      </c>
      <c r="G404">
        <v>12</v>
      </c>
      <c r="H404" t="s">
        <v>155</v>
      </c>
      <c r="I404" t="s">
        <v>43</v>
      </c>
      <c r="J404" t="s">
        <v>126</v>
      </c>
      <c r="K404" t="s">
        <v>44</v>
      </c>
      <c r="L404">
        <v>0</v>
      </c>
      <c r="M404" s="1">
        <v>43191</v>
      </c>
      <c r="N404" t="s">
        <v>45</v>
      </c>
      <c r="O404" t="s">
        <v>46</v>
      </c>
      <c r="P404" t="s">
        <v>47</v>
      </c>
      <c r="Q404" s="1">
        <v>43852</v>
      </c>
      <c r="R404" t="s">
        <v>48</v>
      </c>
      <c r="S404" t="s">
        <v>164</v>
      </c>
      <c r="T404" t="s">
        <v>165</v>
      </c>
      <c r="U404" t="s">
        <v>155</v>
      </c>
      <c r="V404">
        <v>0</v>
      </c>
      <c r="W404">
        <v>50000</v>
      </c>
      <c r="X404" s="1">
        <v>43921</v>
      </c>
      <c r="Y404" t="s">
        <v>51</v>
      </c>
      <c r="Z404" t="s">
        <v>43</v>
      </c>
      <c r="AA404" t="s">
        <v>77</v>
      </c>
      <c r="AB404" t="s">
        <v>158</v>
      </c>
      <c r="AC404" t="s">
        <v>166</v>
      </c>
      <c r="AF404" t="s">
        <v>162</v>
      </c>
      <c r="AG404" s="1">
        <v>43851</v>
      </c>
    </row>
    <row r="405" spans="1:38" x14ac:dyDescent="0.25">
      <c r="A405" t="s">
        <v>209</v>
      </c>
      <c r="B405" t="s">
        <v>210</v>
      </c>
      <c r="C405" t="s">
        <v>40</v>
      </c>
      <c r="D405" s="1">
        <v>43191</v>
      </c>
      <c r="E405" s="1">
        <v>43555</v>
      </c>
      <c r="F405" t="s">
        <v>77</v>
      </c>
      <c r="G405">
        <v>12</v>
      </c>
      <c r="H405" t="s">
        <v>155</v>
      </c>
      <c r="I405" t="s">
        <v>43</v>
      </c>
      <c r="J405" t="s">
        <v>126</v>
      </c>
      <c r="K405" t="s">
        <v>44</v>
      </c>
      <c r="L405">
        <v>0</v>
      </c>
      <c r="M405" s="1">
        <v>43191</v>
      </c>
      <c r="N405" t="s">
        <v>45</v>
      </c>
      <c r="O405" t="s">
        <v>46</v>
      </c>
      <c r="P405" t="s">
        <v>47</v>
      </c>
      <c r="Q405" s="1">
        <v>43852</v>
      </c>
      <c r="R405" t="s">
        <v>48</v>
      </c>
      <c r="S405" t="s">
        <v>164</v>
      </c>
      <c r="T405" t="s">
        <v>165</v>
      </c>
      <c r="U405" t="s">
        <v>155</v>
      </c>
      <c r="V405">
        <v>0</v>
      </c>
      <c r="W405">
        <v>50000</v>
      </c>
      <c r="X405" s="1">
        <v>43921</v>
      </c>
      <c r="Y405" t="s">
        <v>51</v>
      </c>
      <c r="Z405" t="s">
        <v>43</v>
      </c>
      <c r="AA405" t="s">
        <v>77</v>
      </c>
      <c r="AB405" t="s">
        <v>158</v>
      </c>
      <c r="AC405" t="s">
        <v>166</v>
      </c>
      <c r="AF405" t="s">
        <v>163</v>
      </c>
      <c r="AG405" s="1">
        <v>43852</v>
      </c>
    </row>
    <row r="406" spans="1:38" x14ac:dyDescent="0.25">
      <c r="A406" t="s">
        <v>211</v>
      </c>
      <c r="B406" t="s">
        <v>212</v>
      </c>
      <c r="C406" t="s">
        <v>71</v>
      </c>
      <c r="D406" s="1">
        <v>43405</v>
      </c>
      <c r="E406" s="1">
        <v>43769</v>
      </c>
      <c r="F406" t="s">
        <v>41</v>
      </c>
      <c r="G406">
        <v>1</v>
      </c>
      <c r="H406" t="s">
        <v>42</v>
      </c>
      <c r="I406" t="s">
        <v>43</v>
      </c>
      <c r="J406" t="s">
        <v>41</v>
      </c>
      <c r="K406" t="s">
        <v>44</v>
      </c>
      <c r="L406">
        <v>92812.5</v>
      </c>
      <c r="M406" s="1">
        <v>43405</v>
      </c>
      <c r="N406" t="s">
        <v>45</v>
      </c>
      <c r="O406" t="s">
        <v>44</v>
      </c>
      <c r="P406" t="s">
        <v>47</v>
      </c>
      <c r="Q406" s="1">
        <v>43852</v>
      </c>
      <c r="R406" t="s">
        <v>48</v>
      </c>
      <c r="S406" t="s">
        <v>49</v>
      </c>
      <c r="T406" t="s">
        <v>50</v>
      </c>
      <c r="U406" t="s">
        <v>42</v>
      </c>
      <c r="V406">
        <v>0</v>
      </c>
      <c r="W406">
        <v>100000</v>
      </c>
      <c r="X406" s="1">
        <v>44012</v>
      </c>
      <c r="Y406" t="s">
        <v>51</v>
      </c>
      <c r="Z406" t="s">
        <v>43</v>
      </c>
      <c r="AA406" t="s">
        <v>41</v>
      </c>
      <c r="AB406" t="s">
        <v>52</v>
      </c>
      <c r="AC406" t="s">
        <v>53</v>
      </c>
      <c r="AF406" t="s">
        <v>54</v>
      </c>
      <c r="AG406" s="1">
        <v>43832</v>
      </c>
      <c r="AH406" t="s">
        <v>42</v>
      </c>
      <c r="AI406" t="s">
        <v>55</v>
      </c>
      <c r="AJ406">
        <v>12788092</v>
      </c>
      <c r="AK406">
        <v>250000</v>
      </c>
      <c r="AL406">
        <v>1500000</v>
      </c>
    </row>
    <row r="407" spans="1:38" x14ac:dyDescent="0.25">
      <c r="A407" t="s">
        <v>211</v>
      </c>
      <c r="B407" t="s">
        <v>212</v>
      </c>
      <c r="C407" t="s">
        <v>71</v>
      </c>
      <c r="D407" s="1">
        <v>43405</v>
      </c>
      <c r="E407" s="1">
        <v>43769</v>
      </c>
      <c r="F407" t="s">
        <v>41</v>
      </c>
      <c r="G407">
        <v>1</v>
      </c>
      <c r="H407" t="s">
        <v>42</v>
      </c>
      <c r="I407" t="s">
        <v>43</v>
      </c>
      <c r="J407" t="s">
        <v>41</v>
      </c>
      <c r="K407" t="s">
        <v>44</v>
      </c>
      <c r="L407">
        <v>92812.5</v>
      </c>
      <c r="M407" s="1">
        <v>43405</v>
      </c>
      <c r="N407" t="s">
        <v>45</v>
      </c>
      <c r="O407" t="s">
        <v>44</v>
      </c>
      <c r="P407" t="s">
        <v>47</v>
      </c>
      <c r="Q407" s="1">
        <v>43852</v>
      </c>
      <c r="R407" t="s">
        <v>48</v>
      </c>
      <c r="S407" t="s">
        <v>49</v>
      </c>
      <c r="T407" t="s">
        <v>50</v>
      </c>
      <c r="U407" t="s">
        <v>42</v>
      </c>
      <c r="V407">
        <v>0</v>
      </c>
      <c r="W407">
        <v>100000</v>
      </c>
      <c r="X407" s="1">
        <v>44012</v>
      </c>
      <c r="Y407" t="s">
        <v>51</v>
      </c>
      <c r="Z407" t="s">
        <v>43</v>
      </c>
      <c r="AA407" t="s">
        <v>41</v>
      </c>
      <c r="AB407" t="s">
        <v>52</v>
      </c>
      <c r="AC407" t="s">
        <v>53</v>
      </c>
      <c r="AF407" t="s">
        <v>56</v>
      </c>
      <c r="AG407" s="1">
        <v>43833</v>
      </c>
      <c r="AH407" t="s">
        <v>42</v>
      </c>
      <c r="AI407" t="s">
        <v>55</v>
      </c>
      <c r="AJ407">
        <v>12788092</v>
      </c>
      <c r="AK407">
        <v>250000</v>
      </c>
      <c r="AL407">
        <v>1500000</v>
      </c>
    </row>
    <row r="408" spans="1:38" x14ac:dyDescent="0.25">
      <c r="A408" t="s">
        <v>211</v>
      </c>
      <c r="B408" t="s">
        <v>212</v>
      </c>
      <c r="C408" t="s">
        <v>71</v>
      </c>
      <c r="D408" s="1">
        <v>43405</v>
      </c>
      <c r="E408" s="1">
        <v>43769</v>
      </c>
      <c r="F408" t="s">
        <v>41</v>
      </c>
      <c r="G408">
        <v>1</v>
      </c>
      <c r="H408" t="s">
        <v>42</v>
      </c>
      <c r="I408" t="s">
        <v>43</v>
      </c>
      <c r="J408" t="s">
        <v>41</v>
      </c>
      <c r="K408" t="s">
        <v>44</v>
      </c>
      <c r="L408">
        <v>92812.5</v>
      </c>
      <c r="M408" s="1">
        <v>43405</v>
      </c>
      <c r="N408" t="s">
        <v>45</v>
      </c>
      <c r="O408" t="s">
        <v>44</v>
      </c>
      <c r="P408" t="s">
        <v>47</v>
      </c>
      <c r="Q408" s="1">
        <v>43852</v>
      </c>
      <c r="R408" t="s">
        <v>48</v>
      </c>
      <c r="S408" t="s">
        <v>49</v>
      </c>
      <c r="T408" t="s">
        <v>50</v>
      </c>
      <c r="U408" t="s">
        <v>42</v>
      </c>
      <c r="V408">
        <v>0</v>
      </c>
      <c r="W408">
        <v>100000</v>
      </c>
      <c r="X408" s="1">
        <v>44012</v>
      </c>
      <c r="Y408" t="s">
        <v>51</v>
      </c>
      <c r="Z408" t="s">
        <v>43</v>
      </c>
      <c r="AA408" t="s">
        <v>41</v>
      </c>
      <c r="AB408" t="s">
        <v>52</v>
      </c>
      <c r="AC408" t="s">
        <v>53</v>
      </c>
      <c r="AF408" t="s">
        <v>57</v>
      </c>
      <c r="AG408" s="1">
        <v>43836</v>
      </c>
      <c r="AH408" t="s">
        <v>42</v>
      </c>
      <c r="AI408" t="s">
        <v>55</v>
      </c>
      <c r="AJ408">
        <v>12788092</v>
      </c>
      <c r="AK408">
        <v>250000</v>
      </c>
      <c r="AL408">
        <v>1500000</v>
      </c>
    </row>
    <row r="409" spans="1:38" x14ac:dyDescent="0.25">
      <c r="A409" t="s">
        <v>211</v>
      </c>
      <c r="B409" t="s">
        <v>212</v>
      </c>
      <c r="C409" t="s">
        <v>71</v>
      </c>
      <c r="D409" s="1">
        <v>43405</v>
      </c>
      <c r="E409" s="1">
        <v>43769</v>
      </c>
      <c r="F409" t="s">
        <v>41</v>
      </c>
      <c r="G409">
        <v>1</v>
      </c>
      <c r="H409" t="s">
        <v>42</v>
      </c>
      <c r="I409" t="s">
        <v>43</v>
      </c>
      <c r="J409" t="s">
        <v>41</v>
      </c>
      <c r="K409" t="s">
        <v>44</v>
      </c>
      <c r="L409">
        <v>92812.5</v>
      </c>
      <c r="M409" s="1">
        <v>43405</v>
      </c>
      <c r="N409" t="s">
        <v>45</v>
      </c>
      <c r="O409" t="s">
        <v>44</v>
      </c>
      <c r="P409" t="s">
        <v>47</v>
      </c>
      <c r="Q409" s="1">
        <v>43852</v>
      </c>
      <c r="R409" t="s">
        <v>48</v>
      </c>
      <c r="S409" t="s">
        <v>49</v>
      </c>
      <c r="T409" t="s">
        <v>50</v>
      </c>
      <c r="U409" t="s">
        <v>42</v>
      </c>
      <c r="V409">
        <v>0</v>
      </c>
      <c r="W409">
        <v>100000</v>
      </c>
      <c r="X409" s="1">
        <v>44012</v>
      </c>
      <c r="Y409" t="s">
        <v>51</v>
      </c>
      <c r="Z409" t="s">
        <v>43</v>
      </c>
      <c r="AA409" t="s">
        <v>41</v>
      </c>
      <c r="AB409" t="s">
        <v>52</v>
      </c>
      <c r="AC409" t="s">
        <v>53</v>
      </c>
      <c r="AF409" t="s">
        <v>58</v>
      </c>
      <c r="AG409" s="1">
        <v>43837</v>
      </c>
      <c r="AH409" t="s">
        <v>42</v>
      </c>
      <c r="AI409" t="s">
        <v>55</v>
      </c>
      <c r="AJ409">
        <v>12788092</v>
      </c>
      <c r="AK409">
        <v>250000</v>
      </c>
      <c r="AL409">
        <v>1500000</v>
      </c>
    </row>
    <row r="410" spans="1:38" x14ac:dyDescent="0.25">
      <c r="A410" t="s">
        <v>211</v>
      </c>
      <c r="B410" t="s">
        <v>212</v>
      </c>
      <c r="C410" t="s">
        <v>71</v>
      </c>
      <c r="D410" s="1">
        <v>43405</v>
      </c>
      <c r="E410" s="1">
        <v>43769</v>
      </c>
      <c r="F410" t="s">
        <v>41</v>
      </c>
      <c r="G410">
        <v>1</v>
      </c>
      <c r="H410" t="s">
        <v>42</v>
      </c>
      <c r="I410" t="s">
        <v>43</v>
      </c>
      <c r="J410" t="s">
        <v>41</v>
      </c>
      <c r="K410" t="s">
        <v>44</v>
      </c>
      <c r="L410">
        <v>92812.5</v>
      </c>
      <c r="M410" s="1">
        <v>43405</v>
      </c>
      <c r="N410" t="s">
        <v>45</v>
      </c>
      <c r="O410" t="s">
        <v>44</v>
      </c>
      <c r="P410" t="s">
        <v>47</v>
      </c>
      <c r="Q410" s="1">
        <v>43852</v>
      </c>
      <c r="R410" t="s">
        <v>48</v>
      </c>
      <c r="S410" t="s">
        <v>49</v>
      </c>
      <c r="T410" t="s">
        <v>50</v>
      </c>
      <c r="U410" t="s">
        <v>42</v>
      </c>
      <c r="V410">
        <v>0</v>
      </c>
      <c r="W410">
        <v>100000</v>
      </c>
      <c r="X410" s="1">
        <v>44012</v>
      </c>
      <c r="Y410" t="s">
        <v>51</v>
      </c>
      <c r="Z410" t="s">
        <v>43</v>
      </c>
      <c r="AA410" t="s">
        <v>41</v>
      </c>
      <c r="AB410" t="s">
        <v>52</v>
      </c>
      <c r="AC410" t="s">
        <v>53</v>
      </c>
      <c r="AF410" t="s">
        <v>59</v>
      </c>
      <c r="AG410" s="1">
        <v>43838</v>
      </c>
      <c r="AH410" t="s">
        <v>42</v>
      </c>
      <c r="AI410" t="s">
        <v>55</v>
      </c>
      <c r="AJ410">
        <v>12788092</v>
      </c>
      <c r="AK410">
        <v>250000</v>
      </c>
      <c r="AL410">
        <v>1500000</v>
      </c>
    </row>
    <row r="411" spans="1:38" x14ac:dyDescent="0.25">
      <c r="A411" t="s">
        <v>211</v>
      </c>
      <c r="B411" t="s">
        <v>212</v>
      </c>
      <c r="C411" t="s">
        <v>71</v>
      </c>
      <c r="D411" s="1">
        <v>43405</v>
      </c>
      <c r="E411" s="1">
        <v>43769</v>
      </c>
      <c r="F411" t="s">
        <v>41</v>
      </c>
      <c r="G411">
        <v>1</v>
      </c>
      <c r="H411" t="s">
        <v>42</v>
      </c>
      <c r="I411" t="s">
        <v>43</v>
      </c>
      <c r="J411" t="s">
        <v>41</v>
      </c>
      <c r="K411" t="s">
        <v>44</v>
      </c>
      <c r="L411">
        <v>92812.5</v>
      </c>
      <c r="M411" s="1">
        <v>43405</v>
      </c>
      <c r="N411" t="s">
        <v>45</v>
      </c>
      <c r="O411" t="s">
        <v>44</v>
      </c>
      <c r="P411" t="s">
        <v>47</v>
      </c>
      <c r="Q411" s="1">
        <v>43852</v>
      </c>
      <c r="R411" t="s">
        <v>48</v>
      </c>
      <c r="S411" t="s">
        <v>60</v>
      </c>
      <c r="T411" t="s">
        <v>61</v>
      </c>
      <c r="U411" t="s">
        <v>42</v>
      </c>
      <c r="V411">
        <v>0</v>
      </c>
      <c r="W411">
        <v>100000</v>
      </c>
      <c r="X411" s="1">
        <v>43921</v>
      </c>
      <c r="Y411" t="s">
        <v>51</v>
      </c>
      <c r="Z411" t="s">
        <v>43</v>
      </c>
      <c r="AA411" t="s">
        <v>41</v>
      </c>
      <c r="AB411" t="s">
        <v>52</v>
      </c>
      <c r="AC411" t="s">
        <v>53</v>
      </c>
      <c r="AF411" t="s">
        <v>54</v>
      </c>
      <c r="AG411" s="1">
        <v>43832</v>
      </c>
      <c r="AH411" t="s">
        <v>42</v>
      </c>
      <c r="AI411" t="s">
        <v>55</v>
      </c>
      <c r="AJ411">
        <v>12788092</v>
      </c>
      <c r="AK411">
        <v>250000</v>
      </c>
      <c r="AL411">
        <v>1500000</v>
      </c>
    </row>
    <row r="412" spans="1:38" x14ac:dyDescent="0.25">
      <c r="A412" t="s">
        <v>211</v>
      </c>
      <c r="B412" t="s">
        <v>212</v>
      </c>
      <c r="C412" t="s">
        <v>71</v>
      </c>
      <c r="D412" s="1">
        <v>43405</v>
      </c>
      <c r="E412" s="1">
        <v>43769</v>
      </c>
      <c r="F412" t="s">
        <v>41</v>
      </c>
      <c r="G412">
        <v>1</v>
      </c>
      <c r="H412" t="s">
        <v>42</v>
      </c>
      <c r="I412" t="s">
        <v>43</v>
      </c>
      <c r="J412" t="s">
        <v>41</v>
      </c>
      <c r="K412" t="s">
        <v>44</v>
      </c>
      <c r="L412">
        <v>92812.5</v>
      </c>
      <c r="M412" s="1">
        <v>43405</v>
      </c>
      <c r="N412" t="s">
        <v>45</v>
      </c>
      <c r="O412" t="s">
        <v>44</v>
      </c>
      <c r="P412" t="s">
        <v>47</v>
      </c>
      <c r="Q412" s="1">
        <v>43852</v>
      </c>
      <c r="R412" t="s">
        <v>48</v>
      </c>
      <c r="S412" t="s">
        <v>60</v>
      </c>
      <c r="T412" t="s">
        <v>61</v>
      </c>
      <c r="U412" t="s">
        <v>42</v>
      </c>
      <c r="V412">
        <v>0</v>
      </c>
      <c r="W412">
        <v>100000</v>
      </c>
      <c r="X412" s="1">
        <v>43921</v>
      </c>
      <c r="Y412" t="s">
        <v>51</v>
      </c>
      <c r="Z412" t="s">
        <v>43</v>
      </c>
      <c r="AA412" t="s">
        <v>41</v>
      </c>
      <c r="AB412" t="s">
        <v>52</v>
      </c>
      <c r="AC412" t="s">
        <v>53</v>
      </c>
      <c r="AF412" t="s">
        <v>56</v>
      </c>
      <c r="AG412" s="1">
        <v>43833</v>
      </c>
      <c r="AH412" t="s">
        <v>42</v>
      </c>
      <c r="AI412" t="s">
        <v>55</v>
      </c>
      <c r="AJ412">
        <v>12788092</v>
      </c>
      <c r="AK412">
        <v>250000</v>
      </c>
      <c r="AL412">
        <v>1500000</v>
      </c>
    </row>
    <row r="413" spans="1:38" x14ac:dyDescent="0.25">
      <c r="A413" t="s">
        <v>211</v>
      </c>
      <c r="B413" t="s">
        <v>212</v>
      </c>
      <c r="C413" t="s">
        <v>71</v>
      </c>
      <c r="D413" s="1">
        <v>43405</v>
      </c>
      <c r="E413" s="1">
        <v>43769</v>
      </c>
      <c r="F413" t="s">
        <v>41</v>
      </c>
      <c r="G413">
        <v>1</v>
      </c>
      <c r="H413" t="s">
        <v>42</v>
      </c>
      <c r="I413" t="s">
        <v>43</v>
      </c>
      <c r="J413" t="s">
        <v>41</v>
      </c>
      <c r="K413" t="s">
        <v>44</v>
      </c>
      <c r="L413">
        <v>92812.5</v>
      </c>
      <c r="M413" s="1">
        <v>43405</v>
      </c>
      <c r="N413" t="s">
        <v>45</v>
      </c>
      <c r="O413" t="s">
        <v>44</v>
      </c>
      <c r="P413" t="s">
        <v>47</v>
      </c>
      <c r="Q413" s="1">
        <v>43852</v>
      </c>
      <c r="R413" t="s">
        <v>48</v>
      </c>
      <c r="S413" t="s">
        <v>60</v>
      </c>
      <c r="T413" t="s">
        <v>61</v>
      </c>
      <c r="U413" t="s">
        <v>42</v>
      </c>
      <c r="V413">
        <v>0</v>
      </c>
      <c r="W413">
        <v>100000</v>
      </c>
      <c r="X413" s="1">
        <v>43921</v>
      </c>
      <c r="Y413" t="s">
        <v>51</v>
      </c>
      <c r="Z413" t="s">
        <v>43</v>
      </c>
      <c r="AA413" t="s">
        <v>41</v>
      </c>
      <c r="AB413" t="s">
        <v>52</v>
      </c>
      <c r="AC413" t="s">
        <v>53</v>
      </c>
      <c r="AF413" t="s">
        <v>57</v>
      </c>
      <c r="AG413" s="1">
        <v>43836</v>
      </c>
      <c r="AH413" t="s">
        <v>42</v>
      </c>
      <c r="AI413" t="s">
        <v>55</v>
      </c>
      <c r="AJ413">
        <v>12788092</v>
      </c>
      <c r="AK413">
        <v>250000</v>
      </c>
      <c r="AL413">
        <v>1500000</v>
      </c>
    </row>
    <row r="414" spans="1:38" x14ac:dyDescent="0.25">
      <c r="A414" t="s">
        <v>211</v>
      </c>
      <c r="B414" t="s">
        <v>212</v>
      </c>
      <c r="C414" t="s">
        <v>71</v>
      </c>
      <c r="D414" s="1">
        <v>43405</v>
      </c>
      <c r="E414" s="1">
        <v>43769</v>
      </c>
      <c r="F414" t="s">
        <v>41</v>
      </c>
      <c r="G414">
        <v>1</v>
      </c>
      <c r="H414" t="s">
        <v>42</v>
      </c>
      <c r="I414" t="s">
        <v>43</v>
      </c>
      <c r="J414" t="s">
        <v>41</v>
      </c>
      <c r="K414" t="s">
        <v>44</v>
      </c>
      <c r="L414">
        <v>92812.5</v>
      </c>
      <c r="M414" s="1">
        <v>43405</v>
      </c>
      <c r="N414" t="s">
        <v>45</v>
      </c>
      <c r="O414" t="s">
        <v>44</v>
      </c>
      <c r="P414" t="s">
        <v>47</v>
      </c>
      <c r="Q414" s="1">
        <v>43852</v>
      </c>
      <c r="R414" t="s">
        <v>48</v>
      </c>
      <c r="S414" t="s">
        <v>60</v>
      </c>
      <c r="T414" t="s">
        <v>61</v>
      </c>
      <c r="U414" t="s">
        <v>42</v>
      </c>
      <c r="V414">
        <v>0</v>
      </c>
      <c r="W414">
        <v>100000</v>
      </c>
      <c r="X414" s="1">
        <v>43921</v>
      </c>
      <c r="Y414" t="s">
        <v>51</v>
      </c>
      <c r="Z414" t="s">
        <v>43</v>
      </c>
      <c r="AA414" t="s">
        <v>41</v>
      </c>
      <c r="AB414" t="s">
        <v>52</v>
      </c>
      <c r="AC414" t="s">
        <v>53</v>
      </c>
      <c r="AF414" t="s">
        <v>58</v>
      </c>
      <c r="AG414" s="1">
        <v>43837</v>
      </c>
      <c r="AH414" t="s">
        <v>42</v>
      </c>
      <c r="AI414" t="s">
        <v>55</v>
      </c>
      <c r="AJ414">
        <v>12788092</v>
      </c>
      <c r="AK414">
        <v>250000</v>
      </c>
      <c r="AL414">
        <v>1500000</v>
      </c>
    </row>
    <row r="415" spans="1:38" x14ac:dyDescent="0.25">
      <c r="A415" t="s">
        <v>211</v>
      </c>
      <c r="B415" t="s">
        <v>212</v>
      </c>
      <c r="C415" t="s">
        <v>71</v>
      </c>
      <c r="D415" s="1">
        <v>43405</v>
      </c>
      <c r="E415" s="1">
        <v>43769</v>
      </c>
      <c r="F415" t="s">
        <v>41</v>
      </c>
      <c r="G415">
        <v>1</v>
      </c>
      <c r="H415" t="s">
        <v>42</v>
      </c>
      <c r="I415" t="s">
        <v>43</v>
      </c>
      <c r="J415" t="s">
        <v>41</v>
      </c>
      <c r="K415" t="s">
        <v>44</v>
      </c>
      <c r="L415">
        <v>92812.5</v>
      </c>
      <c r="M415" s="1">
        <v>43405</v>
      </c>
      <c r="N415" t="s">
        <v>45</v>
      </c>
      <c r="O415" t="s">
        <v>44</v>
      </c>
      <c r="P415" t="s">
        <v>47</v>
      </c>
      <c r="Q415" s="1">
        <v>43852</v>
      </c>
      <c r="R415" t="s">
        <v>48</v>
      </c>
      <c r="S415" t="s">
        <v>60</v>
      </c>
      <c r="T415" t="s">
        <v>61</v>
      </c>
      <c r="U415" t="s">
        <v>42</v>
      </c>
      <c r="V415">
        <v>0</v>
      </c>
      <c r="W415">
        <v>100000</v>
      </c>
      <c r="X415" s="1">
        <v>43921</v>
      </c>
      <c r="Y415" t="s">
        <v>51</v>
      </c>
      <c r="Z415" t="s">
        <v>43</v>
      </c>
      <c r="AA415" t="s">
        <v>41</v>
      </c>
      <c r="AB415" t="s">
        <v>52</v>
      </c>
      <c r="AC415" t="s">
        <v>53</v>
      </c>
      <c r="AF415" t="s">
        <v>59</v>
      </c>
      <c r="AG415" s="1">
        <v>43838</v>
      </c>
      <c r="AH415" t="s">
        <v>42</v>
      </c>
      <c r="AI415" t="s">
        <v>55</v>
      </c>
      <c r="AJ415">
        <v>12788092</v>
      </c>
      <c r="AK415">
        <v>250000</v>
      </c>
      <c r="AL415">
        <v>1500000</v>
      </c>
    </row>
    <row r="416" spans="1:38" x14ac:dyDescent="0.25">
      <c r="A416" t="s">
        <v>211</v>
      </c>
      <c r="B416" t="s">
        <v>212</v>
      </c>
      <c r="C416" t="s">
        <v>71</v>
      </c>
      <c r="D416" s="1">
        <v>43405</v>
      </c>
      <c r="E416" s="1">
        <v>43769</v>
      </c>
      <c r="F416" t="s">
        <v>41</v>
      </c>
      <c r="G416">
        <v>1</v>
      </c>
      <c r="H416" t="s">
        <v>42</v>
      </c>
      <c r="I416" t="s">
        <v>43</v>
      </c>
      <c r="J416" t="s">
        <v>41</v>
      </c>
      <c r="K416" t="s">
        <v>44</v>
      </c>
      <c r="L416">
        <v>92812.5</v>
      </c>
      <c r="M416" s="1">
        <v>43405</v>
      </c>
      <c r="N416" t="s">
        <v>45</v>
      </c>
      <c r="O416" t="s">
        <v>44</v>
      </c>
      <c r="P416" t="s">
        <v>47</v>
      </c>
      <c r="Q416" s="1">
        <v>43852</v>
      </c>
      <c r="R416" t="s">
        <v>48</v>
      </c>
      <c r="S416" t="s">
        <v>62</v>
      </c>
      <c r="T416" t="s">
        <v>63</v>
      </c>
      <c r="U416" t="s">
        <v>42</v>
      </c>
      <c r="V416">
        <v>0</v>
      </c>
      <c r="W416">
        <v>100000</v>
      </c>
      <c r="X416" s="1">
        <v>43982</v>
      </c>
      <c r="Y416" t="s">
        <v>51</v>
      </c>
      <c r="Z416" t="s">
        <v>43</v>
      </c>
      <c r="AA416" t="s">
        <v>41</v>
      </c>
      <c r="AB416" t="s">
        <v>52</v>
      </c>
      <c r="AC416" t="s">
        <v>53</v>
      </c>
      <c r="AF416" t="s">
        <v>54</v>
      </c>
      <c r="AG416" s="1">
        <v>43832</v>
      </c>
      <c r="AH416" t="s">
        <v>42</v>
      </c>
      <c r="AI416" t="s">
        <v>55</v>
      </c>
      <c r="AJ416">
        <v>12788092</v>
      </c>
      <c r="AK416">
        <v>250000</v>
      </c>
      <c r="AL416">
        <v>1500000</v>
      </c>
    </row>
    <row r="417" spans="1:38" x14ac:dyDescent="0.25">
      <c r="A417" t="s">
        <v>211</v>
      </c>
      <c r="B417" t="s">
        <v>212</v>
      </c>
      <c r="C417" t="s">
        <v>71</v>
      </c>
      <c r="D417" s="1">
        <v>43405</v>
      </c>
      <c r="E417" s="1">
        <v>43769</v>
      </c>
      <c r="F417" t="s">
        <v>41</v>
      </c>
      <c r="G417">
        <v>1</v>
      </c>
      <c r="H417" t="s">
        <v>42</v>
      </c>
      <c r="I417" t="s">
        <v>43</v>
      </c>
      <c r="J417" t="s">
        <v>41</v>
      </c>
      <c r="K417" t="s">
        <v>44</v>
      </c>
      <c r="L417">
        <v>92812.5</v>
      </c>
      <c r="M417" s="1">
        <v>43405</v>
      </c>
      <c r="N417" t="s">
        <v>45</v>
      </c>
      <c r="O417" t="s">
        <v>44</v>
      </c>
      <c r="P417" t="s">
        <v>47</v>
      </c>
      <c r="Q417" s="1">
        <v>43852</v>
      </c>
      <c r="R417" t="s">
        <v>48</v>
      </c>
      <c r="S417" t="s">
        <v>62</v>
      </c>
      <c r="T417" t="s">
        <v>63</v>
      </c>
      <c r="U417" t="s">
        <v>42</v>
      </c>
      <c r="V417">
        <v>0</v>
      </c>
      <c r="W417">
        <v>100000</v>
      </c>
      <c r="X417" s="1">
        <v>43982</v>
      </c>
      <c r="Y417" t="s">
        <v>51</v>
      </c>
      <c r="Z417" t="s">
        <v>43</v>
      </c>
      <c r="AA417" t="s">
        <v>41</v>
      </c>
      <c r="AB417" t="s">
        <v>52</v>
      </c>
      <c r="AC417" t="s">
        <v>53</v>
      </c>
      <c r="AF417" t="s">
        <v>56</v>
      </c>
      <c r="AG417" s="1">
        <v>43833</v>
      </c>
      <c r="AH417" t="s">
        <v>42</v>
      </c>
      <c r="AI417" t="s">
        <v>55</v>
      </c>
      <c r="AJ417">
        <v>12788092</v>
      </c>
      <c r="AK417">
        <v>250000</v>
      </c>
      <c r="AL417">
        <v>1500000</v>
      </c>
    </row>
    <row r="418" spans="1:38" x14ac:dyDescent="0.25">
      <c r="A418" t="s">
        <v>211</v>
      </c>
      <c r="B418" t="s">
        <v>212</v>
      </c>
      <c r="C418" t="s">
        <v>71</v>
      </c>
      <c r="D418" s="1">
        <v>43405</v>
      </c>
      <c r="E418" s="1">
        <v>43769</v>
      </c>
      <c r="F418" t="s">
        <v>41</v>
      </c>
      <c r="G418">
        <v>1</v>
      </c>
      <c r="H418" t="s">
        <v>42</v>
      </c>
      <c r="I418" t="s">
        <v>43</v>
      </c>
      <c r="J418" t="s">
        <v>41</v>
      </c>
      <c r="K418" t="s">
        <v>44</v>
      </c>
      <c r="L418">
        <v>92812.5</v>
      </c>
      <c r="M418" s="1">
        <v>43405</v>
      </c>
      <c r="N418" t="s">
        <v>45</v>
      </c>
      <c r="O418" t="s">
        <v>44</v>
      </c>
      <c r="P418" t="s">
        <v>47</v>
      </c>
      <c r="Q418" s="1">
        <v>43852</v>
      </c>
      <c r="R418" t="s">
        <v>48</v>
      </c>
      <c r="S418" t="s">
        <v>62</v>
      </c>
      <c r="T418" t="s">
        <v>63</v>
      </c>
      <c r="U418" t="s">
        <v>42</v>
      </c>
      <c r="V418">
        <v>0</v>
      </c>
      <c r="W418">
        <v>100000</v>
      </c>
      <c r="X418" s="1">
        <v>43982</v>
      </c>
      <c r="Y418" t="s">
        <v>51</v>
      </c>
      <c r="Z418" t="s">
        <v>43</v>
      </c>
      <c r="AA418" t="s">
        <v>41</v>
      </c>
      <c r="AB418" t="s">
        <v>52</v>
      </c>
      <c r="AC418" t="s">
        <v>53</v>
      </c>
      <c r="AF418" t="s">
        <v>57</v>
      </c>
      <c r="AG418" s="1">
        <v>43836</v>
      </c>
      <c r="AH418" t="s">
        <v>42</v>
      </c>
      <c r="AI418" t="s">
        <v>55</v>
      </c>
      <c r="AJ418">
        <v>12788092</v>
      </c>
      <c r="AK418">
        <v>250000</v>
      </c>
      <c r="AL418">
        <v>1500000</v>
      </c>
    </row>
    <row r="419" spans="1:38" x14ac:dyDescent="0.25">
      <c r="A419" t="s">
        <v>211</v>
      </c>
      <c r="B419" t="s">
        <v>212</v>
      </c>
      <c r="C419" t="s">
        <v>71</v>
      </c>
      <c r="D419" s="1">
        <v>43405</v>
      </c>
      <c r="E419" s="1">
        <v>43769</v>
      </c>
      <c r="F419" t="s">
        <v>41</v>
      </c>
      <c r="G419">
        <v>1</v>
      </c>
      <c r="H419" t="s">
        <v>42</v>
      </c>
      <c r="I419" t="s">
        <v>43</v>
      </c>
      <c r="J419" t="s">
        <v>41</v>
      </c>
      <c r="K419" t="s">
        <v>44</v>
      </c>
      <c r="L419">
        <v>92812.5</v>
      </c>
      <c r="M419" s="1">
        <v>43405</v>
      </c>
      <c r="N419" t="s">
        <v>45</v>
      </c>
      <c r="O419" t="s">
        <v>44</v>
      </c>
      <c r="P419" t="s">
        <v>47</v>
      </c>
      <c r="Q419" s="1">
        <v>43852</v>
      </c>
      <c r="R419" t="s">
        <v>48</v>
      </c>
      <c r="S419" t="s">
        <v>62</v>
      </c>
      <c r="T419" t="s">
        <v>63</v>
      </c>
      <c r="U419" t="s">
        <v>42</v>
      </c>
      <c r="V419">
        <v>0</v>
      </c>
      <c r="W419">
        <v>100000</v>
      </c>
      <c r="X419" s="1">
        <v>43982</v>
      </c>
      <c r="Y419" t="s">
        <v>51</v>
      </c>
      <c r="Z419" t="s">
        <v>43</v>
      </c>
      <c r="AA419" t="s">
        <v>41</v>
      </c>
      <c r="AB419" t="s">
        <v>52</v>
      </c>
      <c r="AC419" t="s">
        <v>53</v>
      </c>
      <c r="AF419" t="s">
        <v>58</v>
      </c>
      <c r="AG419" s="1">
        <v>43837</v>
      </c>
      <c r="AH419" t="s">
        <v>42</v>
      </c>
      <c r="AI419" t="s">
        <v>55</v>
      </c>
      <c r="AJ419">
        <v>12788092</v>
      </c>
      <c r="AK419">
        <v>250000</v>
      </c>
      <c r="AL419">
        <v>1500000</v>
      </c>
    </row>
    <row r="420" spans="1:38" x14ac:dyDescent="0.25">
      <c r="A420" t="s">
        <v>211</v>
      </c>
      <c r="B420" t="s">
        <v>212</v>
      </c>
      <c r="C420" t="s">
        <v>71</v>
      </c>
      <c r="D420" s="1">
        <v>43405</v>
      </c>
      <c r="E420" s="1">
        <v>43769</v>
      </c>
      <c r="F420" t="s">
        <v>41</v>
      </c>
      <c r="G420">
        <v>1</v>
      </c>
      <c r="H420" t="s">
        <v>42</v>
      </c>
      <c r="I420" t="s">
        <v>43</v>
      </c>
      <c r="J420" t="s">
        <v>41</v>
      </c>
      <c r="K420" t="s">
        <v>44</v>
      </c>
      <c r="L420">
        <v>92812.5</v>
      </c>
      <c r="M420" s="1">
        <v>43405</v>
      </c>
      <c r="N420" t="s">
        <v>45</v>
      </c>
      <c r="O420" t="s">
        <v>44</v>
      </c>
      <c r="P420" t="s">
        <v>47</v>
      </c>
      <c r="Q420" s="1">
        <v>43852</v>
      </c>
      <c r="R420" t="s">
        <v>48</v>
      </c>
      <c r="S420" t="s">
        <v>62</v>
      </c>
      <c r="T420" t="s">
        <v>63</v>
      </c>
      <c r="U420" t="s">
        <v>42</v>
      </c>
      <c r="V420">
        <v>0</v>
      </c>
      <c r="W420">
        <v>100000</v>
      </c>
      <c r="X420" s="1">
        <v>43982</v>
      </c>
      <c r="Y420" t="s">
        <v>51</v>
      </c>
      <c r="Z420" t="s">
        <v>43</v>
      </c>
      <c r="AA420" t="s">
        <v>41</v>
      </c>
      <c r="AB420" t="s">
        <v>52</v>
      </c>
      <c r="AC420" t="s">
        <v>53</v>
      </c>
      <c r="AF420" t="s">
        <v>59</v>
      </c>
      <c r="AG420" s="1">
        <v>43838</v>
      </c>
      <c r="AH420" t="s">
        <v>42</v>
      </c>
      <c r="AI420" t="s">
        <v>55</v>
      </c>
      <c r="AJ420">
        <v>12788092</v>
      </c>
      <c r="AK420">
        <v>250000</v>
      </c>
      <c r="AL420">
        <v>1500000</v>
      </c>
    </row>
    <row r="421" spans="1:38" x14ac:dyDescent="0.25">
      <c r="A421" t="s">
        <v>211</v>
      </c>
      <c r="B421" t="s">
        <v>212</v>
      </c>
      <c r="C421" t="s">
        <v>71</v>
      </c>
      <c r="D421" s="1">
        <v>43405</v>
      </c>
      <c r="E421" s="1">
        <v>43769</v>
      </c>
      <c r="F421" t="s">
        <v>41</v>
      </c>
      <c r="G421">
        <v>1</v>
      </c>
      <c r="H421" t="s">
        <v>42</v>
      </c>
      <c r="I421" t="s">
        <v>43</v>
      </c>
      <c r="J421" t="s">
        <v>41</v>
      </c>
      <c r="K421" t="s">
        <v>44</v>
      </c>
      <c r="L421">
        <v>92812.5</v>
      </c>
      <c r="M421" s="1">
        <v>43405</v>
      </c>
      <c r="N421" t="s">
        <v>45</v>
      </c>
      <c r="O421" t="s">
        <v>44</v>
      </c>
      <c r="P421" t="s">
        <v>47</v>
      </c>
      <c r="Q421" s="1">
        <v>43852</v>
      </c>
      <c r="R421" t="s">
        <v>48</v>
      </c>
      <c r="S421" t="s">
        <v>64</v>
      </c>
      <c r="T421" t="s">
        <v>65</v>
      </c>
      <c r="U421" t="s">
        <v>42</v>
      </c>
      <c r="V421">
        <v>0</v>
      </c>
      <c r="W421">
        <v>100000</v>
      </c>
      <c r="X421" s="1">
        <v>43921</v>
      </c>
      <c r="Y421" t="s">
        <v>51</v>
      </c>
      <c r="Z421" t="s">
        <v>43</v>
      </c>
      <c r="AA421" t="s">
        <v>41</v>
      </c>
      <c r="AB421" t="s">
        <v>52</v>
      </c>
      <c r="AC421" t="s">
        <v>53</v>
      </c>
      <c r="AF421" t="s">
        <v>54</v>
      </c>
      <c r="AG421" s="1">
        <v>43832</v>
      </c>
      <c r="AH421" t="s">
        <v>42</v>
      </c>
      <c r="AI421" t="s">
        <v>55</v>
      </c>
      <c r="AJ421">
        <v>12788092</v>
      </c>
      <c r="AK421">
        <v>250000</v>
      </c>
      <c r="AL421">
        <v>1500000</v>
      </c>
    </row>
    <row r="422" spans="1:38" x14ac:dyDescent="0.25">
      <c r="A422" t="s">
        <v>211</v>
      </c>
      <c r="B422" t="s">
        <v>212</v>
      </c>
      <c r="C422" t="s">
        <v>71</v>
      </c>
      <c r="D422" s="1">
        <v>43405</v>
      </c>
      <c r="E422" s="1">
        <v>43769</v>
      </c>
      <c r="F422" t="s">
        <v>41</v>
      </c>
      <c r="G422">
        <v>1</v>
      </c>
      <c r="H422" t="s">
        <v>42</v>
      </c>
      <c r="I422" t="s">
        <v>43</v>
      </c>
      <c r="J422" t="s">
        <v>41</v>
      </c>
      <c r="K422" t="s">
        <v>44</v>
      </c>
      <c r="L422">
        <v>92812.5</v>
      </c>
      <c r="M422" s="1">
        <v>43405</v>
      </c>
      <c r="N422" t="s">
        <v>45</v>
      </c>
      <c r="O422" t="s">
        <v>44</v>
      </c>
      <c r="P422" t="s">
        <v>47</v>
      </c>
      <c r="Q422" s="1">
        <v>43852</v>
      </c>
      <c r="R422" t="s">
        <v>48</v>
      </c>
      <c r="S422" t="s">
        <v>64</v>
      </c>
      <c r="T422" t="s">
        <v>65</v>
      </c>
      <c r="U422" t="s">
        <v>42</v>
      </c>
      <c r="V422">
        <v>0</v>
      </c>
      <c r="W422">
        <v>100000</v>
      </c>
      <c r="X422" s="1">
        <v>43921</v>
      </c>
      <c r="Y422" t="s">
        <v>51</v>
      </c>
      <c r="Z422" t="s">
        <v>43</v>
      </c>
      <c r="AA422" t="s">
        <v>41</v>
      </c>
      <c r="AB422" t="s">
        <v>52</v>
      </c>
      <c r="AC422" t="s">
        <v>53</v>
      </c>
      <c r="AF422" t="s">
        <v>56</v>
      </c>
      <c r="AG422" s="1">
        <v>43833</v>
      </c>
      <c r="AH422" t="s">
        <v>42</v>
      </c>
      <c r="AI422" t="s">
        <v>55</v>
      </c>
      <c r="AJ422">
        <v>12788092</v>
      </c>
      <c r="AK422">
        <v>250000</v>
      </c>
      <c r="AL422">
        <v>1500000</v>
      </c>
    </row>
    <row r="423" spans="1:38" x14ac:dyDescent="0.25">
      <c r="A423" t="s">
        <v>211</v>
      </c>
      <c r="B423" t="s">
        <v>212</v>
      </c>
      <c r="C423" t="s">
        <v>71</v>
      </c>
      <c r="D423" s="1">
        <v>43405</v>
      </c>
      <c r="E423" s="1">
        <v>43769</v>
      </c>
      <c r="F423" t="s">
        <v>41</v>
      </c>
      <c r="G423">
        <v>1</v>
      </c>
      <c r="H423" t="s">
        <v>42</v>
      </c>
      <c r="I423" t="s">
        <v>43</v>
      </c>
      <c r="J423" t="s">
        <v>41</v>
      </c>
      <c r="K423" t="s">
        <v>44</v>
      </c>
      <c r="L423">
        <v>92812.5</v>
      </c>
      <c r="M423" s="1">
        <v>43405</v>
      </c>
      <c r="N423" t="s">
        <v>45</v>
      </c>
      <c r="O423" t="s">
        <v>44</v>
      </c>
      <c r="P423" t="s">
        <v>47</v>
      </c>
      <c r="Q423" s="1">
        <v>43852</v>
      </c>
      <c r="R423" t="s">
        <v>48</v>
      </c>
      <c r="S423" t="s">
        <v>64</v>
      </c>
      <c r="T423" t="s">
        <v>65</v>
      </c>
      <c r="U423" t="s">
        <v>42</v>
      </c>
      <c r="V423">
        <v>0</v>
      </c>
      <c r="W423">
        <v>100000</v>
      </c>
      <c r="X423" s="1">
        <v>43921</v>
      </c>
      <c r="Y423" t="s">
        <v>51</v>
      </c>
      <c r="Z423" t="s">
        <v>43</v>
      </c>
      <c r="AA423" t="s">
        <v>41</v>
      </c>
      <c r="AB423" t="s">
        <v>52</v>
      </c>
      <c r="AC423" t="s">
        <v>53</v>
      </c>
      <c r="AF423" t="s">
        <v>57</v>
      </c>
      <c r="AG423" s="1">
        <v>43836</v>
      </c>
      <c r="AH423" t="s">
        <v>42</v>
      </c>
      <c r="AI423" t="s">
        <v>55</v>
      </c>
      <c r="AJ423">
        <v>12788092</v>
      </c>
      <c r="AK423">
        <v>250000</v>
      </c>
      <c r="AL423">
        <v>1500000</v>
      </c>
    </row>
    <row r="424" spans="1:38" x14ac:dyDescent="0.25">
      <c r="A424" t="s">
        <v>211</v>
      </c>
      <c r="B424" t="s">
        <v>212</v>
      </c>
      <c r="C424" t="s">
        <v>71</v>
      </c>
      <c r="D424" s="1">
        <v>43405</v>
      </c>
      <c r="E424" s="1">
        <v>43769</v>
      </c>
      <c r="F424" t="s">
        <v>41</v>
      </c>
      <c r="G424">
        <v>1</v>
      </c>
      <c r="H424" t="s">
        <v>42</v>
      </c>
      <c r="I424" t="s">
        <v>43</v>
      </c>
      <c r="J424" t="s">
        <v>41</v>
      </c>
      <c r="K424" t="s">
        <v>44</v>
      </c>
      <c r="L424">
        <v>92812.5</v>
      </c>
      <c r="M424" s="1">
        <v>43405</v>
      </c>
      <c r="N424" t="s">
        <v>45</v>
      </c>
      <c r="O424" t="s">
        <v>44</v>
      </c>
      <c r="P424" t="s">
        <v>47</v>
      </c>
      <c r="Q424" s="1">
        <v>43852</v>
      </c>
      <c r="R424" t="s">
        <v>48</v>
      </c>
      <c r="S424" t="s">
        <v>64</v>
      </c>
      <c r="T424" t="s">
        <v>65</v>
      </c>
      <c r="U424" t="s">
        <v>42</v>
      </c>
      <c r="V424">
        <v>0</v>
      </c>
      <c r="W424">
        <v>100000</v>
      </c>
      <c r="X424" s="1">
        <v>43921</v>
      </c>
      <c r="Y424" t="s">
        <v>51</v>
      </c>
      <c r="Z424" t="s">
        <v>43</v>
      </c>
      <c r="AA424" t="s">
        <v>41</v>
      </c>
      <c r="AB424" t="s">
        <v>52</v>
      </c>
      <c r="AC424" t="s">
        <v>53</v>
      </c>
      <c r="AF424" t="s">
        <v>58</v>
      </c>
      <c r="AG424" s="1">
        <v>43837</v>
      </c>
      <c r="AH424" t="s">
        <v>42</v>
      </c>
      <c r="AI424" t="s">
        <v>55</v>
      </c>
      <c r="AJ424">
        <v>12788092</v>
      </c>
      <c r="AK424">
        <v>250000</v>
      </c>
      <c r="AL424">
        <v>1500000</v>
      </c>
    </row>
    <row r="425" spans="1:38" x14ac:dyDescent="0.25">
      <c r="A425" t="s">
        <v>211</v>
      </c>
      <c r="B425" t="s">
        <v>212</v>
      </c>
      <c r="C425" t="s">
        <v>71</v>
      </c>
      <c r="D425" s="1">
        <v>43405</v>
      </c>
      <c r="E425" s="1">
        <v>43769</v>
      </c>
      <c r="F425" t="s">
        <v>41</v>
      </c>
      <c r="G425">
        <v>1</v>
      </c>
      <c r="H425" t="s">
        <v>42</v>
      </c>
      <c r="I425" t="s">
        <v>43</v>
      </c>
      <c r="J425" t="s">
        <v>41</v>
      </c>
      <c r="K425" t="s">
        <v>44</v>
      </c>
      <c r="L425">
        <v>92812.5</v>
      </c>
      <c r="M425" s="1">
        <v>43405</v>
      </c>
      <c r="N425" t="s">
        <v>45</v>
      </c>
      <c r="O425" t="s">
        <v>44</v>
      </c>
      <c r="P425" t="s">
        <v>47</v>
      </c>
      <c r="Q425" s="1">
        <v>43852</v>
      </c>
      <c r="R425" t="s">
        <v>48</v>
      </c>
      <c r="S425" t="s">
        <v>64</v>
      </c>
      <c r="T425" t="s">
        <v>65</v>
      </c>
      <c r="U425" t="s">
        <v>42</v>
      </c>
      <c r="V425">
        <v>0</v>
      </c>
      <c r="W425">
        <v>100000</v>
      </c>
      <c r="X425" s="1">
        <v>43921</v>
      </c>
      <c r="Y425" t="s">
        <v>51</v>
      </c>
      <c r="Z425" t="s">
        <v>43</v>
      </c>
      <c r="AA425" t="s">
        <v>41</v>
      </c>
      <c r="AB425" t="s">
        <v>52</v>
      </c>
      <c r="AC425" t="s">
        <v>53</v>
      </c>
      <c r="AF425" t="s">
        <v>59</v>
      </c>
      <c r="AG425" s="1">
        <v>43838</v>
      </c>
      <c r="AH425" t="s">
        <v>42</v>
      </c>
      <c r="AI425" t="s">
        <v>55</v>
      </c>
      <c r="AJ425">
        <v>12788092</v>
      </c>
      <c r="AK425">
        <v>250000</v>
      </c>
      <c r="AL425">
        <v>1500000</v>
      </c>
    </row>
    <row r="426" spans="1:38" x14ac:dyDescent="0.25">
      <c r="A426" t="s">
        <v>213</v>
      </c>
      <c r="B426" t="s">
        <v>214</v>
      </c>
      <c r="C426" t="s">
        <v>40</v>
      </c>
      <c r="D426" s="1">
        <v>43783</v>
      </c>
      <c r="E426" s="1">
        <v>44148</v>
      </c>
      <c r="F426" t="s">
        <v>41</v>
      </c>
      <c r="G426">
        <v>1</v>
      </c>
      <c r="H426" t="s">
        <v>42</v>
      </c>
      <c r="I426" t="s">
        <v>43</v>
      </c>
      <c r="J426" t="s">
        <v>41</v>
      </c>
      <c r="K426" t="s">
        <v>44</v>
      </c>
      <c r="L426">
        <v>18562.5</v>
      </c>
      <c r="M426" s="1">
        <v>43783</v>
      </c>
      <c r="N426" t="s">
        <v>45</v>
      </c>
      <c r="O426" t="s">
        <v>44</v>
      </c>
      <c r="P426" t="s">
        <v>47</v>
      </c>
      <c r="Q426" s="1">
        <v>43852</v>
      </c>
      <c r="R426" t="s">
        <v>48</v>
      </c>
      <c r="S426" t="s">
        <v>49</v>
      </c>
      <c r="T426" t="s">
        <v>50</v>
      </c>
      <c r="U426" t="s">
        <v>42</v>
      </c>
      <c r="V426">
        <v>0</v>
      </c>
      <c r="W426">
        <v>100000</v>
      </c>
      <c r="X426" s="1">
        <v>44012</v>
      </c>
      <c r="Y426" t="s">
        <v>51</v>
      </c>
      <c r="Z426" t="s">
        <v>43</v>
      </c>
      <c r="AA426" t="s">
        <v>41</v>
      </c>
      <c r="AB426" t="s">
        <v>52</v>
      </c>
      <c r="AC426" t="s">
        <v>53</v>
      </c>
      <c r="AF426" t="s">
        <v>54</v>
      </c>
      <c r="AG426" s="1">
        <v>43832</v>
      </c>
      <c r="AH426" t="s">
        <v>42</v>
      </c>
      <c r="AI426" t="s">
        <v>55</v>
      </c>
      <c r="AJ426">
        <v>12788092</v>
      </c>
      <c r="AK426">
        <v>250000</v>
      </c>
      <c r="AL426">
        <v>1500000</v>
      </c>
    </row>
    <row r="427" spans="1:38" x14ac:dyDescent="0.25">
      <c r="A427" t="s">
        <v>213</v>
      </c>
      <c r="B427" t="s">
        <v>214</v>
      </c>
      <c r="C427" t="s">
        <v>40</v>
      </c>
      <c r="D427" s="1">
        <v>43783</v>
      </c>
      <c r="E427" s="1">
        <v>44148</v>
      </c>
      <c r="F427" t="s">
        <v>41</v>
      </c>
      <c r="G427">
        <v>1</v>
      </c>
      <c r="H427" t="s">
        <v>42</v>
      </c>
      <c r="I427" t="s">
        <v>43</v>
      </c>
      <c r="J427" t="s">
        <v>41</v>
      </c>
      <c r="K427" t="s">
        <v>44</v>
      </c>
      <c r="L427">
        <v>18562.5</v>
      </c>
      <c r="M427" s="1">
        <v>43783</v>
      </c>
      <c r="N427" t="s">
        <v>45</v>
      </c>
      <c r="O427" t="s">
        <v>44</v>
      </c>
      <c r="P427" t="s">
        <v>47</v>
      </c>
      <c r="Q427" s="1">
        <v>43852</v>
      </c>
      <c r="R427" t="s">
        <v>48</v>
      </c>
      <c r="S427" t="s">
        <v>49</v>
      </c>
      <c r="T427" t="s">
        <v>50</v>
      </c>
      <c r="U427" t="s">
        <v>42</v>
      </c>
      <c r="V427">
        <v>0</v>
      </c>
      <c r="W427">
        <v>100000</v>
      </c>
      <c r="X427" s="1">
        <v>44012</v>
      </c>
      <c r="Y427" t="s">
        <v>51</v>
      </c>
      <c r="Z427" t="s">
        <v>43</v>
      </c>
      <c r="AA427" t="s">
        <v>41</v>
      </c>
      <c r="AB427" t="s">
        <v>52</v>
      </c>
      <c r="AC427" t="s">
        <v>53</v>
      </c>
      <c r="AF427" t="s">
        <v>56</v>
      </c>
      <c r="AG427" s="1">
        <v>43833</v>
      </c>
      <c r="AH427" t="s">
        <v>42</v>
      </c>
      <c r="AI427" t="s">
        <v>55</v>
      </c>
      <c r="AJ427">
        <v>12788092</v>
      </c>
      <c r="AK427">
        <v>250000</v>
      </c>
      <c r="AL427">
        <v>1500000</v>
      </c>
    </row>
    <row r="428" spans="1:38" x14ac:dyDescent="0.25">
      <c r="A428" t="s">
        <v>213</v>
      </c>
      <c r="B428" t="s">
        <v>214</v>
      </c>
      <c r="C428" t="s">
        <v>40</v>
      </c>
      <c r="D428" s="1">
        <v>43783</v>
      </c>
      <c r="E428" s="1">
        <v>44148</v>
      </c>
      <c r="F428" t="s">
        <v>41</v>
      </c>
      <c r="G428">
        <v>1</v>
      </c>
      <c r="H428" t="s">
        <v>42</v>
      </c>
      <c r="I428" t="s">
        <v>43</v>
      </c>
      <c r="J428" t="s">
        <v>41</v>
      </c>
      <c r="K428" t="s">
        <v>44</v>
      </c>
      <c r="L428">
        <v>18562.5</v>
      </c>
      <c r="M428" s="1">
        <v>43783</v>
      </c>
      <c r="N428" t="s">
        <v>45</v>
      </c>
      <c r="O428" t="s">
        <v>44</v>
      </c>
      <c r="P428" t="s">
        <v>47</v>
      </c>
      <c r="Q428" s="1">
        <v>43852</v>
      </c>
      <c r="R428" t="s">
        <v>48</v>
      </c>
      <c r="S428" t="s">
        <v>49</v>
      </c>
      <c r="T428" t="s">
        <v>50</v>
      </c>
      <c r="U428" t="s">
        <v>42</v>
      </c>
      <c r="V428">
        <v>0</v>
      </c>
      <c r="W428">
        <v>100000</v>
      </c>
      <c r="X428" s="1">
        <v>44012</v>
      </c>
      <c r="Y428" t="s">
        <v>51</v>
      </c>
      <c r="Z428" t="s">
        <v>43</v>
      </c>
      <c r="AA428" t="s">
        <v>41</v>
      </c>
      <c r="AB428" t="s">
        <v>52</v>
      </c>
      <c r="AC428" t="s">
        <v>53</v>
      </c>
      <c r="AF428" t="s">
        <v>57</v>
      </c>
      <c r="AG428" s="1">
        <v>43836</v>
      </c>
      <c r="AH428" t="s">
        <v>42</v>
      </c>
      <c r="AI428" t="s">
        <v>55</v>
      </c>
      <c r="AJ428">
        <v>12788092</v>
      </c>
      <c r="AK428">
        <v>250000</v>
      </c>
      <c r="AL428">
        <v>1500000</v>
      </c>
    </row>
    <row r="429" spans="1:38" x14ac:dyDescent="0.25">
      <c r="A429" t="s">
        <v>213</v>
      </c>
      <c r="B429" t="s">
        <v>214</v>
      </c>
      <c r="C429" t="s">
        <v>40</v>
      </c>
      <c r="D429" s="1">
        <v>43783</v>
      </c>
      <c r="E429" s="1">
        <v>44148</v>
      </c>
      <c r="F429" t="s">
        <v>41</v>
      </c>
      <c r="G429">
        <v>1</v>
      </c>
      <c r="H429" t="s">
        <v>42</v>
      </c>
      <c r="I429" t="s">
        <v>43</v>
      </c>
      <c r="J429" t="s">
        <v>41</v>
      </c>
      <c r="K429" t="s">
        <v>44</v>
      </c>
      <c r="L429">
        <v>18562.5</v>
      </c>
      <c r="M429" s="1">
        <v>43783</v>
      </c>
      <c r="N429" t="s">
        <v>45</v>
      </c>
      <c r="O429" t="s">
        <v>44</v>
      </c>
      <c r="P429" t="s">
        <v>47</v>
      </c>
      <c r="Q429" s="1">
        <v>43852</v>
      </c>
      <c r="R429" t="s">
        <v>48</v>
      </c>
      <c r="S429" t="s">
        <v>49</v>
      </c>
      <c r="T429" t="s">
        <v>50</v>
      </c>
      <c r="U429" t="s">
        <v>42</v>
      </c>
      <c r="V429">
        <v>0</v>
      </c>
      <c r="W429">
        <v>100000</v>
      </c>
      <c r="X429" s="1">
        <v>44012</v>
      </c>
      <c r="Y429" t="s">
        <v>51</v>
      </c>
      <c r="Z429" t="s">
        <v>43</v>
      </c>
      <c r="AA429" t="s">
        <v>41</v>
      </c>
      <c r="AB429" t="s">
        <v>52</v>
      </c>
      <c r="AC429" t="s">
        <v>53</v>
      </c>
      <c r="AF429" t="s">
        <v>58</v>
      </c>
      <c r="AG429" s="1">
        <v>43837</v>
      </c>
      <c r="AH429" t="s">
        <v>42</v>
      </c>
      <c r="AI429" t="s">
        <v>55</v>
      </c>
      <c r="AJ429">
        <v>12788092</v>
      </c>
      <c r="AK429">
        <v>250000</v>
      </c>
      <c r="AL429">
        <v>1500000</v>
      </c>
    </row>
    <row r="430" spans="1:38" x14ac:dyDescent="0.25">
      <c r="A430" t="s">
        <v>213</v>
      </c>
      <c r="B430" t="s">
        <v>214</v>
      </c>
      <c r="C430" t="s">
        <v>40</v>
      </c>
      <c r="D430" s="1">
        <v>43783</v>
      </c>
      <c r="E430" s="1">
        <v>44148</v>
      </c>
      <c r="F430" t="s">
        <v>41</v>
      </c>
      <c r="G430">
        <v>1</v>
      </c>
      <c r="H430" t="s">
        <v>42</v>
      </c>
      <c r="I430" t="s">
        <v>43</v>
      </c>
      <c r="J430" t="s">
        <v>41</v>
      </c>
      <c r="K430" t="s">
        <v>44</v>
      </c>
      <c r="L430">
        <v>18562.5</v>
      </c>
      <c r="M430" s="1">
        <v>43783</v>
      </c>
      <c r="N430" t="s">
        <v>45</v>
      </c>
      <c r="O430" t="s">
        <v>44</v>
      </c>
      <c r="P430" t="s">
        <v>47</v>
      </c>
      <c r="Q430" s="1">
        <v>43852</v>
      </c>
      <c r="R430" t="s">
        <v>48</v>
      </c>
      <c r="S430" t="s">
        <v>49</v>
      </c>
      <c r="T430" t="s">
        <v>50</v>
      </c>
      <c r="U430" t="s">
        <v>42</v>
      </c>
      <c r="V430">
        <v>0</v>
      </c>
      <c r="W430">
        <v>100000</v>
      </c>
      <c r="X430" s="1">
        <v>44012</v>
      </c>
      <c r="Y430" t="s">
        <v>51</v>
      </c>
      <c r="Z430" t="s">
        <v>43</v>
      </c>
      <c r="AA430" t="s">
        <v>41</v>
      </c>
      <c r="AB430" t="s">
        <v>52</v>
      </c>
      <c r="AC430" t="s">
        <v>53</v>
      </c>
      <c r="AF430" t="s">
        <v>59</v>
      </c>
      <c r="AG430" s="1">
        <v>43838</v>
      </c>
      <c r="AH430" t="s">
        <v>42</v>
      </c>
      <c r="AI430" t="s">
        <v>55</v>
      </c>
      <c r="AJ430">
        <v>12788092</v>
      </c>
      <c r="AK430">
        <v>250000</v>
      </c>
      <c r="AL430">
        <v>1500000</v>
      </c>
    </row>
    <row r="431" spans="1:38" x14ac:dyDescent="0.25">
      <c r="A431" t="s">
        <v>213</v>
      </c>
      <c r="B431" t="s">
        <v>214</v>
      </c>
      <c r="C431" t="s">
        <v>40</v>
      </c>
      <c r="D431" s="1">
        <v>43783</v>
      </c>
      <c r="E431" s="1">
        <v>44148</v>
      </c>
      <c r="F431" t="s">
        <v>41</v>
      </c>
      <c r="G431">
        <v>1</v>
      </c>
      <c r="H431" t="s">
        <v>42</v>
      </c>
      <c r="I431" t="s">
        <v>43</v>
      </c>
      <c r="J431" t="s">
        <v>41</v>
      </c>
      <c r="K431" t="s">
        <v>44</v>
      </c>
      <c r="L431">
        <v>18562.5</v>
      </c>
      <c r="M431" s="1">
        <v>43783</v>
      </c>
      <c r="N431" t="s">
        <v>45</v>
      </c>
      <c r="O431" t="s">
        <v>44</v>
      </c>
      <c r="P431" t="s">
        <v>47</v>
      </c>
      <c r="Q431" s="1">
        <v>43852</v>
      </c>
      <c r="R431" t="s">
        <v>48</v>
      </c>
      <c r="S431" t="s">
        <v>60</v>
      </c>
      <c r="T431" t="s">
        <v>61</v>
      </c>
      <c r="U431" t="s">
        <v>42</v>
      </c>
      <c r="V431">
        <v>0</v>
      </c>
      <c r="W431">
        <v>100000</v>
      </c>
      <c r="X431" s="1">
        <v>43921</v>
      </c>
      <c r="Y431" t="s">
        <v>51</v>
      </c>
      <c r="Z431" t="s">
        <v>43</v>
      </c>
      <c r="AA431" t="s">
        <v>41</v>
      </c>
      <c r="AB431" t="s">
        <v>52</v>
      </c>
      <c r="AC431" t="s">
        <v>53</v>
      </c>
      <c r="AF431" t="s">
        <v>54</v>
      </c>
      <c r="AG431" s="1">
        <v>43832</v>
      </c>
      <c r="AH431" t="s">
        <v>42</v>
      </c>
      <c r="AI431" t="s">
        <v>55</v>
      </c>
      <c r="AJ431">
        <v>12788092</v>
      </c>
      <c r="AK431">
        <v>250000</v>
      </c>
      <c r="AL431">
        <v>1500000</v>
      </c>
    </row>
    <row r="432" spans="1:38" x14ac:dyDescent="0.25">
      <c r="A432" t="s">
        <v>213</v>
      </c>
      <c r="B432" t="s">
        <v>214</v>
      </c>
      <c r="C432" t="s">
        <v>40</v>
      </c>
      <c r="D432" s="1">
        <v>43783</v>
      </c>
      <c r="E432" s="1">
        <v>44148</v>
      </c>
      <c r="F432" t="s">
        <v>41</v>
      </c>
      <c r="G432">
        <v>1</v>
      </c>
      <c r="H432" t="s">
        <v>42</v>
      </c>
      <c r="I432" t="s">
        <v>43</v>
      </c>
      <c r="J432" t="s">
        <v>41</v>
      </c>
      <c r="K432" t="s">
        <v>44</v>
      </c>
      <c r="L432">
        <v>18562.5</v>
      </c>
      <c r="M432" s="1">
        <v>43783</v>
      </c>
      <c r="N432" t="s">
        <v>45</v>
      </c>
      <c r="O432" t="s">
        <v>44</v>
      </c>
      <c r="P432" t="s">
        <v>47</v>
      </c>
      <c r="Q432" s="1">
        <v>43852</v>
      </c>
      <c r="R432" t="s">
        <v>48</v>
      </c>
      <c r="S432" t="s">
        <v>60</v>
      </c>
      <c r="T432" t="s">
        <v>61</v>
      </c>
      <c r="U432" t="s">
        <v>42</v>
      </c>
      <c r="V432">
        <v>0</v>
      </c>
      <c r="W432">
        <v>100000</v>
      </c>
      <c r="X432" s="1">
        <v>43921</v>
      </c>
      <c r="Y432" t="s">
        <v>51</v>
      </c>
      <c r="Z432" t="s">
        <v>43</v>
      </c>
      <c r="AA432" t="s">
        <v>41</v>
      </c>
      <c r="AB432" t="s">
        <v>52</v>
      </c>
      <c r="AC432" t="s">
        <v>53</v>
      </c>
      <c r="AF432" t="s">
        <v>56</v>
      </c>
      <c r="AG432" s="1">
        <v>43833</v>
      </c>
      <c r="AH432" t="s">
        <v>42</v>
      </c>
      <c r="AI432" t="s">
        <v>55</v>
      </c>
      <c r="AJ432">
        <v>12788092</v>
      </c>
      <c r="AK432">
        <v>250000</v>
      </c>
      <c r="AL432">
        <v>1500000</v>
      </c>
    </row>
    <row r="433" spans="1:38" x14ac:dyDescent="0.25">
      <c r="A433" t="s">
        <v>213</v>
      </c>
      <c r="B433" t="s">
        <v>214</v>
      </c>
      <c r="C433" t="s">
        <v>40</v>
      </c>
      <c r="D433" s="1">
        <v>43783</v>
      </c>
      <c r="E433" s="1">
        <v>44148</v>
      </c>
      <c r="F433" t="s">
        <v>41</v>
      </c>
      <c r="G433">
        <v>1</v>
      </c>
      <c r="H433" t="s">
        <v>42</v>
      </c>
      <c r="I433" t="s">
        <v>43</v>
      </c>
      <c r="J433" t="s">
        <v>41</v>
      </c>
      <c r="K433" t="s">
        <v>44</v>
      </c>
      <c r="L433">
        <v>18562.5</v>
      </c>
      <c r="M433" s="1">
        <v>43783</v>
      </c>
      <c r="N433" t="s">
        <v>45</v>
      </c>
      <c r="O433" t="s">
        <v>44</v>
      </c>
      <c r="P433" t="s">
        <v>47</v>
      </c>
      <c r="Q433" s="1">
        <v>43852</v>
      </c>
      <c r="R433" t="s">
        <v>48</v>
      </c>
      <c r="S433" t="s">
        <v>60</v>
      </c>
      <c r="T433" t="s">
        <v>61</v>
      </c>
      <c r="U433" t="s">
        <v>42</v>
      </c>
      <c r="V433">
        <v>0</v>
      </c>
      <c r="W433">
        <v>100000</v>
      </c>
      <c r="X433" s="1">
        <v>43921</v>
      </c>
      <c r="Y433" t="s">
        <v>51</v>
      </c>
      <c r="Z433" t="s">
        <v>43</v>
      </c>
      <c r="AA433" t="s">
        <v>41</v>
      </c>
      <c r="AB433" t="s">
        <v>52</v>
      </c>
      <c r="AC433" t="s">
        <v>53</v>
      </c>
      <c r="AF433" t="s">
        <v>57</v>
      </c>
      <c r="AG433" s="1">
        <v>43836</v>
      </c>
      <c r="AH433" t="s">
        <v>42</v>
      </c>
      <c r="AI433" t="s">
        <v>55</v>
      </c>
      <c r="AJ433">
        <v>12788092</v>
      </c>
      <c r="AK433">
        <v>250000</v>
      </c>
      <c r="AL433">
        <v>1500000</v>
      </c>
    </row>
    <row r="434" spans="1:38" x14ac:dyDescent="0.25">
      <c r="A434" t="s">
        <v>213</v>
      </c>
      <c r="B434" t="s">
        <v>214</v>
      </c>
      <c r="C434" t="s">
        <v>40</v>
      </c>
      <c r="D434" s="1">
        <v>43783</v>
      </c>
      <c r="E434" s="1">
        <v>44148</v>
      </c>
      <c r="F434" t="s">
        <v>41</v>
      </c>
      <c r="G434">
        <v>1</v>
      </c>
      <c r="H434" t="s">
        <v>42</v>
      </c>
      <c r="I434" t="s">
        <v>43</v>
      </c>
      <c r="J434" t="s">
        <v>41</v>
      </c>
      <c r="K434" t="s">
        <v>44</v>
      </c>
      <c r="L434">
        <v>18562.5</v>
      </c>
      <c r="M434" s="1">
        <v>43783</v>
      </c>
      <c r="N434" t="s">
        <v>45</v>
      </c>
      <c r="O434" t="s">
        <v>44</v>
      </c>
      <c r="P434" t="s">
        <v>47</v>
      </c>
      <c r="Q434" s="1">
        <v>43852</v>
      </c>
      <c r="R434" t="s">
        <v>48</v>
      </c>
      <c r="S434" t="s">
        <v>60</v>
      </c>
      <c r="T434" t="s">
        <v>61</v>
      </c>
      <c r="U434" t="s">
        <v>42</v>
      </c>
      <c r="V434">
        <v>0</v>
      </c>
      <c r="W434">
        <v>100000</v>
      </c>
      <c r="X434" s="1">
        <v>43921</v>
      </c>
      <c r="Y434" t="s">
        <v>51</v>
      </c>
      <c r="Z434" t="s">
        <v>43</v>
      </c>
      <c r="AA434" t="s">
        <v>41</v>
      </c>
      <c r="AB434" t="s">
        <v>52</v>
      </c>
      <c r="AC434" t="s">
        <v>53</v>
      </c>
      <c r="AF434" t="s">
        <v>58</v>
      </c>
      <c r="AG434" s="1">
        <v>43837</v>
      </c>
      <c r="AH434" t="s">
        <v>42</v>
      </c>
      <c r="AI434" t="s">
        <v>55</v>
      </c>
      <c r="AJ434">
        <v>12788092</v>
      </c>
      <c r="AK434">
        <v>250000</v>
      </c>
      <c r="AL434">
        <v>1500000</v>
      </c>
    </row>
    <row r="435" spans="1:38" x14ac:dyDescent="0.25">
      <c r="A435" t="s">
        <v>213</v>
      </c>
      <c r="B435" t="s">
        <v>214</v>
      </c>
      <c r="C435" t="s">
        <v>40</v>
      </c>
      <c r="D435" s="1">
        <v>43783</v>
      </c>
      <c r="E435" s="1">
        <v>44148</v>
      </c>
      <c r="F435" t="s">
        <v>41</v>
      </c>
      <c r="G435">
        <v>1</v>
      </c>
      <c r="H435" t="s">
        <v>42</v>
      </c>
      <c r="I435" t="s">
        <v>43</v>
      </c>
      <c r="J435" t="s">
        <v>41</v>
      </c>
      <c r="K435" t="s">
        <v>44</v>
      </c>
      <c r="L435">
        <v>18562.5</v>
      </c>
      <c r="M435" s="1">
        <v>43783</v>
      </c>
      <c r="N435" t="s">
        <v>45</v>
      </c>
      <c r="O435" t="s">
        <v>44</v>
      </c>
      <c r="P435" t="s">
        <v>47</v>
      </c>
      <c r="Q435" s="1">
        <v>43852</v>
      </c>
      <c r="R435" t="s">
        <v>48</v>
      </c>
      <c r="S435" t="s">
        <v>60</v>
      </c>
      <c r="T435" t="s">
        <v>61</v>
      </c>
      <c r="U435" t="s">
        <v>42</v>
      </c>
      <c r="V435">
        <v>0</v>
      </c>
      <c r="W435">
        <v>100000</v>
      </c>
      <c r="X435" s="1">
        <v>43921</v>
      </c>
      <c r="Y435" t="s">
        <v>51</v>
      </c>
      <c r="Z435" t="s">
        <v>43</v>
      </c>
      <c r="AA435" t="s">
        <v>41</v>
      </c>
      <c r="AB435" t="s">
        <v>52</v>
      </c>
      <c r="AC435" t="s">
        <v>53</v>
      </c>
      <c r="AF435" t="s">
        <v>59</v>
      </c>
      <c r="AG435" s="1">
        <v>43838</v>
      </c>
      <c r="AH435" t="s">
        <v>42</v>
      </c>
      <c r="AI435" t="s">
        <v>55</v>
      </c>
      <c r="AJ435">
        <v>12788092</v>
      </c>
      <c r="AK435">
        <v>250000</v>
      </c>
      <c r="AL435">
        <v>1500000</v>
      </c>
    </row>
    <row r="436" spans="1:38" x14ac:dyDescent="0.25">
      <c r="A436" t="s">
        <v>213</v>
      </c>
      <c r="B436" t="s">
        <v>214</v>
      </c>
      <c r="C436" t="s">
        <v>40</v>
      </c>
      <c r="D436" s="1">
        <v>43783</v>
      </c>
      <c r="E436" s="1">
        <v>44148</v>
      </c>
      <c r="F436" t="s">
        <v>41</v>
      </c>
      <c r="G436">
        <v>1</v>
      </c>
      <c r="H436" t="s">
        <v>42</v>
      </c>
      <c r="I436" t="s">
        <v>43</v>
      </c>
      <c r="J436" t="s">
        <v>41</v>
      </c>
      <c r="K436" t="s">
        <v>44</v>
      </c>
      <c r="L436">
        <v>18562.5</v>
      </c>
      <c r="M436" s="1">
        <v>43783</v>
      </c>
      <c r="N436" t="s">
        <v>45</v>
      </c>
      <c r="O436" t="s">
        <v>44</v>
      </c>
      <c r="P436" t="s">
        <v>47</v>
      </c>
      <c r="Q436" s="1">
        <v>43852</v>
      </c>
      <c r="R436" t="s">
        <v>48</v>
      </c>
      <c r="S436" t="s">
        <v>62</v>
      </c>
      <c r="T436" t="s">
        <v>63</v>
      </c>
      <c r="U436" t="s">
        <v>42</v>
      </c>
      <c r="V436">
        <v>0</v>
      </c>
      <c r="W436">
        <v>100000</v>
      </c>
      <c r="X436" s="1">
        <v>43982</v>
      </c>
      <c r="Y436" t="s">
        <v>51</v>
      </c>
      <c r="Z436" t="s">
        <v>43</v>
      </c>
      <c r="AA436" t="s">
        <v>41</v>
      </c>
      <c r="AB436" t="s">
        <v>52</v>
      </c>
      <c r="AC436" t="s">
        <v>53</v>
      </c>
      <c r="AF436" t="s">
        <v>54</v>
      </c>
      <c r="AG436" s="1">
        <v>43832</v>
      </c>
      <c r="AH436" t="s">
        <v>42</v>
      </c>
      <c r="AI436" t="s">
        <v>55</v>
      </c>
      <c r="AJ436">
        <v>12788092</v>
      </c>
      <c r="AK436">
        <v>250000</v>
      </c>
      <c r="AL436">
        <v>1500000</v>
      </c>
    </row>
    <row r="437" spans="1:38" x14ac:dyDescent="0.25">
      <c r="A437" t="s">
        <v>213</v>
      </c>
      <c r="B437" t="s">
        <v>214</v>
      </c>
      <c r="C437" t="s">
        <v>40</v>
      </c>
      <c r="D437" s="1">
        <v>43783</v>
      </c>
      <c r="E437" s="1">
        <v>44148</v>
      </c>
      <c r="F437" t="s">
        <v>41</v>
      </c>
      <c r="G437">
        <v>1</v>
      </c>
      <c r="H437" t="s">
        <v>42</v>
      </c>
      <c r="I437" t="s">
        <v>43</v>
      </c>
      <c r="J437" t="s">
        <v>41</v>
      </c>
      <c r="K437" t="s">
        <v>44</v>
      </c>
      <c r="L437">
        <v>18562.5</v>
      </c>
      <c r="M437" s="1">
        <v>43783</v>
      </c>
      <c r="N437" t="s">
        <v>45</v>
      </c>
      <c r="O437" t="s">
        <v>44</v>
      </c>
      <c r="P437" t="s">
        <v>47</v>
      </c>
      <c r="Q437" s="1">
        <v>43852</v>
      </c>
      <c r="R437" t="s">
        <v>48</v>
      </c>
      <c r="S437" t="s">
        <v>62</v>
      </c>
      <c r="T437" t="s">
        <v>63</v>
      </c>
      <c r="U437" t="s">
        <v>42</v>
      </c>
      <c r="V437">
        <v>0</v>
      </c>
      <c r="W437">
        <v>100000</v>
      </c>
      <c r="X437" s="1">
        <v>43982</v>
      </c>
      <c r="Y437" t="s">
        <v>51</v>
      </c>
      <c r="Z437" t="s">
        <v>43</v>
      </c>
      <c r="AA437" t="s">
        <v>41</v>
      </c>
      <c r="AB437" t="s">
        <v>52</v>
      </c>
      <c r="AC437" t="s">
        <v>53</v>
      </c>
      <c r="AF437" t="s">
        <v>56</v>
      </c>
      <c r="AG437" s="1">
        <v>43833</v>
      </c>
      <c r="AH437" t="s">
        <v>42</v>
      </c>
      <c r="AI437" t="s">
        <v>55</v>
      </c>
      <c r="AJ437">
        <v>12788092</v>
      </c>
      <c r="AK437">
        <v>250000</v>
      </c>
      <c r="AL437">
        <v>1500000</v>
      </c>
    </row>
    <row r="438" spans="1:38" x14ac:dyDescent="0.25">
      <c r="A438" t="s">
        <v>213</v>
      </c>
      <c r="B438" t="s">
        <v>214</v>
      </c>
      <c r="C438" t="s">
        <v>40</v>
      </c>
      <c r="D438" s="1">
        <v>43783</v>
      </c>
      <c r="E438" s="1">
        <v>44148</v>
      </c>
      <c r="F438" t="s">
        <v>41</v>
      </c>
      <c r="G438">
        <v>1</v>
      </c>
      <c r="H438" t="s">
        <v>42</v>
      </c>
      <c r="I438" t="s">
        <v>43</v>
      </c>
      <c r="J438" t="s">
        <v>41</v>
      </c>
      <c r="K438" t="s">
        <v>44</v>
      </c>
      <c r="L438">
        <v>18562.5</v>
      </c>
      <c r="M438" s="1">
        <v>43783</v>
      </c>
      <c r="N438" t="s">
        <v>45</v>
      </c>
      <c r="O438" t="s">
        <v>44</v>
      </c>
      <c r="P438" t="s">
        <v>47</v>
      </c>
      <c r="Q438" s="1">
        <v>43852</v>
      </c>
      <c r="R438" t="s">
        <v>48</v>
      </c>
      <c r="S438" t="s">
        <v>62</v>
      </c>
      <c r="T438" t="s">
        <v>63</v>
      </c>
      <c r="U438" t="s">
        <v>42</v>
      </c>
      <c r="V438">
        <v>0</v>
      </c>
      <c r="W438">
        <v>100000</v>
      </c>
      <c r="X438" s="1">
        <v>43982</v>
      </c>
      <c r="Y438" t="s">
        <v>51</v>
      </c>
      <c r="Z438" t="s">
        <v>43</v>
      </c>
      <c r="AA438" t="s">
        <v>41</v>
      </c>
      <c r="AB438" t="s">
        <v>52</v>
      </c>
      <c r="AC438" t="s">
        <v>53</v>
      </c>
      <c r="AF438" t="s">
        <v>57</v>
      </c>
      <c r="AG438" s="1">
        <v>43836</v>
      </c>
      <c r="AH438" t="s">
        <v>42</v>
      </c>
      <c r="AI438" t="s">
        <v>55</v>
      </c>
      <c r="AJ438">
        <v>12788092</v>
      </c>
      <c r="AK438">
        <v>250000</v>
      </c>
      <c r="AL438">
        <v>1500000</v>
      </c>
    </row>
    <row r="439" spans="1:38" x14ac:dyDescent="0.25">
      <c r="A439" t="s">
        <v>213</v>
      </c>
      <c r="B439" t="s">
        <v>214</v>
      </c>
      <c r="C439" t="s">
        <v>40</v>
      </c>
      <c r="D439" s="1">
        <v>43783</v>
      </c>
      <c r="E439" s="1">
        <v>44148</v>
      </c>
      <c r="F439" t="s">
        <v>41</v>
      </c>
      <c r="G439">
        <v>1</v>
      </c>
      <c r="H439" t="s">
        <v>42</v>
      </c>
      <c r="I439" t="s">
        <v>43</v>
      </c>
      <c r="J439" t="s">
        <v>41</v>
      </c>
      <c r="K439" t="s">
        <v>44</v>
      </c>
      <c r="L439">
        <v>18562.5</v>
      </c>
      <c r="M439" s="1">
        <v>43783</v>
      </c>
      <c r="N439" t="s">
        <v>45</v>
      </c>
      <c r="O439" t="s">
        <v>44</v>
      </c>
      <c r="P439" t="s">
        <v>47</v>
      </c>
      <c r="Q439" s="1">
        <v>43852</v>
      </c>
      <c r="R439" t="s">
        <v>48</v>
      </c>
      <c r="S439" t="s">
        <v>62</v>
      </c>
      <c r="T439" t="s">
        <v>63</v>
      </c>
      <c r="U439" t="s">
        <v>42</v>
      </c>
      <c r="V439">
        <v>0</v>
      </c>
      <c r="W439">
        <v>100000</v>
      </c>
      <c r="X439" s="1">
        <v>43982</v>
      </c>
      <c r="Y439" t="s">
        <v>51</v>
      </c>
      <c r="Z439" t="s">
        <v>43</v>
      </c>
      <c r="AA439" t="s">
        <v>41</v>
      </c>
      <c r="AB439" t="s">
        <v>52</v>
      </c>
      <c r="AC439" t="s">
        <v>53</v>
      </c>
      <c r="AF439" t="s">
        <v>58</v>
      </c>
      <c r="AG439" s="1">
        <v>43837</v>
      </c>
      <c r="AH439" t="s">
        <v>42</v>
      </c>
      <c r="AI439" t="s">
        <v>55</v>
      </c>
      <c r="AJ439">
        <v>12788092</v>
      </c>
      <c r="AK439">
        <v>250000</v>
      </c>
      <c r="AL439">
        <v>1500000</v>
      </c>
    </row>
    <row r="440" spans="1:38" x14ac:dyDescent="0.25">
      <c r="A440" t="s">
        <v>213</v>
      </c>
      <c r="B440" t="s">
        <v>214</v>
      </c>
      <c r="C440" t="s">
        <v>40</v>
      </c>
      <c r="D440" s="1">
        <v>43783</v>
      </c>
      <c r="E440" s="1">
        <v>44148</v>
      </c>
      <c r="F440" t="s">
        <v>41</v>
      </c>
      <c r="G440">
        <v>1</v>
      </c>
      <c r="H440" t="s">
        <v>42</v>
      </c>
      <c r="I440" t="s">
        <v>43</v>
      </c>
      <c r="J440" t="s">
        <v>41</v>
      </c>
      <c r="K440" t="s">
        <v>44</v>
      </c>
      <c r="L440">
        <v>18562.5</v>
      </c>
      <c r="M440" s="1">
        <v>43783</v>
      </c>
      <c r="N440" t="s">
        <v>45</v>
      </c>
      <c r="O440" t="s">
        <v>44</v>
      </c>
      <c r="P440" t="s">
        <v>47</v>
      </c>
      <c r="Q440" s="1">
        <v>43852</v>
      </c>
      <c r="R440" t="s">
        <v>48</v>
      </c>
      <c r="S440" t="s">
        <v>62</v>
      </c>
      <c r="T440" t="s">
        <v>63</v>
      </c>
      <c r="U440" t="s">
        <v>42</v>
      </c>
      <c r="V440">
        <v>0</v>
      </c>
      <c r="W440">
        <v>100000</v>
      </c>
      <c r="X440" s="1">
        <v>43982</v>
      </c>
      <c r="Y440" t="s">
        <v>51</v>
      </c>
      <c r="Z440" t="s">
        <v>43</v>
      </c>
      <c r="AA440" t="s">
        <v>41</v>
      </c>
      <c r="AB440" t="s">
        <v>52</v>
      </c>
      <c r="AC440" t="s">
        <v>53</v>
      </c>
      <c r="AF440" t="s">
        <v>59</v>
      </c>
      <c r="AG440" s="1">
        <v>43838</v>
      </c>
      <c r="AH440" t="s">
        <v>42</v>
      </c>
      <c r="AI440" t="s">
        <v>55</v>
      </c>
      <c r="AJ440">
        <v>12788092</v>
      </c>
      <c r="AK440">
        <v>250000</v>
      </c>
      <c r="AL440">
        <v>1500000</v>
      </c>
    </row>
    <row r="441" spans="1:38" x14ac:dyDescent="0.25">
      <c r="A441" t="s">
        <v>213</v>
      </c>
      <c r="B441" t="s">
        <v>214</v>
      </c>
      <c r="C441" t="s">
        <v>40</v>
      </c>
      <c r="D441" s="1">
        <v>43783</v>
      </c>
      <c r="E441" s="1">
        <v>44148</v>
      </c>
      <c r="F441" t="s">
        <v>41</v>
      </c>
      <c r="G441">
        <v>1</v>
      </c>
      <c r="H441" t="s">
        <v>42</v>
      </c>
      <c r="I441" t="s">
        <v>43</v>
      </c>
      <c r="J441" t="s">
        <v>41</v>
      </c>
      <c r="K441" t="s">
        <v>44</v>
      </c>
      <c r="L441">
        <v>18562.5</v>
      </c>
      <c r="M441" s="1">
        <v>43783</v>
      </c>
      <c r="N441" t="s">
        <v>45</v>
      </c>
      <c r="O441" t="s">
        <v>44</v>
      </c>
      <c r="P441" t="s">
        <v>47</v>
      </c>
      <c r="Q441" s="1">
        <v>43852</v>
      </c>
      <c r="R441" t="s">
        <v>48</v>
      </c>
      <c r="S441" t="s">
        <v>64</v>
      </c>
      <c r="T441" t="s">
        <v>65</v>
      </c>
      <c r="U441" t="s">
        <v>42</v>
      </c>
      <c r="V441">
        <v>0</v>
      </c>
      <c r="W441">
        <v>100000</v>
      </c>
      <c r="X441" s="1">
        <v>43921</v>
      </c>
      <c r="Y441" t="s">
        <v>51</v>
      </c>
      <c r="Z441" t="s">
        <v>43</v>
      </c>
      <c r="AA441" t="s">
        <v>41</v>
      </c>
      <c r="AB441" t="s">
        <v>52</v>
      </c>
      <c r="AC441" t="s">
        <v>53</v>
      </c>
      <c r="AF441" t="s">
        <v>54</v>
      </c>
      <c r="AG441" s="1">
        <v>43832</v>
      </c>
      <c r="AH441" t="s">
        <v>42</v>
      </c>
      <c r="AI441" t="s">
        <v>55</v>
      </c>
      <c r="AJ441">
        <v>12788092</v>
      </c>
      <c r="AK441">
        <v>250000</v>
      </c>
      <c r="AL441">
        <v>1500000</v>
      </c>
    </row>
    <row r="442" spans="1:38" x14ac:dyDescent="0.25">
      <c r="A442" t="s">
        <v>213</v>
      </c>
      <c r="B442" t="s">
        <v>214</v>
      </c>
      <c r="C442" t="s">
        <v>40</v>
      </c>
      <c r="D442" s="1">
        <v>43783</v>
      </c>
      <c r="E442" s="1">
        <v>44148</v>
      </c>
      <c r="F442" t="s">
        <v>41</v>
      </c>
      <c r="G442">
        <v>1</v>
      </c>
      <c r="H442" t="s">
        <v>42</v>
      </c>
      <c r="I442" t="s">
        <v>43</v>
      </c>
      <c r="J442" t="s">
        <v>41</v>
      </c>
      <c r="K442" t="s">
        <v>44</v>
      </c>
      <c r="L442">
        <v>18562.5</v>
      </c>
      <c r="M442" s="1">
        <v>43783</v>
      </c>
      <c r="N442" t="s">
        <v>45</v>
      </c>
      <c r="O442" t="s">
        <v>44</v>
      </c>
      <c r="P442" t="s">
        <v>47</v>
      </c>
      <c r="Q442" s="1">
        <v>43852</v>
      </c>
      <c r="R442" t="s">
        <v>48</v>
      </c>
      <c r="S442" t="s">
        <v>64</v>
      </c>
      <c r="T442" t="s">
        <v>65</v>
      </c>
      <c r="U442" t="s">
        <v>42</v>
      </c>
      <c r="V442">
        <v>0</v>
      </c>
      <c r="W442">
        <v>100000</v>
      </c>
      <c r="X442" s="1">
        <v>43921</v>
      </c>
      <c r="Y442" t="s">
        <v>51</v>
      </c>
      <c r="Z442" t="s">
        <v>43</v>
      </c>
      <c r="AA442" t="s">
        <v>41</v>
      </c>
      <c r="AB442" t="s">
        <v>52</v>
      </c>
      <c r="AC442" t="s">
        <v>53</v>
      </c>
      <c r="AF442" t="s">
        <v>56</v>
      </c>
      <c r="AG442" s="1">
        <v>43833</v>
      </c>
      <c r="AH442" t="s">
        <v>42</v>
      </c>
      <c r="AI442" t="s">
        <v>55</v>
      </c>
      <c r="AJ442">
        <v>12788092</v>
      </c>
      <c r="AK442">
        <v>250000</v>
      </c>
      <c r="AL442">
        <v>1500000</v>
      </c>
    </row>
    <row r="443" spans="1:38" x14ac:dyDescent="0.25">
      <c r="A443" t="s">
        <v>213</v>
      </c>
      <c r="B443" t="s">
        <v>214</v>
      </c>
      <c r="C443" t="s">
        <v>40</v>
      </c>
      <c r="D443" s="1">
        <v>43783</v>
      </c>
      <c r="E443" s="1">
        <v>44148</v>
      </c>
      <c r="F443" t="s">
        <v>41</v>
      </c>
      <c r="G443">
        <v>1</v>
      </c>
      <c r="H443" t="s">
        <v>42</v>
      </c>
      <c r="I443" t="s">
        <v>43</v>
      </c>
      <c r="J443" t="s">
        <v>41</v>
      </c>
      <c r="K443" t="s">
        <v>44</v>
      </c>
      <c r="L443">
        <v>18562.5</v>
      </c>
      <c r="M443" s="1">
        <v>43783</v>
      </c>
      <c r="N443" t="s">
        <v>45</v>
      </c>
      <c r="O443" t="s">
        <v>44</v>
      </c>
      <c r="P443" t="s">
        <v>47</v>
      </c>
      <c r="Q443" s="1">
        <v>43852</v>
      </c>
      <c r="R443" t="s">
        <v>48</v>
      </c>
      <c r="S443" t="s">
        <v>64</v>
      </c>
      <c r="T443" t="s">
        <v>65</v>
      </c>
      <c r="U443" t="s">
        <v>42</v>
      </c>
      <c r="V443">
        <v>0</v>
      </c>
      <c r="W443">
        <v>100000</v>
      </c>
      <c r="X443" s="1">
        <v>43921</v>
      </c>
      <c r="Y443" t="s">
        <v>51</v>
      </c>
      <c r="Z443" t="s">
        <v>43</v>
      </c>
      <c r="AA443" t="s">
        <v>41</v>
      </c>
      <c r="AB443" t="s">
        <v>52</v>
      </c>
      <c r="AC443" t="s">
        <v>53</v>
      </c>
      <c r="AF443" t="s">
        <v>57</v>
      </c>
      <c r="AG443" s="1">
        <v>43836</v>
      </c>
      <c r="AH443" t="s">
        <v>42</v>
      </c>
      <c r="AI443" t="s">
        <v>55</v>
      </c>
      <c r="AJ443">
        <v>12788092</v>
      </c>
      <c r="AK443">
        <v>250000</v>
      </c>
      <c r="AL443">
        <v>1500000</v>
      </c>
    </row>
    <row r="444" spans="1:38" x14ac:dyDescent="0.25">
      <c r="A444" t="s">
        <v>213</v>
      </c>
      <c r="B444" t="s">
        <v>214</v>
      </c>
      <c r="C444" t="s">
        <v>40</v>
      </c>
      <c r="D444" s="1">
        <v>43783</v>
      </c>
      <c r="E444" s="1">
        <v>44148</v>
      </c>
      <c r="F444" t="s">
        <v>41</v>
      </c>
      <c r="G444">
        <v>1</v>
      </c>
      <c r="H444" t="s">
        <v>42</v>
      </c>
      <c r="I444" t="s">
        <v>43</v>
      </c>
      <c r="J444" t="s">
        <v>41</v>
      </c>
      <c r="K444" t="s">
        <v>44</v>
      </c>
      <c r="L444">
        <v>18562.5</v>
      </c>
      <c r="M444" s="1">
        <v>43783</v>
      </c>
      <c r="N444" t="s">
        <v>45</v>
      </c>
      <c r="O444" t="s">
        <v>44</v>
      </c>
      <c r="P444" t="s">
        <v>47</v>
      </c>
      <c r="Q444" s="1">
        <v>43852</v>
      </c>
      <c r="R444" t="s">
        <v>48</v>
      </c>
      <c r="S444" t="s">
        <v>64</v>
      </c>
      <c r="T444" t="s">
        <v>65</v>
      </c>
      <c r="U444" t="s">
        <v>42</v>
      </c>
      <c r="V444">
        <v>0</v>
      </c>
      <c r="W444">
        <v>100000</v>
      </c>
      <c r="X444" s="1">
        <v>43921</v>
      </c>
      <c r="Y444" t="s">
        <v>51</v>
      </c>
      <c r="Z444" t="s">
        <v>43</v>
      </c>
      <c r="AA444" t="s">
        <v>41</v>
      </c>
      <c r="AB444" t="s">
        <v>52</v>
      </c>
      <c r="AC444" t="s">
        <v>53</v>
      </c>
      <c r="AF444" t="s">
        <v>58</v>
      </c>
      <c r="AG444" s="1">
        <v>43837</v>
      </c>
      <c r="AH444" t="s">
        <v>42</v>
      </c>
      <c r="AI444" t="s">
        <v>55</v>
      </c>
      <c r="AJ444">
        <v>12788092</v>
      </c>
      <c r="AK444">
        <v>250000</v>
      </c>
      <c r="AL444">
        <v>1500000</v>
      </c>
    </row>
    <row r="445" spans="1:38" x14ac:dyDescent="0.25">
      <c r="A445" t="s">
        <v>213</v>
      </c>
      <c r="B445" t="s">
        <v>214</v>
      </c>
      <c r="C445" t="s">
        <v>40</v>
      </c>
      <c r="D445" s="1">
        <v>43783</v>
      </c>
      <c r="E445" s="1">
        <v>44148</v>
      </c>
      <c r="F445" t="s">
        <v>41</v>
      </c>
      <c r="G445">
        <v>1</v>
      </c>
      <c r="H445" t="s">
        <v>42</v>
      </c>
      <c r="I445" t="s">
        <v>43</v>
      </c>
      <c r="J445" t="s">
        <v>41</v>
      </c>
      <c r="K445" t="s">
        <v>44</v>
      </c>
      <c r="L445">
        <v>18562.5</v>
      </c>
      <c r="M445" s="1">
        <v>43783</v>
      </c>
      <c r="N445" t="s">
        <v>45</v>
      </c>
      <c r="O445" t="s">
        <v>44</v>
      </c>
      <c r="P445" t="s">
        <v>47</v>
      </c>
      <c r="Q445" s="1">
        <v>43852</v>
      </c>
      <c r="R445" t="s">
        <v>48</v>
      </c>
      <c r="S445" t="s">
        <v>64</v>
      </c>
      <c r="T445" t="s">
        <v>65</v>
      </c>
      <c r="U445" t="s">
        <v>42</v>
      </c>
      <c r="V445">
        <v>0</v>
      </c>
      <c r="W445">
        <v>100000</v>
      </c>
      <c r="X445" s="1">
        <v>43921</v>
      </c>
      <c r="Y445" t="s">
        <v>51</v>
      </c>
      <c r="Z445" t="s">
        <v>43</v>
      </c>
      <c r="AA445" t="s">
        <v>41</v>
      </c>
      <c r="AB445" t="s">
        <v>52</v>
      </c>
      <c r="AC445" t="s">
        <v>53</v>
      </c>
      <c r="AF445" t="s">
        <v>59</v>
      </c>
      <c r="AG445" s="1">
        <v>43838</v>
      </c>
      <c r="AH445" t="s">
        <v>42</v>
      </c>
      <c r="AI445" t="s">
        <v>55</v>
      </c>
      <c r="AJ445">
        <v>12788092</v>
      </c>
      <c r="AK445">
        <v>250000</v>
      </c>
      <c r="AL445">
        <v>1500000</v>
      </c>
    </row>
    <row r="446" spans="1:38" x14ac:dyDescent="0.25">
      <c r="A446" t="s">
        <v>215</v>
      </c>
      <c r="B446" t="s">
        <v>216</v>
      </c>
      <c r="C446" t="s">
        <v>40</v>
      </c>
      <c r="D446" s="1">
        <v>43381</v>
      </c>
      <c r="E446" s="1">
        <v>43745</v>
      </c>
      <c r="F446" t="s">
        <v>41</v>
      </c>
      <c r="G446">
        <v>1</v>
      </c>
      <c r="H446" t="s">
        <v>42</v>
      </c>
      <c r="I446" t="s">
        <v>43</v>
      </c>
      <c r="J446" t="s">
        <v>41</v>
      </c>
      <c r="K446" t="s">
        <v>44</v>
      </c>
      <c r="L446">
        <v>3526.88</v>
      </c>
      <c r="M446" s="1">
        <v>43746</v>
      </c>
      <c r="N446" t="s">
        <v>45</v>
      </c>
      <c r="O446" t="s">
        <v>44</v>
      </c>
      <c r="P446" t="s">
        <v>47</v>
      </c>
      <c r="Q446" s="1">
        <v>43852</v>
      </c>
      <c r="R446" t="s">
        <v>48</v>
      </c>
      <c r="S446" t="s">
        <v>49</v>
      </c>
      <c r="T446" t="s">
        <v>50</v>
      </c>
      <c r="U446" t="s">
        <v>42</v>
      </c>
      <c r="V446">
        <v>0</v>
      </c>
      <c r="W446">
        <v>100000</v>
      </c>
      <c r="X446" s="1">
        <v>44012</v>
      </c>
      <c r="Y446" t="s">
        <v>51</v>
      </c>
      <c r="Z446" t="s">
        <v>43</v>
      </c>
      <c r="AA446" t="s">
        <v>41</v>
      </c>
      <c r="AB446" t="s">
        <v>52</v>
      </c>
      <c r="AC446" t="s">
        <v>53</v>
      </c>
      <c r="AF446" t="s">
        <v>54</v>
      </c>
      <c r="AG446" s="1">
        <v>43832</v>
      </c>
      <c r="AH446" t="s">
        <v>42</v>
      </c>
      <c r="AI446" t="s">
        <v>55</v>
      </c>
      <c r="AJ446">
        <v>12788092</v>
      </c>
      <c r="AK446">
        <v>250000</v>
      </c>
      <c r="AL446">
        <v>1500000</v>
      </c>
    </row>
    <row r="447" spans="1:38" x14ac:dyDescent="0.25">
      <c r="A447" t="s">
        <v>215</v>
      </c>
      <c r="B447" t="s">
        <v>216</v>
      </c>
      <c r="C447" t="s">
        <v>40</v>
      </c>
      <c r="D447" s="1">
        <v>43381</v>
      </c>
      <c r="E447" s="1">
        <v>43745</v>
      </c>
      <c r="F447" t="s">
        <v>41</v>
      </c>
      <c r="G447">
        <v>1</v>
      </c>
      <c r="H447" t="s">
        <v>42</v>
      </c>
      <c r="I447" t="s">
        <v>43</v>
      </c>
      <c r="J447" t="s">
        <v>41</v>
      </c>
      <c r="K447" t="s">
        <v>44</v>
      </c>
      <c r="L447">
        <v>3526.88</v>
      </c>
      <c r="M447" s="1">
        <v>43746</v>
      </c>
      <c r="N447" t="s">
        <v>45</v>
      </c>
      <c r="O447" t="s">
        <v>44</v>
      </c>
      <c r="P447" t="s">
        <v>47</v>
      </c>
      <c r="Q447" s="1">
        <v>43852</v>
      </c>
      <c r="R447" t="s">
        <v>48</v>
      </c>
      <c r="S447" t="s">
        <v>49</v>
      </c>
      <c r="T447" t="s">
        <v>50</v>
      </c>
      <c r="U447" t="s">
        <v>42</v>
      </c>
      <c r="V447">
        <v>0</v>
      </c>
      <c r="W447">
        <v>100000</v>
      </c>
      <c r="X447" s="1">
        <v>44012</v>
      </c>
      <c r="Y447" t="s">
        <v>51</v>
      </c>
      <c r="Z447" t="s">
        <v>43</v>
      </c>
      <c r="AA447" t="s">
        <v>41</v>
      </c>
      <c r="AB447" t="s">
        <v>52</v>
      </c>
      <c r="AC447" t="s">
        <v>53</v>
      </c>
      <c r="AF447" t="s">
        <v>56</v>
      </c>
      <c r="AG447" s="1">
        <v>43833</v>
      </c>
      <c r="AH447" t="s">
        <v>42</v>
      </c>
      <c r="AI447" t="s">
        <v>55</v>
      </c>
      <c r="AJ447">
        <v>12788092</v>
      </c>
      <c r="AK447">
        <v>250000</v>
      </c>
      <c r="AL447">
        <v>1500000</v>
      </c>
    </row>
    <row r="448" spans="1:38" x14ac:dyDescent="0.25">
      <c r="A448" t="s">
        <v>215</v>
      </c>
      <c r="B448" t="s">
        <v>216</v>
      </c>
      <c r="C448" t="s">
        <v>40</v>
      </c>
      <c r="D448" s="1">
        <v>43381</v>
      </c>
      <c r="E448" s="1">
        <v>43745</v>
      </c>
      <c r="F448" t="s">
        <v>41</v>
      </c>
      <c r="G448">
        <v>1</v>
      </c>
      <c r="H448" t="s">
        <v>42</v>
      </c>
      <c r="I448" t="s">
        <v>43</v>
      </c>
      <c r="J448" t="s">
        <v>41</v>
      </c>
      <c r="K448" t="s">
        <v>44</v>
      </c>
      <c r="L448">
        <v>3526.88</v>
      </c>
      <c r="M448" s="1">
        <v>43746</v>
      </c>
      <c r="N448" t="s">
        <v>45</v>
      </c>
      <c r="O448" t="s">
        <v>44</v>
      </c>
      <c r="P448" t="s">
        <v>47</v>
      </c>
      <c r="Q448" s="1">
        <v>43852</v>
      </c>
      <c r="R448" t="s">
        <v>48</v>
      </c>
      <c r="S448" t="s">
        <v>49</v>
      </c>
      <c r="T448" t="s">
        <v>50</v>
      </c>
      <c r="U448" t="s">
        <v>42</v>
      </c>
      <c r="V448">
        <v>0</v>
      </c>
      <c r="W448">
        <v>100000</v>
      </c>
      <c r="X448" s="1">
        <v>44012</v>
      </c>
      <c r="Y448" t="s">
        <v>51</v>
      </c>
      <c r="Z448" t="s">
        <v>43</v>
      </c>
      <c r="AA448" t="s">
        <v>41</v>
      </c>
      <c r="AB448" t="s">
        <v>52</v>
      </c>
      <c r="AC448" t="s">
        <v>53</v>
      </c>
      <c r="AF448" t="s">
        <v>57</v>
      </c>
      <c r="AG448" s="1">
        <v>43836</v>
      </c>
      <c r="AH448" t="s">
        <v>42</v>
      </c>
      <c r="AI448" t="s">
        <v>55</v>
      </c>
      <c r="AJ448">
        <v>12788092</v>
      </c>
      <c r="AK448">
        <v>250000</v>
      </c>
      <c r="AL448">
        <v>1500000</v>
      </c>
    </row>
    <row r="449" spans="1:38" x14ac:dyDescent="0.25">
      <c r="A449" t="s">
        <v>215</v>
      </c>
      <c r="B449" t="s">
        <v>216</v>
      </c>
      <c r="C449" t="s">
        <v>40</v>
      </c>
      <c r="D449" s="1">
        <v>43381</v>
      </c>
      <c r="E449" s="1">
        <v>43745</v>
      </c>
      <c r="F449" t="s">
        <v>41</v>
      </c>
      <c r="G449">
        <v>1</v>
      </c>
      <c r="H449" t="s">
        <v>42</v>
      </c>
      <c r="I449" t="s">
        <v>43</v>
      </c>
      <c r="J449" t="s">
        <v>41</v>
      </c>
      <c r="K449" t="s">
        <v>44</v>
      </c>
      <c r="L449">
        <v>3526.88</v>
      </c>
      <c r="M449" s="1">
        <v>43746</v>
      </c>
      <c r="N449" t="s">
        <v>45</v>
      </c>
      <c r="O449" t="s">
        <v>44</v>
      </c>
      <c r="P449" t="s">
        <v>47</v>
      </c>
      <c r="Q449" s="1">
        <v>43852</v>
      </c>
      <c r="R449" t="s">
        <v>48</v>
      </c>
      <c r="S449" t="s">
        <v>49</v>
      </c>
      <c r="T449" t="s">
        <v>50</v>
      </c>
      <c r="U449" t="s">
        <v>42</v>
      </c>
      <c r="V449">
        <v>0</v>
      </c>
      <c r="W449">
        <v>100000</v>
      </c>
      <c r="X449" s="1">
        <v>44012</v>
      </c>
      <c r="Y449" t="s">
        <v>51</v>
      </c>
      <c r="Z449" t="s">
        <v>43</v>
      </c>
      <c r="AA449" t="s">
        <v>41</v>
      </c>
      <c r="AB449" t="s">
        <v>52</v>
      </c>
      <c r="AC449" t="s">
        <v>53</v>
      </c>
      <c r="AF449" t="s">
        <v>58</v>
      </c>
      <c r="AG449" s="1">
        <v>43837</v>
      </c>
      <c r="AH449" t="s">
        <v>42</v>
      </c>
      <c r="AI449" t="s">
        <v>55</v>
      </c>
      <c r="AJ449">
        <v>12788092</v>
      </c>
      <c r="AK449">
        <v>250000</v>
      </c>
      <c r="AL449">
        <v>1500000</v>
      </c>
    </row>
    <row r="450" spans="1:38" x14ac:dyDescent="0.25">
      <c r="A450" t="s">
        <v>215</v>
      </c>
      <c r="B450" t="s">
        <v>216</v>
      </c>
      <c r="C450" t="s">
        <v>40</v>
      </c>
      <c r="D450" s="1">
        <v>43381</v>
      </c>
      <c r="E450" s="1">
        <v>43745</v>
      </c>
      <c r="F450" t="s">
        <v>41</v>
      </c>
      <c r="G450">
        <v>1</v>
      </c>
      <c r="H450" t="s">
        <v>42</v>
      </c>
      <c r="I450" t="s">
        <v>43</v>
      </c>
      <c r="J450" t="s">
        <v>41</v>
      </c>
      <c r="K450" t="s">
        <v>44</v>
      </c>
      <c r="L450">
        <v>3526.88</v>
      </c>
      <c r="M450" s="1">
        <v>43746</v>
      </c>
      <c r="N450" t="s">
        <v>45</v>
      </c>
      <c r="O450" t="s">
        <v>44</v>
      </c>
      <c r="P450" t="s">
        <v>47</v>
      </c>
      <c r="Q450" s="1">
        <v>43852</v>
      </c>
      <c r="R450" t="s">
        <v>48</v>
      </c>
      <c r="S450" t="s">
        <v>49</v>
      </c>
      <c r="T450" t="s">
        <v>50</v>
      </c>
      <c r="U450" t="s">
        <v>42</v>
      </c>
      <c r="V450">
        <v>0</v>
      </c>
      <c r="W450">
        <v>100000</v>
      </c>
      <c r="X450" s="1">
        <v>44012</v>
      </c>
      <c r="Y450" t="s">
        <v>51</v>
      </c>
      <c r="Z450" t="s">
        <v>43</v>
      </c>
      <c r="AA450" t="s">
        <v>41</v>
      </c>
      <c r="AB450" t="s">
        <v>52</v>
      </c>
      <c r="AC450" t="s">
        <v>53</v>
      </c>
      <c r="AF450" t="s">
        <v>59</v>
      </c>
      <c r="AG450" s="1">
        <v>43838</v>
      </c>
      <c r="AH450" t="s">
        <v>42</v>
      </c>
      <c r="AI450" t="s">
        <v>55</v>
      </c>
      <c r="AJ450">
        <v>12788092</v>
      </c>
      <c r="AK450">
        <v>250000</v>
      </c>
      <c r="AL450">
        <v>1500000</v>
      </c>
    </row>
    <row r="451" spans="1:38" x14ac:dyDescent="0.25">
      <c r="A451" t="s">
        <v>215</v>
      </c>
      <c r="B451" t="s">
        <v>216</v>
      </c>
      <c r="C451" t="s">
        <v>40</v>
      </c>
      <c r="D451" s="1">
        <v>43381</v>
      </c>
      <c r="E451" s="1">
        <v>43745</v>
      </c>
      <c r="F451" t="s">
        <v>41</v>
      </c>
      <c r="G451">
        <v>1</v>
      </c>
      <c r="H451" t="s">
        <v>42</v>
      </c>
      <c r="I451" t="s">
        <v>43</v>
      </c>
      <c r="J451" t="s">
        <v>41</v>
      </c>
      <c r="K451" t="s">
        <v>44</v>
      </c>
      <c r="L451">
        <v>3526.88</v>
      </c>
      <c r="M451" s="1">
        <v>43746</v>
      </c>
      <c r="N451" t="s">
        <v>45</v>
      </c>
      <c r="O451" t="s">
        <v>44</v>
      </c>
      <c r="P451" t="s">
        <v>47</v>
      </c>
      <c r="Q451" s="1">
        <v>43852</v>
      </c>
      <c r="R451" t="s">
        <v>48</v>
      </c>
      <c r="S451" t="s">
        <v>60</v>
      </c>
      <c r="T451" t="s">
        <v>61</v>
      </c>
      <c r="U451" t="s">
        <v>42</v>
      </c>
      <c r="V451">
        <v>0</v>
      </c>
      <c r="W451">
        <v>100000</v>
      </c>
      <c r="X451" s="1">
        <v>43921</v>
      </c>
      <c r="Y451" t="s">
        <v>51</v>
      </c>
      <c r="Z451" t="s">
        <v>43</v>
      </c>
      <c r="AA451" t="s">
        <v>41</v>
      </c>
      <c r="AB451" t="s">
        <v>52</v>
      </c>
      <c r="AC451" t="s">
        <v>53</v>
      </c>
      <c r="AF451" t="s">
        <v>54</v>
      </c>
      <c r="AG451" s="1">
        <v>43832</v>
      </c>
      <c r="AH451" t="s">
        <v>42</v>
      </c>
      <c r="AI451" t="s">
        <v>55</v>
      </c>
      <c r="AJ451">
        <v>12788092</v>
      </c>
      <c r="AK451">
        <v>250000</v>
      </c>
      <c r="AL451">
        <v>1500000</v>
      </c>
    </row>
    <row r="452" spans="1:38" x14ac:dyDescent="0.25">
      <c r="A452" t="s">
        <v>215</v>
      </c>
      <c r="B452" t="s">
        <v>216</v>
      </c>
      <c r="C452" t="s">
        <v>40</v>
      </c>
      <c r="D452" s="1">
        <v>43381</v>
      </c>
      <c r="E452" s="1">
        <v>43745</v>
      </c>
      <c r="F452" t="s">
        <v>41</v>
      </c>
      <c r="G452">
        <v>1</v>
      </c>
      <c r="H452" t="s">
        <v>42</v>
      </c>
      <c r="I452" t="s">
        <v>43</v>
      </c>
      <c r="J452" t="s">
        <v>41</v>
      </c>
      <c r="K452" t="s">
        <v>44</v>
      </c>
      <c r="L452">
        <v>3526.88</v>
      </c>
      <c r="M452" s="1">
        <v>43746</v>
      </c>
      <c r="N452" t="s">
        <v>45</v>
      </c>
      <c r="O452" t="s">
        <v>44</v>
      </c>
      <c r="P452" t="s">
        <v>47</v>
      </c>
      <c r="Q452" s="1">
        <v>43852</v>
      </c>
      <c r="R452" t="s">
        <v>48</v>
      </c>
      <c r="S452" t="s">
        <v>60</v>
      </c>
      <c r="T452" t="s">
        <v>61</v>
      </c>
      <c r="U452" t="s">
        <v>42</v>
      </c>
      <c r="V452">
        <v>0</v>
      </c>
      <c r="W452">
        <v>100000</v>
      </c>
      <c r="X452" s="1">
        <v>43921</v>
      </c>
      <c r="Y452" t="s">
        <v>51</v>
      </c>
      <c r="Z452" t="s">
        <v>43</v>
      </c>
      <c r="AA452" t="s">
        <v>41</v>
      </c>
      <c r="AB452" t="s">
        <v>52</v>
      </c>
      <c r="AC452" t="s">
        <v>53</v>
      </c>
      <c r="AF452" t="s">
        <v>56</v>
      </c>
      <c r="AG452" s="1">
        <v>43833</v>
      </c>
      <c r="AH452" t="s">
        <v>42</v>
      </c>
      <c r="AI452" t="s">
        <v>55</v>
      </c>
      <c r="AJ452">
        <v>12788092</v>
      </c>
      <c r="AK452">
        <v>250000</v>
      </c>
      <c r="AL452">
        <v>1500000</v>
      </c>
    </row>
    <row r="453" spans="1:38" x14ac:dyDescent="0.25">
      <c r="A453" t="s">
        <v>215</v>
      </c>
      <c r="B453" t="s">
        <v>216</v>
      </c>
      <c r="C453" t="s">
        <v>40</v>
      </c>
      <c r="D453" s="1">
        <v>43381</v>
      </c>
      <c r="E453" s="1">
        <v>43745</v>
      </c>
      <c r="F453" t="s">
        <v>41</v>
      </c>
      <c r="G453">
        <v>1</v>
      </c>
      <c r="H453" t="s">
        <v>42</v>
      </c>
      <c r="I453" t="s">
        <v>43</v>
      </c>
      <c r="J453" t="s">
        <v>41</v>
      </c>
      <c r="K453" t="s">
        <v>44</v>
      </c>
      <c r="L453">
        <v>3526.88</v>
      </c>
      <c r="M453" s="1">
        <v>43746</v>
      </c>
      <c r="N453" t="s">
        <v>45</v>
      </c>
      <c r="O453" t="s">
        <v>44</v>
      </c>
      <c r="P453" t="s">
        <v>47</v>
      </c>
      <c r="Q453" s="1">
        <v>43852</v>
      </c>
      <c r="R453" t="s">
        <v>48</v>
      </c>
      <c r="S453" t="s">
        <v>60</v>
      </c>
      <c r="T453" t="s">
        <v>61</v>
      </c>
      <c r="U453" t="s">
        <v>42</v>
      </c>
      <c r="V453">
        <v>0</v>
      </c>
      <c r="W453">
        <v>100000</v>
      </c>
      <c r="X453" s="1">
        <v>43921</v>
      </c>
      <c r="Y453" t="s">
        <v>51</v>
      </c>
      <c r="Z453" t="s">
        <v>43</v>
      </c>
      <c r="AA453" t="s">
        <v>41</v>
      </c>
      <c r="AB453" t="s">
        <v>52</v>
      </c>
      <c r="AC453" t="s">
        <v>53</v>
      </c>
      <c r="AF453" t="s">
        <v>57</v>
      </c>
      <c r="AG453" s="1">
        <v>43836</v>
      </c>
      <c r="AH453" t="s">
        <v>42</v>
      </c>
      <c r="AI453" t="s">
        <v>55</v>
      </c>
      <c r="AJ453">
        <v>12788092</v>
      </c>
      <c r="AK453">
        <v>250000</v>
      </c>
      <c r="AL453">
        <v>1500000</v>
      </c>
    </row>
    <row r="454" spans="1:38" x14ac:dyDescent="0.25">
      <c r="A454" t="s">
        <v>215</v>
      </c>
      <c r="B454" t="s">
        <v>216</v>
      </c>
      <c r="C454" t="s">
        <v>40</v>
      </c>
      <c r="D454" s="1">
        <v>43381</v>
      </c>
      <c r="E454" s="1">
        <v>43745</v>
      </c>
      <c r="F454" t="s">
        <v>41</v>
      </c>
      <c r="G454">
        <v>1</v>
      </c>
      <c r="H454" t="s">
        <v>42</v>
      </c>
      <c r="I454" t="s">
        <v>43</v>
      </c>
      <c r="J454" t="s">
        <v>41</v>
      </c>
      <c r="K454" t="s">
        <v>44</v>
      </c>
      <c r="L454">
        <v>3526.88</v>
      </c>
      <c r="M454" s="1">
        <v>43746</v>
      </c>
      <c r="N454" t="s">
        <v>45</v>
      </c>
      <c r="O454" t="s">
        <v>44</v>
      </c>
      <c r="P454" t="s">
        <v>47</v>
      </c>
      <c r="Q454" s="1">
        <v>43852</v>
      </c>
      <c r="R454" t="s">
        <v>48</v>
      </c>
      <c r="S454" t="s">
        <v>60</v>
      </c>
      <c r="T454" t="s">
        <v>61</v>
      </c>
      <c r="U454" t="s">
        <v>42</v>
      </c>
      <c r="V454">
        <v>0</v>
      </c>
      <c r="W454">
        <v>100000</v>
      </c>
      <c r="X454" s="1">
        <v>43921</v>
      </c>
      <c r="Y454" t="s">
        <v>51</v>
      </c>
      <c r="Z454" t="s">
        <v>43</v>
      </c>
      <c r="AA454" t="s">
        <v>41</v>
      </c>
      <c r="AB454" t="s">
        <v>52</v>
      </c>
      <c r="AC454" t="s">
        <v>53</v>
      </c>
      <c r="AF454" t="s">
        <v>58</v>
      </c>
      <c r="AG454" s="1">
        <v>43837</v>
      </c>
      <c r="AH454" t="s">
        <v>42</v>
      </c>
      <c r="AI454" t="s">
        <v>55</v>
      </c>
      <c r="AJ454">
        <v>12788092</v>
      </c>
      <c r="AK454">
        <v>250000</v>
      </c>
      <c r="AL454">
        <v>1500000</v>
      </c>
    </row>
    <row r="455" spans="1:38" x14ac:dyDescent="0.25">
      <c r="A455" t="s">
        <v>215</v>
      </c>
      <c r="B455" t="s">
        <v>216</v>
      </c>
      <c r="C455" t="s">
        <v>40</v>
      </c>
      <c r="D455" s="1">
        <v>43381</v>
      </c>
      <c r="E455" s="1">
        <v>43745</v>
      </c>
      <c r="F455" t="s">
        <v>41</v>
      </c>
      <c r="G455">
        <v>1</v>
      </c>
      <c r="H455" t="s">
        <v>42</v>
      </c>
      <c r="I455" t="s">
        <v>43</v>
      </c>
      <c r="J455" t="s">
        <v>41</v>
      </c>
      <c r="K455" t="s">
        <v>44</v>
      </c>
      <c r="L455">
        <v>3526.88</v>
      </c>
      <c r="M455" s="1">
        <v>43746</v>
      </c>
      <c r="N455" t="s">
        <v>45</v>
      </c>
      <c r="O455" t="s">
        <v>44</v>
      </c>
      <c r="P455" t="s">
        <v>47</v>
      </c>
      <c r="Q455" s="1">
        <v>43852</v>
      </c>
      <c r="R455" t="s">
        <v>48</v>
      </c>
      <c r="S455" t="s">
        <v>60</v>
      </c>
      <c r="T455" t="s">
        <v>61</v>
      </c>
      <c r="U455" t="s">
        <v>42</v>
      </c>
      <c r="V455">
        <v>0</v>
      </c>
      <c r="W455">
        <v>100000</v>
      </c>
      <c r="X455" s="1">
        <v>43921</v>
      </c>
      <c r="Y455" t="s">
        <v>51</v>
      </c>
      <c r="Z455" t="s">
        <v>43</v>
      </c>
      <c r="AA455" t="s">
        <v>41</v>
      </c>
      <c r="AB455" t="s">
        <v>52</v>
      </c>
      <c r="AC455" t="s">
        <v>53</v>
      </c>
      <c r="AF455" t="s">
        <v>59</v>
      </c>
      <c r="AG455" s="1">
        <v>43838</v>
      </c>
      <c r="AH455" t="s">
        <v>42</v>
      </c>
      <c r="AI455" t="s">
        <v>55</v>
      </c>
      <c r="AJ455">
        <v>12788092</v>
      </c>
      <c r="AK455">
        <v>250000</v>
      </c>
      <c r="AL455">
        <v>1500000</v>
      </c>
    </row>
    <row r="456" spans="1:38" x14ac:dyDescent="0.25">
      <c r="A456" t="s">
        <v>215</v>
      </c>
      <c r="B456" t="s">
        <v>216</v>
      </c>
      <c r="C456" t="s">
        <v>40</v>
      </c>
      <c r="D456" s="1">
        <v>43381</v>
      </c>
      <c r="E456" s="1">
        <v>43745</v>
      </c>
      <c r="F456" t="s">
        <v>41</v>
      </c>
      <c r="G456">
        <v>1</v>
      </c>
      <c r="H456" t="s">
        <v>42</v>
      </c>
      <c r="I456" t="s">
        <v>43</v>
      </c>
      <c r="J456" t="s">
        <v>41</v>
      </c>
      <c r="K456" t="s">
        <v>44</v>
      </c>
      <c r="L456">
        <v>3526.88</v>
      </c>
      <c r="M456" s="1">
        <v>43746</v>
      </c>
      <c r="N456" t="s">
        <v>45</v>
      </c>
      <c r="O456" t="s">
        <v>44</v>
      </c>
      <c r="P456" t="s">
        <v>47</v>
      </c>
      <c r="Q456" s="1">
        <v>43852</v>
      </c>
      <c r="R456" t="s">
        <v>48</v>
      </c>
      <c r="S456" t="s">
        <v>62</v>
      </c>
      <c r="T456" t="s">
        <v>63</v>
      </c>
      <c r="U456" t="s">
        <v>42</v>
      </c>
      <c r="V456">
        <v>0</v>
      </c>
      <c r="W456">
        <v>100000</v>
      </c>
      <c r="X456" s="1">
        <v>43982</v>
      </c>
      <c r="Y456" t="s">
        <v>51</v>
      </c>
      <c r="Z456" t="s">
        <v>43</v>
      </c>
      <c r="AA456" t="s">
        <v>41</v>
      </c>
      <c r="AB456" t="s">
        <v>52</v>
      </c>
      <c r="AC456" t="s">
        <v>53</v>
      </c>
      <c r="AF456" t="s">
        <v>54</v>
      </c>
      <c r="AG456" s="1">
        <v>43832</v>
      </c>
      <c r="AH456" t="s">
        <v>42</v>
      </c>
      <c r="AI456" t="s">
        <v>55</v>
      </c>
      <c r="AJ456">
        <v>12788092</v>
      </c>
      <c r="AK456">
        <v>250000</v>
      </c>
      <c r="AL456">
        <v>1500000</v>
      </c>
    </row>
    <row r="457" spans="1:38" x14ac:dyDescent="0.25">
      <c r="A457" t="s">
        <v>215</v>
      </c>
      <c r="B457" t="s">
        <v>216</v>
      </c>
      <c r="C457" t="s">
        <v>40</v>
      </c>
      <c r="D457" s="1">
        <v>43381</v>
      </c>
      <c r="E457" s="1">
        <v>43745</v>
      </c>
      <c r="F457" t="s">
        <v>41</v>
      </c>
      <c r="G457">
        <v>1</v>
      </c>
      <c r="H457" t="s">
        <v>42</v>
      </c>
      <c r="I457" t="s">
        <v>43</v>
      </c>
      <c r="J457" t="s">
        <v>41</v>
      </c>
      <c r="K457" t="s">
        <v>44</v>
      </c>
      <c r="L457">
        <v>3526.88</v>
      </c>
      <c r="M457" s="1">
        <v>43746</v>
      </c>
      <c r="N457" t="s">
        <v>45</v>
      </c>
      <c r="O457" t="s">
        <v>44</v>
      </c>
      <c r="P457" t="s">
        <v>47</v>
      </c>
      <c r="Q457" s="1">
        <v>43852</v>
      </c>
      <c r="R457" t="s">
        <v>48</v>
      </c>
      <c r="S457" t="s">
        <v>62</v>
      </c>
      <c r="T457" t="s">
        <v>63</v>
      </c>
      <c r="U457" t="s">
        <v>42</v>
      </c>
      <c r="V457">
        <v>0</v>
      </c>
      <c r="W457">
        <v>100000</v>
      </c>
      <c r="X457" s="1">
        <v>43982</v>
      </c>
      <c r="Y457" t="s">
        <v>51</v>
      </c>
      <c r="Z457" t="s">
        <v>43</v>
      </c>
      <c r="AA457" t="s">
        <v>41</v>
      </c>
      <c r="AB457" t="s">
        <v>52</v>
      </c>
      <c r="AC457" t="s">
        <v>53</v>
      </c>
      <c r="AF457" t="s">
        <v>56</v>
      </c>
      <c r="AG457" s="1">
        <v>43833</v>
      </c>
      <c r="AH457" t="s">
        <v>42</v>
      </c>
      <c r="AI457" t="s">
        <v>55</v>
      </c>
      <c r="AJ457">
        <v>12788092</v>
      </c>
      <c r="AK457">
        <v>250000</v>
      </c>
      <c r="AL457">
        <v>1500000</v>
      </c>
    </row>
    <row r="458" spans="1:38" x14ac:dyDescent="0.25">
      <c r="A458" t="s">
        <v>215</v>
      </c>
      <c r="B458" t="s">
        <v>216</v>
      </c>
      <c r="C458" t="s">
        <v>40</v>
      </c>
      <c r="D458" s="1">
        <v>43381</v>
      </c>
      <c r="E458" s="1">
        <v>43745</v>
      </c>
      <c r="F458" t="s">
        <v>41</v>
      </c>
      <c r="G458">
        <v>1</v>
      </c>
      <c r="H458" t="s">
        <v>42</v>
      </c>
      <c r="I458" t="s">
        <v>43</v>
      </c>
      <c r="J458" t="s">
        <v>41</v>
      </c>
      <c r="K458" t="s">
        <v>44</v>
      </c>
      <c r="L458">
        <v>3526.88</v>
      </c>
      <c r="M458" s="1">
        <v>43746</v>
      </c>
      <c r="N458" t="s">
        <v>45</v>
      </c>
      <c r="O458" t="s">
        <v>44</v>
      </c>
      <c r="P458" t="s">
        <v>47</v>
      </c>
      <c r="Q458" s="1">
        <v>43852</v>
      </c>
      <c r="R458" t="s">
        <v>48</v>
      </c>
      <c r="S458" t="s">
        <v>62</v>
      </c>
      <c r="T458" t="s">
        <v>63</v>
      </c>
      <c r="U458" t="s">
        <v>42</v>
      </c>
      <c r="V458">
        <v>0</v>
      </c>
      <c r="W458">
        <v>100000</v>
      </c>
      <c r="X458" s="1">
        <v>43982</v>
      </c>
      <c r="Y458" t="s">
        <v>51</v>
      </c>
      <c r="Z458" t="s">
        <v>43</v>
      </c>
      <c r="AA458" t="s">
        <v>41</v>
      </c>
      <c r="AB458" t="s">
        <v>52</v>
      </c>
      <c r="AC458" t="s">
        <v>53</v>
      </c>
      <c r="AF458" t="s">
        <v>57</v>
      </c>
      <c r="AG458" s="1">
        <v>43836</v>
      </c>
      <c r="AH458" t="s">
        <v>42</v>
      </c>
      <c r="AI458" t="s">
        <v>55</v>
      </c>
      <c r="AJ458">
        <v>12788092</v>
      </c>
      <c r="AK458">
        <v>250000</v>
      </c>
      <c r="AL458">
        <v>1500000</v>
      </c>
    </row>
    <row r="459" spans="1:38" x14ac:dyDescent="0.25">
      <c r="A459" t="s">
        <v>215</v>
      </c>
      <c r="B459" t="s">
        <v>216</v>
      </c>
      <c r="C459" t="s">
        <v>40</v>
      </c>
      <c r="D459" s="1">
        <v>43381</v>
      </c>
      <c r="E459" s="1">
        <v>43745</v>
      </c>
      <c r="F459" t="s">
        <v>41</v>
      </c>
      <c r="G459">
        <v>1</v>
      </c>
      <c r="H459" t="s">
        <v>42</v>
      </c>
      <c r="I459" t="s">
        <v>43</v>
      </c>
      <c r="J459" t="s">
        <v>41</v>
      </c>
      <c r="K459" t="s">
        <v>44</v>
      </c>
      <c r="L459">
        <v>3526.88</v>
      </c>
      <c r="M459" s="1">
        <v>43746</v>
      </c>
      <c r="N459" t="s">
        <v>45</v>
      </c>
      <c r="O459" t="s">
        <v>44</v>
      </c>
      <c r="P459" t="s">
        <v>47</v>
      </c>
      <c r="Q459" s="1">
        <v>43852</v>
      </c>
      <c r="R459" t="s">
        <v>48</v>
      </c>
      <c r="S459" t="s">
        <v>62</v>
      </c>
      <c r="T459" t="s">
        <v>63</v>
      </c>
      <c r="U459" t="s">
        <v>42</v>
      </c>
      <c r="V459">
        <v>0</v>
      </c>
      <c r="W459">
        <v>100000</v>
      </c>
      <c r="X459" s="1">
        <v>43982</v>
      </c>
      <c r="Y459" t="s">
        <v>51</v>
      </c>
      <c r="Z459" t="s">
        <v>43</v>
      </c>
      <c r="AA459" t="s">
        <v>41</v>
      </c>
      <c r="AB459" t="s">
        <v>52</v>
      </c>
      <c r="AC459" t="s">
        <v>53</v>
      </c>
      <c r="AF459" t="s">
        <v>58</v>
      </c>
      <c r="AG459" s="1">
        <v>43837</v>
      </c>
      <c r="AH459" t="s">
        <v>42</v>
      </c>
      <c r="AI459" t="s">
        <v>55</v>
      </c>
      <c r="AJ459">
        <v>12788092</v>
      </c>
      <c r="AK459">
        <v>250000</v>
      </c>
      <c r="AL459">
        <v>1500000</v>
      </c>
    </row>
    <row r="460" spans="1:38" x14ac:dyDescent="0.25">
      <c r="A460" t="s">
        <v>215</v>
      </c>
      <c r="B460" t="s">
        <v>216</v>
      </c>
      <c r="C460" t="s">
        <v>40</v>
      </c>
      <c r="D460" s="1">
        <v>43381</v>
      </c>
      <c r="E460" s="1">
        <v>43745</v>
      </c>
      <c r="F460" t="s">
        <v>41</v>
      </c>
      <c r="G460">
        <v>1</v>
      </c>
      <c r="H460" t="s">
        <v>42</v>
      </c>
      <c r="I460" t="s">
        <v>43</v>
      </c>
      <c r="J460" t="s">
        <v>41</v>
      </c>
      <c r="K460" t="s">
        <v>44</v>
      </c>
      <c r="L460">
        <v>3526.88</v>
      </c>
      <c r="M460" s="1">
        <v>43746</v>
      </c>
      <c r="N460" t="s">
        <v>45</v>
      </c>
      <c r="O460" t="s">
        <v>44</v>
      </c>
      <c r="P460" t="s">
        <v>47</v>
      </c>
      <c r="Q460" s="1">
        <v>43852</v>
      </c>
      <c r="R460" t="s">
        <v>48</v>
      </c>
      <c r="S460" t="s">
        <v>62</v>
      </c>
      <c r="T460" t="s">
        <v>63</v>
      </c>
      <c r="U460" t="s">
        <v>42</v>
      </c>
      <c r="V460">
        <v>0</v>
      </c>
      <c r="W460">
        <v>100000</v>
      </c>
      <c r="X460" s="1">
        <v>43982</v>
      </c>
      <c r="Y460" t="s">
        <v>51</v>
      </c>
      <c r="Z460" t="s">
        <v>43</v>
      </c>
      <c r="AA460" t="s">
        <v>41</v>
      </c>
      <c r="AB460" t="s">
        <v>52</v>
      </c>
      <c r="AC460" t="s">
        <v>53</v>
      </c>
      <c r="AF460" t="s">
        <v>59</v>
      </c>
      <c r="AG460" s="1">
        <v>43838</v>
      </c>
      <c r="AH460" t="s">
        <v>42</v>
      </c>
      <c r="AI460" t="s">
        <v>55</v>
      </c>
      <c r="AJ460">
        <v>12788092</v>
      </c>
      <c r="AK460">
        <v>250000</v>
      </c>
      <c r="AL460">
        <v>1500000</v>
      </c>
    </row>
    <row r="461" spans="1:38" x14ac:dyDescent="0.25">
      <c r="A461" t="s">
        <v>215</v>
      </c>
      <c r="B461" t="s">
        <v>216</v>
      </c>
      <c r="C461" t="s">
        <v>40</v>
      </c>
      <c r="D461" s="1">
        <v>43381</v>
      </c>
      <c r="E461" s="1">
        <v>43745</v>
      </c>
      <c r="F461" t="s">
        <v>41</v>
      </c>
      <c r="G461">
        <v>1</v>
      </c>
      <c r="H461" t="s">
        <v>42</v>
      </c>
      <c r="I461" t="s">
        <v>43</v>
      </c>
      <c r="J461" t="s">
        <v>41</v>
      </c>
      <c r="K461" t="s">
        <v>44</v>
      </c>
      <c r="L461">
        <v>3526.88</v>
      </c>
      <c r="M461" s="1">
        <v>43746</v>
      </c>
      <c r="N461" t="s">
        <v>45</v>
      </c>
      <c r="O461" t="s">
        <v>44</v>
      </c>
      <c r="P461" t="s">
        <v>47</v>
      </c>
      <c r="Q461" s="1">
        <v>43852</v>
      </c>
      <c r="R461" t="s">
        <v>48</v>
      </c>
      <c r="S461" t="s">
        <v>64</v>
      </c>
      <c r="T461" t="s">
        <v>65</v>
      </c>
      <c r="U461" t="s">
        <v>42</v>
      </c>
      <c r="V461">
        <v>0</v>
      </c>
      <c r="W461">
        <v>100000</v>
      </c>
      <c r="X461" s="1">
        <v>43921</v>
      </c>
      <c r="Y461" t="s">
        <v>51</v>
      </c>
      <c r="Z461" t="s">
        <v>43</v>
      </c>
      <c r="AA461" t="s">
        <v>41</v>
      </c>
      <c r="AB461" t="s">
        <v>52</v>
      </c>
      <c r="AC461" t="s">
        <v>53</v>
      </c>
      <c r="AF461" t="s">
        <v>54</v>
      </c>
      <c r="AG461" s="1">
        <v>43832</v>
      </c>
      <c r="AH461" t="s">
        <v>42</v>
      </c>
      <c r="AI461" t="s">
        <v>55</v>
      </c>
      <c r="AJ461">
        <v>12788092</v>
      </c>
      <c r="AK461">
        <v>250000</v>
      </c>
      <c r="AL461">
        <v>1500000</v>
      </c>
    </row>
    <row r="462" spans="1:38" x14ac:dyDescent="0.25">
      <c r="A462" t="s">
        <v>215</v>
      </c>
      <c r="B462" t="s">
        <v>216</v>
      </c>
      <c r="C462" t="s">
        <v>40</v>
      </c>
      <c r="D462" s="1">
        <v>43381</v>
      </c>
      <c r="E462" s="1">
        <v>43745</v>
      </c>
      <c r="F462" t="s">
        <v>41</v>
      </c>
      <c r="G462">
        <v>1</v>
      </c>
      <c r="H462" t="s">
        <v>42</v>
      </c>
      <c r="I462" t="s">
        <v>43</v>
      </c>
      <c r="J462" t="s">
        <v>41</v>
      </c>
      <c r="K462" t="s">
        <v>44</v>
      </c>
      <c r="L462">
        <v>3526.88</v>
      </c>
      <c r="M462" s="1">
        <v>43746</v>
      </c>
      <c r="N462" t="s">
        <v>45</v>
      </c>
      <c r="O462" t="s">
        <v>44</v>
      </c>
      <c r="P462" t="s">
        <v>47</v>
      </c>
      <c r="Q462" s="1">
        <v>43852</v>
      </c>
      <c r="R462" t="s">
        <v>48</v>
      </c>
      <c r="S462" t="s">
        <v>64</v>
      </c>
      <c r="T462" t="s">
        <v>65</v>
      </c>
      <c r="U462" t="s">
        <v>42</v>
      </c>
      <c r="V462">
        <v>0</v>
      </c>
      <c r="W462">
        <v>100000</v>
      </c>
      <c r="X462" s="1">
        <v>43921</v>
      </c>
      <c r="Y462" t="s">
        <v>51</v>
      </c>
      <c r="Z462" t="s">
        <v>43</v>
      </c>
      <c r="AA462" t="s">
        <v>41</v>
      </c>
      <c r="AB462" t="s">
        <v>52</v>
      </c>
      <c r="AC462" t="s">
        <v>53</v>
      </c>
      <c r="AF462" t="s">
        <v>56</v>
      </c>
      <c r="AG462" s="1">
        <v>43833</v>
      </c>
      <c r="AH462" t="s">
        <v>42</v>
      </c>
      <c r="AI462" t="s">
        <v>55</v>
      </c>
      <c r="AJ462">
        <v>12788092</v>
      </c>
      <c r="AK462">
        <v>250000</v>
      </c>
      <c r="AL462">
        <v>1500000</v>
      </c>
    </row>
    <row r="463" spans="1:38" x14ac:dyDescent="0.25">
      <c r="A463" t="s">
        <v>215</v>
      </c>
      <c r="B463" t="s">
        <v>216</v>
      </c>
      <c r="C463" t="s">
        <v>40</v>
      </c>
      <c r="D463" s="1">
        <v>43381</v>
      </c>
      <c r="E463" s="1">
        <v>43745</v>
      </c>
      <c r="F463" t="s">
        <v>41</v>
      </c>
      <c r="G463">
        <v>1</v>
      </c>
      <c r="H463" t="s">
        <v>42</v>
      </c>
      <c r="I463" t="s">
        <v>43</v>
      </c>
      <c r="J463" t="s">
        <v>41</v>
      </c>
      <c r="K463" t="s">
        <v>44</v>
      </c>
      <c r="L463">
        <v>3526.88</v>
      </c>
      <c r="M463" s="1">
        <v>43746</v>
      </c>
      <c r="N463" t="s">
        <v>45</v>
      </c>
      <c r="O463" t="s">
        <v>44</v>
      </c>
      <c r="P463" t="s">
        <v>47</v>
      </c>
      <c r="Q463" s="1">
        <v>43852</v>
      </c>
      <c r="R463" t="s">
        <v>48</v>
      </c>
      <c r="S463" t="s">
        <v>64</v>
      </c>
      <c r="T463" t="s">
        <v>65</v>
      </c>
      <c r="U463" t="s">
        <v>42</v>
      </c>
      <c r="V463">
        <v>0</v>
      </c>
      <c r="W463">
        <v>100000</v>
      </c>
      <c r="X463" s="1">
        <v>43921</v>
      </c>
      <c r="Y463" t="s">
        <v>51</v>
      </c>
      <c r="Z463" t="s">
        <v>43</v>
      </c>
      <c r="AA463" t="s">
        <v>41</v>
      </c>
      <c r="AB463" t="s">
        <v>52</v>
      </c>
      <c r="AC463" t="s">
        <v>53</v>
      </c>
      <c r="AF463" t="s">
        <v>57</v>
      </c>
      <c r="AG463" s="1">
        <v>43836</v>
      </c>
      <c r="AH463" t="s">
        <v>42</v>
      </c>
      <c r="AI463" t="s">
        <v>55</v>
      </c>
      <c r="AJ463">
        <v>12788092</v>
      </c>
      <c r="AK463">
        <v>250000</v>
      </c>
      <c r="AL463">
        <v>1500000</v>
      </c>
    </row>
    <row r="464" spans="1:38" x14ac:dyDescent="0.25">
      <c r="A464" t="s">
        <v>215</v>
      </c>
      <c r="B464" t="s">
        <v>216</v>
      </c>
      <c r="C464" t="s">
        <v>40</v>
      </c>
      <c r="D464" s="1">
        <v>43381</v>
      </c>
      <c r="E464" s="1">
        <v>43745</v>
      </c>
      <c r="F464" t="s">
        <v>41</v>
      </c>
      <c r="G464">
        <v>1</v>
      </c>
      <c r="H464" t="s">
        <v>42</v>
      </c>
      <c r="I464" t="s">
        <v>43</v>
      </c>
      <c r="J464" t="s">
        <v>41</v>
      </c>
      <c r="K464" t="s">
        <v>44</v>
      </c>
      <c r="L464">
        <v>3526.88</v>
      </c>
      <c r="M464" s="1">
        <v>43746</v>
      </c>
      <c r="N464" t="s">
        <v>45</v>
      </c>
      <c r="O464" t="s">
        <v>44</v>
      </c>
      <c r="P464" t="s">
        <v>47</v>
      </c>
      <c r="Q464" s="1">
        <v>43852</v>
      </c>
      <c r="R464" t="s">
        <v>48</v>
      </c>
      <c r="S464" t="s">
        <v>64</v>
      </c>
      <c r="T464" t="s">
        <v>65</v>
      </c>
      <c r="U464" t="s">
        <v>42</v>
      </c>
      <c r="V464">
        <v>0</v>
      </c>
      <c r="W464">
        <v>100000</v>
      </c>
      <c r="X464" s="1">
        <v>43921</v>
      </c>
      <c r="Y464" t="s">
        <v>51</v>
      </c>
      <c r="Z464" t="s">
        <v>43</v>
      </c>
      <c r="AA464" t="s">
        <v>41</v>
      </c>
      <c r="AB464" t="s">
        <v>52</v>
      </c>
      <c r="AC464" t="s">
        <v>53</v>
      </c>
      <c r="AF464" t="s">
        <v>58</v>
      </c>
      <c r="AG464" s="1">
        <v>43837</v>
      </c>
      <c r="AH464" t="s">
        <v>42</v>
      </c>
      <c r="AI464" t="s">
        <v>55</v>
      </c>
      <c r="AJ464">
        <v>12788092</v>
      </c>
      <c r="AK464">
        <v>250000</v>
      </c>
      <c r="AL464">
        <v>1500000</v>
      </c>
    </row>
    <row r="465" spans="1:38" x14ac:dyDescent="0.25">
      <c r="A465" t="s">
        <v>215</v>
      </c>
      <c r="B465" t="s">
        <v>216</v>
      </c>
      <c r="C465" t="s">
        <v>40</v>
      </c>
      <c r="D465" s="1">
        <v>43381</v>
      </c>
      <c r="E465" s="1">
        <v>43745</v>
      </c>
      <c r="F465" t="s">
        <v>41</v>
      </c>
      <c r="G465">
        <v>1</v>
      </c>
      <c r="H465" t="s">
        <v>42</v>
      </c>
      <c r="I465" t="s">
        <v>43</v>
      </c>
      <c r="J465" t="s">
        <v>41</v>
      </c>
      <c r="K465" t="s">
        <v>44</v>
      </c>
      <c r="L465">
        <v>3526.88</v>
      </c>
      <c r="M465" s="1">
        <v>43746</v>
      </c>
      <c r="N465" t="s">
        <v>45</v>
      </c>
      <c r="O465" t="s">
        <v>44</v>
      </c>
      <c r="P465" t="s">
        <v>47</v>
      </c>
      <c r="Q465" s="1">
        <v>43852</v>
      </c>
      <c r="R465" t="s">
        <v>48</v>
      </c>
      <c r="S465" t="s">
        <v>64</v>
      </c>
      <c r="T465" t="s">
        <v>65</v>
      </c>
      <c r="U465" t="s">
        <v>42</v>
      </c>
      <c r="V465">
        <v>0</v>
      </c>
      <c r="W465">
        <v>100000</v>
      </c>
      <c r="X465" s="1">
        <v>43921</v>
      </c>
      <c r="Y465" t="s">
        <v>51</v>
      </c>
      <c r="Z465" t="s">
        <v>43</v>
      </c>
      <c r="AA465" t="s">
        <v>41</v>
      </c>
      <c r="AB465" t="s">
        <v>52</v>
      </c>
      <c r="AC465" t="s">
        <v>53</v>
      </c>
      <c r="AF465" t="s">
        <v>59</v>
      </c>
      <c r="AG465" s="1">
        <v>43838</v>
      </c>
      <c r="AH465" t="s">
        <v>42</v>
      </c>
      <c r="AI465" t="s">
        <v>55</v>
      </c>
      <c r="AJ465">
        <v>12788092</v>
      </c>
      <c r="AK465">
        <v>250000</v>
      </c>
      <c r="AL465">
        <v>1500000</v>
      </c>
    </row>
    <row r="466" spans="1:38" x14ac:dyDescent="0.25">
      <c r="A466" t="s">
        <v>217</v>
      </c>
      <c r="B466" t="s">
        <v>218</v>
      </c>
      <c r="C466" t="s">
        <v>40</v>
      </c>
      <c r="D466" s="1">
        <v>43016</v>
      </c>
      <c r="E466" s="1">
        <v>43380</v>
      </c>
      <c r="F466" t="s">
        <v>41</v>
      </c>
      <c r="G466">
        <v>5</v>
      </c>
      <c r="H466" t="s">
        <v>219</v>
      </c>
      <c r="I466" t="s">
        <v>43</v>
      </c>
      <c r="J466" t="s">
        <v>41</v>
      </c>
      <c r="K466" t="s">
        <v>44</v>
      </c>
      <c r="L466">
        <v>34950.980000000003</v>
      </c>
      <c r="M466" s="1">
        <v>43016</v>
      </c>
      <c r="N466" t="s">
        <v>45</v>
      </c>
      <c r="O466" t="s">
        <v>46</v>
      </c>
      <c r="P466" t="s">
        <v>47</v>
      </c>
      <c r="Q466" s="1">
        <v>43852</v>
      </c>
      <c r="R466" t="s">
        <v>48</v>
      </c>
    </row>
    <row r="467" spans="1:38" x14ac:dyDescent="0.25">
      <c r="A467" t="s">
        <v>220</v>
      </c>
      <c r="B467">
        <v>22214272</v>
      </c>
      <c r="C467" t="s">
        <v>40</v>
      </c>
      <c r="D467" s="1">
        <v>43040</v>
      </c>
      <c r="E467" s="1">
        <v>43404</v>
      </c>
      <c r="F467" t="s">
        <v>41</v>
      </c>
      <c r="G467">
        <v>5</v>
      </c>
      <c r="H467" t="s">
        <v>219</v>
      </c>
      <c r="I467" t="s">
        <v>43</v>
      </c>
      <c r="J467" t="s">
        <v>41</v>
      </c>
      <c r="K467" t="s">
        <v>44</v>
      </c>
      <c r="L467">
        <v>55687.5</v>
      </c>
      <c r="M467" s="1">
        <v>43040</v>
      </c>
      <c r="N467" t="s">
        <v>45</v>
      </c>
      <c r="O467" t="s">
        <v>46</v>
      </c>
      <c r="P467" t="s">
        <v>47</v>
      </c>
      <c r="Q467" s="1">
        <v>43852</v>
      </c>
      <c r="R467" t="s">
        <v>48</v>
      </c>
    </row>
    <row r="468" spans="1:38" x14ac:dyDescent="0.25">
      <c r="A468" t="s">
        <v>221</v>
      </c>
      <c r="B468" t="s">
        <v>222</v>
      </c>
      <c r="C468" t="s">
        <v>40</v>
      </c>
      <c r="D468" s="1">
        <v>43567</v>
      </c>
      <c r="E468" s="1">
        <v>43932</v>
      </c>
      <c r="F468" t="s">
        <v>72</v>
      </c>
      <c r="G468">
        <v>11</v>
      </c>
      <c r="H468" t="s">
        <v>223</v>
      </c>
      <c r="I468" t="s">
        <v>43</v>
      </c>
      <c r="J468" t="s">
        <v>115</v>
      </c>
      <c r="K468" t="s">
        <v>44</v>
      </c>
      <c r="L468">
        <v>5187.3100000000004</v>
      </c>
      <c r="M468" s="1">
        <v>43567</v>
      </c>
      <c r="N468" t="s">
        <v>45</v>
      </c>
      <c r="O468" t="s">
        <v>46</v>
      </c>
      <c r="P468" t="s">
        <v>47</v>
      </c>
      <c r="Q468" s="1">
        <v>43852</v>
      </c>
      <c r="R468" t="s">
        <v>48</v>
      </c>
    </row>
    <row r="469" spans="1:38" x14ac:dyDescent="0.25">
      <c r="A469" t="s">
        <v>224</v>
      </c>
      <c r="B469" t="s">
        <v>225</v>
      </c>
      <c r="C469" t="s">
        <v>40</v>
      </c>
      <c r="D469" s="1">
        <v>43337</v>
      </c>
      <c r="E469" s="1">
        <v>43701</v>
      </c>
      <c r="F469" t="s">
        <v>72</v>
      </c>
      <c r="G469">
        <v>1</v>
      </c>
      <c r="H469" t="s">
        <v>42</v>
      </c>
      <c r="I469" t="s">
        <v>43</v>
      </c>
      <c r="J469" t="s">
        <v>115</v>
      </c>
      <c r="K469" t="s">
        <v>127</v>
      </c>
      <c r="L469">
        <v>2116.48</v>
      </c>
      <c r="M469" s="1">
        <v>43337</v>
      </c>
      <c r="N469" t="s">
        <v>45</v>
      </c>
      <c r="O469" t="s">
        <v>46</v>
      </c>
      <c r="P469" t="s">
        <v>47</v>
      </c>
      <c r="Q469" s="1">
        <v>43852</v>
      </c>
      <c r="R469" t="s">
        <v>48</v>
      </c>
    </row>
    <row r="470" spans="1:38" x14ac:dyDescent="0.25">
      <c r="A470" t="s">
        <v>226</v>
      </c>
      <c r="B470" t="s">
        <v>227</v>
      </c>
      <c r="C470" t="s">
        <v>40</v>
      </c>
      <c r="D470" s="1">
        <v>43434</v>
      </c>
      <c r="E470" s="1">
        <v>43798</v>
      </c>
      <c r="F470" t="s">
        <v>72</v>
      </c>
      <c r="G470">
        <v>1</v>
      </c>
      <c r="H470" t="s">
        <v>42</v>
      </c>
      <c r="I470" t="s">
        <v>43</v>
      </c>
      <c r="J470" t="s">
        <v>115</v>
      </c>
      <c r="K470" t="s">
        <v>44</v>
      </c>
      <c r="L470">
        <v>810.28</v>
      </c>
      <c r="M470" s="1">
        <v>43434</v>
      </c>
      <c r="N470" t="s">
        <v>45</v>
      </c>
      <c r="O470" t="s">
        <v>46</v>
      </c>
      <c r="P470" t="s">
        <v>47</v>
      </c>
      <c r="Q470" s="1">
        <v>43852</v>
      </c>
      <c r="R470" t="s">
        <v>48</v>
      </c>
    </row>
    <row r="471" spans="1:38" x14ac:dyDescent="0.25">
      <c r="A471" t="s">
        <v>228</v>
      </c>
      <c r="B471">
        <v>30003393</v>
      </c>
      <c r="C471" t="s">
        <v>40</v>
      </c>
      <c r="D471" s="1">
        <v>43586</v>
      </c>
      <c r="E471" s="1">
        <v>43951</v>
      </c>
      <c r="F471" t="s">
        <v>76</v>
      </c>
      <c r="G471">
        <v>6</v>
      </c>
      <c r="H471" t="s">
        <v>187</v>
      </c>
      <c r="I471" t="s">
        <v>43</v>
      </c>
      <c r="J471" t="s">
        <v>80</v>
      </c>
      <c r="K471" t="s">
        <v>68</v>
      </c>
      <c r="L471">
        <v>379836.08</v>
      </c>
      <c r="M471" s="1">
        <v>43586</v>
      </c>
      <c r="N471" t="s">
        <v>45</v>
      </c>
      <c r="O471" t="s">
        <v>46</v>
      </c>
      <c r="P471" t="s">
        <v>47</v>
      </c>
      <c r="Q471" s="1">
        <v>43852</v>
      </c>
      <c r="R471" t="s">
        <v>48</v>
      </c>
    </row>
    <row r="472" spans="1:38" x14ac:dyDescent="0.25">
      <c r="A472" t="s">
        <v>229</v>
      </c>
      <c r="B472" t="s">
        <v>230</v>
      </c>
      <c r="C472" t="s">
        <v>40</v>
      </c>
      <c r="D472" s="1">
        <v>43555</v>
      </c>
      <c r="E472" s="1">
        <v>43920</v>
      </c>
      <c r="F472" t="s">
        <v>77</v>
      </c>
      <c r="G472">
        <v>6</v>
      </c>
      <c r="H472" t="s">
        <v>187</v>
      </c>
      <c r="I472" t="s">
        <v>43</v>
      </c>
      <c r="J472" t="s">
        <v>77</v>
      </c>
      <c r="K472" t="s">
        <v>127</v>
      </c>
      <c r="L472">
        <v>28087.5</v>
      </c>
      <c r="M472" s="1">
        <v>43555</v>
      </c>
      <c r="N472" t="s">
        <v>45</v>
      </c>
      <c r="O472" t="s">
        <v>46</v>
      </c>
      <c r="P472" t="s">
        <v>47</v>
      </c>
      <c r="Q472" s="1">
        <v>43852</v>
      </c>
      <c r="R472" t="s">
        <v>48</v>
      </c>
    </row>
    <row r="473" spans="1:38" x14ac:dyDescent="0.25">
      <c r="A473" t="s">
        <v>231</v>
      </c>
      <c r="B473" t="s">
        <v>232</v>
      </c>
      <c r="C473" t="s">
        <v>40</v>
      </c>
      <c r="D473" s="1">
        <v>43466</v>
      </c>
      <c r="E473" s="1">
        <v>43830</v>
      </c>
      <c r="F473" t="s">
        <v>77</v>
      </c>
      <c r="G473">
        <v>1</v>
      </c>
      <c r="H473" t="s">
        <v>42</v>
      </c>
      <c r="I473" t="s">
        <v>43</v>
      </c>
      <c r="J473" t="s">
        <v>77</v>
      </c>
      <c r="K473" t="s">
        <v>44</v>
      </c>
      <c r="L473">
        <v>137500</v>
      </c>
      <c r="M473" s="1">
        <v>43466</v>
      </c>
      <c r="N473" t="s">
        <v>45</v>
      </c>
      <c r="O473" t="s">
        <v>46</v>
      </c>
      <c r="P473" t="s">
        <v>47</v>
      </c>
      <c r="Q473" s="1">
        <v>43852</v>
      </c>
      <c r="R473" t="s">
        <v>48</v>
      </c>
      <c r="S473" t="s">
        <v>233</v>
      </c>
      <c r="T473" t="s">
        <v>234</v>
      </c>
      <c r="U473" t="s">
        <v>42</v>
      </c>
      <c r="V473">
        <v>0</v>
      </c>
      <c r="W473">
        <v>100000</v>
      </c>
      <c r="X473" s="1">
        <v>43982</v>
      </c>
      <c r="Y473" t="s">
        <v>51</v>
      </c>
      <c r="Z473" t="s">
        <v>43</v>
      </c>
      <c r="AA473" t="s">
        <v>77</v>
      </c>
      <c r="AB473" t="s">
        <v>158</v>
      </c>
      <c r="AC473" t="s">
        <v>235</v>
      </c>
      <c r="AF473" t="s">
        <v>54</v>
      </c>
      <c r="AG473" s="1">
        <v>43832</v>
      </c>
      <c r="AH473" t="s">
        <v>42</v>
      </c>
      <c r="AI473" t="s">
        <v>55</v>
      </c>
      <c r="AJ473">
        <v>12788092</v>
      </c>
      <c r="AK473">
        <v>250000</v>
      </c>
      <c r="AL473">
        <v>1500000</v>
      </c>
    </row>
    <row r="474" spans="1:38" x14ac:dyDescent="0.25">
      <c r="A474" t="s">
        <v>231</v>
      </c>
      <c r="B474" t="s">
        <v>232</v>
      </c>
      <c r="C474" t="s">
        <v>40</v>
      </c>
      <c r="D474" s="1">
        <v>43466</v>
      </c>
      <c r="E474" s="1">
        <v>43830</v>
      </c>
      <c r="F474" t="s">
        <v>77</v>
      </c>
      <c r="G474">
        <v>1</v>
      </c>
      <c r="H474" t="s">
        <v>42</v>
      </c>
      <c r="I474" t="s">
        <v>43</v>
      </c>
      <c r="J474" t="s">
        <v>77</v>
      </c>
      <c r="K474" t="s">
        <v>44</v>
      </c>
      <c r="L474">
        <v>137500</v>
      </c>
      <c r="M474" s="1">
        <v>43466</v>
      </c>
      <c r="N474" t="s">
        <v>45</v>
      </c>
      <c r="O474" t="s">
        <v>46</v>
      </c>
      <c r="P474" t="s">
        <v>47</v>
      </c>
      <c r="Q474" s="1">
        <v>43852</v>
      </c>
      <c r="R474" t="s">
        <v>48</v>
      </c>
      <c r="S474" t="s">
        <v>233</v>
      </c>
      <c r="T474" t="s">
        <v>234</v>
      </c>
      <c r="U474" t="s">
        <v>42</v>
      </c>
      <c r="V474">
        <v>0</v>
      </c>
      <c r="W474">
        <v>100000</v>
      </c>
      <c r="X474" s="1">
        <v>43982</v>
      </c>
      <c r="Y474" t="s">
        <v>51</v>
      </c>
      <c r="Z474" t="s">
        <v>43</v>
      </c>
      <c r="AA474" t="s">
        <v>77</v>
      </c>
      <c r="AB474" t="s">
        <v>158</v>
      </c>
      <c r="AC474" t="s">
        <v>235</v>
      </c>
      <c r="AF474" t="s">
        <v>56</v>
      </c>
      <c r="AG474" s="1">
        <v>43833</v>
      </c>
      <c r="AH474" t="s">
        <v>42</v>
      </c>
      <c r="AI474" t="s">
        <v>55</v>
      </c>
      <c r="AJ474">
        <v>12788092</v>
      </c>
      <c r="AK474">
        <v>250000</v>
      </c>
      <c r="AL474">
        <v>1500000</v>
      </c>
    </row>
    <row r="475" spans="1:38" x14ac:dyDescent="0.25">
      <c r="A475" t="s">
        <v>231</v>
      </c>
      <c r="B475" t="s">
        <v>232</v>
      </c>
      <c r="C475" t="s">
        <v>40</v>
      </c>
      <c r="D475" s="1">
        <v>43466</v>
      </c>
      <c r="E475" s="1">
        <v>43830</v>
      </c>
      <c r="F475" t="s">
        <v>77</v>
      </c>
      <c r="G475">
        <v>1</v>
      </c>
      <c r="H475" t="s">
        <v>42</v>
      </c>
      <c r="I475" t="s">
        <v>43</v>
      </c>
      <c r="J475" t="s">
        <v>77</v>
      </c>
      <c r="K475" t="s">
        <v>44</v>
      </c>
      <c r="L475">
        <v>137500</v>
      </c>
      <c r="M475" s="1">
        <v>43466</v>
      </c>
      <c r="N475" t="s">
        <v>45</v>
      </c>
      <c r="O475" t="s">
        <v>46</v>
      </c>
      <c r="P475" t="s">
        <v>47</v>
      </c>
      <c r="Q475" s="1">
        <v>43852</v>
      </c>
      <c r="R475" t="s">
        <v>48</v>
      </c>
      <c r="S475" t="s">
        <v>233</v>
      </c>
      <c r="T475" t="s">
        <v>234</v>
      </c>
      <c r="U475" t="s">
        <v>42</v>
      </c>
      <c r="V475">
        <v>0</v>
      </c>
      <c r="W475">
        <v>100000</v>
      </c>
      <c r="X475" s="1">
        <v>43982</v>
      </c>
      <c r="Y475" t="s">
        <v>51</v>
      </c>
      <c r="Z475" t="s">
        <v>43</v>
      </c>
      <c r="AA475" t="s">
        <v>77</v>
      </c>
      <c r="AB475" t="s">
        <v>158</v>
      </c>
      <c r="AC475" t="s">
        <v>235</v>
      </c>
      <c r="AF475" t="s">
        <v>57</v>
      </c>
      <c r="AG475" s="1">
        <v>43836</v>
      </c>
      <c r="AH475" t="s">
        <v>42</v>
      </c>
      <c r="AI475" t="s">
        <v>55</v>
      </c>
      <c r="AJ475">
        <v>12788092</v>
      </c>
      <c r="AK475">
        <v>250000</v>
      </c>
      <c r="AL475">
        <v>1500000</v>
      </c>
    </row>
    <row r="476" spans="1:38" x14ac:dyDescent="0.25">
      <c r="A476" t="s">
        <v>231</v>
      </c>
      <c r="B476" t="s">
        <v>232</v>
      </c>
      <c r="C476" t="s">
        <v>40</v>
      </c>
      <c r="D476" s="1">
        <v>43466</v>
      </c>
      <c r="E476" s="1">
        <v>43830</v>
      </c>
      <c r="F476" t="s">
        <v>77</v>
      </c>
      <c r="G476">
        <v>1</v>
      </c>
      <c r="H476" t="s">
        <v>42</v>
      </c>
      <c r="I476" t="s">
        <v>43</v>
      </c>
      <c r="J476" t="s">
        <v>77</v>
      </c>
      <c r="K476" t="s">
        <v>44</v>
      </c>
      <c r="L476">
        <v>137500</v>
      </c>
      <c r="M476" s="1">
        <v>43466</v>
      </c>
      <c r="N476" t="s">
        <v>45</v>
      </c>
      <c r="O476" t="s">
        <v>46</v>
      </c>
      <c r="P476" t="s">
        <v>47</v>
      </c>
      <c r="Q476" s="1">
        <v>43852</v>
      </c>
      <c r="R476" t="s">
        <v>48</v>
      </c>
      <c r="S476" t="s">
        <v>233</v>
      </c>
      <c r="T476" t="s">
        <v>234</v>
      </c>
      <c r="U476" t="s">
        <v>42</v>
      </c>
      <c r="V476">
        <v>0</v>
      </c>
      <c r="W476">
        <v>100000</v>
      </c>
      <c r="X476" s="1">
        <v>43982</v>
      </c>
      <c r="Y476" t="s">
        <v>51</v>
      </c>
      <c r="Z476" t="s">
        <v>43</v>
      </c>
      <c r="AA476" t="s">
        <v>77</v>
      </c>
      <c r="AB476" t="s">
        <v>158</v>
      </c>
      <c r="AC476" t="s">
        <v>235</v>
      </c>
      <c r="AF476" t="s">
        <v>58</v>
      </c>
      <c r="AG476" s="1">
        <v>43837</v>
      </c>
      <c r="AH476" t="s">
        <v>42</v>
      </c>
      <c r="AI476" t="s">
        <v>55</v>
      </c>
      <c r="AJ476">
        <v>12788092</v>
      </c>
      <c r="AK476">
        <v>250000</v>
      </c>
      <c r="AL476">
        <v>1500000</v>
      </c>
    </row>
    <row r="477" spans="1:38" x14ac:dyDescent="0.25">
      <c r="A477" t="s">
        <v>231</v>
      </c>
      <c r="B477" t="s">
        <v>232</v>
      </c>
      <c r="C477" t="s">
        <v>40</v>
      </c>
      <c r="D477" s="1">
        <v>43466</v>
      </c>
      <c r="E477" s="1">
        <v>43830</v>
      </c>
      <c r="F477" t="s">
        <v>77</v>
      </c>
      <c r="G477">
        <v>1</v>
      </c>
      <c r="H477" t="s">
        <v>42</v>
      </c>
      <c r="I477" t="s">
        <v>43</v>
      </c>
      <c r="J477" t="s">
        <v>77</v>
      </c>
      <c r="K477" t="s">
        <v>44</v>
      </c>
      <c r="L477">
        <v>137500</v>
      </c>
      <c r="M477" s="1">
        <v>43466</v>
      </c>
      <c r="N477" t="s">
        <v>45</v>
      </c>
      <c r="O477" t="s">
        <v>46</v>
      </c>
      <c r="P477" t="s">
        <v>47</v>
      </c>
      <c r="Q477" s="1">
        <v>43852</v>
      </c>
      <c r="R477" t="s">
        <v>48</v>
      </c>
      <c r="S477" t="s">
        <v>233</v>
      </c>
      <c r="T477" t="s">
        <v>234</v>
      </c>
      <c r="U477" t="s">
        <v>42</v>
      </c>
      <c r="V477">
        <v>0</v>
      </c>
      <c r="W477">
        <v>100000</v>
      </c>
      <c r="X477" s="1">
        <v>43982</v>
      </c>
      <c r="Y477" t="s">
        <v>51</v>
      </c>
      <c r="Z477" t="s">
        <v>43</v>
      </c>
      <c r="AA477" t="s">
        <v>77</v>
      </c>
      <c r="AB477" t="s">
        <v>158</v>
      </c>
      <c r="AC477" t="s">
        <v>235</v>
      </c>
      <c r="AF477" t="s">
        <v>59</v>
      </c>
      <c r="AG477" s="1">
        <v>43838</v>
      </c>
      <c r="AH477" t="s">
        <v>42</v>
      </c>
      <c r="AI477" t="s">
        <v>55</v>
      </c>
      <c r="AJ477">
        <v>12788092</v>
      </c>
      <c r="AK477">
        <v>250000</v>
      </c>
      <c r="AL477">
        <v>1500000</v>
      </c>
    </row>
    <row r="478" spans="1:38" x14ac:dyDescent="0.25">
      <c r="A478" t="s">
        <v>236</v>
      </c>
      <c r="B478" t="s">
        <v>237</v>
      </c>
      <c r="C478" t="s">
        <v>40</v>
      </c>
      <c r="D478" s="1">
        <v>43377</v>
      </c>
      <c r="E478" s="1">
        <v>43741</v>
      </c>
      <c r="F478" t="s">
        <v>77</v>
      </c>
      <c r="G478">
        <v>1</v>
      </c>
      <c r="H478" t="s">
        <v>42</v>
      </c>
      <c r="I478" t="s">
        <v>43</v>
      </c>
      <c r="J478" t="s">
        <v>77</v>
      </c>
      <c r="K478" t="s">
        <v>127</v>
      </c>
      <c r="L478">
        <v>18750</v>
      </c>
      <c r="M478" s="1">
        <v>43377</v>
      </c>
      <c r="N478" t="s">
        <v>45</v>
      </c>
      <c r="O478" t="s">
        <v>46</v>
      </c>
      <c r="P478" t="s">
        <v>47</v>
      </c>
      <c r="Q478" s="1">
        <v>43852</v>
      </c>
      <c r="R478" t="s">
        <v>48</v>
      </c>
      <c r="S478" t="s">
        <v>233</v>
      </c>
      <c r="T478" t="s">
        <v>234</v>
      </c>
      <c r="U478" t="s">
        <v>42</v>
      </c>
      <c r="V478">
        <v>0</v>
      </c>
      <c r="W478">
        <v>100000</v>
      </c>
      <c r="X478" s="1">
        <v>43982</v>
      </c>
      <c r="Y478" t="s">
        <v>51</v>
      </c>
      <c r="Z478" t="s">
        <v>43</v>
      </c>
      <c r="AA478" t="s">
        <v>77</v>
      </c>
      <c r="AB478" t="s">
        <v>158</v>
      </c>
      <c r="AC478" t="s">
        <v>235</v>
      </c>
      <c r="AF478" t="s">
        <v>54</v>
      </c>
      <c r="AG478" s="1">
        <v>43832</v>
      </c>
      <c r="AH478" t="s">
        <v>42</v>
      </c>
      <c r="AI478" t="s">
        <v>55</v>
      </c>
      <c r="AJ478">
        <v>12788092</v>
      </c>
      <c r="AK478">
        <v>250000</v>
      </c>
      <c r="AL478">
        <v>1500000</v>
      </c>
    </row>
    <row r="479" spans="1:38" x14ac:dyDescent="0.25">
      <c r="A479" t="s">
        <v>236</v>
      </c>
      <c r="B479" t="s">
        <v>237</v>
      </c>
      <c r="C479" t="s">
        <v>40</v>
      </c>
      <c r="D479" s="1">
        <v>43377</v>
      </c>
      <c r="E479" s="1">
        <v>43741</v>
      </c>
      <c r="F479" t="s">
        <v>77</v>
      </c>
      <c r="G479">
        <v>1</v>
      </c>
      <c r="H479" t="s">
        <v>42</v>
      </c>
      <c r="I479" t="s">
        <v>43</v>
      </c>
      <c r="J479" t="s">
        <v>77</v>
      </c>
      <c r="K479" t="s">
        <v>127</v>
      </c>
      <c r="L479">
        <v>18750</v>
      </c>
      <c r="M479" s="1">
        <v>43377</v>
      </c>
      <c r="N479" t="s">
        <v>45</v>
      </c>
      <c r="O479" t="s">
        <v>46</v>
      </c>
      <c r="P479" t="s">
        <v>47</v>
      </c>
      <c r="Q479" s="1">
        <v>43852</v>
      </c>
      <c r="R479" t="s">
        <v>48</v>
      </c>
      <c r="S479" t="s">
        <v>233</v>
      </c>
      <c r="T479" t="s">
        <v>234</v>
      </c>
      <c r="U479" t="s">
        <v>42</v>
      </c>
      <c r="V479">
        <v>0</v>
      </c>
      <c r="W479">
        <v>100000</v>
      </c>
      <c r="X479" s="1">
        <v>43982</v>
      </c>
      <c r="Y479" t="s">
        <v>51</v>
      </c>
      <c r="Z479" t="s">
        <v>43</v>
      </c>
      <c r="AA479" t="s">
        <v>77</v>
      </c>
      <c r="AB479" t="s">
        <v>158</v>
      </c>
      <c r="AC479" t="s">
        <v>235</v>
      </c>
      <c r="AF479" t="s">
        <v>56</v>
      </c>
      <c r="AG479" s="1">
        <v>43833</v>
      </c>
      <c r="AH479" t="s">
        <v>42</v>
      </c>
      <c r="AI479" t="s">
        <v>55</v>
      </c>
      <c r="AJ479">
        <v>12788092</v>
      </c>
      <c r="AK479">
        <v>250000</v>
      </c>
      <c r="AL479">
        <v>1500000</v>
      </c>
    </row>
    <row r="480" spans="1:38" x14ac:dyDescent="0.25">
      <c r="A480" t="s">
        <v>236</v>
      </c>
      <c r="B480" t="s">
        <v>237</v>
      </c>
      <c r="C480" t="s">
        <v>40</v>
      </c>
      <c r="D480" s="1">
        <v>43377</v>
      </c>
      <c r="E480" s="1">
        <v>43741</v>
      </c>
      <c r="F480" t="s">
        <v>77</v>
      </c>
      <c r="G480">
        <v>1</v>
      </c>
      <c r="H480" t="s">
        <v>42</v>
      </c>
      <c r="I480" t="s">
        <v>43</v>
      </c>
      <c r="J480" t="s">
        <v>77</v>
      </c>
      <c r="K480" t="s">
        <v>127</v>
      </c>
      <c r="L480">
        <v>18750</v>
      </c>
      <c r="M480" s="1">
        <v>43377</v>
      </c>
      <c r="N480" t="s">
        <v>45</v>
      </c>
      <c r="O480" t="s">
        <v>46</v>
      </c>
      <c r="P480" t="s">
        <v>47</v>
      </c>
      <c r="Q480" s="1">
        <v>43852</v>
      </c>
      <c r="R480" t="s">
        <v>48</v>
      </c>
      <c r="S480" t="s">
        <v>233</v>
      </c>
      <c r="T480" t="s">
        <v>234</v>
      </c>
      <c r="U480" t="s">
        <v>42</v>
      </c>
      <c r="V480">
        <v>0</v>
      </c>
      <c r="W480">
        <v>100000</v>
      </c>
      <c r="X480" s="1">
        <v>43982</v>
      </c>
      <c r="Y480" t="s">
        <v>51</v>
      </c>
      <c r="Z480" t="s">
        <v>43</v>
      </c>
      <c r="AA480" t="s">
        <v>77</v>
      </c>
      <c r="AB480" t="s">
        <v>158</v>
      </c>
      <c r="AC480" t="s">
        <v>235</v>
      </c>
      <c r="AF480" t="s">
        <v>57</v>
      </c>
      <c r="AG480" s="1">
        <v>43836</v>
      </c>
      <c r="AH480" t="s">
        <v>42</v>
      </c>
      <c r="AI480" t="s">
        <v>55</v>
      </c>
      <c r="AJ480">
        <v>12788092</v>
      </c>
      <c r="AK480">
        <v>250000</v>
      </c>
      <c r="AL480">
        <v>1500000</v>
      </c>
    </row>
    <row r="481" spans="1:38" x14ac:dyDescent="0.25">
      <c r="A481" t="s">
        <v>236</v>
      </c>
      <c r="B481" t="s">
        <v>237</v>
      </c>
      <c r="C481" t="s">
        <v>40</v>
      </c>
      <c r="D481" s="1">
        <v>43377</v>
      </c>
      <c r="E481" s="1">
        <v>43741</v>
      </c>
      <c r="F481" t="s">
        <v>77</v>
      </c>
      <c r="G481">
        <v>1</v>
      </c>
      <c r="H481" t="s">
        <v>42</v>
      </c>
      <c r="I481" t="s">
        <v>43</v>
      </c>
      <c r="J481" t="s">
        <v>77</v>
      </c>
      <c r="K481" t="s">
        <v>127</v>
      </c>
      <c r="L481">
        <v>18750</v>
      </c>
      <c r="M481" s="1">
        <v>43377</v>
      </c>
      <c r="N481" t="s">
        <v>45</v>
      </c>
      <c r="O481" t="s">
        <v>46</v>
      </c>
      <c r="P481" t="s">
        <v>47</v>
      </c>
      <c r="Q481" s="1">
        <v>43852</v>
      </c>
      <c r="R481" t="s">
        <v>48</v>
      </c>
      <c r="S481" t="s">
        <v>233</v>
      </c>
      <c r="T481" t="s">
        <v>234</v>
      </c>
      <c r="U481" t="s">
        <v>42</v>
      </c>
      <c r="V481">
        <v>0</v>
      </c>
      <c r="W481">
        <v>100000</v>
      </c>
      <c r="X481" s="1">
        <v>43982</v>
      </c>
      <c r="Y481" t="s">
        <v>51</v>
      </c>
      <c r="Z481" t="s">
        <v>43</v>
      </c>
      <c r="AA481" t="s">
        <v>77</v>
      </c>
      <c r="AB481" t="s">
        <v>158</v>
      </c>
      <c r="AC481" t="s">
        <v>235</v>
      </c>
      <c r="AF481" t="s">
        <v>58</v>
      </c>
      <c r="AG481" s="1">
        <v>43837</v>
      </c>
      <c r="AH481" t="s">
        <v>42</v>
      </c>
      <c r="AI481" t="s">
        <v>55</v>
      </c>
      <c r="AJ481">
        <v>12788092</v>
      </c>
      <c r="AK481">
        <v>250000</v>
      </c>
      <c r="AL481">
        <v>1500000</v>
      </c>
    </row>
    <row r="482" spans="1:38" x14ac:dyDescent="0.25">
      <c r="A482" t="s">
        <v>236</v>
      </c>
      <c r="B482" t="s">
        <v>237</v>
      </c>
      <c r="C482" t="s">
        <v>40</v>
      </c>
      <c r="D482" s="1">
        <v>43377</v>
      </c>
      <c r="E482" s="1">
        <v>43741</v>
      </c>
      <c r="F482" t="s">
        <v>77</v>
      </c>
      <c r="G482">
        <v>1</v>
      </c>
      <c r="H482" t="s">
        <v>42</v>
      </c>
      <c r="I482" t="s">
        <v>43</v>
      </c>
      <c r="J482" t="s">
        <v>77</v>
      </c>
      <c r="K482" t="s">
        <v>127</v>
      </c>
      <c r="L482">
        <v>18750</v>
      </c>
      <c r="M482" s="1">
        <v>43377</v>
      </c>
      <c r="N482" t="s">
        <v>45</v>
      </c>
      <c r="O482" t="s">
        <v>46</v>
      </c>
      <c r="P482" t="s">
        <v>47</v>
      </c>
      <c r="Q482" s="1">
        <v>43852</v>
      </c>
      <c r="R482" t="s">
        <v>48</v>
      </c>
      <c r="S482" t="s">
        <v>233</v>
      </c>
      <c r="T482" t="s">
        <v>234</v>
      </c>
      <c r="U482" t="s">
        <v>42</v>
      </c>
      <c r="V482">
        <v>0</v>
      </c>
      <c r="W482">
        <v>100000</v>
      </c>
      <c r="X482" s="1">
        <v>43982</v>
      </c>
      <c r="Y482" t="s">
        <v>51</v>
      </c>
      <c r="Z482" t="s">
        <v>43</v>
      </c>
      <c r="AA482" t="s">
        <v>77</v>
      </c>
      <c r="AB482" t="s">
        <v>158</v>
      </c>
      <c r="AC482" t="s">
        <v>235</v>
      </c>
      <c r="AF482" t="s">
        <v>59</v>
      </c>
      <c r="AG482" s="1">
        <v>43838</v>
      </c>
      <c r="AH482" t="s">
        <v>42</v>
      </c>
      <c r="AI482" t="s">
        <v>55</v>
      </c>
      <c r="AJ482">
        <v>12788092</v>
      </c>
      <c r="AK482">
        <v>250000</v>
      </c>
      <c r="AL482">
        <v>1500000</v>
      </c>
    </row>
    <row r="483" spans="1:38" x14ac:dyDescent="0.25">
      <c r="A483" t="s">
        <v>238</v>
      </c>
      <c r="B483" t="s">
        <v>239</v>
      </c>
      <c r="C483" t="s">
        <v>40</v>
      </c>
      <c r="D483" s="1">
        <v>43801</v>
      </c>
      <c r="E483" s="1">
        <v>44166</v>
      </c>
      <c r="F483" t="s">
        <v>77</v>
      </c>
      <c r="G483">
        <v>1</v>
      </c>
      <c r="H483" t="s">
        <v>42</v>
      </c>
      <c r="I483" t="s">
        <v>43</v>
      </c>
      <c r="J483" t="s">
        <v>77</v>
      </c>
      <c r="K483" t="s">
        <v>44</v>
      </c>
      <c r="L483">
        <v>8125</v>
      </c>
      <c r="M483" s="1">
        <v>43801</v>
      </c>
      <c r="N483" t="s">
        <v>45</v>
      </c>
      <c r="O483" t="s">
        <v>46</v>
      </c>
      <c r="P483" t="s">
        <v>47</v>
      </c>
      <c r="Q483" s="1">
        <v>43852</v>
      </c>
      <c r="R483" t="s">
        <v>48</v>
      </c>
      <c r="S483" t="s">
        <v>233</v>
      </c>
      <c r="T483" t="s">
        <v>234</v>
      </c>
      <c r="U483" t="s">
        <v>42</v>
      </c>
      <c r="V483">
        <v>0</v>
      </c>
      <c r="W483">
        <v>100000</v>
      </c>
      <c r="X483" s="1">
        <v>43982</v>
      </c>
      <c r="Y483" t="s">
        <v>51</v>
      </c>
      <c r="Z483" t="s">
        <v>43</v>
      </c>
      <c r="AA483" t="s">
        <v>77</v>
      </c>
      <c r="AB483" t="s">
        <v>158</v>
      </c>
      <c r="AC483" t="s">
        <v>235</v>
      </c>
      <c r="AF483" t="s">
        <v>54</v>
      </c>
      <c r="AG483" s="1">
        <v>43832</v>
      </c>
      <c r="AH483" t="s">
        <v>42</v>
      </c>
      <c r="AI483" t="s">
        <v>55</v>
      </c>
      <c r="AJ483">
        <v>12788092</v>
      </c>
      <c r="AK483">
        <v>250000</v>
      </c>
      <c r="AL483">
        <v>1500000</v>
      </c>
    </row>
    <row r="484" spans="1:38" x14ac:dyDescent="0.25">
      <c r="A484" t="s">
        <v>238</v>
      </c>
      <c r="B484" t="s">
        <v>239</v>
      </c>
      <c r="C484" t="s">
        <v>40</v>
      </c>
      <c r="D484" s="1">
        <v>43801</v>
      </c>
      <c r="E484" s="1">
        <v>44166</v>
      </c>
      <c r="F484" t="s">
        <v>77</v>
      </c>
      <c r="G484">
        <v>1</v>
      </c>
      <c r="H484" t="s">
        <v>42</v>
      </c>
      <c r="I484" t="s">
        <v>43</v>
      </c>
      <c r="J484" t="s">
        <v>77</v>
      </c>
      <c r="K484" t="s">
        <v>44</v>
      </c>
      <c r="L484">
        <v>8125</v>
      </c>
      <c r="M484" s="1">
        <v>43801</v>
      </c>
      <c r="N484" t="s">
        <v>45</v>
      </c>
      <c r="O484" t="s">
        <v>46</v>
      </c>
      <c r="P484" t="s">
        <v>47</v>
      </c>
      <c r="Q484" s="1">
        <v>43852</v>
      </c>
      <c r="R484" t="s">
        <v>48</v>
      </c>
      <c r="S484" t="s">
        <v>233</v>
      </c>
      <c r="T484" t="s">
        <v>234</v>
      </c>
      <c r="U484" t="s">
        <v>42</v>
      </c>
      <c r="V484">
        <v>0</v>
      </c>
      <c r="W484">
        <v>100000</v>
      </c>
      <c r="X484" s="1">
        <v>43982</v>
      </c>
      <c r="Y484" t="s">
        <v>51</v>
      </c>
      <c r="Z484" t="s">
        <v>43</v>
      </c>
      <c r="AA484" t="s">
        <v>77</v>
      </c>
      <c r="AB484" t="s">
        <v>158</v>
      </c>
      <c r="AC484" t="s">
        <v>235</v>
      </c>
      <c r="AF484" t="s">
        <v>56</v>
      </c>
      <c r="AG484" s="1">
        <v>43833</v>
      </c>
      <c r="AH484" t="s">
        <v>42</v>
      </c>
      <c r="AI484" t="s">
        <v>55</v>
      </c>
      <c r="AJ484">
        <v>12788092</v>
      </c>
      <c r="AK484">
        <v>250000</v>
      </c>
      <c r="AL484">
        <v>1500000</v>
      </c>
    </row>
    <row r="485" spans="1:38" x14ac:dyDescent="0.25">
      <c r="A485" t="s">
        <v>238</v>
      </c>
      <c r="B485" t="s">
        <v>239</v>
      </c>
      <c r="C485" t="s">
        <v>40</v>
      </c>
      <c r="D485" s="1">
        <v>43801</v>
      </c>
      <c r="E485" s="1">
        <v>44166</v>
      </c>
      <c r="F485" t="s">
        <v>77</v>
      </c>
      <c r="G485">
        <v>1</v>
      </c>
      <c r="H485" t="s">
        <v>42</v>
      </c>
      <c r="I485" t="s">
        <v>43</v>
      </c>
      <c r="J485" t="s">
        <v>77</v>
      </c>
      <c r="K485" t="s">
        <v>44</v>
      </c>
      <c r="L485">
        <v>8125</v>
      </c>
      <c r="M485" s="1">
        <v>43801</v>
      </c>
      <c r="N485" t="s">
        <v>45</v>
      </c>
      <c r="O485" t="s">
        <v>46</v>
      </c>
      <c r="P485" t="s">
        <v>47</v>
      </c>
      <c r="Q485" s="1">
        <v>43852</v>
      </c>
      <c r="R485" t="s">
        <v>48</v>
      </c>
      <c r="S485" t="s">
        <v>233</v>
      </c>
      <c r="T485" t="s">
        <v>234</v>
      </c>
      <c r="U485" t="s">
        <v>42</v>
      </c>
      <c r="V485">
        <v>0</v>
      </c>
      <c r="W485">
        <v>100000</v>
      </c>
      <c r="X485" s="1">
        <v>43982</v>
      </c>
      <c r="Y485" t="s">
        <v>51</v>
      </c>
      <c r="Z485" t="s">
        <v>43</v>
      </c>
      <c r="AA485" t="s">
        <v>77</v>
      </c>
      <c r="AB485" t="s">
        <v>158</v>
      </c>
      <c r="AC485" t="s">
        <v>235</v>
      </c>
      <c r="AF485" t="s">
        <v>57</v>
      </c>
      <c r="AG485" s="1">
        <v>43836</v>
      </c>
      <c r="AH485" t="s">
        <v>42</v>
      </c>
      <c r="AI485" t="s">
        <v>55</v>
      </c>
      <c r="AJ485">
        <v>12788092</v>
      </c>
      <c r="AK485">
        <v>250000</v>
      </c>
      <c r="AL485">
        <v>1500000</v>
      </c>
    </row>
    <row r="486" spans="1:38" x14ac:dyDescent="0.25">
      <c r="A486" t="s">
        <v>238</v>
      </c>
      <c r="B486" t="s">
        <v>239</v>
      </c>
      <c r="C486" t="s">
        <v>40</v>
      </c>
      <c r="D486" s="1">
        <v>43801</v>
      </c>
      <c r="E486" s="1">
        <v>44166</v>
      </c>
      <c r="F486" t="s">
        <v>77</v>
      </c>
      <c r="G486">
        <v>1</v>
      </c>
      <c r="H486" t="s">
        <v>42</v>
      </c>
      <c r="I486" t="s">
        <v>43</v>
      </c>
      <c r="J486" t="s">
        <v>77</v>
      </c>
      <c r="K486" t="s">
        <v>44</v>
      </c>
      <c r="L486">
        <v>8125</v>
      </c>
      <c r="M486" s="1">
        <v>43801</v>
      </c>
      <c r="N486" t="s">
        <v>45</v>
      </c>
      <c r="O486" t="s">
        <v>46</v>
      </c>
      <c r="P486" t="s">
        <v>47</v>
      </c>
      <c r="Q486" s="1">
        <v>43852</v>
      </c>
      <c r="R486" t="s">
        <v>48</v>
      </c>
      <c r="S486" t="s">
        <v>233</v>
      </c>
      <c r="T486" t="s">
        <v>234</v>
      </c>
      <c r="U486" t="s">
        <v>42</v>
      </c>
      <c r="V486">
        <v>0</v>
      </c>
      <c r="W486">
        <v>100000</v>
      </c>
      <c r="X486" s="1">
        <v>43982</v>
      </c>
      <c r="Y486" t="s">
        <v>51</v>
      </c>
      <c r="Z486" t="s">
        <v>43</v>
      </c>
      <c r="AA486" t="s">
        <v>77</v>
      </c>
      <c r="AB486" t="s">
        <v>158</v>
      </c>
      <c r="AC486" t="s">
        <v>235</v>
      </c>
      <c r="AF486" t="s">
        <v>58</v>
      </c>
      <c r="AG486" s="1">
        <v>43837</v>
      </c>
      <c r="AH486" t="s">
        <v>42</v>
      </c>
      <c r="AI486" t="s">
        <v>55</v>
      </c>
      <c r="AJ486">
        <v>12788092</v>
      </c>
      <c r="AK486">
        <v>250000</v>
      </c>
      <c r="AL486">
        <v>1500000</v>
      </c>
    </row>
    <row r="487" spans="1:38" x14ac:dyDescent="0.25">
      <c r="A487" t="s">
        <v>238</v>
      </c>
      <c r="B487" t="s">
        <v>239</v>
      </c>
      <c r="C487" t="s">
        <v>40</v>
      </c>
      <c r="D487" s="1">
        <v>43801</v>
      </c>
      <c r="E487" s="1">
        <v>44166</v>
      </c>
      <c r="F487" t="s">
        <v>77</v>
      </c>
      <c r="G487">
        <v>1</v>
      </c>
      <c r="H487" t="s">
        <v>42</v>
      </c>
      <c r="I487" t="s">
        <v>43</v>
      </c>
      <c r="J487" t="s">
        <v>77</v>
      </c>
      <c r="K487" t="s">
        <v>44</v>
      </c>
      <c r="L487">
        <v>8125</v>
      </c>
      <c r="M487" s="1">
        <v>43801</v>
      </c>
      <c r="N487" t="s">
        <v>45</v>
      </c>
      <c r="O487" t="s">
        <v>46</v>
      </c>
      <c r="P487" t="s">
        <v>47</v>
      </c>
      <c r="Q487" s="1">
        <v>43852</v>
      </c>
      <c r="R487" t="s">
        <v>48</v>
      </c>
      <c r="S487" t="s">
        <v>233</v>
      </c>
      <c r="T487" t="s">
        <v>234</v>
      </c>
      <c r="U487" t="s">
        <v>42</v>
      </c>
      <c r="V487">
        <v>0</v>
      </c>
      <c r="W487">
        <v>100000</v>
      </c>
      <c r="X487" s="1">
        <v>43982</v>
      </c>
      <c r="Y487" t="s">
        <v>51</v>
      </c>
      <c r="Z487" t="s">
        <v>43</v>
      </c>
      <c r="AA487" t="s">
        <v>77</v>
      </c>
      <c r="AB487" t="s">
        <v>158</v>
      </c>
      <c r="AC487" t="s">
        <v>235</v>
      </c>
      <c r="AF487" t="s">
        <v>59</v>
      </c>
      <c r="AG487" s="1">
        <v>43838</v>
      </c>
      <c r="AH487" t="s">
        <v>42</v>
      </c>
      <c r="AI487" t="s">
        <v>55</v>
      </c>
      <c r="AJ487">
        <v>12788092</v>
      </c>
      <c r="AK487">
        <v>250000</v>
      </c>
      <c r="AL487">
        <v>1500000</v>
      </c>
    </row>
    <row r="488" spans="1:38" x14ac:dyDescent="0.25">
      <c r="A488" t="s">
        <v>240</v>
      </c>
      <c r="B488" t="s">
        <v>241</v>
      </c>
      <c r="C488" t="s">
        <v>40</v>
      </c>
      <c r="D488" s="1">
        <v>43160</v>
      </c>
      <c r="E488" s="1">
        <v>43524</v>
      </c>
      <c r="F488" t="s">
        <v>72</v>
      </c>
      <c r="G488">
        <v>5</v>
      </c>
      <c r="H488" t="s">
        <v>219</v>
      </c>
      <c r="I488" t="s">
        <v>43</v>
      </c>
      <c r="J488" t="s">
        <v>122</v>
      </c>
      <c r="K488" t="s">
        <v>68</v>
      </c>
      <c r="L488">
        <v>116487.03999999999</v>
      </c>
      <c r="M488" s="1">
        <v>43160</v>
      </c>
      <c r="N488" t="s">
        <v>45</v>
      </c>
      <c r="O488" t="s">
        <v>46</v>
      </c>
      <c r="P488" t="s">
        <v>47</v>
      </c>
      <c r="Q488" s="1">
        <v>43852</v>
      </c>
      <c r="R488" t="s">
        <v>48</v>
      </c>
    </row>
    <row r="489" spans="1:38" x14ac:dyDescent="0.25">
      <c r="A489" t="s">
        <v>242</v>
      </c>
      <c r="B489" t="s">
        <v>243</v>
      </c>
      <c r="C489" t="s">
        <v>40</v>
      </c>
      <c r="D489" s="1">
        <v>43160</v>
      </c>
      <c r="E489" s="1">
        <v>43524</v>
      </c>
      <c r="F489" t="s">
        <v>72</v>
      </c>
      <c r="G489">
        <v>5</v>
      </c>
      <c r="H489" t="s">
        <v>219</v>
      </c>
      <c r="I489" t="s">
        <v>43</v>
      </c>
      <c r="J489" t="s">
        <v>122</v>
      </c>
      <c r="K489" t="s">
        <v>68</v>
      </c>
      <c r="L489">
        <v>2988.62</v>
      </c>
      <c r="M489" s="1">
        <v>43160</v>
      </c>
      <c r="N489" t="s">
        <v>45</v>
      </c>
      <c r="O489" t="s">
        <v>46</v>
      </c>
      <c r="P489" t="s">
        <v>47</v>
      </c>
      <c r="Q489" s="1">
        <v>43852</v>
      </c>
      <c r="R489" t="s">
        <v>48</v>
      </c>
    </row>
    <row r="490" spans="1:38" x14ac:dyDescent="0.25">
      <c r="A490" t="s">
        <v>244</v>
      </c>
      <c r="B490" t="s">
        <v>245</v>
      </c>
      <c r="C490" t="s">
        <v>40</v>
      </c>
      <c r="D490" s="1">
        <v>43160</v>
      </c>
      <c r="E490" s="1">
        <v>43524</v>
      </c>
      <c r="F490" t="s">
        <v>76</v>
      </c>
      <c r="G490">
        <v>5</v>
      </c>
      <c r="H490" t="s">
        <v>219</v>
      </c>
      <c r="I490" t="s">
        <v>43</v>
      </c>
      <c r="J490" t="s">
        <v>122</v>
      </c>
      <c r="K490" t="s">
        <v>68</v>
      </c>
      <c r="L490">
        <v>14627.5</v>
      </c>
      <c r="M490" s="1">
        <v>43160</v>
      </c>
      <c r="N490" t="s">
        <v>45</v>
      </c>
      <c r="O490" t="s">
        <v>46</v>
      </c>
      <c r="P490" t="s">
        <v>47</v>
      </c>
      <c r="Q490" s="1">
        <v>43852</v>
      </c>
      <c r="R490" t="s">
        <v>48</v>
      </c>
    </row>
    <row r="491" spans="1:38" x14ac:dyDescent="0.25">
      <c r="A491" t="s">
        <v>246</v>
      </c>
      <c r="B491" t="s">
        <v>247</v>
      </c>
      <c r="C491" t="s">
        <v>40</v>
      </c>
      <c r="D491" s="1">
        <v>43160</v>
      </c>
      <c r="E491" s="1">
        <v>43524</v>
      </c>
      <c r="F491" t="s">
        <v>76</v>
      </c>
      <c r="G491">
        <v>5</v>
      </c>
      <c r="H491" t="s">
        <v>219</v>
      </c>
      <c r="I491" t="s">
        <v>43</v>
      </c>
      <c r="J491" t="s">
        <v>122</v>
      </c>
      <c r="K491" t="s">
        <v>68</v>
      </c>
      <c r="L491">
        <v>2020.5</v>
      </c>
      <c r="M491" s="1">
        <v>43160</v>
      </c>
      <c r="N491" t="s">
        <v>45</v>
      </c>
      <c r="O491" t="s">
        <v>46</v>
      </c>
      <c r="P491" t="s">
        <v>47</v>
      </c>
      <c r="Q491" s="1">
        <v>43852</v>
      </c>
      <c r="R491" t="s">
        <v>48</v>
      </c>
    </row>
    <row r="492" spans="1:38" x14ac:dyDescent="0.25">
      <c r="A492" t="s">
        <v>248</v>
      </c>
      <c r="B492" t="s">
        <v>249</v>
      </c>
      <c r="C492" t="s">
        <v>40</v>
      </c>
      <c r="D492" s="1">
        <v>43160</v>
      </c>
      <c r="E492" s="1">
        <v>43524</v>
      </c>
      <c r="F492" t="s">
        <v>76</v>
      </c>
      <c r="G492">
        <v>5</v>
      </c>
      <c r="H492" t="s">
        <v>219</v>
      </c>
      <c r="I492" t="s">
        <v>43</v>
      </c>
      <c r="J492" t="s">
        <v>122</v>
      </c>
      <c r="K492" t="s">
        <v>68</v>
      </c>
      <c r="L492">
        <v>625.13</v>
      </c>
      <c r="M492" s="1">
        <v>43160</v>
      </c>
      <c r="N492" t="s">
        <v>45</v>
      </c>
      <c r="O492" t="s">
        <v>46</v>
      </c>
      <c r="P492" t="s">
        <v>47</v>
      </c>
      <c r="Q492" s="1">
        <v>43852</v>
      </c>
      <c r="R492" t="s">
        <v>48</v>
      </c>
    </row>
    <row r="493" spans="1:38" x14ac:dyDescent="0.25">
      <c r="A493" t="s">
        <v>250</v>
      </c>
      <c r="B493" t="s">
        <v>251</v>
      </c>
      <c r="C493" t="s">
        <v>40</v>
      </c>
      <c r="D493" s="1">
        <v>43160</v>
      </c>
      <c r="E493" s="1">
        <v>43524</v>
      </c>
      <c r="F493" t="s">
        <v>76</v>
      </c>
      <c r="G493">
        <v>5</v>
      </c>
      <c r="H493" t="s">
        <v>219</v>
      </c>
      <c r="I493" t="s">
        <v>43</v>
      </c>
      <c r="J493" t="s">
        <v>122</v>
      </c>
      <c r="K493" t="s">
        <v>127</v>
      </c>
      <c r="L493">
        <v>417</v>
      </c>
      <c r="M493" s="1">
        <v>43160</v>
      </c>
      <c r="N493" t="s">
        <v>45</v>
      </c>
      <c r="O493" t="s">
        <v>46</v>
      </c>
      <c r="P493" t="s">
        <v>47</v>
      </c>
      <c r="Q493" s="1">
        <v>43852</v>
      </c>
      <c r="R493" t="s">
        <v>48</v>
      </c>
    </row>
    <row r="494" spans="1:38" x14ac:dyDescent="0.25">
      <c r="A494" t="s">
        <v>252</v>
      </c>
      <c r="B494" t="s">
        <v>253</v>
      </c>
      <c r="C494" t="s">
        <v>40</v>
      </c>
      <c r="D494" s="1">
        <v>43160</v>
      </c>
      <c r="E494" s="1">
        <v>43524</v>
      </c>
      <c r="F494" t="s">
        <v>76</v>
      </c>
      <c r="G494">
        <v>5</v>
      </c>
      <c r="H494" t="s">
        <v>219</v>
      </c>
      <c r="I494" t="s">
        <v>43</v>
      </c>
      <c r="J494" t="s">
        <v>122</v>
      </c>
      <c r="K494" t="s">
        <v>68</v>
      </c>
      <c r="L494">
        <v>687.63</v>
      </c>
      <c r="M494" s="1">
        <v>43160</v>
      </c>
      <c r="N494" t="s">
        <v>45</v>
      </c>
      <c r="O494" t="s">
        <v>46</v>
      </c>
      <c r="P494" t="s">
        <v>47</v>
      </c>
      <c r="Q494" s="1">
        <v>43852</v>
      </c>
      <c r="R494" t="s">
        <v>48</v>
      </c>
    </row>
    <row r="495" spans="1:38" x14ac:dyDescent="0.25">
      <c r="A495" t="s">
        <v>254</v>
      </c>
      <c r="B495" t="s">
        <v>255</v>
      </c>
      <c r="C495" t="s">
        <v>40</v>
      </c>
      <c r="D495" s="1">
        <v>43160</v>
      </c>
      <c r="E495" s="1">
        <v>43524</v>
      </c>
      <c r="F495" t="s">
        <v>77</v>
      </c>
      <c r="G495">
        <v>5</v>
      </c>
      <c r="H495" t="s">
        <v>219</v>
      </c>
      <c r="I495" t="s">
        <v>43</v>
      </c>
      <c r="J495" t="s">
        <v>122</v>
      </c>
      <c r="K495" t="s">
        <v>68</v>
      </c>
      <c r="L495">
        <v>374.88</v>
      </c>
      <c r="M495" s="1">
        <v>43160</v>
      </c>
      <c r="N495" t="s">
        <v>45</v>
      </c>
      <c r="O495" t="s">
        <v>46</v>
      </c>
      <c r="P495" t="s">
        <v>47</v>
      </c>
      <c r="Q495" s="1">
        <v>43852</v>
      </c>
      <c r="R495" t="s">
        <v>48</v>
      </c>
    </row>
    <row r="496" spans="1:38" x14ac:dyDescent="0.25">
      <c r="A496" t="s">
        <v>256</v>
      </c>
      <c r="B496" t="s">
        <v>257</v>
      </c>
      <c r="C496" t="s">
        <v>40</v>
      </c>
      <c r="D496" s="1">
        <v>43160</v>
      </c>
      <c r="E496" s="1">
        <v>43524</v>
      </c>
      <c r="F496" t="s">
        <v>76</v>
      </c>
      <c r="G496">
        <v>5</v>
      </c>
      <c r="H496" t="s">
        <v>219</v>
      </c>
      <c r="I496" t="s">
        <v>43</v>
      </c>
      <c r="J496" t="s">
        <v>122</v>
      </c>
      <c r="K496" t="s">
        <v>68</v>
      </c>
      <c r="L496">
        <v>3537.25</v>
      </c>
      <c r="M496" s="1">
        <v>43160</v>
      </c>
      <c r="N496" t="s">
        <v>45</v>
      </c>
      <c r="O496" t="s">
        <v>46</v>
      </c>
      <c r="P496" t="s">
        <v>47</v>
      </c>
      <c r="Q496" s="1">
        <v>43852</v>
      </c>
      <c r="R496" t="s">
        <v>48</v>
      </c>
    </row>
    <row r="497" spans="1:38" x14ac:dyDescent="0.25">
      <c r="A497" t="s">
        <v>258</v>
      </c>
      <c r="B497" t="s">
        <v>259</v>
      </c>
      <c r="C497" t="s">
        <v>40</v>
      </c>
      <c r="D497" s="1">
        <v>43160</v>
      </c>
      <c r="E497" s="1">
        <v>43524</v>
      </c>
      <c r="F497" t="s">
        <v>76</v>
      </c>
      <c r="G497">
        <v>5</v>
      </c>
      <c r="H497" t="s">
        <v>219</v>
      </c>
      <c r="I497" t="s">
        <v>43</v>
      </c>
      <c r="J497" t="s">
        <v>122</v>
      </c>
      <c r="K497" t="s">
        <v>68</v>
      </c>
      <c r="L497">
        <v>8881.5</v>
      </c>
      <c r="M497" s="1">
        <v>43160</v>
      </c>
      <c r="N497" t="s">
        <v>45</v>
      </c>
      <c r="O497" t="s">
        <v>46</v>
      </c>
      <c r="P497" t="s">
        <v>47</v>
      </c>
      <c r="Q497" s="1">
        <v>43852</v>
      </c>
      <c r="R497" t="s">
        <v>48</v>
      </c>
    </row>
    <row r="498" spans="1:38" x14ac:dyDescent="0.25">
      <c r="A498" t="s">
        <v>260</v>
      </c>
      <c r="B498" t="s">
        <v>261</v>
      </c>
      <c r="C498" t="s">
        <v>40</v>
      </c>
      <c r="D498" s="1">
        <v>43608</v>
      </c>
      <c r="E498" s="1">
        <v>43973</v>
      </c>
      <c r="F498" t="s">
        <v>77</v>
      </c>
      <c r="G498">
        <v>1</v>
      </c>
      <c r="H498" t="s">
        <v>42</v>
      </c>
      <c r="I498" t="s">
        <v>43</v>
      </c>
      <c r="J498" t="s">
        <v>77</v>
      </c>
      <c r="K498" t="s">
        <v>44</v>
      </c>
      <c r="L498">
        <v>28125</v>
      </c>
      <c r="M498" s="1">
        <v>43608</v>
      </c>
      <c r="N498" t="s">
        <v>45</v>
      </c>
      <c r="O498" t="s">
        <v>46</v>
      </c>
      <c r="P498" t="s">
        <v>47</v>
      </c>
      <c r="Q498" s="1">
        <v>43852</v>
      </c>
      <c r="R498" t="s">
        <v>48</v>
      </c>
      <c r="S498" t="s">
        <v>233</v>
      </c>
      <c r="T498" t="s">
        <v>234</v>
      </c>
      <c r="U498" t="s">
        <v>42</v>
      </c>
      <c r="V498">
        <v>0</v>
      </c>
      <c r="W498">
        <v>100000</v>
      </c>
      <c r="X498" s="1">
        <v>43982</v>
      </c>
      <c r="Y498" t="s">
        <v>51</v>
      </c>
      <c r="Z498" t="s">
        <v>43</v>
      </c>
      <c r="AA498" t="s">
        <v>77</v>
      </c>
      <c r="AB498" t="s">
        <v>158</v>
      </c>
      <c r="AC498" t="s">
        <v>235</v>
      </c>
      <c r="AF498" t="s">
        <v>54</v>
      </c>
      <c r="AG498" s="1">
        <v>43832</v>
      </c>
      <c r="AH498" t="s">
        <v>42</v>
      </c>
      <c r="AI498" t="s">
        <v>55</v>
      </c>
      <c r="AJ498">
        <v>12788092</v>
      </c>
      <c r="AK498">
        <v>250000</v>
      </c>
      <c r="AL498">
        <v>1500000</v>
      </c>
    </row>
    <row r="499" spans="1:38" x14ac:dyDescent="0.25">
      <c r="A499" t="s">
        <v>260</v>
      </c>
      <c r="B499" t="s">
        <v>261</v>
      </c>
      <c r="C499" t="s">
        <v>40</v>
      </c>
      <c r="D499" s="1">
        <v>43608</v>
      </c>
      <c r="E499" s="1">
        <v>43973</v>
      </c>
      <c r="F499" t="s">
        <v>77</v>
      </c>
      <c r="G499">
        <v>1</v>
      </c>
      <c r="H499" t="s">
        <v>42</v>
      </c>
      <c r="I499" t="s">
        <v>43</v>
      </c>
      <c r="J499" t="s">
        <v>77</v>
      </c>
      <c r="K499" t="s">
        <v>44</v>
      </c>
      <c r="L499">
        <v>28125</v>
      </c>
      <c r="M499" s="1">
        <v>43608</v>
      </c>
      <c r="N499" t="s">
        <v>45</v>
      </c>
      <c r="O499" t="s">
        <v>46</v>
      </c>
      <c r="P499" t="s">
        <v>47</v>
      </c>
      <c r="Q499" s="1">
        <v>43852</v>
      </c>
      <c r="R499" t="s">
        <v>48</v>
      </c>
      <c r="S499" t="s">
        <v>233</v>
      </c>
      <c r="T499" t="s">
        <v>234</v>
      </c>
      <c r="U499" t="s">
        <v>42</v>
      </c>
      <c r="V499">
        <v>0</v>
      </c>
      <c r="W499">
        <v>100000</v>
      </c>
      <c r="X499" s="1">
        <v>43982</v>
      </c>
      <c r="Y499" t="s">
        <v>51</v>
      </c>
      <c r="Z499" t="s">
        <v>43</v>
      </c>
      <c r="AA499" t="s">
        <v>77</v>
      </c>
      <c r="AB499" t="s">
        <v>158</v>
      </c>
      <c r="AC499" t="s">
        <v>235</v>
      </c>
      <c r="AF499" t="s">
        <v>56</v>
      </c>
      <c r="AG499" s="1">
        <v>43833</v>
      </c>
      <c r="AH499" t="s">
        <v>42</v>
      </c>
      <c r="AI499" t="s">
        <v>55</v>
      </c>
      <c r="AJ499">
        <v>12788092</v>
      </c>
      <c r="AK499">
        <v>250000</v>
      </c>
      <c r="AL499">
        <v>1500000</v>
      </c>
    </row>
    <row r="500" spans="1:38" x14ac:dyDescent="0.25">
      <c r="A500" t="s">
        <v>260</v>
      </c>
      <c r="B500" t="s">
        <v>261</v>
      </c>
      <c r="C500" t="s">
        <v>40</v>
      </c>
      <c r="D500" s="1">
        <v>43608</v>
      </c>
      <c r="E500" s="1">
        <v>43973</v>
      </c>
      <c r="F500" t="s">
        <v>77</v>
      </c>
      <c r="G500">
        <v>1</v>
      </c>
      <c r="H500" t="s">
        <v>42</v>
      </c>
      <c r="I500" t="s">
        <v>43</v>
      </c>
      <c r="J500" t="s">
        <v>77</v>
      </c>
      <c r="K500" t="s">
        <v>44</v>
      </c>
      <c r="L500">
        <v>28125</v>
      </c>
      <c r="M500" s="1">
        <v>43608</v>
      </c>
      <c r="N500" t="s">
        <v>45</v>
      </c>
      <c r="O500" t="s">
        <v>46</v>
      </c>
      <c r="P500" t="s">
        <v>47</v>
      </c>
      <c r="Q500" s="1">
        <v>43852</v>
      </c>
      <c r="R500" t="s">
        <v>48</v>
      </c>
      <c r="S500" t="s">
        <v>233</v>
      </c>
      <c r="T500" t="s">
        <v>234</v>
      </c>
      <c r="U500" t="s">
        <v>42</v>
      </c>
      <c r="V500">
        <v>0</v>
      </c>
      <c r="W500">
        <v>100000</v>
      </c>
      <c r="X500" s="1">
        <v>43982</v>
      </c>
      <c r="Y500" t="s">
        <v>51</v>
      </c>
      <c r="Z500" t="s">
        <v>43</v>
      </c>
      <c r="AA500" t="s">
        <v>77</v>
      </c>
      <c r="AB500" t="s">
        <v>158</v>
      </c>
      <c r="AC500" t="s">
        <v>235</v>
      </c>
      <c r="AF500" t="s">
        <v>57</v>
      </c>
      <c r="AG500" s="1">
        <v>43836</v>
      </c>
      <c r="AH500" t="s">
        <v>42</v>
      </c>
      <c r="AI500" t="s">
        <v>55</v>
      </c>
      <c r="AJ500">
        <v>12788092</v>
      </c>
      <c r="AK500">
        <v>250000</v>
      </c>
      <c r="AL500">
        <v>1500000</v>
      </c>
    </row>
    <row r="501" spans="1:38" x14ac:dyDescent="0.25">
      <c r="A501" t="s">
        <v>260</v>
      </c>
      <c r="B501" t="s">
        <v>261</v>
      </c>
      <c r="C501" t="s">
        <v>40</v>
      </c>
      <c r="D501" s="1">
        <v>43608</v>
      </c>
      <c r="E501" s="1">
        <v>43973</v>
      </c>
      <c r="F501" t="s">
        <v>77</v>
      </c>
      <c r="G501">
        <v>1</v>
      </c>
      <c r="H501" t="s">
        <v>42</v>
      </c>
      <c r="I501" t="s">
        <v>43</v>
      </c>
      <c r="J501" t="s">
        <v>77</v>
      </c>
      <c r="K501" t="s">
        <v>44</v>
      </c>
      <c r="L501">
        <v>28125</v>
      </c>
      <c r="M501" s="1">
        <v>43608</v>
      </c>
      <c r="N501" t="s">
        <v>45</v>
      </c>
      <c r="O501" t="s">
        <v>46</v>
      </c>
      <c r="P501" t="s">
        <v>47</v>
      </c>
      <c r="Q501" s="1">
        <v>43852</v>
      </c>
      <c r="R501" t="s">
        <v>48</v>
      </c>
      <c r="S501" t="s">
        <v>233</v>
      </c>
      <c r="T501" t="s">
        <v>234</v>
      </c>
      <c r="U501" t="s">
        <v>42</v>
      </c>
      <c r="V501">
        <v>0</v>
      </c>
      <c r="W501">
        <v>100000</v>
      </c>
      <c r="X501" s="1">
        <v>43982</v>
      </c>
      <c r="Y501" t="s">
        <v>51</v>
      </c>
      <c r="Z501" t="s">
        <v>43</v>
      </c>
      <c r="AA501" t="s">
        <v>77</v>
      </c>
      <c r="AB501" t="s">
        <v>158</v>
      </c>
      <c r="AC501" t="s">
        <v>235</v>
      </c>
      <c r="AF501" t="s">
        <v>58</v>
      </c>
      <c r="AG501" s="1">
        <v>43837</v>
      </c>
      <c r="AH501" t="s">
        <v>42</v>
      </c>
      <c r="AI501" t="s">
        <v>55</v>
      </c>
      <c r="AJ501">
        <v>12788092</v>
      </c>
      <c r="AK501">
        <v>250000</v>
      </c>
      <c r="AL501">
        <v>1500000</v>
      </c>
    </row>
    <row r="502" spans="1:38" x14ac:dyDescent="0.25">
      <c r="A502" t="s">
        <v>260</v>
      </c>
      <c r="B502" t="s">
        <v>261</v>
      </c>
      <c r="C502" t="s">
        <v>40</v>
      </c>
      <c r="D502" s="1">
        <v>43608</v>
      </c>
      <c r="E502" s="1">
        <v>43973</v>
      </c>
      <c r="F502" t="s">
        <v>77</v>
      </c>
      <c r="G502">
        <v>1</v>
      </c>
      <c r="H502" t="s">
        <v>42</v>
      </c>
      <c r="I502" t="s">
        <v>43</v>
      </c>
      <c r="J502" t="s">
        <v>77</v>
      </c>
      <c r="K502" t="s">
        <v>44</v>
      </c>
      <c r="L502">
        <v>28125</v>
      </c>
      <c r="M502" s="1">
        <v>43608</v>
      </c>
      <c r="N502" t="s">
        <v>45</v>
      </c>
      <c r="O502" t="s">
        <v>46</v>
      </c>
      <c r="P502" t="s">
        <v>47</v>
      </c>
      <c r="Q502" s="1">
        <v>43852</v>
      </c>
      <c r="R502" t="s">
        <v>48</v>
      </c>
      <c r="S502" t="s">
        <v>233</v>
      </c>
      <c r="T502" t="s">
        <v>234</v>
      </c>
      <c r="U502" t="s">
        <v>42</v>
      </c>
      <c r="V502">
        <v>0</v>
      </c>
      <c r="W502">
        <v>100000</v>
      </c>
      <c r="X502" s="1">
        <v>43982</v>
      </c>
      <c r="Y502" t="s">
        <v>51</v>
      </c>
      <c r="Z502" t="s">
        <v>43</v>
      </c>
      <c r="AA502" t="s">
        <v>77</v>
      </c>
      <c r="AB502" t="s">
        <v>158</v>
      </c>
      <c r="AC502" t="s">
        <v>235</v>
      </c>
      <c r="AF502" t="s">
        <v>59</v>
      </c>
      <c r="AG502" s="1">
        <v>43838</v>
      </c>
      <c r="AH502" t="s">
        <v>42</v>
      </c>
      <c r="AI502" t="s">
        <v>55</v>
      </c>
      <c r="AJ502">
        <v>12788092</v>
      </c>
      <c r="AK502">
        <v>250000</v>
      </c>
      <c r="AL502">
        <v>1500000</v>
      </c>
    </row>
    <row r="503" spans="1:38" x14ac:dyDescent="0.25">
      <c r="A503" t="s">
        <v>262</v>
      </c>
      <c r="B503" t="s">
        <v>263</v>
      </c>
      <c r="C503" t="s">
        <v>40</v>
      </c>
      <c r="D503" s="1">
        <v>43608</v>
      </c>
      <c r="E503" s="1">
        <v>43973</v>
      </c>
      <c r="F503" t="s">
        <v>77</v>
      </c>
      <c r="G503">
        <v>1</v>
      </c>
      <c r="H503" t="s">
        <v>42</v>
      </c>
      <c r="I503" t="s">
        <v>43</v>
      </c>
      <c r="J503" t="s">
        <v>77</v>
      </c>
      <c r="K503" t="s">
        <v>44</v>
      </c>
      <c r="L503">
        <v>131250</v>
      </c>
      <c r="M503" s="1">
        <v>43608</v>
      </c>
      <c r="N503" t="s">
        <v>45</v>
      </c>
      <c r="O503" t="s">
        <v>46</v>
      </c>
      <c r="P503" t="s">
        <v>47</v>
      </c>
      <c r="Q503" s="1">
        <v>43852</v>
      </c>
      <c r="R503" t="s">
        <v>48</v>
      </c>
      <c r="S503" t="s">
        <v>233</v>
      </c>
      <c r="T503" t="s">
        <v>234</v>
      </c>
      <c r="U503" t="s">
        <v>42</v>
      </c>
      <c r="V503">
        <v>0</v>
      </c>
      <c r="W503">
        <v>100000</v>
      </c>
      <c r="X503" s="1">
        <v>43982</v>
      </c>
      <c r="Y503" t="s">
        <v>51</v>
      </c>
      <c r="Z503" t="s">
        <v>43</v>
      </c>
      <c r="AA503" t="s">
        <v>77</v>
      </c>
      <c r="AB503" t="s">
        <v>158</v>
      </c>
      <c r="AC503" t="s">
        <v>235</v>
      </c>
      <c r="AF503" t="s">
        <v>54</v>
      </c>
      <c r="AG503" s="1">
        <v>43832</v>
      </c>
      <c r="AH503" t="s">
        <v>42</v>
      </c>
      <c r="AI503" t="s">
        <v>55</v>
      </c>
      <c r="AJ503">
        <v>12788092</v>
      </c>
      <c r="AK503">
        <v>250000</v>
      </c>
      <c r="AL503">
        <v>1500000</v>
      </c>
    </row>
    <row r="504" spans="1:38" x14ac:dyDescent="0.25">
      <c r="A504" t="s">
        <v>262</v>
      </c>
      <c r="B504" t="s">
        <v>263</v>
      </c>
      <c r="C504" t="s">
        <v>40</v>
      </c>
      <c r="D504" s="1">
        <v>43608</v>
      </c>
      <c r="E504" s="1">
        <v>43973</v>
      </c>
      <c r="F504" t="s">
        <v>77</v>
      </c>
      <c r="G504">
        <v>1</v>
      </c>
      <c r="H504" t="s">
        <v>42</v>
      </c>
      <c r="I504" t="s">
        <v>43</v>
      </c>
      <c r="J504" t="s">
        <v>77</v>
      </c>
      <c r="K504" t="s">
        <v>44</v>
      </c>
      <c r="L504">
        <v>131250</v>
      </c>
      <c r="M504" s="1">
        <v>43608</v>
      </c>
      <c r="N504" t="s">
        <v>45</v>
      </c>
      <c r="O504" t="s">
        <v>46</v>
      </c>
      <c r="P504" t="s">
        <v>47</v>
      </c>
      <c r="Q504" s="1">
        <v>43852</v>
      </c>
      <c r="R504" t="s">
        <v>48</v>
      </c>
      <c r="S504" t="s">
        <v>233</v>
      </c>
      <c r="T504" t="s">
        <v>234</v>
      </c>
      <c r="U504" t="s">
        <v>42</v>
      </c>
      <c r="V504">
        <v>0</v>
      </c>
      <c r="W504">
        <v>100000</v>
      </c>
      <c r="X504" s="1">
        <v>43982</v>
      </c>
      <c r="Y504" t="s">
        <v>51</v>
      </c>
      <c r="Z504" t="s">
        <v>43</v>
      </c>
      <c r="AA504" t="s">
        <v>77</v>
      </c>
      <c r="AB504" t="s">
        <v>158</v>
      </c>
      <c r="AC504" t="s">
        <v>235</v>
      </c>
      <c r="AF504" t="s">
        <v>56</v>
      </c>
      <c r="AG504" s="1">
        <v>43833</v>
      </c>
      <c r="AH504" t="s">
        <v>42</v>
      </c>
      <c r="AI504" t="s">
        <v>55</v>
      </c>
      <c r="AJ504">
        <v>12788092</v>
      </c>
      <c r="AK504">
        <v>250000</v>
      </c>
      <c r="AL504">
        <v>1500000</v>
      </c>
    </row>
    <row r="505" spans="1:38" x14ac:dyDescent="0.25">
      <c r="A505" t="s">
        <v>262</v>
      </c>
      <c r="B505" t="s">
        <v>263</v>
      </c>
      <c r="C505" t="s">
        <v>40</v>
      </c>
      <c r="D505" s="1">
        <v>43608</v>
      </c>
      <c r="E505" s="1">
        <v>43973</v>
      </c>
      <c r="F505" t="s">
        <v>77</v>
      </c>
      <c r="G505">
        <v>1</v>
      </c>
      <c r="H505" t="s">
        <v>42</v>
      </c>
      <c r="I505" t="s">
        <v>43</v>
      </c>
      <c r="J505" t="s">
        <v>77</v>
      </c>
      <c r="K505" t="s">
        <v>44</v>
      </c>
      <c r="L505">
        <v>131250</v>
      </c>
      <c r="M505" s="1">
        <v>43608</v>
      </c>
      <c r="N505" t="s">
        <v>45</v>
      </c>
      <c r="O505" t="s">
        <v>46</v>
      </c>
      <c r="P505" t="s">
        <v>47</v>
      </c>
      <c r="Q505" s="1">
        <v>43852</v>
      </c>
      <c r="R505" t="s">
        <v>48</v>
      </c>
      <c r="S505" t="s">
        <v>233</v>
      </c>
      <c r="T505" t="s">
        <v>234</v>
      </c>
      <c r="U505" t="s">
        <v>42</v>
      </c>
      <c r="V505">
        <v>0</v>
      </c>
      <c r="W505">
        <v>100000</v>
      </c>
      <c r="X505" s="1">
        <v>43982</v>
      </c>
      <c r="Y505" t="s">
        <v>51</v>
      </c>
      <c r="Z505" t="s">
        <v>43</v>
      </c>
      <c r="AA505" t="s">
        <v>77</v>
      </c>
      <c r="AB505" t="s">
        <v>158</v>
      </c>
      <c r="AC505" t="s">
        <v>235</v>
      </c>
      <c r="AF505" t="s">
        <v>57</v>
      </c>
      <c r="AG505" s="1">
        <v>43836</v>
      </c>
      <c r="AH505" t="s">
        <v>42</v>
      </c>
      <c r="AI505" t="s">
        <v>55</v>
      </c>
      <c r="AJ505">
        <v>12788092</v>
      </c>
      <c r="AK505">
        <v>250000</v>
      </c>
      <c r="AL505">
        <v>1500000</v>
      </c>
    </row>
    <row r="506" spans="1:38" x14ac:dyDescent="0.25">
      <c r="A506" t="s">
        <v>262</v>
      </c>
      <c r="B506" t="s">
        <v>263</v>
      </c>
      <c r="C506" t="s">
        <v>40</v>
      </c>
      <c r="D506" s="1">
        <v>43608</v>
      </c>
      <c r="E506" s="1">
        <v>43973</v>
      </c>
      <c r="F506" t="s">
        <v>77</v>
      </c>
      <c r="G506">
        <v>1</v>
      </c>
      <c r="H506" t="s">
        <v>42</v>
      </c>
      <c r="I506" t="s">
        <v>43</v>
      </c>
      <c r="J506" t="s">
        <v>77</v>
      </c>
      <c r="K506" t="s">
        <v>44</v>
      </c>
      <c r="L506">
        <v>131250</v>
      </c>
      <c r="M506" s="1">
        <v>43608</v>
      </c>
      <c r="N506" t="s">
        <v>45</v>
      </c>
      <c r="O506" t="s">
        <v>46</v>
      </c>
      <c r="P506" t="s">
        <v>47</v>
      </c>
      <c r="Q506" s="1">
        <v>43852</v>
      </c>
      <c r="R506" t="s">
        <v>48</v>
      </c>
      <c r="S506" t="s">
        <v>233</v>
      </c>
      <c r="T506" t="s">
        <v>234</v>
      </c>
      <c r="U506" t="s">
        <v>42</v>
      </c>
      <c r="V506">
        <v>0</v>
      </c>
      <c r="W506">
        <v>100000</v>
      </c>
      <c r="X506" s="1">
        <v>43982</v>
      </c>
      <c r="Y506" t="s">
        <v>51</v>
      </c>
      <c r="Z506" t="s">
        <v>43</v>
      </c>
      <c r="AA506" t="s">
        <v>77</v>
      </c>
      <c r="AB506" t="s">
        <v>158</v>
      </c>
      <c r="AC506" t="s">
        <v>235</v>
      </c>
      <c r="AF506" t="s">
        <v>58</v>
      </c>
      <c r="AG506" s="1">
        <v>43837</v>
      </c>
      <c r="AH506" t="s">
        <v>42</v>
      </c>
      <c r="AI506" t="s">
        <v>55</v>
      </c>
      <c r="AJ506">
        <v>12788092</v>
      </c>
      <c r="AK506">
        <v>250000</v>
      </c>
      <c r="AL506">
        <v>1500000</v>
      </c>
    </row>
    <row r="507" spans="1:38" x14ac:dyDescent="0.25">
      <c r="A507" t="s">
        <v>262</v>
      </c>
      <c r="B507" t="s">
        <v>263</v>
      </c>
      <c r="C507" t="s">
        <v>40</v>
      </c>
      <c r="D507" s="1">
        <v>43608</v>
      </c>
      <c r="E507" s="1">
        <v>43973</v>
      </c>
      <c r="F507" t="s">
        <v>77</v>
      </c>
      <c r="G507">
        <v>1</v>
      </c>
      <c r="H507" t="s">
        <v>42</v>
      </c>
      <c r="I507" t="s">
        <v>43</v>
      </c>
      <c r="J507" t="s">
        <v>77</v>
      </c>
      <c r="K507" t="s">
        <v>44</v>
      </c>
      <c r="L507">
        <v>131250</v>
      </c>
      <c r="M507" s="1">
        <v>43608</v>
      </c>
      <c r="N507" t="s">
        <v>45</v>
      </c>
      <c r="O507" t="s">
        <v>46</v>
      </c>
      <c r="P507" t="s">
        <v>47</v>
      </c>
      <c r="Q507" s="1">
        <v>43852</v>
      </c>
      <c r="R507" t="s">
        <v>48</v>
      </c>
      <c r="S507" t="s">
        <v>233</v>
      </c>
      <c r="T507" t="s">
        <v>234</v>
      </c>
      <c r="U507" t="s">
        <v>42</v>
      </c>
      <c r="V507">
        <v>0</v>
      </c>
      <c r="W507">
        <v>100000</v>
      </c>
      <c r="X507" s="1">
        <v>43982</v>
      </c>
      <c r="Y507" t="s">
        <v>51</v>
      </c>
      <c r="Z507" t="s">
        <v>43</v>
      </c>
      <c r="AA507" t="s">
        <v>77</v>
      </c>
      <c r="AB507" t="s">
        <v>158</v>
      </c>
      <c r="AC507" t="s">
        <v>235</v>
      </c>
      <c r="AF507" t="s">
        <v>59</v>
      </c>
      <c r="AG507" s="1">
        <v>43838</v>
      </c>
      <c r="AH507" t="s">
        <v>42</v>
      </c>
      <c r="AI507" t="s">
        <v>55</v>
      </c>
      <c r="AJ507">
        <v>12788092</v>
      </c>
      <c r="AK507">
        <v>250000</v>
      </c>
      <c r="AL507">
        <v>1500000</v>
      </c>
    </row>
    <row r="508" spans="1:38" x14ac:dyDescent="0.25">
      <c r="A508" t="s">
        <v>264</v>
      </c>
      <c r="B508">
        <v>302102591</v>
      </c>
      <c r="C508" t="s">
        <v>71</v>
      </c>
      <c r="D508" s="1">
        <v>43348</v>
      </c>
      <c r="E508" s="1">
        <v>43712</v>
      </c>
      <c r="F508" t="s">
        <v>76</v>
      </c>
      <c r="G508">
        <v>3</v>
      </c>
      <c r="H508" t="s">
        <v>125</v>
      </c>
      <c r="I508" t="s">
        <v>43</v>
      </c>
      <c r="J508" t="s">
        <v>126</v>
      </c>
      <c r="K508" t="s">
        <v>44</v>
      </c>
      <c r="L508">
        <v>6058.38</v>
      </c>
      <c r="M508" s="1">
        <v>43348</v>
      </c>
      <c r="N508" t="s">
        <v>45</v>
      </c>
      <c r="O508" t="s">
        <v>46</v>
      </c>
      <c r="P508" t="s">
        <v>47</v>
      </c>
      <c r="Q508" s="1">
        <v>43852</v>
      </c>
      <c r="R508" t="s">
        <v>48</v>
      </c>
    </row>
    <row r="509" spans="1:38" x14ac:dyDescent="0.25">
      <c r="A509" t="s">
        <v>265</v>
      </c>
      <c r="B509">
        <v>668111383</v>
      </c>
      <c r="C509" t="s">
        <v>40</v>
      </c>
      <c r="D509" s="1">
        <v>43025</v>
      </c>
      <c r="E509" s="1">
        <v>43389</v>
      </c>
      <c r="F509" t="s">
        <v>72</v>
      </c>
      <c r="G509">
        <v>3</v>
      </c>
      <c r="H509" t="s">
        <v>125</v>
      </c>
      <c r="I509" t="s">
        <v>43</v>
      </c>
      <c r="J509" t="s">
        <v>126</v>
      </c>
      <c r="K509" t="s">
        <v>44</v>
      </c>
      <c r="L509">
        <v>29608.99</v>
      </c>
      <c r="M509" s="1">
        <v>43025</v>
      </c>
      <c r="N509" t="s">
        <v>45</v>
      </c>
      <c r="O509" t="s">
        <v>46</v>
      </c>
      <c r="P509" t="s">
        <v>47</v>
      </c>
      <c r="Q509" s="1">
        <v>43852</v>
      </c>
      <c r="R509" t="s">
        <v>48</v>
      </c>
      <c r="S509" t="s">
        <v>266</v>
      </c>
      <c r="T509" t="s">
        <v>267</v>
      </c>
      <c r="U509" t="s">
        <v>125</v>
      </c>
      <c r="V509">
        <v>700000</v>
      </c>
      <c r="W509">
        <v>100000</v>
      </c>
      <c r="X509" s="1">
        <v>43830</v>
      </c>
      <c r="Y509" t="s">
        <v>51</v>
      </c>
      <c r="Z509" t="s">
        <v>43</v>
      </c>
      <c r="AA509" t="s">
        <v>115</v>
      </c>
      <c r="AB509" t="s">
        <v>268</v>
      </c>
      <c r="AC509" t="s">
        <v>269</v>
      </c>
      <c r="AF509" t="s">
        <v>134</v>
      </c>
      <c r="AG509" s="1">
        <v>43843</v>
      </c>
      <c r="AH509" t="s">
        <v>125</v>
      </c>
      <c r="AI509" t="s">
        <v>92</v>
      </c>
      <c r="AJ509">
        <v>1278023</v>
      </c>
      <c r="AK509">
        <v>12365300</v>
      </c>
      <c r="AL509">
        <v>12900</v>
      </c>
    </row>
    <row r="510" spans="1:38" x14ac:dyDescent="0.25">
      <c r="A510" t="s">
        <v>265</v>
      </c>
      <c r="B510">
        <v>668111383</v>
      </c>
      <c r="C510" t="s">
        <v>40</v>
      </c>
      <c r="D510" s="1">
        <v>43025</v>
      </c>
      <c r="E510" s="1">
        <v>43389</v>
      </c>
      <c r="F510" t="s">
        <v>72</v>
      </c>
      <c r="G510">
        <v>3</v>
      </c>
      <c r="H510" t="s">
        <v>125</v>
      </c>
      <c r="I510" t="s">
        <v>43</v>
      </c>
      <c r="J510" t="s">
        <v>126</v>
      </c>
      <c r="K510" t="s">
        <v>44</v>
      </c>
      <c r="L510">
        <v>29608.99</v>
      </c>
      <c r="M510" s="1">
        <v>43025</v>
      </c>
      <c r="N510" t="s">
        <v>45</v>
      </c>
      <c r="O510" t="s">
        <v>46</v>
      </c>
      <c r="P510" t="s">
        <v>47</v>
      </c>
      <c r="Q510" s="1">
        <v>43852</v>
      </c>
      <c r="R510" t="s">
        <v>48</v>
      </c>
      <c r="S510" t="s">
        <v>266</v>
      </c>
      <c r="T510" t="s">
        <v>267</v>
      </c>
      <c r="U510" t="s">
        <v>125</v>
      </c>
      <c r="V510">
        <v>700000</v>
      </c>
      <c r="W510">
        <v>100000</v>
      </c>
      <c r="X510" s="1">
        <v>43830</v>
      </c>
      <c r="Y510" t="s">
        <v>51</v>
      </c>
      <c r="Z510" t="s">
        <v>43</v>
      </c>
      <c r="AA510" t="s">
        <v>115</v>
      </c>
      <c r="AB510" t="s">
        <v>268</v>
      </c>
      <c r="AC510" t="s">
        <v>269</v>
      </c>
      <c r="AF510" t="s">
        <v>135</v>
      </c>
      <c r="AG510" s="1">
        <v>43843</v>
      </c>
      <c r="AH510" t="s">
        <v>125</v>
      </c>
      <c r="AI510" t="s">
        <v>92</v>
      </c>
      <c r="AJ510">
        <v>1278023</v>
      </c>
      <c r="AK510">
        <v>12365300</v>
      </c>
      <c r="AL510">
        <v>12900</v>
      </c>
    </row>
    <row r="511" spans="1:38" x14ac:dyDescent="0.25">
      <c r="A511" t="s">
        <v>265</v>
      </c>
      <c r="B511">
        <v>668111383</v>
      </c>
      <c r="C511" t="s">
        <v>40</v>
      </c>
      <c r="D511" s="1">
        <v>43025</v>
      </c>
      <c r="E511" s="1">
        <v>43389</v>
      </c>
      <c r="F511" t="s">
        <v>72</v>
      </c>
      <c r="G511">
        <v>3</v>
      </c>
      <c r="H511" t="s">
        <v>125</v>
      </c>
      <c r="I511" t="s">
        <v>43</v>
      </c>
      <c r="J511" t="s">
        <v>126</v>
      </c>
      <c r="K511" t="s">
        <v>44</v>
      </c>
      <c r="L511">
        <v>29608.99</v>
      </c>
      <c r="M511" s="1">
        <v>43025</v>
      </c>
      <c r="N511" t="s">
        <v>45</v>
      </c>
      <c r="O511" t="s">
        <v>46</v>
      </c>
      <c r="P511" t="s">
        <v>47</v>
      </c>
      <c r="Q511" s="1">
        <v>43852</v>
      </c>
      <c r="R511" t="s">
        <v>48</v>
      </c>
      <c r="S511" t="s">
        <v>266</v>
      </c>
      <c r="T511" t="s">
        <v>267</v>
      </c>
      <c r="U511" t="s">
        <v>125</v>
      </c>
      <c r="V511">
        <v>700000</v>
      </c>
      <c r="W511">
        <v>100000</v>
      </c>
      <c r="X511" s="1">
        <v>43830</v>
      </c>
      <c r="Y511" t="s">
        <v>51</v>
      </c>
      <c r="Z511" t="s">
        <v>43</v>
      </c>
      <c r="AA511" t="s">
        <v>115</v>
      </c>
      <c r="AB511" t="s">
        <v>268</v>
      </c>
      <c r="AC511" t="s">
        <v>269</v>
      </c>
      <c r="AF511" t="s">
        <v>136</v>
      </c>
      <c r="AG511" s="1">
        <v>43839</v>
      </c>
      <c r="AH511" t="s">
        <v>125</v>
      </c>
      <c r="AI511" t="s">
        <v>92</v>
      </c>
      <c r="AJ511">
        <v>1278023</v>
      </c>
      <c r="AK511">
        <v>12365300</v>
      </c>
      <c r="AL511">
        <v>12900</v>
      </c>
    </row>
    <row r="512" spans="1:38" x14ac:dyDescent="0.25">
      <c r="A512" t="s">
        <v>265</v>
      </c>
      <c r="B512">
        <v>668111383</v>
      </c>
      <c r="C512" t="s">
        <v>40</v>
      </c>
      <c r="D512" s="1">
        <v>43025</v>
      </c>
      <c r="E512" s="1">
        <v>43389</v>
      </c>
      <c r="F512" t="s">
        <v>72</v>
      </c>
      <c r="G512">
        <v>3</v>
      </c>
      <c r="H512" t="s">
        <v>125</v>
      </c>
      <c r="I512" t="s">
        <v>43</v>
      </c>
      <c r="J512" t="s">
        <v>126</v>
      </c>
      <c r="K512" t="s">
        <v>44</v>
      </c>
      <c r="L512">
        <v>29608.99</v>
      </c>
      <c r="M512" s="1">
        <v>43025</v>
      </c>
      <c r="N512" t="s">
        <v>45</v>
      </c>
      <c r="O512" t="s">
        <v>46</v>
      </c>
      <c r="P512" t="s">
        <v>47</v>
      </c>
      <c r="Q512" s="1">
        <v>43852</v>
      </c>
      <c r="R512" t="s">
        <v>48</v>
      </c>
      <c r="S512" t="s">
        <v>266</v>
      </c>
      <c r="T512" t="s">
        <v>267</v>
      </c>
      <c r="U512" t="s">
        <v>125</v>
      </c>
      <c r="V512">
        <v>700000</v>
      </c>
      <c r="W512">
        <v>100000</v>
      </c>
      <c r="X512" s="1">
        <v>43830</v>
      </c>
      <c r="Y512" t="s">
        <v>51</v>
      </c>
      <c r="Z512" t="s">
        <v>43</v>
      </c>
      <c r="AA512" t="s">
        <v>115</v>
      </c>
      <c r="AB512" t="s">
        <v>268</v>
      </c>
      <c r="AC512" t="s">
        <v>269</v>
      </c>
      <c r="AF512" t="s">
        <v>137</v>
      </c>
      <c r="AG512" s="1">
        <v>43840</v>
      </c>
      <c r="AH512" t="s">
        <v>125</v>
      </c>
      <c r="AI512" t="s">
        <v>92</v>
      </c>
      <c r="AJ512">
        <v>1278023</v>
      </c>
      <c r="AK512">
        <v>12365300</v>
      </c>
      <c r="AL512">
        <v>12900</v>
      </c>
    </row>
    <row r="513" spans="1:38" x14ac:dyDescent="0.25">
      <c r="A513" t="s">
        <v>265</v>
      </c>
      <c r="B513">
        <v>668111383</v>
      </c>
      <c r="C513" t="s">
        <v>40</v>
      </c>
      <c r="D513" s="1">
        <v>43025</v>
      </c>
      <c r="E513" s="1">
        <v>43389</v>
      </c>
      <c r="F513" t="s">
        <v>72</v>
      </c>
      <c r="G513">
        <v>3</v>
      </c>
      <c r="H513" t="s">
        <v>125</v>
      </c>
      <c r="I513" t="s">
        <v>43</v>
      </c>
      <c r="J513" t="s">
        <v>126</v>
      </c>
      <c r="K513" t="s">
        <v>44</v>
      </c>
      <c r="L513">
        <v>29608.99</v>
      </c>
      <c r="M513" s="1">
        <v>43025</v>
      </c>
      <c r="N513" t="s">
        <v>45</v>
      </c>
      <c r="O513" t="s">
        <v>46</v>
      </c>
      <c r="P513" t="s">
        <v>47</v>
      </c>
      <c r="Q513" s="1">
        <v>43852</v>
      </c>
      <c r="R513" t="s">
        <v>48</v>
      </c>
      <c r="S513" t="s">
        <v>72</v>
      </c>
      <c r="T513" t="s">
        <v>270</v>
      </c>
      <c r="U513" t="s">
        <v>125</v>
      </c>
      <c r="V513">
        <v>0</v>
      </c>
      <c r="W513">
        <v>500000</v>
      </c>
      <c r="X513" s="1">
        <v>43739</v>
      </c>
      <c r="Y513" t="s">
        <v>131</v>
      </c>
      <c r="Z513" t="s">
        <v>43</v>
      </c>
      <c r="AA513" t="s">
        <v>115</v>
      </c>
      <c r="AB513" t="s">
        <v>268</v>
      </c>
      <c r="AC513" t="s">
        <v>269</v>
      </c>
      <c r="AF513" t="s">
        <v>134</v>
      </c>
      <c r="AG513" s="1">
        <v>43843</v>
      </c>
      <c r="AH513" t="s">
        <v>125</v>
      </c>
      <c r="AI513" t="s">
        <v>92</v>
      </c>
      <c r="AJ513">
        <v>1278023</v>
      </c>
      <c r="AK513">
        <v>12365300</v>
      </c>
      <c r="AL513">
        <v>12900</v>
      </c>
    </row>
    <row r="514" spans="1:38" x14ac:dyDescent="0.25">
      <c r="A514" t="s">
        <v>265</v>
      </c>
      <c r="B514">
        <v>668111383</v>
      </c>
      <c r="C514" t="s">
        <v>40</v>
      </c>
      <c r="D514" s="1">
        <v>43025</v>
      </c>
      <c r="E514" s="1">
        <v>43389</v>
      </c>
      <c r="F514" t="s">
        <v>72</v>
      </c>
      <c r="G514">
        <v>3</v>
      </c>
      <c r="H514" t="s">
        <v>125</v>
      </c>
      <c r="I514" t="s">
        <v>43</v>
      </c>
      <c r="J514" t="s">
        <v>126</v>
      </c>
      <c r="K514" t="s">
        <v>44</v>
      </c>
      <c r="L514">
        <v>29608.99</v>
      </c>
      <c r="M514" s="1">
        <v>43025</v>
      </c>
      <c r="N514" t="s">
        <v>45</v>
      </c>
      <c r="O514" t="s">
        <v>46</v>
      </c>
      <c r="P514" t="s">
        <v>47</v>
      </c>
      <c r="Q514" s="1">
        <v>43852</v>
      </c>
      <c r="R514" t="s">
        <v>48</v>
      </c>
      <c r="S514" t="s">
        <v>72</v>
      </c>
      <c r="T514" t="s">
        <v>270</v>
      </c>
      <c r="U514" t="s">
        <v>125</v>
      </c>
      <c r="V514">
        <v>0</v>
      </c>
      <c r="W514">
        <v>500000</v>
      </c>
      <c r="X514" s="1">
        <v>43739</v>
      </c>
      <c r="Y514" t="s">
        <v>131</v>
      </c>
      <c r="Z514" t="s">
        <v>43</v>
      </c>
      <c r="AA514" t="s">
        <v>115</v>
      </c>
      <c r="AB514" t="s">
        <v>268</v>
      </c>
      <c r="AC514" t="s">
        <v>269</v>
      </c>
      <c r="AF514" t="s">
        <v>135</v>
      </c>
      <c r="AG514" s="1">
        <v>43843</v>
      </c>
      <c r="AH514" t="s">
        <v>125</v>
      </c>
      <c r="AI514" t="s">
        <v>92</v>
      </c>
      <c r="AJ514">
        <v>1278023</v>
      </c>
      <c r="AK514">
        <v>12365300</v>
      </c>
      <c r="AL514">
        <v>12900</v>
      </c>
    </row>
    <row r="515" spans="1:38" x14ac:dyDescent="0.25">
      <c r="A515" t="s">
        <v>265</v>
      </c>
      <c r="B515">
        <v>668111383</v>
      </c>
      <c r="C515" t="s">
        <v>40</v>
      </c>
      <c r="D515" s="1">
        <v>43025</v>
      </c>
      <c r="E515" s="1">
        <v>43389</v>
      </c>
      <c r="F515" t="s">
        <v>72</v>
      </c>
      <c r="G515">
        <v>3</v>
      </c>
      <c r="H515" t="s">
        <v>125</v>
      </c>
      <c r="I515" t="s">
        <v>43</v>
      </c>
      <c r="J515" t="s">
        <v>126</v>
      </c>
      <c r="K515" t="s">
        <v>44</v>
      </c>
      <c r="L515">
        <v>29608.99</v>
      </c>
      <c r="M515" s="1">
        <v>43025</v>
      </c>
      <c r="N515" t="s">
        <v>45</v>
      </c>
      <c r="O515" t="s">
        <v>46</v>
      </c>
      <c r="P515" t="s">
        <v>47</v>
      </c>
      <c r="Q515" s="1">
        <v>43852</v>
      </c>
      <c r="R515" t="s">
        <v>48</v>
      </c>
      <c r="S515" t="s">
        <v>72</v>
      </c>
      <c r="T515" t="s">
        <v>270</v>
      </c>
      <c r="U515" t="s">
        <v>125</v>
      </c>
      <c r="V515">
        <v>0</v>
      </c>
      <c r="W515">
        <v>500000</v>
      </c>
      <c r="X515" s="1">
        <v>43739</v>
      </c>
      <c r="Y515" t="s">
        <v>131</v>
      </c>
      <c r="Z515" t="s">
        <v>43</v>
      </c>
      <c r="AA515" t="s">
        <v>115</v>
      </c>
      <c r="AB515" t="s">
        <v>268</v>
      </c>
      <c r="AC515" t="s">
        <v>269</v>
      </c>
      <c r="AF515" t="s">
        <v>136</v>
      </c>
      <c r="AG515" s="1">
        <v>43839</v>
      </c>
      <c r="AH515" t="s">
        <v>125</v>
      </c>
      <c r="AI515" t="s">
        <v>92</v>
      </c>
      <c r="AJ515">
        <v>1278023</v>
      </c>
      <c r="AK515">
        <v>12365300</v>
      </c>
      <c r="AL515">
        <v>12900</v>
      </c>
    </row>
    <row r="516" spans="1:38" x14ac:dyDescent="0.25">
      <c r="A516" t="s">
        <v>265</v>
      </c>
      <c r="B516">
        <v>668111383</v>
      </c>
      <c r="C516" t="s">
        <v>40</v>
      </c>
      <c r="D516" s="1">
        <v>43025</v>
      </c>
      <c r="E516" s="1">
        <v>43389</v>
      </c>
      <c r="F516" t="s">
        <v>72</v>
      </c>
      <c r="G516">
        <v>3</v>
      </c>
      <c r="H516" t="s">
        <v>125</v>
      </c>
      <c r="I516" t="s">
        <v>43</v>
      </c>
      <c r="J516" t="s">
        <v>126</v>
      </c>
      <c r="K516" t="s">
        <v>44</v>
      </c>
      <c r="L516">
        <v>29608.99</v>
      </c>
      <c r="M516" s="1">
        <v>43025</v>
      </c>
      <c r="N516" t="s">
        <v>45</v>
      </c>
      <c r="O516" t="s">
        <v>46</v>
      </c>
      <c r="P516" t="s">
        <v>47</v>
      </c>
      <c r="Q516" s="1">
        <v>43852</v>
      </c>
      <c r="R516" t="s">
        <v>48</v>
      </c>
      <c r="S516" t="s">
        <v>72</v>
      </c>
      <c r="T516" t="s">
        <v>270</v>
      </c>
      <c r="U516" t="s">
        <v>125</v>
      </c>
      <c r="V516">
        <v>0</v>
      </c>
      <c r="W516">
        <v>500000</v>
      </c>
      <c r="X516" s="1">
        <v>43739</v>
      </c>
      <c r="Y516" t="s">
        <v>131</v>
      </c>
      <c r="Z516" t="s">
        <v>43</v>
      </c>
      <c r="AA516" t="s">
        <v>115</v>
      </c>
      <c r="AB516" t="s">
        <v>268</v>
      </c>
      <c r="AC516" t="s">
        <v>269</v>
      </c>
      <c r="AF516" t="s">
        <v>137</v>
      </c>
      <c r="AG516" s="1">
        <v>43840</v>
      </c>
      <c r="AH516" t="s">
        <v>125</v>
      </c>
      <c r="AI516" t="s">
        <v>92</v>
      </c>
      <c r="AJ516">
        <v>1278023</v>
      </c>
      <c r="AK516">
        <v>12365300</v>
      </c>
      <c r="AL516">
        <v>12900</v>
      </c>
    </row>
    <row r="517" spans="1:38" x14ac:dyDescent="0.25">
      <c r="A517" t="s">
        <v>265</v>
      </c>
      <c r="B517">
        <v>668111383</v>
      </c>
      <c r="C517" t="s">
        <v>40</v>
      </c>
      <c r="D517" s="1">
        <v>43025</v>
      </c>
      <c r="E517" s="1">
        <v>43389</v>
      </c>
      <c r="F517" t="s">
        <v>72</v>
      </c>
      <c r="G517">
        <v>3</v>
      </c>
      <c r="H517" t="s">
        <v>125</v>
      </c>
      <c r="I517" t="s">
        <v>43</v>
      </c>
      <c r="J517" t="s">
        <v>126</v>
      </c>
      <c r="K517" t="s">
        <v>44</v>
      </c>
      <c r="L517">
        <v>29608.99</v>
      </c>
      <c r="M517" s="1">
        <v>43025</v>
      </c>
      <c r="N517" t="s">
        <v>45</v>
      </c>
      <c r="O517" t="s">
        <v>46</v>
      </c>
      <c r="P517" t="s">
        <v>47</v>
      </c>
      <c r="Q517" s="1">
        <v>43852</v>
      </c>
      <c r="R517" t="s">
        <v>48</v>
      </c>
      <c r="S517" t="s">
        <v>271</v>
      </c>
      <c r="T517" t="s">
        <v>272</v>
      </c>
      <c r="U517" t="s">
        <v>125</v>
      </c>
      <c r="V517">
        <v>0</v>
      </c>
      <c r="W517">
        <v>50000</v>
      </c>
      <c r="X517" s="1">
        <v>43738</v>
      </c>
      <c r="Y517" t="s">
        <v>140</v>
      </c>
      <c r="Z517" t="s">
        <v>43</v>
      </c>
      <c r="AA517" t="s">
        <v>115</v>
      </c>
      <c r="AB517" t="s">
        <v>268</v>
      </c>
      <c r="AC517" t="s">
        <v>269</v>
      </c>
      <c r="AF517" t="s">
        <v>134</v>
      </c>
      <c r="AG517" s="1">
        <v>43843</v>
      </c>
      <c r="AH517" t="s">
        <v>125</v>
      </c>
      <c r="AI517" t="s">
        <v>92</v>
      </c>
      <c r="AJ517">
        <v>1278023</v>
      </c>
      <c r="AK517">
        <v>12365300</v>
      </c>
      <c r="AL517">
        <v>12900</v>
      </c>
    </row>
    <row r="518" spans="1:38" x14ac:dyDescent="0.25">
      <c r="A518" t="s">
        <v>265</v>
      </c>
      <c r="B518">
        <v>668111383</v>
      </c>
      <c r="C518" t="s">
        <v>40</v>
      </c>
      <c r="D518" s="1">
        <v>43025</v>
      </c>
      <c r="E518" s="1">
        <v>43389</v>
      </c>
      <c r="F518" t="s">
        <v>72</v>
      </c>
      <c r="G518">
        <v>3</v>
      </c>
      <c r="H518" t="s">
        <v>125</v>
      </c>
      <c r="I518" t="s">
        <v>43</v>
      </c>
      <c r="J518" t="s">
        <v>126</v>
      </c>
      <c r="K518" t="s">
        <v>44</v>
      </c>
      <c r="L518">
        <v>29608.99</v>
      </c>
      <c r="M518" s="1">
        <v>43025</v>
      </c>
      <c r="N518" t="s">
        <v>45</v>
      </c>
      <c r="O518" t="s">
        <v>46</v>
      </c>
      <c r="P518" t="s">
        <v>47</v>
      </c>
      <c r="Q518" s="1">
        <v>43852</v>
      </c>
      <c r="R518" t="s">
        <v>48</v>
      </c>
      <c r="S518" t="s">
        <v>271</v>
      </c>
      <c r="T518" t="s">
        <v>272</v>
      </c>
      <c r="U518" t="s">
        <v>125</v>
      </c>
      <c r="V518">
        <v>0</v>
      </c>
      <c r="W518">
        <v>50000</v>
      </c>
      <c r="X518" s="1">
        <v>43738</v>
      </c>
      <c r="Y518" t="s">
        <v>140</v>
      </c>
      <c r="Z518" t="s">
        <v>43</v>
      </c>
      <c r="AA518" t="s">
        <v>115</v>
      </c>
      <c r="AB518" t="s">
        <v>268</v>
      </c>
      <c r="AC518" t="s">
        <v>269</v>
      </c>
      <c r="AF518" t="s">
        <v>135</v>
      </c>
      <c r="AG518" s="1">
        <v>43843</v>
      </c>
      <c r="AH518" t="s">
        <v>125</v>
      </c>
      <c r="AI518" t="s">
        <v>92</v>
      </c>
      <c r="AJ518">
        <v>1278023</v>
      </c>
      <c r="AK518">
        <v>12365300</v>
      </c>
      <c r="AL518">
        <v>12900</v>
      </c>
    </row>
    <row r="519" spans="1:38" x14ac:dyDescent="0.25">
      <c r="A519" t="s">
        <v>265</v>
      </c>
      <c r="B519">
        <v>668111383</v>
      </c>
      <c r="C519" t="s">
        <v>40</v>
      </c>
      <c r="D519" s="1">
        <v>43025</v>
      </c>
      <c r="E519" s="1">
        <v>43389</v>
      </c>
      <c r="F519" t="s">
        <v>72</v>
      </c>
      <c r="G519">
        <v>3</v>
      </c>
      <c r="H519" t="s">
        <v>125</v>
      </c>
      <c r="I519" t="s">
        <v>43</v>
      </c>
      <c r="J519" t="s">
        <v>126</v>
      </c>
      <c r="K519" t="s">
        <v>44</v>
      </c>
      <c r="L519">
        <v>29608.99</v>
      </c>
      <c r="M519" s="1">
        <v>43025</v>
      </c>
      <c r="N519" t="s">
        <v>45</v>
      </c>
      <c r="O519" t="s">
        <v>46</v>
      </c>
      <c r="P519" t="s">
        <v>47</v>
      </c>
      <c r="Q519" s="1">
        <v>43852</v>
      </c>
      <c r="R519" t="s">
        <v>48</v>
      </c>
      <c r="S519" t="s">
        <v>271</v>
      </c>
      <c r="T519" t="s">
        <v>272</v>
      </c>
      <c r="U519" t="s">
        <v>125</v>
      </c>
      <c r="V519">
        <v>0</v>
      </c>
      <c r="W519">
        <v>50000</v>
      </c>
      <c r="X519" s="1">
        <v>43738</v>
      </c>
      <c r="Y519" t="s">
        <v>140</v>
      </c>
      <c r="Z519" t="s">
        <v>43</v>
      </c>
      <c r="AA519" t="s">
        <v>115</v>
      </c>
      <c r="AB519" t="s">
        <v>268</v>
      </c>
      <c r="AC519" t="s">
        <v>269</v>
      </c>
      <c r="AF519" t="s">
        <v>136</v>
      </c>
      <c r="AG519" s="1">
        <v>43839</v>
      </c>
      <c r="AH519" t="s">
        <v>125</v>
      </c>
      <c r="AI519" t="s">
        <v>92</v>
      </c>
      <c r="AJ519">
        <v>1278023</v>
      </c>
      <c r="AK519">
        <v>12365300</v>
      </c>
      <c r="AL519">
        <v>12900</v>
      </c>
    </row>
    <row r="520" spans="1:38" x14ac:dyDescent="0.25">
      <c r="A520" t="s">
        <v>265</v>
      </c>
      <c r="B520">
        <v>668111383</v>
      </c>
      <c r="C520" t="s">
        <v>40</v>
      </c>
      <c r="D520" s="1">
        <v>43025</v>
      </c>
      <c r="E520" s="1">
        <v>43389</v>
      </c>
      <c r="F520" t="s">
        <v>72</v>
      </c>
      <c r="G520">
        <v>3</v>
      </c>
      <c r="H520" t="s">
        <v>125</v>
      </c>
      <c r="I520" t="s">
        <v>43</v>
      </c>
      <c r="J520" t="s">
        <v>126</v>
      </c>
      <c r="K520" t="s">
        <v>44</v>
      </c>
      <c r="L520">
        <v>29608.99</v>
      </c>
      <c r="M520" s="1">
        <v>43025</v>
      </c>
      <c r="N520" t="s">
        <v>45</v>
      </c>
      <c r="O520" t="s">
        <v>46</v>
      </c>
      <c r="P520" t="s">
        <v>47</v>
      </c>
      <c r="Q520" s="1">
        <v>43852</v>
      </c>
      <c r="R520" t="s">
        <v>48</v>
      </c>
      <c r="S520" t="s">
        <v>271</v>
      </c>
      <c r="T520" t="s">
        <v>272</v>
      </c>
      <c r="U520" t="s">
        <v>125</v>
      </c>
      <c r="V520">
        <v>0</v>
      </c>
      <c r="W520">
        <v>50000</v>
      </c>
      <c r="X520" s="1">
        <v>43738</v>
      </c>
      <c r="Y520" t="s">
        <v>140</v>
      </c>
      <c r="Z520" t="s">
        <v>43</v>
      </c>
      <c r="AA520" t="s">
        <v>115</v>
      </c>
      <c r="AB520" t="s">
        <v>268</v>
      </c>
      <c r="AC520" t="s">
        <v>269</v>
      </c>
      <c r="AF520" t="s">
        <v>137</v>
      </c>
      <c r="AG520" s="1">
        <v>43840</v>
      </c>
      <c r="AH520" t="s">
        <v>125</v>
      </c>
      <c r="AI520" t="s">
        <v>92</v>
      </c>
      <c r="AJ520">
        <v>1278023</v>
      </c>
      <c r="AK520">
        <v>12365300</v>
      </c>
      <c r="AL520">
        <v>12900</v>
      </c>
    </row>
    <row r="521" spans="1:38" x14ac:dyDescent="0.25">
      <c r="A521" t="s">
        <v>273</v>
      </c>
      <c r="B521">
        <v>668111383</v>
      </c>
      <c r="C521" t="s">
        <v>40</v>
      </c>
      <c r="D521" s="1">
        <v>43025</v>
      </c>
      <c r="E521" s="1">
        <v>43389</v>
      </c>
      <c r="F521" t="s">
        <v>72</v>
      </c>
      <c r="G521">
        <v>3</v>
      </c>
      <c r="H521" t="s">
        <v>125</v>
      </c>
      <c r="I521" t="s">
        <v>43</v>
      </c>
      <c r="J521" t="s">
        <v>126</v>
      </c>
      <c r="K521" t="s">
        <v>44</v>
      </c>
      <c r="L521">
        <v>29638.400000000001</v>
      </c>
      <c r="M521" s="1">
        <v>43025</v>
      </c>
      <c r="N521" t="s">
        <v>45</v>
      </c>
      <c r="O521" t="s">
        <v>46</v>
      </c>
      <c r="P521" t="s">
        <v>47</v>
      </c>
      <c r="Q521" s="1">
        <v>43852</v>
      </c>
      <c r="R521" t="s">
        <v>48</v>
      </c>
      <c r="S521" t="s">
        <v>266</v>
      </c>
      <c r="T521" t="s">
        <v>267</v>
      </c>
      <c r="U521" t="s">
        <v>125</v>
      </c>
      <c r="V521">
        <v>700000</v>
      </c>
      <c r="W521">
        <v>100000</v>
      </c>
      <c r="X521" s="1">
        <v>43830</v>
      </c>
      <c r="Y521" t="s">
        <v>51</v>
      </c>
      <c r="Z521" t="s">
        <v>43</v>
      </c>
      <c r="AA521" t="s">
        <v>115</v>
      </c>
      <c r="AB521" t="s">
        <v>268</v>
      </c>
      <c r="AC521" t="s">
        <v>269</v>
      </c>
      <c r="AF521" t="s">
        <v>134</v>
      </c>
      <c r="AG521" s="1">
        <v>43843</v>
      </c>
      <c r="AH521" t="s">
        <v>125</v>
      </c>
      <c r="AI521" t="s">
        <v>92</v>
      </c>
      <c r="AJ521">
        <v>1278023</v>
      </c>
      <c r="AK521">
        <v>12365300</v>
      </c>
      <c r="AL521">
        <v>12900</v>
      </c>
    </row>
    <row r="522" spans="1:38" x14ac:dyDescent="0.25">
      <c r="A522" t="s">
        <v>273</v>
      </c>
      <c r="B522">
        <v>668111383</v>
      </c>
      <c r="C522" t="s">
        <v>40</v>
      </c>
      <c r="D522" s="1">
        <v>43025</v>
      </c>
      <c r="E522" s="1">
        <v>43389</v>
      </c>
      <c r="F522" t="s">
        <v>72</v>
      </c>
      <c r="G522">
        <v>3</v>
      </c>
      <c r="H522" t="s">
        <v>125</v>
      </c>
      <c r="I522" t="s">
        <v>43</v>
      </c>
      <c r="J522" t="s">
        <v>126</v>
      </c>
      <c r="K522" t="s">
        <v>44</v>
      </c>
      <c r="L522">
        <v>29638.400000000001</v>
      </c>
      <c r="M522" s="1">
        <v>43025</v>
      </c>
      <c r="N522" t="s">
        <v>45</v>
      </c>
      <c r="O522" t="s">
        <v>46</v>
      </c>
      <c r="P522" t="s">
        <v>47</v>
      </c>
      <c r="Q522" s="1">
        <v>43852</v>
      </c>
      <c r="R522" t="s">
        <v>48</v>
      </c>
      <c r="S522" t="s">
        <v>266</v>
      </c>
      <c r="T522" t="s">
        <v>267</v>
      </c>
      <c r="U522" t="s">
        <v>125</v>
      </c>
      <c r="V522">
        <v>700000</v>
      </c>
      <c r="W522">
        <v>100000</v>
      </c>
      <c r="X522" s="1">
        <v>43830</v>
      </c>
      <c r="Y522" t="s">
        <v>51</v>
      </c>
      <c r="Z522" t="s">
        <v>43</v>
      </c>
      <c r="AA522" t="s">
        <v>115</v>
      </c>
      <c r="AB522" t="s">
        <v>268</v>
      </c>
      <c r="AC522" t="s">
        <v>269</v>
      </c>
      <c r="AF522" t="s">
        <v>135</v>
      </c>
      <c r="AG522" s="1">
        <v>43843</v>
      </c>
      <c r="AH522" t="s">
        <v>125</v>
      </c>
      <c r="AI522" t="s">
        <v>92</v>
      </c>
      <c r="AJ522">
        <v>1278023</v>
      </c>
      <c r="AK522">
        <v>12365300</v>
      </c>
      <c r="AL522">
        <v>12900</v>
      </c>
    </row>
    <row r="523" spans="1:38" x14ac:dyDescent="0.25">
      <c r="A523" t="s">
        <v>273</v>
      </c>
      <c r="B523">
        <v>668111383</v>
      </c>
      <c r="C523" t="s">
        <v>40</v>
      </c>
      <c r="D523" s="1">
        <v>43025</v>
      </c>
      <c r="E523" s="1">
        <v>43389</v>
      </c>
      <c r="F523" t="s">
        <v>72</v>
      </c>
      <c r="G523">
        <v>3</v>
      </c>
      <c r="H523" t="s">
        <v>125</v>
      </c>
      <c r="I523" t="s">
        <v>43</v>
      </c>
      <c r="J523" t="s">
        <v>126</v>
      </c>
      <c r="K523" t="s">
        <v>44</v>
      </c>
      <c r="L523">
        <v>29638.400000000001</v>
      </c>
      <c r="M523" s="1">
        <v>43025</v>
      </c>
      <c r="N523" t="s">
        <v>45</v>
      </c>
      <c r="O523" t="s">
        <v>46</v>
      </c>
      <c r="P523" t="s">
        <v>47</v>
      </c>
      <c r="Q523" s="1">
        <v>43852</v>
      </c>
      <c r="R523" t="s">
        <v>48</v>
      </c>
      <c r="S523" t="s">
        <v>266</v>
      </c>
      <c r="T523" t="s">
        <v>267</v>
      </c>
      <c r="U523" t="s">
        <v>125</v>
      </c>
      <c r="V523">
        <v>700000</v>
      </c>
      <c r="W523">
        <v>100000</v>
      </c>
      <c r="X523" s="1">
        <v>43830</v>
      </c>
      <c r="Y523" t="s">
        <v>51</v>
      </c>
      <c r="Z523" t="s">
        <v>43</v>
      </c>
      <c r="AA523" t="s">
        <v>115</v>
      </c>
      <c r="AB523" t="s">
        <v>268</v>
      </c>
      <c r="AC523" t="s">
        <v>269</v>
      </c>
      <c r="AF523" t="s">
        <v>136</v>
      </c>
      <c r="AG523" s="1">
        <v>43839</v>
      </c>
      <c r="AH523" t="s">
        <v>125</v>
      </c>
      <c r="AI523" t="s">
        <v>92</v>
      </c>
      <c r="AJ523">
        <v>1278023</v>
      </c>
      <c r="AK523">
        <v>12365300</v>
      </c>
      <c r="AL523">
        <v>12900</v>
      </c>
    </row>
    <row r="524" spans="1:38" x14ac:dyDescent="0.25">
      <c r="A524" t="s">
        <v>273</v>
      </c>
      <c r="B524">
        <v>668111383</v>
      </c>
      <c r="C524" t="s">
        <v>40</v>
      </c>
      <c r="D524" s="1">
        <v>43025</v>
      </c>
      <c r="E524" s="1">
        <v>43389</v>
      </c>
      <c r="F524" t="s">
        <v>72</v>
      </c>
      <c r="G524">
        <v>3</v>
      </c>
      <c r="H524" t="s">
        <v>125</v>
      </c>
      <c r="I524" t="s">
        <v>43</v>
      </c>
      <c r="J524" t="s">
        <v>126</v>
      </c>
      <c r="K524" t="s">
        <v>44</v>
      </c>
      <c r="L524">
        <v>29638.400000000001</v>
      </c>
      <c r="M524" s="1">
        <v>43025</v>
      </c>
      <c r="N524" t="s">
        <v>45</v>
      </c>
      <c r="O524" t="s">
        <v>46</v>
      </c>
      <c r="P524" t="s">
        <v>47</v>
      </c>
      <c r="Q524" s="1">
        <v>43852</v>
      </c>
      <c r="R524" t="s">
        <v>48</v>
      </c>
      <c r="S524" t="s">
        <v>266</v>
      </c>
      <c r="T524" t="s">
        <v>267</v>
      </c>
      <c r="U524" t="s">
        <v>125</v>
      </c>
      <c r="V524">
        <v>700000</v>
      </c>
      <c r="W524">
        <v>100000</v>
      </c>
      <c r="X524" s="1">
        <v>43830</v>
      </c>
      <c r="Y524" t="s">
        <v>51</v>
      </c>
      <c r="Z524" t="s">
        <v>43</v>
      </c>
      <c r="AA524" t="s">
        <v>115</v>
      </c>
      <c r="AB524" t="s">
        <v>268</v>
      </c>
      <c r="AC524" t="s">
        <v>269</v>
      </c>
      <c r="AF524" t="s">
        <v>137</v>
      </c>
      <c r="AG524" s="1">
        <v>43840</v>
      </c>
      <c r="AH524" t="s">
        <v>125</v>
      </c>
      <c r="AI524" t="s">
        <v>92</v>
      </c>
      <c r="AJ524">
        <v>1278023</v>
      </c>
      <c r="AK524">
        <v>12365300</v>
      </c>
      <c r="AL524">
        <v>12900</v>
      </c>
    </row>
    <row r="525" spans="1:38" x14ac:dyDescent="0.25">
      <c r="A525" t="s">
        <v>273</v>
      </c>
      <c r="B525">
        <v>668111383</v>
      </c>
      <c r="C525" t="s">
        <v>40</v>
      </c>
      <c r="D525" s="1">
        <v>43025</v>
      </c>
      <c r="E525" s="1">
        <v>43389</v>
      </c>
      <c r="F525" t="s">
        <v>72</v>
      </c>
      <c r="G525">
        <v>3</v>
      </c>
      <c r="H525" t="s">
        <v>125</v>
      </c>
      <c r="I525" t="s">
        <v>43</v>
      </c>
      <c r="J525" t="s">
        <v>126</v>
      </c>
      <c r="K525" t="s">
        <v>44</v>
      </c>
      <c r="L525">
        <v>29638.400000000001</v>
      </c>
      <c r="M525" s="1">
        <v>43025</v>
      </c>
      <c r="N525" t="s">
        <v>45</v>
      </c>
      <c r="O525" t="s">
        <v>46</v>
      </c>
      <c r="P525" t="s">
        <v>47</v>
      </c>
      <c r="Q525" s="1">
        <v>43852</v>
      </c>
      <c r="R525" t="s">
        <v>48</v>
      </c>
      <c r="S525" t="s">
        <v>72</v>
      </c>
      <c r="T525" t="s">
        <v>270</v>
      </c>
      <c r="U525" t="s">
        <v>125</v>
      </c>
      <c r="V525">
        <v>0</v>
      </c>
      <c r="W525">
        <v>500000</v>
      </c>
      <c r="X525" s="1">
        <v>43739</v>
      </c>
      <c r="Y525" t="s">
        <v>131</v>
      </c>
      <c r="Z525" t="s">
        <v>43</v>
      </c>
      <c r="AA525" t="s">
        <v>115</v>
      </c>
      <c r="AB525" t="s">
        <v>268</v>
      </c>
      <c r="AC525" t="s">
        <v>269</v>
      </c>
      <c r="AF525" t="s">
        <v>134</v>
      </c>
      <c r="AG525" s="1">
        <v>43843</v>
      </c>
      <c r="AH525" t="s">
        <v>125</v>
      </c>
      <c r="AI525" t="s">
        <v>92</v>
      </c>
      <c r="AJ525">
        <v>1278023</v>
      </c>
      <c r="AK525">
        <v>12365300</v>
      </c>
      <c r="AL525">
        <v>12900</v>
      </c>
    </row>
    <row r="526" spans="1:38" x14ac:dyDescent="0.25">
      <c r="A526" t="s">
        <v>273</v>
      </c>
      <c r="B526">
        <v>668111383</v>
      </c>
      <c r="C526" t="s">
        <v>40</v>
      </c>
      <c r="D526" s="1">
        <v>43025</v>
      </c>
      <c r="E526" s="1">
        <v>43389</v>
      </c>
      <c r="F526" t="s">
        <v>72</v>
      </c>
      <c r="G526">
        <v>3</v>
      </c>
      <c r="H526" t="s">
        <v>125</v>
      </c>
      <c r="I526" t="s">
        <v>43</v>
      </c>
      <c r="J526" t="s">
        <v>126</v>
      </c>
      <c r="K526" t="s">
        <v>44</v>
      </c>
      <c r="L526">
        <v>29638.400000000001</v>
      </c>
      <c r="M526" s="1">
        <v>43025</v>
      </c>
      <c r="N526" t="s">
        <v>45</v>
      </c>
      <c r="O526" t="s">
        <v>46</v>
      </c>
      <c r="P526" t="s">
        <v>47</v>
      </c>
      <c r="Q526" s="1">
        <v>43852</v>
      </c>
      <c r="R526" t="s">
        <v>48</v>
      </c>
      <c r="S526" t="s">
        <v>72</v>
      </c>
      <c r="T526" t="s">
        <v>270</v>
      </c>
      <c r="U526" t="s">
        <v>125</v>
      </c>
      <c r="V526">
        <v>0</v>
      </c>
      <c r="W526">
        <v>500000</v>
      </c>
      <c r="X526" s="1">
        <v>43739</v>
      </c>
      <c r="Y526" t="s">
        <v>131</v>
      </c>
      <c r="Z526" t="s">
        <v>43</v>
      </c>
      <c r="AA526" t="s">
        <v>115</v>
      </c>
      <c r="AB526" t="s">
        <v>268</v>
      </c>
      <c r="AC526" t="s">
        <v>269</v>
      </c>
      <c r="AF526" t="s">
        <v>135</v>
      </c>
      <c r="AG526" s="1">
        <v>43843</v>
      </c>
      <c r="AH526" t="s">
        <v>125</v>
      </c>
      <c r="AI526" t="s">
        <v>92</v>
      </c>
      <c r="AJ526">
        <v>1278023</v>
      </c>
      <c r="AK526">
        <v>12365300</v>
      </c>
      <c r="AL526">
        <v>12900</v>
      </c>
    </row>
    <row r="527" spans="1:38" x14ac:dyDescent="0.25">
      <c r="A527" t="s">
        <v>273</v>
      </c>
      <c r="B527">
        <v>668111383</v>
      </c>
      <c r="C527" t="s">
        <v>40</v>
      </c>
      <c r="D527" s="1">
        <v>43025</v>
      </c>
      <c r="E527" s="1">
        <v>43389</v>
      </c>
      <c r="F527" t="s">
        <v>72</v>
      </c>
      <c r="G527">
        <v>3</v>
      </c>
      <c r="H527" t="s">
        <v>125</v>
      </c>
      <c r="I527" t="s">
        <v>43</v>
      </c>
      <c r="J527" t="s">
        <v>126</v>
      </c>
      <c r="K527" t="s">
        <v>44</v>
      </c>
      <c r="L527">
        <v>29638.400000000001</v>
      </c>
      <c r="M527" s="1">
        <v>43025</v>
      </c>
      <c r="N527" t="s">
        <v>45</v>
      </c>
      <c r="O527" t="s">
        <v>46</v>
      </c>
      <c r="P527" t="s">
        <v>47</v>
      </c>
      <c r="Q527" s="1">
        <v>43852</v>
      </c>
      <c r="R527" t="s">
        <v>48</v>
      </c>
      <c r="S527" t="s">
        <v>72</v>
      </c>
      <c r="T527" t="s">
        <v>270</v>
      </c>
      <c r="U527" t="s">
        <v>125</v>
      </c>
      <c r="V527">
        <v>0</v>
      </c>
      <c r="W527">
        <v>500000</v>
      </c>
      <c r="X527" s="1">
        <v>43739</v>
      </c>
      <c r="Y527" t="s">
        <v>131</v>
      </c>
      <c r="Z527" t="s">
        <v>43</v>
      </c>
      <c r="AA527" t="s">
        <v>115</v>
      </c>
      <c r="AB527" t="s">
        <v>268</v>
      </c>
      <c r="AC527" t="s">
        <v>269</v>
      </c>
      <c r="AF527" t="s">
        <v>136</v>
      </c>
      <c r="AG527" s="1">
        <v>43839</v>
      </c>
      <c r="AH527" t="s">
        <v>125</v>
      </c>
      <c r="AI527" t="s">
        <v>92</v>
      </c>
      <c r="AJ527">
        <v>1278023</v>
      </c>
      <c r="AK527">
        <v>12365300</v>
      </c>
      <c r="AL527">
        <v>12900</v>
      </c>
    </row>
    <row r="528" spans="1:38" x14ac:dyDescent="0.25">
      <c r="A528" t="s">
        <v>273</v>
      </c>
      <c r="B528">
        <v>668111383</v>
      </c>
      <c r="C528" t="s">
        <v>40</v>
      </c>
      <c r="D528" s="1">
        <v>43025</v>
      </c>
      <c r="E528" s="1">
        <v>43389</v>
      </c>
      <c r="F528" t="s">
        <v>72</v>
      </c>
      <c r="G528">
        <v>3</v>
      </c>
      <c r="H528" t="s">
        <v>125</v>
      </c>
      <c r="I528" t="s">
        <v>43</v>
      </c>
      <c r="J528" t="s">
        <v>126</v>
      </c>
      <c r="K528" t="s">
        <v>44</v>
      </c>
      <c r="L528">
        <v>29638.400000000001</v>
      </c>
      <c r="M528" s="1">
        <v>43025</v>
      </c>
      <c r="N528" t="s">
        <v>45</v>
      </c>
      <c r="O528" t="s">
        <v>46</v>
      </c>
      <c r="P528" t="s">
        <v>47</v>
      </c>
      <c r="Q528" s="1">
        <v>43852</v>
      </c>
      <c r="R528" t="s">
        <v>48</v>
      </c>
      <c r="S528" t="s">
        <v>72</v>
      </c>
      <c r="T528" t="s">
        <v>270</v>
      </c>
      <c r="U528" t="s">
        <v>125</v>
      </c>
      <c r="V528">
        <v>0</v>
      </c>
      <c r="W528">
        <v>500000</v>
      </c>
      <c r="X528" s="1">
        <v>43739</v>
      </c>
      <c r="Y528" t="s">
        <v>131</v>
      </c>
      <c r="Z528" t="s">
        <v>43</v>
      </c>
      <c r="AA528" t="s">
        <v>115</v>
      </c>
      <c r="AB528" t="s">
        <v>268</v>
      </c>
      <c r="AC528" t="s">
        <v>269</v>
      </c>
      <c r="AF528" t="s">
        <v>137</v>
      </c>
      <c r="AG528" s="1">
        <v>43840</v>
      </c>
      <c r="AH528" t="s">
        <v>125</v>
      </c>
      <c r="AI528" t="s">
        <v>92</v>
      </c>
      <c r="AJ528">
        <v>1278023</v>
      </c>
      <c r="AK528">
        <v>12365300</v>
      </c>
      <c r="AL528">
        <v>12900</v>
      </c>
    </row>
    <row r="529" spans="1:38" x14ac:dyDescent="0.25">
      <c r="A529" t="s">
        <v>273</v>
      </c>
      <c r="B529">
        <v>668111383</v>
      </c>
      <c r="C529" t="s">
        <v>40</v>
      </c>
      <c r="D529" s="1">
        <v>43025</v>
      </c>
      <c r="E529" s="1">
        <v>43389</v>
      </c>
      <c r="F529" t="s">
        <v>72</v>
      </c>
      <c r="G529">
        <v>3</v>
      </c>
      <c r="H529" t="s">
        <v>125</v>
      </c>
      <c r="I529" t="s">
        <v>43</v>
      </c>
      <c r="J529" t="s">
        <v>126</v>
      </c>
      <c r="K529" t="s">
        <v>44</v>
      </c>
      <c r="L529">
        <v>29638.400000000001</v>
      </c>
      <c r="M529" s="1">
        <v>43025</v>
      </c>
      <c r="N529" t="s">
        <v>45</v>
      </c>
      <c r="O529" t="s">
        <v>46</v>
      </c>
      <c r="P529" t="s">
        <v>47</v>
      </c>
      <c r="Q529" s="1">
        <v>43852</v>
      </c>
      <c r="R529" t="s">
        <v>48</v>
      </c>
      <c r="S529" t="s">
        <v>271</v>
      </c>
      <c r="T529" t="s">
        <v>272</v>
      </c>
      <c r="U529" t="s">
        <v>125</v>
      </c>
      <c r="V529">
        <v>0</v>
      </c>
      <c r="W529">
        <v>50000</v>
      </c>
      <c r="X529" s="1">
        <v>43738</v>
      </c>
      <c r="Y529" t="s">
        <v>140</v>
      </c>
      <c r="Z529" t="s">
        <v>43</v>
      </c>
      <c r="AA529" t="s">
        <v>115</v>
      </c>
      <c r="AB529" t="s">
        <v>268</v>
      </c>
      <c r="AC529" t="s">
        <v>269</v>
      </c>
      <c r="AF529" t="s">
        <v>134</v>
      </c>
      <c r="AG529" s="1">
        <v>43843</v>
      </c>
      <c r="AH529" t="s">
        <v>125</v>
      </c>
      <c r="AI529" t="s">
        <v>92</v>
      </c>
      <c r="AJ529">
        <v>1278023</v>
      </c>
      <c r="AK529">
        <v>12365300</v>
      </c>
      <c r="AL529">
        <v>12900</v>
      </c>
    </row>
    <row r="530" spans="1:38" x14ac:dyDescent="0.25">
      <c r="A530" t="s">
        <v>273</v>
      </c>
      <c r="B530">
        <v>668111383</v>
      </c>
      <c r="C530" t="s">
        <v>40</v>
      </c>
      <c r="D530" s="1">
        <v>43025</v>
      </c>
      <c r="E530" s="1">
        <v>43389</v>
      </c>
      <c r="F530" t="s">
        <v>72</v>
      </c>
      <c r="G530">
        <v>3</v>
      </c>
      <c r="H530" t="s">
        <v>125</v>
      </c>
      <c r="I530" t="s">
        <v>43</v>
      </c>
      <c r="J530" t="s">
        <v>126</v>
      </c>
      <c r="K530" t="s">
        <v>44</v>
      </c>
      <c r="L530">
        <v>29638.400000000001</v>
      </c>
      <c r="M530" s="1">
        <v>43025</v>
      </c>
      <c r="N530" t="s">
        <v>45</v>
      </c>
      <c r="O530" t="s">
        <v>46</v>
      </c>
      <c r="P530" t="s">
        <v>47</v>
      </c>
      <c r="Q530" s="1">
        <v>43852</v>
      </c>
      <c r="R530" t="s">
        <v>48</v>
      </c>
      <c r="S530" t="s">
        <v>271</v>
      </c>
      <c r="T530" t="s">
        <v>272</v>
      </c>
      <c r="U530" t="s">
        <v>125</v>
      </c>
      <c r="V530">
        <v>0</v>
      </c>
      <c r="W530">
        <v>50000</v>
      </c>
      <c r="X530" s="1">
        <v>43738</v>
      </c>
      <c r="Y530" t="s">
        <v>140</v>
      </c>
      <c r="Z530" t="s">
        <v>43</v>
      </c>
      <c r="AA530" t="s">
        <v>115</v>
      </c>
      <c r="AB530" t="s">
        <v>268</v>
      </c>
      <c r="AC530" t="s">
        <v>269</v>
      </c>
      <c r="AF530" t="s">
        <v>135</v>
      </c>
      <c r="AG530" s="1">
        <v>43843</v>
      </c>
      <c r="AH530" t="s">
        <v>125</v>
      </c>
      <c r="AI530" t="s">
        <v>92</v>
      </c>
      <c r="AJ530">
        <v>1278023</v>
      </c>
      <c r="AK530">
        <v>12365300</v>
      </c>
      <c r="AL530">
        <v>12900</v>
      </c>
    </row>
    <row r="531" spans="1:38" x14ac:dyDescent="0.25">
      <c r="A531" t="s">
        <v>273</v>
      </c>
      <c r="B531">
        <v>668111383</v>
      </c>
      <c r="C531" t="s">
        <v>40</v>
      </c>
      <c r="D531" s="1">
        <v>43025</v>
      </c>
      <c r="E531" s="1">
        <v>43389</v>
      </c>
      <c r="F531" t="s">
        <v>72</v>
      </c>
      <c r="G531">
        <v>3</v>
      </c>
      <c r="H531" t="s">
        <v>125</v>
      </c>
      <c r="I531" t="s">
        <v>43</v>
      </c>
      <c r="J531" t="s">
        <v>126</v>
      </c>
      <c r="K531" t="s">
        <v>44</v>
      </c>
      <c r="L531">
        <v>29638.400000000001</v>
      </c>
      <c r="M531" s="1">
        <v>43025</v>
      </c>
      <c r="N531" t="s">
        <v>45</v>
      </c>
      <c r="O531" t="s">
        <v>46</v>
      </c>
      <c r="P531" t="s">
        <v>47</v>
      </c>
      <c r="Q531" s="1">
        <v>43852</v>
      </c>
      <c r="R531" t="s">
        <v>48</v>
      </c>
      <c r="S531" t="s">
        <v>271</v>
      </c>
      <c r="T531" t="s">
        <v>272</v>
      </c>
      <c r="U531" t="s">
        <v>125</v>
      </c>
      <c r="V531">
        <v>0</v>
      </c>
      <c r="W531">
        <v>50000</v>
      </c>
      <c r="X531" s="1">
        <v>43738</v>
      </c>
      <c r="Y531" t="s">
        <v>140</v>
      </c>
      <c r="Z531" t="s">
        <v>43</v>
      </c>
      <c r="AA531" t="s">
        <v>115</v>
      </c>
      <c r="AB531" t="s">
        <v>268</v>
      </c>
      <c r="AC531" t="s">
        <v>269</v>
      </c>
      <c r="AF531" t="s">
        <v>136</v>
      </c>
      <c r="AG531" s="1">
        <v>43839</v>
      </c>
      <c r="AH531" t="s">
        <v>125</v>
      </c>
      <c r="AI531" t="s">
        <v>92</v>
      </c>
      <c r="AJ531">
        <v>1278023</v>
      </c>
      <c r="AK531">
        <v>12365300</v>
      </c>
      <c r="AL531">
        <v>12900</v>
      </c>
    </row>
    <row r="532" spans="1:38" x14ac:dyDescent="0.25">
      <c r="A532" t="s">
        <v>273</v>
      </c>
      <c r="B532">
        <v>668111383</v>
      </c>
      <c r="C532" t="s">
        <v>40</v>
      </c>
      <c r="D532" s="1">
        <v>43025</v>
      </c>
      <c r="E532" s="1">
        <v>43389</v>
      </c>
      <c r="F532" t="s">
        <v>72</v>
      </c>
      <c r="G532">
        <v>3</v>
      </c>
      <c r="H532" t="s">
        <v>125</v>
      </c>
      <c r="I532" t="s">
        <v>43</v>
      </c>
      <c r="J532" t="s">
        <v>126</v>
      </c>
      <c r="K532" t="s">
        <v>44</v>
      </c>
      <c r="L532">
        <v>29638.400000000001</v>
      </c>
      <c r="M532" s="1">
        <v>43025</v>
      </c>
      <c r="N532" t="s">
        <v>45</v>
      </c>
      <c r="O532" t="s">
        <v>46</v>
      </c>
      <c r="P532" t="s">
        <v>47</v>
      </c>
      <c r="Q532" s="1">
        <v>43852</v>
      </c>
      <c r="R532" t="s">
        <v>48</v>
      </c>
      <c r="S532" t="s">
        <v>271</v>
      </c>
      <c r="T532" t="s">
        <v>272</v>
      </c>
      <c r="U532" t="s">
        <v>125</v>
      </c>
      <c r="V532">
        <v>0</v>
      </c>
      <c r="W532">
        <v>50000</v>
      </c>
      <c r="X532" s="1">
        <v>43738</v>
      </c>
      <c r="Y532" t="s">
        <v>140</v>
      </c>
      <c r="Z532" t="s">
        <v>43</v>
      </c>
      <c r="AA532" t="s">
        <v>115</v>
      </c>
      <c r="AB532" t="s">
        <v>268</v>
      </c>
      <c r="AC532" t="s">
        <v>269</v>
      </c>
      <c r="AF532" t="s">
        <v>137</v>
      </c>
      <c r="AG532" s="1">
        <v>43840</v>
      </c>
      <c r="AH532" t="s">
        <v>125</v>
      </c>
      <c r="AI532" t="s">
        <v>92</v>
      </c>
      <c r="AJ532">
        <v>1278023</v>
      </c>
      <c r="AK532">
        <v>12365300</v>
      </c>
      <c r="AL532">
        <v>12900</v>
      </c>
    </row>
    <row r="533" spans="1:38" x14ac:dyDescent="0.25">
      <c r="A533" t="s">
        <v>274</v>
      </c>
      <c r="B533">
        <v>668111383</v>
      </c>
      <c r="C533" t="s">
        <v>40</v>
      </c>
      <c r="D533" s="1">
        <v>43025</v>
      </c>
      <c r="E533" s="1">
        <v>43389</v>
      </c>
      <c r="F533" t="s">
        <v>72</v>
      </c>
      <c r="G533">
        <v>3</v>
      </c>
      <c r="H533" t="s">
        <v>125</v>
      </c>
      <c r="I533" t="s">
        <v>43</v>
      </c>
      <c r="J533" t="s">
        <v>126</v>
      </c>
      <c r="K533" t="s">
        <v>44</v>
      </c>
      <c r="L533">
        <v>237107.16</v>
      </c>
      <c r="M533" s="1">
        <v>43025</v>
      </c>
      <c r="N533" t="s">
        <v>45</v>
      </c>
      <c r="O533" t="s">
        <v>46</v>
      </c>
      <c r="P533" t="s">
        <v>47</v>
      </c>
      <c r="Q533" s="1">
        <v>43852</v>
      </c>
      <c r="R533" t="s">
        <v>48</v>
      </c>
      <c r="S533" t="s">
        <v>266</v>
      </c>
      <c r="T533" t="s">
        <v>267</v>
      </c>
      <c r="U533" t="s">
        <v>125</v>
      </c>
      <c r="V533">
        <v>700000</v>
      </c>
      <c r="W533">
        <v>100000</v>
      </c>
      <c r="X533" s="1">
        <v>43830</v>
      </c>
      <c r="Y533" t="s">
        <v>51</v>
      </c>
      <c r="Z533" t="s">
        <v>43</v>
      </c>
      <c r="AA533" t="s">
        <v>115</v>
      </c>
      <c r="AB533" t="s">
        <v>268</v>
      </c>
      <c r="AC533" t="s">
        <v>269</v>
      </c>
      <c r="AF533" t="s">
        <v>134</v>
      </c>
      <c r="AG533" s="1">
        <v>43843</v>
      </c>
      <c r="AH533" t="s">
        <v>125</v>
      </c>
      <c r="AI533" t="s">
        <v>92</v>
      </c>
      <c r="AJ533">
        <v>1278023</v>
      </c>
      <c r="AK533">
        <v>12365300</v>
      </c>
      <c r="AL533">
        <v>12900</v>
      </c>
    </row>
    <row r="534" spans="1:38" x14ac:dyDescent="0.25">
      <c r="A534" t="s">
        <v>274</v>
      </c>
      <c r="B534">
        <v>668111383</v>
      </c>
      <c r="C534" t="s">
        <v>40</v>
      </c>
      <c r="D534" s="1">
        <v>43025</v>
      </c>
      <c r="E534" s="1">
        <v>43389</v>
      </c>
      <c r="F534" t="s">
        <v>72</v>
      </c>
      <c r="G534">
        <v>3</v>
      </c>
      <c r="H534" t="s">
        <v>125</v>
      </c>
      <c r="I534" t="s">
        <v>43</v>
      </c>
      <c r="J534" t="s">
        <v>126</v>
      </c>
      <c r="K534" t="s">
        <v>44</v>
      </c>
      <c r="L534">
        <v>237107.16</v>
      </c>
      <c r="M534" s="1">
        <v>43025</v>
      </c>
      <c r="N534" t="s">
        <v>45</v>
      </c>
      <c r="O534" t="s">
        <v>46</v>
      </c>
      <c r="P534" t="s">
        <v>47</v>
      </c>
      <c r="Q534" s="1">
        <v>43852</v>
      </c>
      <c r="R534" t="s">
        <v>48</v>
      </c>
      <c r="S534" t="s">
        <v>266</v>
      </c>
      <c r="T534" t="s">
        <v>267</v>
      </c>
      <c r="U534" t="s">
        <v>125</v>
      </c>
      <c r="V534">
        <v>700000</v>
      </c>
      <c r="W534">
        <v>100000</v>
      </c>
      <c r="X534" s="1">
        <v>43830</v>
      </c>
      <c r="Y534" t="s">
        <v>51</v>
      </c>
      <c r="Z534" t="s">
        <v>43</v>
      </c>
      <c r="AA534" t="s">
        <v>115</v>
      </c>
      <c r="AB534" t="s">
        <v>268</v>
      </c>
      <c r="AC534" t="s">
        <v>269</v>
      </c>
      <c r="AF534" t="s">
        <v>135</v>
      </c>
      <c r="AG534" s="1">
        <v>43843</v>
      </c>
      <c r="AH534" t="s">
        <v>125</v>
      </c>
      <c r="AI534" t="s">
        <v>92</v>
      </c>
      <c r="AJ534">
        <v>1278023</v>
      </c>
      <c r="AK534">
        <v>12365300</v>
      </c>
      <c r="AL534">
        <v>12900</v>
      </c>
    </row>
    <row r="535" spans="1:38" x14ac:dyDescent="0.25">
      <c r="A535" t="s">
        <v>274</v>
      </c>
      <c r="B535">
        <v>668111383</v>
      </c>
      <c r="C535" t="s">
        <v>40</v>
      </c>
      <c r="D535" s="1">
        <v>43025</v>
      </c>
      <c r="E535" s="1">
        <v>43389</v>
      </c>
      <c r="F535" t="s">
        <v>72</v>
      </c>
      <c r="G535">
        <v>3</v>
      </c>
      <c r="H535" t="s">
        <v>125</v>
      </c>
      <c r="I535" t="s">
        <v>43</v>
      </c>
      <c r="J535" t="s">
        <v>126</v>
      </c>
      <c r="K535" t="s">
        <v>44</v>
      </c>
      <c r="L535">
        <v>237107.16</v>
      </c>
      <c r="M535" s="1">
        <v>43025</v>
      </c>
      <c r="N535" t="s">
        <v>45</v>
      </c>
      <c r="O535" t="s">
        <v>46</v>
      </c>
      <c r="P535" t="s">
        <v>47</v>
      </c>
      <c r="Q535" s="1">
        <v>43852</v>
      </c>
      <c r="R535" t="s">
        <v>48</v>
      </c>
      <c r="S535" t="s">
        <v>266</v>
      </c>
      <c r="T535" t="s">
        <v>267</v>
      </c>
      <c r="U535" t="s">
        <v>125</v>
      </c>
      <c r="V535">
        <v>700000</v>
      </c>
      <c r="W535">
        <v>100000</v>
      </c>
      <c r="X535" s="1">
        <v>43830</v>
      </c>
      <c r="Y535" t="s">
        <v>51</v>
      </c>
      <c r="Z535" t="s">
        <v>43</v>
      </c>
      <c r="AA535" t="s">
        <v>115</v>
      </c>
      <c r="AB535" t="s">
        <v>268</v>
      </c>
      <c r="AC535" t="s">
        <v>269</v>
      </c>
      <c r="AF535" t="s">
        <v>136</v>
      </c>
      <c r="AG535" s="1">
        <v>43839</v>
      </c>
      <c r="AH535" t="s">
        <v>125</v>
      </c>
      <c r="AI535" t="s">
        <v>92</v>
      </c>
      <c r="AJ535">
        <v>1278023</v>
      </c>
      <c r="AK535">
        <v>12365300</v>
      </c>
      <c r="AL535">
        <v>12900</v>
      </c>
    </row>
    <row r="536" spans="1:38" x14ac:dyDescent="0.25">
      <c r="A536" t="s">
        <v>274</v>
      </c>
      <c r="B536">
        <v>668111383</v>
      </c>
      <c r="C536" t="s">
        <v>40</v>
      </c>
      <c r="D536" s="1">
        <v>43025</v>
      </c>
      <c r="E536" s="1">
        <v>43389</v>
      </c>
      <c r="F536" t="s">
        <v>72</v>
      </c>
      <c r="G536">
        <v>3</v>
      </c>
      <c r="H536" t="s">
        <v>125</v>
      </c>
      <c r="I536" t="s">
        <v>43</v>
      </c>
      <c r="J536" t="s">
        <v>126</v>
      </c>
      <c r="K536" t="s">
        <v>44</v>
      </c>
      <c r="L536">
        <v>237107.16</v>
      </c>
      <c r="M536" s="1">
        <v>43025</v>
      </c>
      <c r="N536" t="s">
        <v>45</v>
      </c>
      <c r="O536" t="s">
        <v>46</v>
      </c>
      <c r="P536" t="s">
        <v>47</v>
      </c>
      <c r="Q536" s="1">
        <v>43852</v>
      </c>
      <c r="R536" t="s">
        <v>48</v>
      </c>
      <c r="S536" t="s">
        <v>266</v>
      </c>
      <c r="T536" t="s">
        <v>267</v>
      </c>
      <c r="U536" t="s">
        <v>125</v>
      </c>
      <c r="V536">
        <v>700000</v>
      </c>
      <c r="W536">
        <v>100000</v>
      </c>
      <c r="X536" s="1">
        <v>43830</v>
      </c>
      <c r="Y536" t="s">
        <v>51</v>
      </c>
      <c r="Z536" t="s">
        <v>43</v>
      </c>
      <c r="AA536" t="s">
        <v>115</v>
      </c>
      <c r="AB536" t="s">
        <v>268</v>
      </c>
      <c r="AC536" t="s">
        <v>269</v>
      </c>
      <c r="AF536" t="s">
        <v>137</v>
      </c>
      <c r="AG536" s="1">
        <v>43840</v>
      </c>
      <c r="AH536" t="s">
        <v>125</v>
      </c>
      <c r="AI536" t="s">
        <v>92</v>
      </c>
      <c r="AJ536">
        <v>1278023</v>
      </c>
      <c r="AK536">
        <v>12365300</v>
      </c>
      <c r="AL536">
        <v>12900</v>
      </c>
    </row>
    <row r="537" spans="1:38" x14ac:dyDescent="0.25">
      <c r="A537" t="s">
        <v>274</v>
      </c>
      <c r="B537">
        <v>668111383</v>
      </c>
      <c r="C537" t="s">
        <v>40</v>
      </c>
      <c r="D537" s="1">
        <v>43025</v>
      </c>
      <c r="E537" s="1">
        <v>43389</v>
      </c>
      <c r="F537" t="s">
        <v>72</v>
      </c>
      <c r="G537">
        <v>3</v>
      </c>
      <c r="H537" t="s">
        <v>125</v>
      </c>
      <c r="I537" t="s">
        <v>43</v>
      </c>
      <c r="J537" t="s">
        <v>126</v>
      </c>
      <c r="K537" t="s">
        <v>44</v>
      </c>
      <c r="L537">
        <v>237107.16</v>
      </c>
      <c r="M537" s="1">
        <v>43025</v>
      </c>
      <c r="N537" t="s">
        <v>45</v>
      </c>
      <c r="O537" t="s">
        <v>46</v>
      </c>
      <c r="P537" t="s">
        <v>47</v>
      </c>
      <c r="Q537" s="1">
        <v>43852</v>
      </c>
      <c r="R537" t="s">
        <v>48</v>
      </c>
      <c r="S537" t="s">
        <v>72</v>
      </c>
      <c r="T537" t="s">
        <v>270</v>
      </c>
      <c r="U537" t="s">
        <v>125</v>
      </c>
      <c r="V537">
        <v>0</v>
      </c>
      <c r="W537">
        <v>500000</v>
      </c>
      <c r="X537" s="1">
        <v>43739</v>
      </c>
      <c r="Y537" t="s">
        <v>131</v>
      </c>
      <c r="Z537" t="s">
        <v>43</v>
      </c>
      <c r="AA537" t="s">
        <v>115</v>
      </c>
      <c r="AB537" t="s">
        <v>268</v>
      </c>
      <c r="AC537" t="s">
        <v>269</v>
      </c>
      <c r="AF537" t="s">
        <v>134</v>
      </c>
      <c r="AG537" s="1">
        <v>43843</v>
      </c>
      <c r="AH537" t="s">
        <v>125</v>
      </c>
      <c r="AI537" t="s">
        <v>92</v>
      </c>
      <c r="AJ537">
        <v>1278023</v>
      </c>
      <c r="AK537">
        <v>12365300</v>
      </c>
      <c r="AL537">
        <v>12900</v>
      </c>
    </row>
    <row r="538" spans="1:38" x14ac:dyDescent="0.25">
      <c r="A538" t="s">
        <v>274</v>
      </c>
      <c r="B538">
        <v>668111383</v>
      </c>
      <c r="C538" t="s">
        <v>40</v>
      </c>
      <c r="D538" s="1">
        <v>43025</v>
      </c>
      <c r="E538" s="1">
        <v>43389</v>
      </c>
      <c r="F538" t="s">
        <v>72</v>
      </c>
      <c r="G538">
        <v>3</v>
      </c>
      <c r="H538" t="s">
        <v>125</v>
      </c>
      <c r="I538" t="s">
        <v>43</v>
      </c>
      <c r="J538" t="s">
        <v>126</v>
      </c>
      <c r="K538" t="s">
        <v>44</v>
      </c>
      <c r="L538">
        <v>237107.16</v>
      </c>
      <c r="M538" s="1">
        <v>43025</v>
      </c>
      <c r="N538" t="s">
        <v>45</v>
      </c>
      <c r="O538" t="s">
        <v>46</v>
      </c>
      <c r="P538" t="s">
        <v>47</v>
      </c>
      <c r="Q538" s="1">
        <v>43852</v>
      </c>
      <c r="R538" t="s">
        <v>48</v>
      </c>
      <c r="S538" t="s">
        <v>72</v>
      </c>
      <c r="T538" t="s">
        <v>270</v>
      </c>
      <c r="U538" t="s">
        <v>125</v>
      </c>
      <c r="V538">
        <v>0</v>
      </c>
      <c r="W538">
        <v>500000</v>
      </c>
      <c r="X538" s="1">
        <v>43739</v>
      </c>
      <c r="Y538" t="s">
        <v>131</v>
      </c>
      <c r="Z538" t="s">
        <v>43</v>
      </c>
      <c r="AA538" t="s">
        <v>115</v>
      </c>
      <c r="AB538" t="s">
        <v>268</v>
      </c>
      <c r="AC538" t="s">
        <v>269</v>
      </c>
      <c r="AF538" t="s">
        <v>135</v>
      </c>
      <c r="AG538" s="1">
        <v>43843</v>
      </c>
      <c r="AH538" t="s">
        <v>125</v>
      </c>
      <c r="AI538" t="s">
        <v>92</v>
      </c>
      <c r="AJ538">
        <v>1278023</v>
      </c>
      <c r="AK538">
        <v>12365300</v>
      </c>
      <c r="AL538">
        <v>12900</v>
      </c>
    </row>
    <row r="539" spans="1:38" x14ac:dyDescent="0.25">
      <c r="A539" t="s">
        <v>274</v>
      </c>
      <c r="B539">
        <v>668111383</v>
      </c>
      <c r="C539" t="s">
        <v>40</v>
      </c>
      <c r="D539" s="1">
        <v>43025</v>
      </c>
      <c r="E539" s="1">
        <v>43389</v>
      </c>
      <c r="F539" t="s">
        <v>72</v>
      </c>
      <c r="G539">
        <v>3</v>
      </c>
      <c r="H539" t="s">
        <v>125</v>
      </c>
      <c r="I539" t="s">
        <v>43</v>
      </c>
      <c r="J539" t="s">
        <v>126</v>
      </c>
      <c r="K539" t="s">
        <v>44</v>
      </c>
      <c r="L539">
        <v>237107.16</v>
      </c>
      <c r="M539" s="1">
        <v>43025</v>
      </c>
      <c r="N539" t="s">
        <v>45</v>
      </c>
      <c r="O539" t="s">
        <v>46</v>
      </c>
      <c r="P539" t="s">
        <v>47</v>
      </c>
      <c r="Q539" s="1">
        <v>43852</v>
      </c>
      <c r="R539" t="s">
        <v>48</v>
      </c>
      <c r="S539" t="s">
        <v>72</v>
      </c>
      <c r="T539" t="s">
        <v>270</v>
      </c>
      <c r="U539" t="s">
        <v>125</v>
      </c>
      <c r="V539">
        <v>0</v>
      </c>
      <c r="W539">
        <v>500000</v>
      </c>
      <c r="X539" s="1">
        <v>43739</v>
      </c>
      <c r="Y539" t="s">
        <v>131</v>
      </c>
      <c r="Z539" t="s">
        <v>43</v>
      </c>
      <c r="AA539" t="s">
        <v>115</v>
      </c>
      <c r="AB539" t="s">
        <v>268</v>
      </c>
      <c r="AC539" t="s">
        <v>269</v>
      </c>
      <c r="AF539" t="s">
        <v>136</v>
      </c>
      <c r="AG539" s="1">
        <v>43839</v>
      </c>
      <c r="AH539" t="s">
        <v>125</v>
      </c>
      <c r="AI539" t="s">
        <v>92</v>
      </c>
      <c r="AJ539">
        <v>1278023</v>
      </c>
      <c r="AK539">
        <v>12365300</v>
      </c>
      <c r="AL539">
        <v>12900</v>
      </c>
    </row>
    <row r="540" spans="1:38" x14ac:dyDescent="0.25">
      <c r="A540" t="s">
        <v>274</v>
      </c>
      <c r="B540">
        <v>668111383</v>
      </c>
      <c r="C540" t="s">
        <v>40</v>
      </c>
      <c r="D540" s="1">
        <v>43025</v>
      </c>
      <c r="E540" s="1">
        <v>43389</v>
      </c>
      <c r="F540" t="s">
        <v>72</v>
      </c>
      <c r="G540">
        <v>3</v>
      </c>
      <c r="H540" t="s">
        <v>125</v>
      </c>
      <c r="I540" t="s">
        <v>43</v>
      </c>
      <c r="J540" t="s">
        <v>126</v>
      </c>
      <c r="K540" t="s">
        <v>44</v>
      </c>
      <c r="L540">
        <v>237107.16</v>
      </c>
      <c r="M540" s="1">
        <v>43025</v>
      </c>
      <c r="N540" t="s">
        <v>45</v>
      </c>
      <c r="O540" t="s">
        <v>46</v>
      </c>
      <c r="P540" t="s">
        <v>47</v>
      </c>
      <c r="Q540" s="1">
        <v>43852</v>
      </c>
      <c r="R540" t="s">
        <v>48</v>
      </c>
      <c r="S540" t="s">
        <v>72</v>
      </c>
      <c r="T540" t="s">
        <v>270</v>
      </c>
      <c r="U540" t="s">
        <v>125</v>
      </c>
      <c r="V540">
        <v>0</v>
      </c>
      <c r="W540">
        <v>500000</v>
      </c>
      <c r="X540" s="1">
        <v>43739</v>
      </c>
      <c r="Y540" t="s">
        <v>131</v>
      </c>
      <c r="Z540" t="s">
        <v>43</v>
      </c>
      <c r="AA540" t="s">
        <v>115</v>
      </c>
      <c r="AB540" t="s">
        <v>268</v>
      </c>
      <c r="AC540" t="s">
        <v>269</v>
      </c>
      <c r="AF540" t="s">
        <v>137</v>
      </c>
      <c r="AG540" s="1">
        <v>43840</v>
      </c>
      <c r="AH540" t="s">
        <v>125</v>
      </c>
      <c r="AI540" t="s">
        <v>92</v>
      </c>
      <c r="AJ540">
        <v>1278023</v>
      </c>
      <c r="AK540">
        <v>12365300</v>
      </c>
      <c r="AL540">
        <v>12900</v>
      </c>
    </row>
    <row r="541" spans="1:38" x14ac:dyDescent="0.25">
      <c r="A541" t="s">
        <v>274</v>
      </c>
      <c r="B541">
        <v>668111383</v>
      </c>
      <c r="C541" t="s">
        <v>40</v>
      </c>
      <c r="D541" s="1">
        <v>43025</v>
      </c>
      <c r="E541" s="1">
        <v>43389</v>
      </c>
      <c r="F541" t="s">
        <v>72</v>
      </c>
      <c r="G541">
        <v>3</v>
      </c>
      <c r="H541" t="s">
        <v>125</v>
      </c>
      <c r="I541" t="s">
        <v>43</v>
      </c>
      <c r="J541" t="s">
        <v>126</v>
      </c>
      <c r="K541" t="s">
        <v>44</v>
      </c>
      <c r="L541">
        <v>237107.16</v>
      </c>
      <c r="M541" s="1">
        <v>43025</v>
      </c>
      <c r="N541" t="s">
        <v>45</v>
      </c>
      <c r="O541" t="s">
        <v>46</v>
      </c>
      <c r="P541" t="s">
        <v>47</v>
      </c>
      <c r="Q541" s="1">
        <v>43852</v>
      </c>
      <c r="R541" t="s">
        <v>48</v>
      </c>
      <c r="S541" t="s">
        <v>271</v>
      </c>
      <c r="T541" t="s">
        <v>272</v>
      </c>
      <c r="U541" t="s">
        <v>125</v>
      </c>
      <c r="V541">
        <v>0</v>
      </c>
      <c r="W541">
        <v>50000</v>
      </c>
      <c r="X541" s="1">
        <v>43738</v>
      </c>
      <c r="Y541" t="s">
        <v>140</v>
      </c>
      <c r="Z541" t="s">
        <v>43</v>
      </c>
      <c r="AA541" t="s">
        <v>115</v>
      </c>
      <c r="AB541" t="s">
        <v>268</v>
      </c>
      <c r="AC541" t="s">
        <v>269</v>
      </c>
      <c r="AF541" t="s">
        <v>134</v>
      </c>
      <c r="AG541" s="1">
        <v>43843</v>
      </c>
      <c r="AH541" t="s">
        <v>125</v>
      </c>
      <c r="AI541" t="s">
        <v>92</v>
      </c>
      <c r="AJ541">
        <v>1278023</v>
      </c>
      <c r="AK541">
        <v>12365300</v>
      </c>
      <c r="AL541">
        <v>12900</v>
      </c>
    </row>
    <row r="542" spans="1:38" x14ac:dyDescent="0.25">
      <c r="A542" t="s">
        <v>274</v>
      </c>
      <c r="B542">
        <v>668111383</v>
      </c>
      <c r="C542" t="s">
        <v>40</v>
      </c>
      <c r="D542" s="1">
        <v>43025</v>
      </c>
      <c r="E542" s="1">
        <v>43389</v>
      </c>
      <c r="F542" t="s">
        <v>72</v>
      </c>
      <c r="G542">
        <v>3</v>
      </c>
      <c r="H542" t="s">
        <v>125</v>
      </c>
      <c r="I542" t="s">
        <v>43</v>
      </c>
      <c r="J542" t="s">
        <v>126</v>
      </c>
      <c r="K542" t="s">
        <v>44</v>
      </c>
      <c r="L542">
        <v>237107.16</v>
      </c>
      <c r="M542" s="1">
        <v>43025</v>
      </c>
      <c r="N542" t="s">
        <v>45</v>
      </c>
      <c r="O542" t="s">
        <v>46</v>
      </c>
      <c r="P542" t="s">
        <v>47</v>
      </c>
      <c r="Q542" s="1">
        <v>43852</v>
      </c>
      <c r="R542" t="s">
        <v>48</v>
      </c>
      <c r="S542" t="s">
        <v>271</v>
      </c>
      <c r="T542" t="s">
        <v>272</v>
      </c>
      <c r="U542" t="s">
        <v>125</v>
      </c>
      <c r="V542">
        <v>0</v>
      </c>
      <c r="W542">
        <v>50000</v>
      </c>
      <c r="X542" s="1">
        <v>43738</v>
      </c>
      <c r="Y542" t="s">
        <v>140</v>
      </c>
      <c r="Z542" t="s">
        <v>43</v>
      </c>
      <c r="AA542" t="s">
        <v>115</v>
      </c>
      <c r="AB542" t="s">
        <v>268</v>
      </c>
      <c r="AC542" t="s">
        <v>269</v>
      </c>
      <c r="AF542" t="s">
        <v>135</v>
      </c>
      <c r="AG542" s="1">
        <v>43843</v>
      </c>
      <c r="AH542" t="s">
        <v>125</v>
      </c>
      <c r="AI542" t="s">
        <v>92</v>
      </c>
      <c r="AJ542">
        <v>1278023</v>
      </c>
      <c r="AK542">
        <v>12365300</v>
      </c>
      <c r="AL542">
        <v>12900</v>
      </c>
    </row>
    <row r="543" spans="1:38" x14ac:dyDescent="0.25">
      <c r="A543" t="s">
        <v>274</v>
      </c>
      <c r="B543">
        <v>668111383</v>
      </c>
      <c r="C543" t="s">
        <v>40</v>
      </c>
      <c r="D543" s="1">
        <v>43025</v>
      </c>
      <c r="E543" s="1">
        <v>43389</v>
      </c>
      <c r="F543" t="s">
        <v>72</v>
      </c>
      <c r="G543">
        <v>3</v>
      </c>
      <c r="H543" t="s">
        <v>125</v>
      </c>
      <c r="I543" t="s">
        <v>43</v>
      </c>
      <c r="J543" t="s">
        <v>126</v>
      </c>
      <c r="K543" t="s">
        <v>44</v>
      </c>
      <c r="L543">
        <v>237107.16</v>
      </c>
      <c r="M543" s="1">
        <v>43025</v>
      </c>
      <c r="N543" t="s">
        <v>45</v>
      </c>
      <c r="O543" t="s">
        <v>46</v>
      </c>
      <c r="P543" t="s">
        <v>47</v>
      </c>
      <c r="Q543" s="1">
        <v>43852</v>
      </c>
      <c r="R543" t="s">
        <v>48</v>
      </c>
      <c r="S543" t="s">
        <v>271</v>
      </c>
      <c r="T543" t="s">
        <v>272</v>
      </c>
      <c r="U543" t="s">
        <v>125</v>
      </c>
      <c r="V543">
        <v>0</v>
      </c>
      <c r="W543">
        <v>50000</v>
      </c>
      <c r="X543" s="1">
        <v>43738</v>
      </c>
      <c r="Y543" t="s">
        <v>140</v>
      </c>
      <c r="Z543" t="s">
        <v>43</v>
      </c>
      <c r="AA543" t="s">
        <v>115</v>
      </c>
      <c r="AB543" t="s">
        <v>268</v>
      </c>
      <c r="AC543" t="s">
        <v>269</v>
      </c>
      <c r="AF543" t="s">
        <v>136</v>
      </c>
      <c r="AG543" s="1">
        <v>43839</v>
      </c>
      <c r="AH543" t="s">
        <v>125</v>
      </c>
      <c r="AI543" t="s">
        <v>92</v>
      </c>
      <c r="AJ543">
        <v>1278023</v>
      </c>
      <c r="AK543">
        <v>12365300</v>
      </c>
      <c r="AL543">
        <v>12900</v>
      </c>
    </row>
    <row r="544" spans="1:38" x14ac:dyDescent="0.25">
      <c r="A544" t="s">
        <v>274</v>
      </c>
      <c r="B544">
        <v>668111383</v>
      </c>
      <c r="C544" t="s">
        <v>40</v>
      </c>
      <c r="D544" s="1">
        <v>43025</v>
      </c>
      <c r="E544" s="1">
        <v>43389</v>
      </c>
      <c r="F544" t="s">
        <v>72</v>
      </c>
      <c r="G544">
        <v>3</v>
      </c>
      <c r="H544" t="s">
        <v>125</v>
      </c>
      <c r="I544" t="s">
        <v>43</v>
      </c>
      <c r="J544" t="s">
        <v>126</v>
      </c>
      <c r="K544" t="s">
        <v>44</v>
      </c>
      <c r="L544">
        <v>237107.16</v>
      </c>
      <c r="M544" s="1">
        <v>43025</v>
      </c>
      <c r="N544" t="s">
        <v>45</v>
      </c>
      <c r="O544" t="s">
        <v>46</v>
      </c>
      <c r="P544" t="s">
        <v>47</v>
      </c>
      <c r="Q544" s="1">
        <v>43852</v>
      </c>
      <c r="R544" t="s">
        <v>48</v>
      </c>
      <c r="S544" t="s">
        <v>271</v>
      </c>
      <c r="T544" t="s">
        <v>272</v>
      </c>
      <c r="U544" t="s">
        <v>125</v>
      </c>
      <c r="V544">
        <v>0</v>
      </c>
      <c r="W544">
        <v>50000</v>
      </c>
      <c r="X544" s="1">
        <v>43738</v>
      </c>
      <c r="Y544" t="s">
        <v>140</v>
      </c>
      <c r="Z544" t="s">
        <v>43</v>
      </c>
      <c r="AA544" t="s">
        <v>115</v>
      </c>
      <c r="AB544" t="s">
        <v>268</v>
      </c>
      <c r="AC544" t="s">
        <v>269</v>
      </c>
      <c r="AF544" t="s">
        <v>137</v>
      </c>
      <c r="AG544" s="1">
        <v>43840</v>
      </c>
      <c r="AH544" t="s">
        <v>125</v>
      </c>
      <c r="AI544" t="s">
        <v>92</v>
      </c>
      <c r="AJ544">
        <v>1278023</v>
      </c>
      <c r="AK544">
        <v>12365300</v>
      </c>
      <c r="AL544">
        <v>12900</v>
      </c>
    </row>
    <row r="545" spans="1:38" x14ac:dyDescent="0.25">
      <c r="A545" t="s">
        <v>275</v>
      </c>
      <c r="B545" t="s">
        <v>276</v>
      </c>
      <c r="C545" t="s">
        <v>40</v>
      </c>
      <c r="D545" s="1">
        <v>43390</v>
      </c>
      <c r="E545" s="1">
        <v>43754</v>
      </c>
      <c r="F545" t="s">
        <v>76</v>
      </c>
      <c r="G545">
        <v>3</v>
      </c>
      <c r="H545" t="s">
        <v>125</v>
      </c>
      <c r="I545" t="s">
        <v>43</v>
      </c>
      <c r="J545" t="s">
        <v>126</v>
      </c>
      <c r="K545" t="s">
        <v>44</v>
      </c>
      <c r="L545">
        <v>295501.76</v>
      </c>
      <c r="M545" s="1">
        <v>43390</v>
      </c>
      <c r="N545" t="s">
        <v>45</v>
      </c>
      <c r="O545" t="s">
        <v>46</v>
      </c>
      <c r="P545" t="s">
        <v>47</v>
      </c>
      <c r="Q545" s="1">
        <v>43852</v>
      </c>
      <c r="R545" t="s">
        <v>48</v>
      </c>
    </row>
    <row r="546" spans="1:38" x14ac:dyDescent="0.25">
      <c r="A546" t="s">
        <v>277</v>
      </c>
      <c r="B546">
        <v>2250015394</v>
      </c>
      <c r="C546" t="s">
        <v>40</v>
      </c>
      <c r="D546" s="1">
        <v>43713</v>
      </c>
      <c r="E546" s="1">
        <v>44078</v>
      </c>
      <c r="F546" t="s">
        <v>76</v>
      </c>
      <c r="G546">
        <v>3</v>
      </c>
      <c r="H546" t="s">
        <v>125</v>
      </c>
      <c r="I546" t="s">
        <v>43</v>
      </c>
      <c r="J546" t="s">
        <v>126</v>
      </c>
      <c r="K546" t="s">
        <v>44</v>
      </c>
      <c r="L546">
        <v>5612.25</v>
      </c>
      <c r="M546" s="1">
        <v>43713</v>
      </c>
      <c r="N546" t="s">
        <v>45</v>
      </c>
      <c r="O546" t="s">
        <v>44</v>
      </c>
      <c r="P546" t="s">
        <v>47</v>
      </c>
      <c r="Q546" s="1">
        <v>43852</v>
      </c>
      <c r="R546" t="s">
        <v>48</v>
      </c>
    </row>
    <row r="547" spans="1:38" x14ac:dyDescent="0.25">
      <c r="A547" t="s">
        <v>278</v>
      </c>
      <c r="B547">
        <v>2309002394</v>
      </c>
      <c r="C547" t="s">
        <v>40</v>
      </c>
      <c r="D547" s="1">
        <v>43101</v>
      </c>
      <c r="E547" s="1">
        <v>43465</v>
      </c>
      <c r="F547" t="s">
        <v>77</v>
      </c>
      <c r="G547">
        <v>3</v>
      </c>
      <c r="H547" t="s">
        <v>125</v>
      </c>
      <c r="I547" t="s">
        <v>43</v>
      </c>
      <c r="J547" t="s">
        <v>126</v>
      </c>
      <c r="K547" t="s">
        <v>44</v>
      </c>
      <c r="L547">
        <v>30875</v>
      </c>
      <c r="M547" s="1">
        <v>43101</v>
      </c>
      <c r="N547" t="s">
        <v>45</v>
      </c>
      <c r="O547" t="s">
        <v>46</v>
      </c>
      <c r="P547" t="s">
        <v>47</v>
      </c>
      <c r="Q547" s="1">
        <v>43852</v>
      </c>
      <c r="R547" t="s">
        <v>48</v>
      </c>
    </row>
    <row r="548" spans="1:38" x14ac:dyDescent="0.25">
      <c r="A548" t="s">
        <v>279</v>
      </c>
      <c r="B548" s="2">
        <v>3.1142E+18</v>
      </c>
      <c r="C548" t="s">
        <v>40</v>
      </c>
      <c r="D548" s="1">
        <v>43703</v>
      </c>
      <c r="E548" s="1">
        <v>44068</v>
      </c>
      <c r="F548" t="s">
        <v>76</v>
      </c>
      <c r="G548">
        <v>3</v>
      </c>
      <c r="H548" t="s">
        <v>125</v>
      </c>
      <c r="I548" t="s">
        <v>43</v>
      </c>
      <c r="J548" t="s">
        <v>126</v>
      </c>
      <c r="K548" t="s">
        <v>127</v>
      </c>
      <c r="L548">
        <v>7022.25</v>
      </c>
      <c r="M548" s="1">
        <v>43703</v>
      </c>
      <c r="N548" t="s">
        <v>45</v>
      </c>
      <c r="O548" t="s">
        <v>46</v>
      </c>
      <c r="P548" t="s">
        <v>47</v>
      </c>
      <c r="Q548" s="1">
        <v>43852</v>
      </c>
      <c r="R548" t="s">
        <v>48</v>
      </c>
    </row>
    <row r="549" spans="1:38" x14ac:dyDescent="0.25">
      <c r="A549" t="s">
        <v>280</v>
      </c>
      <c r="B549" t="s">
        <v>281</v>
      </c>
      <c r="C549" t="s">
        <v>40</v>
      </c>
      <c r="D549" s="1">
        <v>43466</v>
      </c>
      <c r="E549" s="1">
        <v>43830</v>
      </c>
      <c r="F549" t="s">
        <v>41</v>
      </c>
      <c r="G549">
        <v>3</v>
      </c>
      <c r="H549" t="s">
        <v>125</v>
      </c>
      <c r="I549" t="s">
        <v>43</v>
      </c>
      <c r="J549" t="s">
        <v>126</v>
      </c>
      <c r="K549" t="s">
        <v>127</v>
      </c>
      <c r="L549">
        <v>77787.360000000001</v>
      </c>
      <c r="M549" s="1">
        <v>43466</v>
      </c>
      <c r="N549" t="s">
        <v>45</v>
      </c>
      <c r="O549" t="s">
        <v>46</v>
      </c>
      <c r="P549" t="s">
        <v>47</v>
      </c>
      <c r="Q549" s="1">
        <v>43852</v>
      </c>
      <c r="R549" t="s">
        <v>48</v>
      </c>
      <c r="S549" t="s">
        <v>41</v>
      </c>
      <c r="T549" t="s">
        <v>130</v>
      </c>
      <c r="U549" t="s">
        <v>125</v>
      </c>
      <c r="V549">
        <v>0</v>
      </c>
      <c r="W549">
        <v>100000</v>
      </c>
      <c r="X549" s="1">
        <v>43769</v>
      </c>
      <c r="Y549" t="s">
        <v>131</v>
      </c>
      <c r="Z549" t="s">
        <v>43</v>
      </c>
      <c r="AA549" t="s">
        <v>41</v>
      </c>
      <c r="AB549" t="s">
        <v>132</v>
      </c>
      <c r="AC549" t="s">
        <v>133</v>
      </c>
      <c r="AF549" t="s">
        <v>134</v>
      </c>
      <c r="AG549" s="1">
        <v>43843</v>
      </c>
      <c r="AH549" t="s">
        <v>125</v>
      </c>
      <c r="AI549" t="s">
        <v>92</v>
      </c>
      <c r="AJ549">
        <v>1278023</v>
      </c>
      <c r="AK549">
        <v>12365300</v>
      </c>
      <c r="AL549">
        <v>12900</v>
      </c>
    </row>
    <row r="550" spans="1:38" x14ac:dyDescent="0.25">
      <c r="A550" t="s">
        <v>280</v>
      </c>
      <c r="B550" t="s">
        <v>281</v>
      </c>
      <c r="C550" t="s">
        <v>40</v>
      </c>
      <c r="D550" s="1">
        <v>43466</v>
      </c>
      <c r="E550" s="1">
        <v>43830</v>
      </c>
      <c r="F550" t="s">
        <v>41</v>
      </c>
      <c r="G550">
        <v>3</v>
      </c>
      <c r="H550" t="s">
        <v>125</v>
      </c>
      <c r="I550" t="s">
        <v>43</v>
      </c>
      <c r="J550" t="s">
        <v>126</v>
      </c>
      <c r="K550" t="s">
        <v>127</v>
      </c>
      <c r="L550">
        <v>77787.360000000001</v>
      </c>
      <c r="M550" s="1">
        <v>43466</v>
      </c>
      <c r="N550" t="s">
        <v>45</v>
      </c>
      <c r="O550" t="s">
        <v>46</v>
      </c>
      <c r="P550" t="s">
        <v>47</v>
      </c>
      <c r="Q550" s="1">
        <v>43852</v>
      </c>
      <c r="R550" t="s">
        <v>48</v>
      </c>
      <c r="S550" t="s">
        <v>41</v>
      </c>
      <c r="T550" t="s">
        <v>130</v>
      </c>
      <c r="U550" t="s">
        <v>125</v>
      </c>
      <c r="V550">
        <v>0</v>
      </c>
      <c r="W550">
        <v>100000</v>
      </c>
      <c r="X550" s="1">
        <v>43769</v>
      </c>
      <c r="Y550" t="s">
        <v>131</v>
      </c>
      <c r="Z550" t="s">
        <v>43</v>
      </c>
      <c r="AA550" t="s">
        <v>41</v>
      </c>
      <c r="AB550" t="s">
        <v>132</v>
      </c>
      <c r="AC550" t="s">
        <v>133</v>
      </c>
      <c r="AF550" t="s">
        <v>135</v>
      </c>
      <c r="AG550" s="1">
        <v>43843</v>
      </c>
      <c r="AH550" t="s">
        <v>125</v>
      </c>
      <c r="AI550" t="s">
        <v>92</v>
      </c>
      <c r="AJ550">
        <v>1278023</v>
      </c>
      <c r="AK550">
        <v>12365300</v>
      </c>
      <c r="AL550">
        <v>12900</v>
      </c>
    </row>
    <row r="551" spans="1:38" x14ac:dyDescent="0.25">
      <c r="A551" t="s">
        <v>280</v>
      </c>
      <c r="B551" t="s">
        <v>281</v>
      </c>
      <c r="C551" t="s">
        <v>40</v>
      </c>
      <c r="D551" s="1">
        <v>43466</v>
      </c>
      <c r="E551" s="1">
        <v>43830</v>
      </c>
      <c r="F551" t="s">
        <v>41</v>
      </c>
      <c r="G551">
        <v>3</v>
      </c>
      <c r="H551" t="s">
        <v>125</v>
      </c>
      <c r="I551" t="s">
        <v>43</v>
      </c>
      <c r="J551" t="s">
        <v>126</v>
      </c>
      <c r="K551" t="s">
        <v>127</v>
      </c>
      <c r="L551">
        <v>77787.360000000001</v>
      </c>
      <c r="M551" s="1">
        <v>43466</v>
      </c>
      <c r="N551" t="s">
        <v>45</v>
      </c>
      <c r="O551" t="s">
        <v>46</v>
      </c>
      <c r="P551" t="s">
        <v>47</v>
      </c>
      <c r="Q551" s="1">
        <v>43852</v>
      </c>
      <c r="R551" t="s">
        <v>48</v>
      </c>
      <c r="S551" t="s">
        <v>41</v>
      </c>
      <c r="T551" t="s">
        <v>130</v>
      </c>
      <c r="U551" t="s">
        <v>125</v>
      </c>
      <c r="V551">
        <v>0</v>
      </c>
      <c r="W551">
        <v>100000</v>
      </c>
      <c r="X551" s="1">
        <v>43769</v>
      </c>
      <c r="Y551" t="s">
        <v>131</v>
      </c>
      <c r="Z551" t="s">
        <v>43</v>
      </c>
      <c r="AA551" t="s">
        <v>41</v>
      </c>
      <c r="AB551" t="s">
        <v>132</v>
      </c>
      <c r="AC551" t="s">
        <v>133</v>
      </c>
      <c r="AF551" t="s">
        <v>136</v>
      </c>
      <c r="AG551" s="1">
        <v>43839</v>
      </c>
      <c r="AH551" t="s">
        <v>125</v>
      </c>
      <c r="AI551" t="s">
        <v>92</v>
      </c>
      <c r="AJ551">
        <v>1278023</v>
      </c>
      <c r="AK551">
        <v>12365300</v>
      </c>
      <c r="AL551">
        <v>12900</v>
      </c>
    </row>
    <row r="552" spans="1:38" x14ac:dyDescent="0.25">
      <c r="A552" t="s">
        <v>280</v>
      </c>
      <c r="B552" t="s">
        <v>281</v>
      </c>
      <c r="C552" t="s">
        <v>40</v>
      </c>
      <c r="D552" s="1">
        <v>43466</v>
      </c>
      <c r="E552" s="1">
        <v>43830</v>
      </c>
      <c r="F552" t="s">
        <v>41</v>
      </c>
      <c r="G552">
        <v>3</v>
      </c>
      <c r="H552" t="s">
        <v>125</v>
      </c>
      <c r="I552" t="s">
        <v>43</v>
      </c>
      <c r="J552" t="s">
        <v>126</v>
      </c>
      <c r="K552" t="s">
        <v>127</v>
      </c>
      <c r="L552">
        <v>77787.360000000001</v>
      </c>
      <c r="M552" s="1">
        <v>43466</v>
      </c>
      <c r="N552" t="s">
        <v>45</v>
      </c>
      <c r="O552" t="s">
        <v>46</v>
      </c>
      <c r="P552" t="s">
        <v>47</v>
      </c>
      <c r="Q552" s="1">
        <v>43852</v>
      </c>
      <c r="R552" t="s">
        <v>48</v>
      </c>
      <c r="S552" t="s">
        <v>41</v>
      </c>
      <c r="T552" t="s">
        <v>130</v>
      </c>
      <c r="U552" t="s">
        <v>125</v>
      </c>
      <c r="V552">
        <v>0</v>
      </c>
      <c r="W552">
        <v>100000</v>
      </c>
      <c r="X552" s="1">
        <v>43769</v>
      </c>
      <c r="Y552" t="s">
        <v>131</v>
      </c>
      <c r="Z552" t="s">
        <v>43</v>
      </c>
      <c r="AA552" t="s">
        <v>41</v>
      </c>
      <c r="AB552" t="s">
        <v>132</v>
      </c>
      <c r="AC552" t="s">
        <v>133</v>
      </c>
      <c r="AF552" t="s">
        <v>137</v>
      </c>
      <c r="AG552" s="1">
        <v>43840</v>
      </c>
      <c r="AH552" t="s">
        <v>125</v>
      </c>
      <c r="AI552" t="s">
        <v>92</v>
      </c>
      <c r="AJ552">
        <v>1278023</v>
      </c>
      <c r="AK552">
        <v>12365300</v>
      </c>
      <c r="AL552">
        <v>12900</v>
      </c>
    </row>
    <row r="553" spans="1:38" x14ac:dyDescent="0.25">
      <c r="A553" t="s">
        <v>280</v>
      </c>
      <c r="B553" t="s">
        <v>281</v>
      </c>
      <c r="C553" t="s">
        <v>40</v>
      </c>
      <c r="D553" s="1">
        <v>43466</v>
      </c>
      <c r="E553" s="1">
        <v>43830</v>
      </c>
      <c r="F553" t="s">
        <v>41</v>
      </c>
      <c r="G553">
        <v>3</v>
      </c>
      <c r="H553" t="s">
        <v>125</v>
      </c>
      <c r="I553" t="s">
        <v>43</v>
      </c>
      <c r="J553" t="s">
        <v>126</v>
      </c>
      <c r="K553" t="s">
        <v>127</v>
      </c>
      <c r="L553">
        <v>77787.360000000001</v>
      </c>
      <c r="M553" s="1">
        <v>43466</v>
      </c>
      <c r="N553" t="s">
        <v>45</v>
      </c>
      <c r="O553" t="s">
        <v>46</v>
      </c>
      <c r="P553" t="s">
        <v>47</v>
      </c>
      <c r="Q553" s="1">
        <v>43852</v>
      </c>
      <c r="R553" t="s">
        <v>48</v>
      </c>
      <c r="S553" t="s">
        <v>138</v>
      </c>
      <c r="T553" t="s">
        <v>139</v>
      </c>
      <c r="U553" t="s">
        <v>125</v>
      </c>
      <c r="V553">
        <v>0</v>
      </c>
      <c r="W553">
        <v>10000</v>
      </c>
      <c r="X553" s="1">
        <v>43738</v>
      </c>
      <c r="Y553" t="s">
        <v>140</v>
      </c>
      <c r="Z553" t="s">
        <v>43</v>
      </c>
      <c r="AA553" t="s">
        <v>41</v>
      </c>
      <c r="AB553" t="s">
        <v>132</v>
      </c>
      <c r="AC553" t="s">
        <v>132</v>
      </c>
      <c r="AF553" t="s">
        <v>134</v>
      </c>
      <c r="AG553" s="1">
        <v>43843</v>
      </c>
      <c r="AH553" t="s">
        <v>125</v>
      </c>
      <c r="AI553" t="s">
        <v>92</v>
      </c>
      <c r="AJ553">
        <v>1278023</v>
      </c>
      <c r="AK553">
        <v>12365300</v>
      </c>
      <c r="AL553">
        <v>12900</v>
      </c>
    </row>
    <row r="554" spans="1:38" x14ac:dyDescent="0.25">
      <c r="A554" t="s">
        <v>280</v>
      </c>
      <c r="B554" t="s">
        <v>281</v>
      </c>
      <c r="C554" t="s">
        <v>40</v>
      </c>
      <c r="D554" s="1">
        <v>43466</v>
      </c>
      <c r="E554" s="1">
        <v>43830</v>
      </c>
      <c r="F554" t="s">
        <v>41</v>
      </c>
      <c r="G554">
        <v>3</v>
      </c>
      <c r="H554" t="s">
        <v>125</v>
      </c>
      <c r="I554" t="s">
        <v>43</v>
      </c>
      <c r="J554" t="s">
        <v>126</v>
      </c>
      <c r="K554" t="s">
        <v>127</v>
      </c>
      <c r="L554">
        <v>77787.360000000001</v>
      </c>
      <c r="M554" s="1">
        <v>43466</v>
      </c>
      <c r="N554" t="s">
        <v>45</v>
      </c>
      <c r="O554" t="s">
        <v>46</v>
      </c>
      <c r="P554" t="s">
        <v>47</v>
      </c>
      <c r="Q554" s="1">
        <v>43852</v>
      </c>
      <c r="R554" t="s">
        <v>48</v>
      </c>
      <c r="S554" t="s">
        <v>138</v>
      </c>
      <c r="T554" t="s">
        <v>139</v>
      </c>
      <c r="U554" t="s">
        <v>125</v>
      </c>
      <c r="V554">
        <v>0</v>
      </c>
      <c r="W554">
        <v>10000</v>
      </c>
      <c r="X554" s="1">
        <v>43738</v>
      </c>
      <c r="Y554" t="s">
        <v>140</v>
      </c>
      <c r="Z554" t="s">
        <v>43</v>
      </c>
      <c r="AA554" t="s">
        <v>41</v>
      </c>
      <c r="AB554" t="s">
        <v>132</v>
      </c>
      <c r="AC554" t="s">
        <v>132</v>
      </c>
      <c r="AF554" t="s">
        <v>135</v>
      </c>
      <c r="AG554" s="1">
        <v>43843</v>
      </c>
      <c r="AH554" t="s">
        <v>125</v>
      </c>
      <c r="AI554" t="s">
        <v>92</v>
      </c>
      <c r="AJ554">
        <v>1278023</v>
      </c>
      <c r="AK554">
        <v>12365300</v>
      </c>
      <c r="AL554">
        <v>12900</v>
      </c>
    </row>
    <row r="555" spans="1:38" x14ac:dyDescent="0.25">
      <c r="A555" t="s">
        <v>280</v>
      </c>
      <c r="B555" t="s">
        <v>281</v>
      </c>
      <c r="C555" t="s">
        <v>40</v>
      </c>
      <c r="D555" s="1">
        <v>43466</v>
      </c>
      <c r="E555" s="1">
        <v>43830</v>
      </c>
      <c r="F555" t="s">
        <v>41</v>
      </c>
      <c r="G555">
        <v>3</v>
      </c>
      <c r="H555" t="s">
        <v>125</v>
      </c>
      <c r="I555" t="s">
        <v>43</v>
      </c>
      <c r="J555" t="s">
        <v>126</v>
      </c>
      <c r="K555" t="s">
        <v>127</v>
      </c>
      <c r="L555">
        <v>77787.360000000001</v>
      </c>
      <c r="M555" s="1">
        <v>43466</v>
      </c>
      <c r="N555" t="s">
        <v>45</v>
      </c>
      <c r="O555" t="s">
        <v>46</v>
      </c>
      <c r="P555" t="s">
        <v>47</v>
      </c>
      <c r="Q555" s="1">
        <v>43852</v>
      </c>
      <c r="R555" t="s">
        <v>48</v>
      </c>
      <c r="S555" t="s">
        <v>138</v>
      </c>
      <c r="T555" t="s">
        <v>139</v>
      </c>
      <c r="U555" t="s">
        <v>125</v>
      </c>
      <c r="V555">
        <v>0</v>
      </c>
      <c r="W555">
        <v>10000</v>
      </c>
      <c r="X555" s="1">
        <v>43738</v>
      </c>
      <c r="Y555" t="s">
        <v>140</v>
      </c>
      <c r="Z555" t="s">
        <v>43</v>
      </c>
      <c r="AA555" t="s">
        <v>41</v>
      </c>
      <c r="AB555" t="s">
        <v>132</v>
      </c>
      <c r="AC555" t="s">
        <v>132</v>
      </c>
      <c r="AF555" t="s">
        <v>136</v>
      </c>
      <c r="AG555" s="1">
        <v>43839</v>
      </c>
      <c r="AH555" t="s">
        <v>125</v>
      </c>
      <c r="AI555" t="s">
        <v>92</v>
      </c>
      <c r="AJ555">
        <v>1278023</v>
      </c>
      <c r="AK555">
        <v>12365300</v>
      </c>
      <c r="AL555">
        <v>12900</v>
      </c>
    </row>
    <row r="556" spans="1:38" x14ac:dyDescent="0.25">
      <c r="A556" t="s">
        <v>280</v>
      </c>
      <c r="B556" t="s">
        <v>281</v>
      </c>
      <c r="C556" t="s">
        <v>40</v>
      </c>
      <c r="D556" s="1">
        <v>43466</v>
      </c>
      <c r="E556" s="1">
        <v>43830</v>
      </c>
      <c r="F556" t="s">
        <v>41</v>
      </c>
      <c r="G556">
        <v>3</v>
      </c>
      <c r="H556" t="s">
        <v>125</v>
      </c>
      <c r="I556" t="s">
        <v>43</v>
      </c>
      <c r="J556" t="s">
        <v>126</v>
      </c>
      <c r="K556" t="s">
        <v>127</v>
      </c>
      <c r="L556">
        <v>77787.360000000001</v>
      </c>
      <c r="M556" s="1">
        <v>43466</v>
      </c>
      <c r="N556" t="s">
        <v>45</v>
      </c>
      <c r="O556" t="s">
        <v>46</v>
      </c>
      <c r="P556" t="s">
        <v>47</v>
      </c>
      <c r="Q556" s="1">
        <v>43852</v>
      </c>
      <c r="R556" t="s">
        <v>48</v>
      </c>
      <c r="S556" t="s">
        <v>138</v>
      </c>
      <c r="T556" t="s">
        <v>139</v>
      </c>
      <c r="U556" t="s">
        <v>125</v>
      </c>
      <c r="V556">
        <v>0</v>
      </c>
      <c r="W556">
        <v>10000</v>
      </c>
      <c r="X556" s="1">
        <v>43738</v>
      </c>
      <c r="Y556" t="s">
        <v>140</v>
      </c>
      <c r="Z556" t="s">
        <v>43</v>
      </c>
      <c r="AA556" t="s">
        <v>41</v>
      </c>
      <c r="AB556" t="s">
        <v>132</v>
      </c>
      <c r="AC556" t="s">
        <v>132</v>
      </c>
      <c r="AF556" t="s">
        <v>137</v>
      </c>
      <c r="AG556" s="1">
        <v>43840</v>
      </c>
      <c r="AH556" t="s">
        <v>125</v>
      </c>
      <c r="AI556" t="s">
        <v>92</v>
      </c>
      <c r="AJ556">
        <v>1278023</v>
      </c>
      <c r="AK556">
        <v>12365300</v>
      </c>
      <c r="AL556">
        <v>12900</v>
      </c>
    </row>
    <row r="557" spans="1:38" x14ac:dyDescent="0.25">
      <c r="A557" t="s">
        <v>282</v>
      </c>
      <c r="B557" t="s">
        <v>283</v>
      </c>
      <c r="C557" t="s">
        <v>40</v>
      </c>
      <c r="D557" s="1">
        <v>43466</v>
      </c>
      <c r="E557" s="1">
        <v>43830</v>
      </c>
      <c r="F557" t="s">
        <v>77</v>
      </c>
      <c r="G557">
        <v>3</v>
      </c>
      <c r="H557" t="s">
        <v>125</v>
      </c>
      <c r="I557" t="s">
        <v>43</v>
      </c>
      <c r="J557" t="s">
        <v>126</v>
      </c>
      <c r="K557" t="s">
        <v>127</v>
      </c>
      <c r="L557">
        <v>30048.080000000002</v>
      </c>
      <c r="M557" s="1">
        <v>43466</v>
      </c>
      <c r="N557" t="s">
        <v>45</v>
      </c>
      <c r="O557" t="s">
        <v>46</v>
      </c>
      <c r="P557" t="s">
        <v>47</v>
      </c>
      <c r="Q557" s="1">
        <v>43852</v>
      </c>
      <c r="R557" t="s">
        <v>48</v>
      </c>
    </row>
    <row r="558" spans="1:38" x14ac:dyDescent="0.25">
      <c r="A558" t="s">
        <v>284</v>
      </c>
      <c r="B558" t="s">
        <v>285</v>
      </c>
      <c r="C558" t="s">
        <v>40</v>
      </c>
      <c r="D558" s="1">
        <v>43724</v>
      </c>
      <c r="E558" s="1">
        <v>44089</v>
      </c>
      <c r="F558" t="s">
        <v>84</v>
      </c>
      <c r="G558">
        <v>3</v>
      </c>
      <c r="H558" t="s">
        <v>125</v>
      </c>
      <c r="I558" t="s">
        <v>43</v>
      </c>
      <c r="J558" t="s">
        <v>126</v>
      </c>
      <c r="K558" t="s">
        <v>127</v>
      </c>
      <c r="L558">
        <v>7690.95</v>
      </c>
      <c r="M558" s="1">
        <v>43724</v>
      </c>
      <c r="N558" t="s">
        <v>45</v>
      </c>
      <c r="O558" t="s">
        <v>46</v>
      </c>
      <c r="P558" t="s">
        <v>47</v>
      </c>
      <c r="Q558" s="1">
        <v>43852</v>
      </c>
      <c r="R558" t="s">
        <v>48</v>
      </c>
      <c r="S558" t="s">
        <v>286</v>
      </c>
      <c r="T558" t="s">
        <v>287</v>
      </c>
      <c r="U558" t="s">
        <v>125</v>
      </c>
      <c r="V558">
        <v>8000000</v>
      </c>
      <c r="W558">
        <v>400000</v>
      </c>
      <c r="X558" s="1">
        <v>43782</v>
      </c>
      <c r="Y558" t="s">
        <v>51</v>
      </c>
      <c r="Z558" t="s">
        <v>43</v>
      </c>
      <c r="AA558" t="s">
        <v>86</v>
      </c>
      <c r="AB558" t="s">
        <v>89</v>
      </c>
      <c r="AC558" t="s">
        <v>90</v>
      </c>
      <c r="AF558" t="s">
        <v>134</v>
      </c>
      <c r="AG558" s="1">
        <v>43843</v>
      </c>
      <c r="AH558" t="s">
        <v>125</v>
      </c>
      <c r="AI558" t="s">
        <v>92</v>
      </c>
      <c r="AJ558">
        <v>1278023</v>
      </c>
      <c r="AK558">
        <v>12365300</v>
      </c>
      <c r="AL558">
        <v>12900</v>
      </c>
    </row>
    <row r="559" spans="1:38" x14ac:dyDescent="0.25">
      <c r="A559" t="s">
        <v>284</v>
      </c>
      <c r="B559" t="s">
        <v>285</v>
      </c>
      <c r="C559" t="s">
        <v>40</v>
      </c>
      <c r="D559" s="1">
        <v>43724</v>
      </c>
      <c r="E559" s="1">
        <v>44089</v>
      </c>
      <c r="F559" t="s">
        <v>84</v>
      </c>
      <c r="G559">
        <v>3</v>
      </c>
      <c r="H559" t="s">
        <v>125</v>
      </c>
      <c r="I559" t="s">
        <v>43</v>
      </c>
      <c r="J559" t="s">
        <v>126</v>
      </c>
      <c r="K559" t="s">
        <v>127</v>
      </c>
      <c r="L559">
        <v>7690.95</v>
      </c>
      <c r="M559" s="1">
        <v>43724</v>
      </c>
      <c r="N559" t="s">
        <v>45</v>
      </c>
      <c r="O559" t="s">
        <v>46</v>
      </c>
      <c r="P559" t="s">
        <v>47</v>
      </c>
      <c r="Q559" s="1">
        <v>43852</v>
      </c>
      <c r="R559" t="s">
        <v>48</v>
      </c>
      <c r="S559" t="s">
        <v>286</v>
      </c>
      <c r="T559" t="s">
        <v>287</v>
      </c>
      <c r="U559" t="s">
        <v>125</v>
      </c>
      <c r="V559">
        <v>8000000</v>
      </c>
      <c r="W559">
        <v>400000</v>
      </c>
      <c r="X559" s="1">
        <v>43782</v>
      </c>
      <c r="Y559" t="s">
        <v>51</v>
      </c>
      <c r="Z559" t="s">
        <v>43</v>
      </c>
      <c r="AA559" t="s">
        <v>86</v>
      </c>
      <c r="AB559" t="s">
        <v>89</v>
      </c>
      <c r="AC559" t="s">
        <v>90</v>
      </c>
      <c r="AF559" t="s">
        <v>135</v>
      </c>
      <c r="AG559" s="1">
        <v>43843</v>
      </c>
      <c r="AH559" t="s">
        <v>125</v>
      </c>
      <c r="AI559" t="s">
        <v>92</v>
      </c>
      <c r="AJ559">
        <v>1278023</v>
      </c>
      <c r="AK559">
        <v>12365300</v>
      </c>
      <c r="AL559">
        <v>12900</v>
      </c>
    </row>
    <row r="560" spans="1:38" x14ac:dyDescent="0.25">
      <c r="A560" t="s">
        <v>284</v>
      </c>
      <c r="B560" t="s">
        <v>285</v>
      </c>
      <c r="C560" t="s">
        <v>40</v>
      </c>
      <c r="D560" s="1">
        <v>43724</v>
      </c>
      <c r="E560" s="1">
        <v>44089</v>
      </c>
      <c r="F560" t="s">
        <v>84</v>
      </c>
      <c r="G560">
        <v>3</v>
      </c>
      <c r="H560" t="s">
        <v>125</v>
      </c>
      <c r="I560" t="s">
        <v>43</v>
      </c>
      <c r="J560" t="s">
        <v>126</v>
      </c>
      <c r="K560" t="s">
        <v>127</v>
      </c>
      <c r="L560">
        <v>7690.95</v>
      </c>
      <c r="M560" s="1">
        <v>43724</v>
      </c>
      <c r="N560" t="s">
        <v>45</v>
      </c>
      <c r="O560" t="s">
        <v>46</v>
      </c>
      <c r="P560" t="s">
        <v>47</v>
      </c>
      <c r="Q560" s="1">
        <v>43852</v>
      </c>
      <c r="R560" t="s">
        <v>48</v>
      </c>
      <c r="S560" t="s">
        <v>286</v>
      </c>
      <c r="T560" t="s">
        <v>287</v>
      </c>
      <c r="U560" t="s">
        <v>125</v>
      </c>
      <c r="V560">
        <v>8000000</v>
      </c>
      <c r="W560">
        <v>400000</v>
      </c>
      <c r="X560" s="1">
        <v>43782</v>
      </c>
      <c r="Y560" t="s">
        <v>51</v>
      </c>
      <c r="Z560" t="s">
        <v>43</v>
      </c>
      <c r="AA560" t="s">
        <v>86</v>
      </c>
      <c r="AB560" t="s">
        <v>89</v>
      </c>
      <c r="AC560" t="s">
        <v>90</v>
      </c>
      <c r="AF560" t="s">
        <v>136</v>
      </c>
      <c r="AG560" s="1">
        <v>43839</v>
      </c>
      <c r="AH560" t="s">
        <v>125</v>
      </c>
      <c r="AI560" t="s">
        <v>92</v>
      </c>
      <c r="AJ560">
        <v>1278023</v>
      </c>
      <c r="AK560">
        <v>12365300</v>
      </c>
      <c r="AL560">
        <v>12900</v>
      </c>
    </row>
    <row r="561" spans="1:38" x14ac:dyDescent="0.25">
      <c r="A561" t="s">
        <v>284</v>
      </c>
      <c r="B561" t="s">
        <v>285</v>
      </c>
      <c r="C561" t="s">
        <v>40</v>
      </c>
      <c r="D561" s="1">
        <v>43724</v>
      </c>
      <c r="E561" s="1">
        <v>44089</v>
      </c>
      <c r="F561" t="s">
        <v>84</v>
      </c>
      <c r="G561">
        <v>3</v>
      </c>
      <c r="H561" t="s">
        <v>125</v>
      </c>
      <c r="I561" t="s">
        <v>43</v>
      </c>
      <c r="J561" t="s">
        <v>126</v>
      </c>
      <c r="K561" t="s">
        <v>127</v>
      </c>
      <c r="L561">
        <v>7690.95</v>
      </c>
      <c r="M561" s="1">
        <v>43724</v>
      </c>
      <c r="N561" t="s">
        <v>45</v>
      </c>
      <c r="O561" t="s">
        <v>46</v>
      </c>
      <c r="P561" t="s">
        <v>47</v>
      </c>
      <c r="Q561" s="1">
        <v>43852</v>
      </c>
      <c r="R561" t="s">
        <v>48</v>
      </c>
      <c r="S561" t="s">
        <v>286</v>
      </c>
      <c r="T561" t="s">
        <v>287</v>
      </c>
      <c r="U561" t="s">
        <v>125</v>
      </c>
      <c r="V561">
        <v>8000000</v>
      </c>
      <c r="W561">
        <v>400000</v>
      </c>
      <c r="X561" s="1">
        <v>43782</v>
      </c>
      <c r="Y561" t="s">
        <v>51</v>
      </c>
      <c r="Z561" t="s">
        <v>43</v>
      </c>
      <c r="AA561" t="s">
        <v>86</v>
      </c>
      <c r="AB561" t="s">
        <v>89</v>
      </c>
      <c r="AC561" t="s">
        <v>90</v>
      </c>
      <c r="AF561" t="s">
        <v>137</v>
      </c>
      <c r="AG561" s="1">
        <v>43840</v>
      </c>
      <c r="AH561" t="s">
        <v>125</v>
      </c>
      <c r="AI561" t="s">
        <v>92</v>
      </c>
      <c r="AJ561">
        <v>1278023</v>
      </c>
      <c r="AK561">
        <v>12365300</v>
      </c>
      <c r="AL561">
        <v>12900</v>
      </c>
    </row>
    <row r="562" spans="1:38" x14ac:dyDescent="0.25">
      <c r="A562" t="s">
        <v>284</v>
      </c>
      <c r="B562" t="s">
        <v>285</v>
      </c>
      <c r="C562" t="s">
        <v>40</v>
      </c>
      <c r="D562" s="1">
        <v>43724</v>
      </c>
      <c r="E562" s="1">
        <v>44089</v>
      </c>
      <c r="F562" t="s">
        <v>84</v>
      </c>
      <c r="G562">
        <v>3</v>
      </c>
      <c r="H562" t="s">
        <v>125</v>
      </c>
      <c r="I562" t="s">
        <v>43</v>
      </c>
      <c r="J562" t="s">
        <v>126</v>
      </c>
      <c r="K562" t="s">
        <v>127</v>
      </c>
      <c r="L562">
        <v>7690.95</v>
      </c>
      <c r="M562" s="1">
        <v>43724</v>
      </c>
      <c r="N562" t="s">
        <v>45</v>
      </c>
      <c r="O562" t="s">
        <v>46</v>
      </c>
      <c r="P562" t="s">
        <v>47</v>
      </c>
      <c r="Q562" s="1">
        <v>43852</v>
      </c>
      <c r="R562" t="s">
        <v>48</v>
      </c>
      <c r="S562" t="s">
        <v>288</v>
      </c>
      <c r="T562" t="s">
        <v>289</v>
      </c>
      <c r="U562" t="s">
        <v>125</v>
      </c>
      <c r="V562">
        <v>2500000</v>
      </c>
      <c r="W562">
        <v>125000</v>
      </c>
      <c r="X562" s="1">
        <v>43800</v>
      </c>
      <c r="Y562" t="s">
        <v>51</v>
      </c>
      <c r="Z562" t="s">
        <v>43</v>
      </c>
      <c r="AA562" t="s">
        <v>86</v>
      </c>
      <c r="AB562" t="s">
        <v>89</v>
      </c>
      <c r="AC562" t="s">
        <v>90</v>
      </c>
      <c r="AF562" t="s">
        <v>134</v>
      </c>
      <c r="AG562" s="1">
        <v>43843</v>
      </c>
      <c r="AH562" t="s">
        <v>125</v>
      </c>
      <c r="AI562" t="s">
        <v>92</v>
      </c>
      <c r="AJ562">
        <v>1278023</v>
      </c>
      <c r="AK562">
        <v>12365300</v>
      </c>
      <c r="AL562">
        <v>12900</v>
      </c>
    </row>
    <row r="563" spans="1:38" x14ac:dyDescent="0.25">
      <c r="A563" t="s">
        <v>284</v>
      </c>
      <c r="B563" t="s">
        <v>285</v>
      </c>
      <c r="C563" t="s">
        <v>40</v>
      </c>
      <c r="D563" s="1">
        <v>43724</v>
      </c>
      <c r="E563" s="1">
        <v>44089</v>
      </c>
      <c r="F563" t="s">
        <v>84</v>
      </c>
      <c r="G563">
        <v>3</v>
      </c>
      <c r="H563" t="s">
        <v>125</v>
      </c>
      <c r="I563" t="s">
        <v>43</v>
      </c>
      <c r="J563" t="s">
        <v>126</v>
      </c>
      <c r="K563" t="s">
        <v>127</v>
      </c>
      <c r="L563">
        <v>7690.95</v>
      </c>
      <c r="M563" s="1">
        <v>43724</v>
      </c>
      <c r="N563" t="s">
        <v>45</v>
      </c>
      <c r="O563" t="s">
        <v>46</v>
      </c>
      <c r="P563" t="s">
        <v>47</v>
      </c>
      <c r="Q563" s="1">
        <v>43852</v>
      </c>
      <c r="R563" t="s">
        <v>48</v>
      </c>
      <c r="S563" t="s">
        <v>288</v>
      </c>
      <c r="T563" t="s">
        <v>289</v>
      </c>
      <c r="U563" t="s">
        <v>125</v>
      </c>
      <c r="V563">
        <v>2500000</v>
      </c>
      <c r="W563">
        <v>125000</v>
      </c>
      <c r="X563" s="1">
        <v>43800</v>
      </c>
      <c r="Y563" t="s">
        <v>51</v>
      </c>
      <c r="Z563" t="s">
        <v>43</v>
      </c>
      <c r="AA563" t="s">
        <v>86</v>
      </c>
      <c r="AB563" t="s">
        <v>89</v>
      </c>
      <c r="AC563" t="s">
        <v>90</v>
      </c>
      <c r="AF563" t="s">
        <v>135</v>
      </c>
      <c r="AG563" s="1">
        <v>43843</v>
      </c>
      <c r="AH563" t="s">
        <v>125</v>
      </c>
      <c r="AI563" t="s">
        <v>92</v>
      </c>
      <c r="AJ563">
        <v>1278023</v>
      </c>
      <c r="AK563">
        <v>12365300</v>
      </c>
      <c r="AL563">
        <v>12900</v>
      </c>
    </row>
    <row r="564" spans="1:38" x14ac:dyDescent="0.25">
      <c r="A564" t="s">
        <v>284</v>
      </c>
      <c r="B564" t="s">
        <v>285</v>
      </c>
      <c r="C564" t="s">
        <v>40</v>
      </c>
      <c r="D564" s="1">
        <v>43724</v>
      </c>
      <c r="E564" s="1">
        <v>44089</v>
      </c>
      <c r="F564" t="s">
        <v>84</v>
      </c>
      <c r="G564">
        <v>3</v>
      </c>
      <c r="H564" t="s">
        <v>125</v>
      </c>
      <c r="I564" t="s">
        <v>43</v>
      </c>
      <c r="J564" t="s">
        <v>126</v>
      </c>
      <c r="K564" t="s">
        <v>127</v>
      </c>
      <c r="L564">
        <v>7690.95</v>
      </c>
      <c r="M564" s="1">
        <v>43724</v>
      </c>
      <c r="N564" t="s">
        <v>45</v>
      </c>
      <c r="O564" t="s">
        <v>46</v>
      </c>
      <c r="P564" t="s">
        <v>47</v>
      </c>
      <c r="Q564" s="1">
        <v>43852</v>
      </c>
      <c r="R564" t="s">
        <v>48</v>
      </c>
      <c r="S564" t="s">
        <v>288</v>
      </c>
      <c r="T564" t="s">
        <v>289</v>
      </c>
      <c r="U564" t="s">
        <v>125</v>
      </c>
      <c r="V564">
        <v>2500000</v>
      </c>
      <c r="W564">
        <v>125000</v>
      </c>
      <c r="X564" s="1">
        <v>43800</v>
      </c>
      <c r="Y564" t="s">
        <v>51</v>
      </c>
      <c r="Z564" t="s">
        <v>43</v>
      </c>
      <c r="AA564" t="s">
        <v>86</v>
      </c>
      <c r="AB564" t="s">
        <v>89</v>
      </c>
      <c r="AC564" t="s">
        <v>90</v>
      </c>
      <c r="AF564" t="s">
        <v>136</v>
      </c>
      <c r="AG564" s="1">
        <v>43839</v>
      </c>
      <c r="AH564" t="s">
        <v>125</v>
      </c>
      <c r="AI564" t="s">
        <v>92</v>
      </c>
      <c r="AJ564">
        <v>1278023</v>
      </c>
      <c r="AK564">
        <v>12365300</v>
      </c>
      <c r="AL564">
        <v>12900</v>
      </c>
    </row>
    <row r="565" spans="1:38" x14ac:dyDescent="0.25">
      <c r="A565" t="s">
        <v>284</v>
      </c>
      <c r="B565" t="s">
        <v>285</v>
      </c>
      <c r="C565" t="s">
        <v>40</v>
      </c>
      <c r="D565" s="1">
        <v>43724</v>
      </c>
      <c r="E565" s="1">
        <v>44089</v>
      </c>
      <c r="F565" t="s">
        <v>84</v>
      </c>
      <c r="G565">
        <v>3</v>
      </c>
      <c r="H565" t="s">
        <v>125</v>
      </c>
      <c r="I565" t="s">
        <v>43</v>
      </c>
      <c r="J565" t="s">
        <v>126</v>
      </c>
      <c r="K565" t="s">
        <v>127</v>
      </c>
      <c r="L565">
        <v>7690.95</v>
      </c>
      <c r="M565" s="1">
        <v>43724</v>
      </c>
      <c r="N565" t="s">
        <v>45</v>
      </c>
      <c r="O565" t="s">
        <v>46</v>
      </c>
      <c r="P565" t="s">
        <v>47</v>
      </c>
      <c r="Q565" s="1">
        <v>43852</v>
      </c>
      <c r="R565" t="s">
        <v>48</v>
      </c>
      <c r="S565" t="s">
        <v>288</v>
      </c>
      <c r="T565" t="s">
        <v>289</v>
      </c>
      <c r="U565" t="s">
        <v>125</v>
      </c>
      <c r="V565">
        <v>2500000</v>
      </c>
      <c r="W565">
        <v>125000</v>
      </c>
      <c r="X565" s="1">
        <v>43800</v>
      </c>
      <c r="Y565" t="s">
        <v>51</v>
      </c>
      <c r="Z565" t="s">
        <v>43</v>
      </c>
      <c r="AA565" t="s">
        <v>86</v>
      </c>
      <c r="AB565" t="s">
        <v>89</v>
      </c>
      <c r="AC565" t="s">
        <v>90</v>
      </c>
      <c r="AF565" t="s">
        <v>137</v>
      </c>
      <c r="AG565" s="1">
        <v>43840</v>
      </c>
      <c r="AH565" t="s">
        <v>125</v>
      </c>
      <c r="AI565" t="s">
        <v>92</v>
      </c>
      <c r="AJ565">
        <v>1278023</v>
      </c>
      <c r="AK565">
        <v>12365300</v>
      </c>
      <c r="AL565">
        <v>12900</v>
      </c>
    </row>
    <row r="566" spans="1:38" x14ac:dyDescent="0.25">
      <c r="A566" t="s">
        <v>284</v>
      </c>
      <c r="B566" t="s">
        <v>285</v>
      </c>
      <c r="C566" t="s">
        <v>40</v>
      </c>
      <c r="D566" s="1">
        <v>43724</v>
      </c>
      <c r="E566" s="1">
        <v>44089</v>
      </c>
      <c r="F566" t="s">
        <v>84</v>
      </c>
      <c r="G566">
        <v>3</v>
      </c>
      <c r="H566" t="s">
        <v>125</v>
      </c>
      <c r="I566" t="s">
        <v>43</v>
      </c>
      <c r="J566" t="s">
        <v>126</v>
      </c>
      <c r="K566" t="s">
        <v>127</v>
      </c>
      <c r="L566">
        <v>7690.95</v>
      </c>
      <c r="M566" s="1">
        <v>43724</v>
      </c>
      <c r="N566" t="s">
        <v>45</v>
      </c>
      <c r="O566" t="s">
        <v>46</v>
      </c>
      <c r="P566" t="s">
        <v>47</v>
      </c>
      <c r="Q566" s="1">
        <v>43852</v>
      </c>
      <c r="R566" t="s">
        <v>48</v>
      </c>
      <c r="S566" t="s">
        <v>290</v>
      </c>
      <c r="T566" t="s">
        <v>291</v>
      </c>
      <c r="U566" t="s">
        <v>125</v>
      </c>
      <c r="V566">
        <v>9500000</v>
      </c>
      <c r="W566">
        <v>200000</v>
      </c>
      <c r="X566" s="1">
        <v>43738</v>
      </c>
      <c r="Y566" t="s">
        <v>131</v>
      </c>
      <c r="Z566" t="s">
        <v>43</v>
      </c>
      <c r="AA566" t="s">
        <v>86</v>
      </c>
      <c r="AB566" t="s">
        <v>89</v>
      </c>
      <c r="AC566" t="s">
        <v>90</v>
      </c>
      <c r="AF566" t="s">
        <v>134</v>
      </c>
      <c r="AG566" s="1">
        <v>43843</v>
      </c>
      <c r="AH566" t="s">
        <v>125</v>
      </c>
      <c r="AI566" t="s">
        <v>92</v>
      </c>
      <c r="AJ566">
        <v>1278023</v>
      </c>
      <c r="AK566">
        <v>12365300</v>
      </c>
      <c r="AL566">
        <v>12900</v>
      </c>
    </row>
    <row r="567" spans="1:38" x14ac:dyDescent="0.25">
      <c r="A567" t="s">
        <v>284</v>
      </c>
      <c r="B567" t="s">
        <v>285</v>
      </c>
      <c r="C567" t="s">
        <v>40</v>
      </c>
      <c r="D567" s="1">
        <v>43724</v>
      </c>
      <c r="E567" s="1">
        <v>44089</v>
      </c>
      <c r="F567" t="s">
        <v>84</v>
      </c>
      <c r="G567">
        <v>3</v>
      </c>
      <c r="H567" t="s">
        <v>125</v>
      </c>
      <c r="I567" t="s">
        <v>43</v>
      </c>
      <c r="J567" t="s">
        <v>126</v>
      </c>
      <c r="K567" t="s">
        <v>127</v>
      </c>
      <c r="L567">
        <v>7690.95</v>
      </c>
      <c r="M567" s="1">
        <v>43724</v>
      </c>
      <c r="N567" t="s">
        <v>45</v>
      </c>
      <c r="O567" t="s">
        <v>46</v>
      </c>
      <c r="P567" t="s">
        <v>47</v>
      </c>
      <c r="Q567" s="1">
        <v>43852</v>
      </c>
      <c r="R567" t="s">
        <v>48</v>
      </c>
      <c r="S567" t="s">
        <v>290</v>
      </c>
      <c r="T567" t="s">
        <v>291</v>
      </c>
      <c r="U567" t="s">
        <v>125</v>
      </c>
      <c r="V567">
        <v>9500000</v>
      </c>
      <c r="W567">
        <v>200000</v>
      </c>
      <c r="X567" s="1">
        <v>43738</v>
      </c>
      <c r="Y567" t="s">
        <v>131</v>
      </c>
      <c r="Z567" t="s">
        <v>43</v>
      </c>
      <c r="AA567" t="s">
        <v>86</v>
      </c>
      <c r="AB567" t="s">
        <v>89</v>
      </c>
      <c r="AC567" t="s">
        <v>90</v>
      </c>
      <c r="AF567" t="s">
        <v>135</v>
      </c>
      <c r="AG567" s="1">
        <v>43843</v>
      </c>
      <c r="AH567" t="s">
        <v>125</v>
      </c>
      <c r="AI567" t="s">
        <v>92</v>
      </c>
      <c r="AJ567">
        <v>1278023</v>
      </c>
      <c r="AK567">
        <v>12365300</v>
      </c>
      <c r="AL567">
        <v>12900</v>
      </c>
    </row>
    <row r="568" spans="1:38" x14ac:dyDescent="0.25">
      <c r="A568" t="s">
        <v>284</v>
      </c>
      <c r="B568" t="s">
        <v>285</v>
      </c>
      <c r="C568" t="s">
        <v>40</v>
      </c>
      <c r="D568" s="1">
        <v>43724</v>
      </c>
      <c r="E568" s="1">
        <v>44089</v>
      </c>
      <c r="F568" t="s">
        <v>84</v>
      </c>
      <c r="G568">
        <v>3</v>
      </c>
      <c r="H568" t="s">
        <v>125</v>
      </c>
      <c r="I568" t="s">
        <v>43</v>
      </c>
      <c r="J568" t="s">
        <v>126</v>
      </c>
      <c r="K568" t="s">
        <v>127</v>
      </c>
      <c r="L568">
        <v>7690.95</v>
      </c>
      <c r="M568" s="1">
        <v>43724</v>
      </c>
      <c r="N568" t="s">
        <v>45</v>
      </c>
      <c r="O568" t="s">
        <v>46</v>
      </c>
      <c r="P568" t="s">
        <v>47</v>
      </c>
      <c r="Q568" s="1">
        <v>43852</v>
      </c>
      <c r="R568" t="s">
        <v>48</v>
      </c>
      <c r="S568" t="s">
        <v>290</v>
      </c>
      <c r="T568" t="s">
        <v>291</v>
      </c>
      <c r="U568" t="s">
        <v>125</v>
      </c>
      <c r="V568">
        <v>9500000</v>
      </c>
      <c r="W568">
        <v>200000</v>
      </c>
      <c r="X568" s="1">
        <v>43738</v>
      </c>
      <c r="Y568" t="s">
        <v>131</v>
      </c>
      <c r="Z568" t="s">
        <v>43</v>
      </c>
      <c r="AA568" t="s">
        <v>86</v>
      </c>
      <c r="AB568" t="s">
        <v>89</v>
      </c>
      <c r="AC568" t="s">
        <v>90</v>
      </c>
      <c r="AF568" t="s">
        <v>136</v>
      </c>
      <c r="AG568" s="1">
        <v>43839</v>
      </c>
      <c r="AH568" t="s">
        <v>125</v>
      </c>
      <c r="AI568" t="s">
        <v>92</v>
      </c>
      <c r="AJ568">
        <v>1278023</v>
      </c>
      <c r="AK568">
        <v>12365300</v>
      </c>
      <c r="AL568">
        <v>12900</v>
      </c>
    </row>
    <row r="569" spans="1:38" x14ac:dyDescent="0.25">
      <c r="A569" t="s">
        <v>284</v>
      </c>
      <c r="B569" t="s">
        <v>285</v>
      </c>
      <c r="C569" t="s">
        <v>40</v>
      </c>
      <c r="D569" s="1">
        <v>43724</v>
      </c>
      <c r="E569" s="1">
        <v>44089</v>
      </c>
      <c r="F569" t="s">
        <v>84</v>
      </c>
      <c r="G569">
        <v>3</v>
      </c>
      <c r="H569" t="s">
        <v>125</v>
      </c>
      <c r="I569" t="s">
        <v>43</v>
      </c>
      <c r="J569" t="s">
        <v>126</v>
      </c>
      <c r="K569" t="s">
        <v>127</v>
      </c>
      <c r="L569">
        <v>7690.95</v>
      </c>
      <c r="M569" s="1">
        <v>43724</v>
      </c>
      <c r="N569" t="s">
        <v>45</v>
      </c>
      <c r="O569" t="s">
        <v>46</v>
      </c>
      <c r="P569" t="s">
        <v>47</v>
      </c>
      <c r="Q569" s="1">
        <v>43852</v>
      </c>
      <c r="R569" t="s">
        <v>48</v>
      </c>
      <c r="S569" t="s">
        <v>290</v>
      </c>
      <c r="T569" t="s">
        <v>291</v>
      </c>
      <c r="U569" t="s">
        <v>125</v>
      </c>
      <c r="V569">
        <v>9500000</v>
      </c>
      <c r="W569">
        <v>200000</v>
      </c>
      <c r="X569" s="1">
        <v>43738</v>
      </c>
      <c r="Y569" t="s">
        <v>131</v>
      </c>
      <c r="Z569" t="s">
        <v>43</v>
      </c>
      <c r="AA569" t="s">
        <v>86</v>
      </c>
      <c r="AB569" t="s">
        <v>89</v>
      </c>
      <c r="AC569" t="s">
        <v>90</v>
      </c>
      <c r="AF569" t="s">
        <v>137</v>
      </c>
      <c r="AG569" s="1">
        <v>43840</v>
      </c>
      <c r="AH569" t="s">
        <v>125</v>
      </c>
      <c r="AI569" t="s">
        <v>92</v>
      </c>
      <c r="AJ569">
        <v>1278023</v>
      </c>
      <c r="AK569">
        <v>12365300</v>
      </c>
      <c r="AL569">
        <v>12900</v>
      </c>
    </row>
    <row r="570" spans="1:38" x14ac:dyDescent="0.25">
      <c r="A570" t="s">
        <v>284</v>
      </c>
      <c r="B570" t="s">
        <v>285</v>
      </c>
      <c r="C570" t="s">
        <v>40</v>
      </c>
      <c r="D570" s="1">
        <v>43724</v>
      </c>
      <c r="E570" s="1">
        <v>44089</v>
      </c>
      <c r="F570" t="s">
        <v>84</v>
      </c>
      <c r="G570">
        <v>3</v>
      </c>
      <c r="H570" t="s">
        <v>125</v>
      </c>
      <c r="I570" t="s">
        <v>43</v>
      </c>
      <c r="J570" t="s">
        <v>126</v>
      </c>
      <c r="K570" t="s">
        <v>127</v>
      </c>
      <c r="L570">
        <v>7690.95</v>
      </c>
      <c r="M570" s="1">
        <v>43724</v>
      </c>
      <c r="N570" t="s">
        <v>45</v>
      </c>
      <c r="O570" t="s">
        <v>46</v>
      </c>
      <c r="P570" t="s">
        <v>47</v>
      </c>
      <c r="Q570" s="1">
        <v>43852</v>
      </c>
      <c r="R570" t="s">
        <v>48</v>
      </c>
      <c r="S570" t="s">
        <v>292</v>
      </c>
      <c r="T570" t="s">
        <v>293</v>
      </c>
      <c r="U570" t="s">
        <v>125</v>
      </c>
      <c r="V570">
        <v>0</v>
      </c>
      <c r="W570">
        <v>100000</v>
      </c>
      <c r="X570" s="1">
        <v>43784</v>
      </c>
      <c r="Y570" t="s">
        <v>51</v>
      </c>
      <c r="Z570" t="s">
        <v>43</v>
      </c>
      <c r="AA570" t="s">
        <v>86</v>
      </c>
      <c r="AB570" t="s">
        <v>89</v>
      </c>
      <c r="AC570" t="s">
        <v>90</v>
      </c>
      <c r="AF570" t="s">
        <v>134</v>
      </c>
      <c r="AG570" s="1">
        <v>43843</v>
      </c>
      <c r="AH570" t="s">
        <v>125</v>
      </c>
      <c r="AI570" t="s">
        <v>92</v>
      </c>
      <c r="AJ570">
        <v>1278023</v>
      </c>
      <c r="AK570">
        <v>12365300</v>
      </c>
      <c r="AL570">
        <v>12900</v>
      </c>
    </row>
    <row r="571" spans="1:38" x14ac:dyDescent="0.25">
      <c r="A571" t="s">
        <v>284</v>
      </c>
      <c r="B571" t="s">
        <v>285</v>
      </c>
      <c r="C571" t="s">
        <v>40</v>
      </c>
      <c r="D571" s="1">
        <v>43724</v>
      </c>
      <c r="E571" s="1">
        <v>44089</v>
      </c>
      <c r="F571" t="s">
        <v>84</v>
      </c>
      <c r="G571">
        <v>3</v>
      </c>
      <c r="H571" t="s">
        <v>125</v>
      </c>
      <c r="I571" t="s">
        <v>43</v>
      </c>
      <c r="J571" t="s">
        <v>126</v>
      </c>
      <c r="K571" t="s">
        <v>127</v>
      </c>
      <c r="L571">
        <v>7690.95</v>
      </c>
      <c r="M571" s="1">
        <v>43724</v>
      </c>
      <c r="N571" t="s">
        <v>45</v>
      </c>
      <c r="O571" t="s">
        <v>46</v>
      </c>
      <c r="P571" t="s">
        <v>47</v>
      </c>
      <c r="Q571" s="1">
        <v>43852</v>
      </c>
      <c r="R571" t="s">
        <v>48</v>
      </c>
      <c r="S571" t="s">
        <v>292</v>
      </c>
      <c r="T571" t="s">
        <v>293</v>
      </c>
      <c r="U571" t="s">
        <v>125</v>
      </c>
      <c r="V571">
        <v>0</v>
      </c>
      <c r="W571">
        <v>100000</v>
      </c>
      <c r="X571" s="1">
        <v>43784</v>
      </c>
      <c r="Y571" t="s">
        <v>51</v>
      </c>
      <c r="Z571" t="s">
        <v>43</v>
      </c>
      <c r="AA571" t="s">
        <v>86</v>
      </c>
      <c r="AB571" t="s">
        <v>89</v>
      </c>
      <c r="AC571" t="s">
        <v>90</v>
      </c>
      <c r="AF571" t="s">
        <v>135</v>
      </c>
      <c r="AG571" s="1">
        <v>43843</v>
      </c>
      <c r="AH571" t="s">
        <v>125</v>
      </c>
      <c r="AI571" t="s">
        <v>92</v>
      </c>
      <c r="AJ571">
        <v>1278023</v>
      </c>
      <c r="AK571">
        <v>12365300</v>
      </c>
      <c r="AL571">
        <v>12900</v>
      </c>
    </row>
    <row r="572" spans="1:38" x14ac:dyDescent="0.25">
      <c r="A572" t="s">
        <v>284</v>
      </c>
      <c r="B572" t="s">
        <v>285</v>
      </c>
      <c r="C572" t="s">
        <v>40</v>
      </c>
      <c r="D572" s="1">
        <v>43724</v>
      </c>
      <c r="E572" s="1">
        <v>44089</v>
      </c>
      <c r="F572" t="s">
        <v>84</v>
      </c>
      <c r="G572">
        <v>3</v>
      </c>
      <c r="H572" t="s">
        <v>125</v>
      </c>
      <c r="I572" t="s">
        <v>43</v>
      </c>
      <c r="J572" t="s">
        <v>126</v>
      </c>
      <c r="K572" t="s">
        <v>127</v>
      </c>
      <c r="L572">
        <v>7690.95</v>
      </c>
      <c r="M572" s="1">
        <v>43724</v>
      </c>
      <c r="N572" t="s">
        <v>45</v>
      </c>
      <c r="O572" t="s">
        <v>46</v>
      </c>
      <c r="P572" t="s">
        <v>47</v>
      </c>
      <c r="Q572" s="1">
        <v>43852</v>
      </c>
      <c r="R572" t="s">
        <v>48</v>
      </c>
      <c r="S572" t="s">
        <v>292</v>
      </c>
      <c r="T572" t="s">
        <v>293</v>
      </c>
      <c r="U572" t="s">
        <v>125</v>
      </c>
      <c r="V572">
        <v>0</v>
      </c>
      <c r="W572">
        <v>100000</v>
      </c>
      <c r="X572" s="1">
        <v>43784</v>
      </c>
      <c r="Y572" t="s">
        <v>51</v>
      </c>
      <c r="Z572" t="s">
        <v>43</v>
      </c>
      <c r="AA572" t="s">
        <v>86</v>
      </c>
      <c r="AB572" t="s">
        <v>89</v>
      </c>
      <c r="AC572" t="s">
        <v>90</v>
      </c>
      <c r="AF572" t="s">
        <v>136</v>
      </c>
      <c r="AG572" s="1">
        <v>43839</v>
      </c>
      <c r="AH572" t="s">
        <v>125</v>
      </c>
      <c r="AI572" t="s">
        <v>92</v>
      </c>
      <c r="AJ572">
        <v>1278023</v>
      </c>
      <c r="AK572">
        <v>12365300</v>
      </c>
      <c r="AL572">
        <v>12900</v>
      </c>
    </row>
    <row r="573" spans="1:38" x14ac:dyDescent="0.25">
      <c r="A573" t="s">
        <v>284</v>
      </c>
      <c r="B573" t="s">
        <v>285</v>
      </c>
      <c r="C573" t="s">
        <v>40</v>
      </c>
      <c r="D573" s="1">
        <v>43724</v>
      </c>
      <c r="E573" s="1">
        <v>44089</v>
      </c>
      <c r="F573" t="s">
        <v>84</v>
      </c>
      <c r="G573">
        <v>3</v>
      </c>
      <c r="H573" t="s">
        <v>125</v>
      </c>
      <c r="I573" t="s">
        <v>43</v>
      </c>
      <c r="J573" t="s">
        <v>126</v>
      </c>
      <c r="K573" t="s">
        <v>127</v>
      </c>
      <c r="L573">
        <v>7690.95</v>
      </c>
      <c r="M573" s="1">
        <v>43724</v>
      </c>
      <c r="N573" t="s">
        <v>45</v>
      </c>
      <c r="O573" t="s">
        <v>46</v>
      </c>
      <c r="P573" t="s">
        <v>47</v>
      </c>
      <c r="Q573" s="1">
        <v>43852</v>
      </c>
      <c r="R573" t="s">
        <v>48</v>
      </c>
      <c r="S573" t="s">
        <v>292</v>
      </c>
      <c r="T573" t="s">
        <v>293</v>
      </c>
      <c r="U573" t="s">
        <v>125</v>
      </c>
      <c r="V573">
        <v>0</v>
      </c>
      <c r="W573">
        <v>100000</v>
      </c>
      <c r="X573" s="1">
        <v>43784</v>
      </c>
      <c r="Y573" t="s">
        <v>51</v>
      </c>
      <c r="Z573" t="s">
        <v>43</v>
      </c>
      <c r="AA573" t="s">
        <v>86</v>
      </c>
      <c r="AB573" t="s">
        <v>89</v>
      </c>
      <c r="AC573" t="s">
        <v>90</v>
      </c>
      <c r="AF573" t="s">
        <v>137</v>
      </c>
      <c r="AG573" s="1">
        <v>43840</v>
      </c>
      <c r="AH573" t="s">
        <v>125</v>
      </c>
      <c r="AI573" t="s">
        <v>92</v>
      </c>
      <c r="AJ573">
        <v>1278023</v>
      </c>
      <c r="AK573">
        <v>12365300</v>
      </c>
      <c r="AL573">
        <v>12900</v>
      </c>
    </row>
    <row r="574" spans="1:38" x14ac:dyDescent="0.25">
      <c r="A574" t="s">
        <v>284</v>
      </c>
      <c r="B574" t="s">
        <v>285</v>
      </c>
      <c r="C574" t="s">
        <v>40</v>
      </c>
      <c r="D574" s="1">
        <v>43724</v>
      </c>
      <c r="E574" s="1">
        <v>44089</v>
      </c>
      <c r="F574" t="s">
        <v>84</v>
      </c>
      <c r="G574">
        <v>3</v>
      </c>
      <c r="H574" t="s">
        <v>125</v>
      </c>
      <c r="I574" t="s">
        <v>43</v>
      </c>
      <c r="J574" t="s">
        <v>126</v>
      </c>
      <c r="K574" t="s">
        <v>127</v>
      </c>
      <c r="L574">
        <v>7690.95</v>
      </c>
      <c r="M574" s="1">
        <v>43724</v>
      </c>
      <c r="N574" t="s">
        <v>45</v>
      </c>
      <c r="O574" t="s">
        <v>46</v>
      </c>
      <c r="P574" t="s">
        <v>47</v>
      </c>
      <c r="Q574" s="1">
        <v>43852</v>
      </c>
      <c r="R574" t="s">
        <v>48</v>
      </c>
      <c r="S574" t="s">
        <v>294</v>
      </c>
      <c r="T574" t="s">
        <v>295</v>
      </c>
      <c r="U574" t="s">
        <v>125</v>
      </c>
      <c r="V574">
        <v>6000000</v>
      </c>
      <c r="W574">
        <v>300000</v>
      </c>
      <c r="X574" s="1">
        <v>43800</v>
      </c>
      <c r="Y574" t="s">
        <v>51</v>
      </c>
      <c r="Z574" t="s">
        <v>43</v>
      </c>
      <c r="AA574" t="s">
        <v>86</v>
      </c>
      <c r="AB574" t="s">
        <v>89</v>
      </c>
      <c r="AC574" t="s">
        <v>90</v>
      </c>
      <c r="AF574" t="s">
        <v>134</v>
      </c>
      <c r="AG574" s="1">
        <v>43843</v>
      </c>
      <c r="AH574" t="s">
        <v>125</v>
      </c>
      <c r="AI574" t="s">
        <v>92</v>
      </c>
      <c r="AJ574">
        <v>1278023</v>
      </c>
      <c r="AK574">
        <v>12365300</v>
      </c>
      <c r="AL574">
        <v>12900</v>
      </c>
    </row>
    <row r="575" spans="1:38" x14ac:dyDescent="0.25">
      <c r="A575" t="s">
        <v>284</v>
      </c>
      <c r="B575" t="s">
        <v>285</v>
      </c>
      <c r="C575" t="s">
        <v>40</v>
      </c>
      <c r="D575" s="1">
        <v>43724</v>
      </c>
      <c r="E575" s="1">
        <v>44089</v>
      </c>
      <c r="F575" t="s">
        <v>84</v>
      </c>
      <c r="G575">
        <v>3</v>
      </c>
      <c r="H575" t="s">
        <v>125</v>
      </c>
      <c r="I575" t="s">
        <v>43</v>
      </c>
      <c r="J575" t="s">
        <v>126</v>
      </c>
      <c r="K575" t="s">
        <v>127</v>
      </c>
      <c r="L575">
        <v>7690.95</v>
      </c>
      <c r="M575" s="1">
        <v>43724</v>
      </c>
      <c r="N575" t="s">
        <v>45</v>
      </c>
      <c r="O575" t="s">
        <v>46</v>
      </c>
      <c r="P575" t="s">
        <v>47</v>
      </c>
      <c r="Q575" s="1">
        <v>43852</v>
      </c>
      <c r="R575" t="s">
        <v>48</v>
      </c>
      <c r="S575" t="s">
        <v>294</v>
      </c>
      <c r="T575" t="s">
        <v>295</v>
      </c>
      <c r="U575" t="s">
        <v>125</v>
      </c>
      <c r="V575">
        <v>6000000</v>
      </c>
      <c r="W575">
        <v>300000</v>
      </c>
      <c r="X575" s="1">
        <v>43800</v>
      </c>
      <c r="Y575" t="s">
        <v>51</v>
      </c>
      <c r="Z575" t="s">
        <v>43</v>
      </c>
      <c r="AA575" t="s">
        <v>86</v>
      </c>
      <c r="AB575" t="s">
        <v>89</v>
      </c>
      <c r="AC575" t="s">
        <v>90</v>
      </c>
      <c r="AF575" t="s">
        <v>135</v>
      </c>
      <c r="AG575" s="1">
        <v>43843</v>
      </c>
      <c r="AH575" t="s">
        <v>125</v>
      </c>
      <c r="AI575" t="s">
        <v>92</v>
      </c>
      <c r="AJ575">
        <v>1278023</v>
      </c>
      <c r="AK575">
        <v>12365300</v>
      </c>
      <c r="AL575">
        <v>12900</v>
      </c>
    </row>
    <row r="576" spans="1:38" x14ac:dyDescent="0.25">
      <c r="A576" t="s">
        <v>284</v>
      </c>
      <c r="B576" t="s">
        <v>285</v>
      </c>
      <c r="C576" t="s">
        <v>40</v>
      </c>
      <c r="D576" s="1">
        <v>43724</v>
      </c>
      <c r="E576" s="1">
        <v>44089</v>
      </c>
      <c r="F576" t="s">
        <v>84</v>
      </c>
      <c r="G576">
        <v>3</v>
      </c>
      <c r="H576" t="s">
        <v>125</v>
      </c>
      <c r="I576" t="s">
        <v>43</v>
      </c>
      <c r="J576" t="s">
        <v>126</v>
      </c>
      <c r="K576" t="s">
        <v>127</v>
      </c>
      <c r="L576">
        <v>7690.95</v>
      </c>
      <c r="M576" s="1">
        <v>43724</v>
      </c>
      <c r="N576" t="s">
        <v>45</v>
      </c>
      <c r="O576" t="s">
        <v>46</v>
      </c>
      <c r="P576" t="s">
        <v>47</v>
      </c>
      <c r="Q576" s="1">
        <v>43852</v>
      </c>
      <c r="R576" t="s">
        <v>48</v>
      </c>
      <c r="S576" t="s">
        <v>294</v>
      </c>
      <c r="T576" t="s">
        <v>295</v>
      </c>
      <c r="U576" t="s">
        <v>125</v>
      </c>
      <c r="V576">
        <v>6000000</v>
      </c>
      <c r="W576">
        <v>300000</v>
      </c>
      <c r="X576" s="1">
        <v>43800</v>
      </c>
      <c r="Y576" t="s">
        <v>51</v>
      </c>
      <c r="Z576" t="s">
        <v>43</v>
      </c>
      <c r="AA576" t="s">
        <v>86</v>
      </c>
      <c r="AB576" t="s">
        <v>89</v>
      </c>
      <c r="AC576" t="s">
        <v>90</v>
      </c>
      <c r="AF576" t="s">
        <v>136</v>
      </c>
      <c r="AG576" s="1">
        <v>43839</v>
      </c>
      <c r="AH576" t="s">
        <v>125</v>
      </c>
      <c r="AI576" t="s">
        <v>92</v>
      </c>
      <c r="AJ576">
        <v>1278023</v>
      </c>
      <c r="AK576">
        <v>12365300</v>
      </c>
      <c r="AL576">
        <v>12900</v>
      </c>
    </row>
    <row r="577" spans="1:38" x14ac:dyDescent="0.25">
      <c r="A577" t="s">
        <v>284</v>
      </c>
      <c r="B577" t="s">
        <v>285</v>
      </c>
      <c r="C577" t="s">
        <v>40</v>
      </c>
      <c r="D577" s="1">
        <v>43724</v>
      </c>
      <c r="E577" s="1">
        <v>44089</v>
      </c>
      <c r="F577" t="s">
        <v>84</v>
      </c>
      <c r="G577">
        <v>3</v>
      </c>
      <c r="H577" t="s">
        <v>125</v>
      </c>
      <c r="I577" t="s">
        <v>43</v>
      </c>
      <c r="J577" t="s">
        <v>126</v>
      </c>
      <c r="K577" t="s">
        <v>127</v>
      </c>
      <c r="L577">
        <v>7690.95</v>
      </c>
      <c r="M577" s="1">
        <v>43724</v>
      </c>
      <c r="N577" t="s">
        <v>45</v>
      </c>
      <c r="O577" t="s">
        <v>46</v>
      </c>
      <c r="P577" t="s">
        <v>47</v>
      </c>
      <c r="Q577" s="1">
        <v>43852</v>
      </c>
      <c r="R577" t="s">
        <v>48</v>
      </c>
      <c r="S577" t="s">
        <v>294</v>
      </c>
      <c r="T577" t="s">
        <v>295</v>
      </c>
      <c r="U577" t="s">
        <v>125</v>
      </c>
      <c r="V577">
        <v>6000000</v>
      </c>
      <c r="W577">
        <v>300000</v>
      </c>
      <c r="X577" s="1">
        <v>43800</v>
      </c>
      <c r="Y577" t="s">
        <v>51</v>
      </c>
      <c r="Z577" t="s">
        <v>43</v>
      </c>
      <c r="AA577" t="s">
        <v>86</v>
      </c>
      <c r="AB577" t="s">
        <v>89</v>
      </c>
      <c r="AC577" t="s">
        <v>90</v>
      </c>
      <c r="AF577" t="s">
        <v>137</v>
      </c>
      <c r="AG577" s="1">
        <v>43840</v>
      </c>
      <c r="AH577" t="s">
        <v>125</v>
      </c>
      <c r="AI577" t="s">
        <v>92</v>
      </c>
      <c r="AJ577">
        <v>1278023</v>
      </c>
      <c r="AK577">
        <v>12365300</v>
      </c>
      <c r="AL577">
        <v>12900</v>
      </c>
    </row>
    <row r="578" spans="1:38" x14ac:dyDescent="0.25">
      <c r="A578" t="s">
        <v>296</v>
      </c>
      <c r="B578" s="2">
        <v>1.203E+19</v>
      </c>
      <c r="C578" t="s">
        <v>71</v>
      </c>
      <c r="D578" s="1">
        <v>43322</v>
      </c>
      <c r="E578" s="1">
        <v>43686</v>
      </c>
      <c r="F578" t="s">
        <v>76</v>
      </c>
      <c r="G578">
        <v>12</v>
      </c>
      <c r="H578" t="s">
        <v>155</v>
      </c>
      <c r="I578" t="s">
        <v>43</v>
      </c>
      <c r="J578" t="s">
        <v>126</v>
      </c>
      <c r="K578" t="s">
        <v>44</v>
      </c>
      <c r="L578">
        <v>86400</v>
      </c>
      <c r="M578" s="1">
        <v>43322</v>
      </c>
      <c r="N578" t="s">
        <v>45</v>
      </c>
      <c r="O578" t="s">
        <v>46</v>
      </c>
      <c r="P578" t="s">
        <v>47</v>
      </c>
      <c r="Q578" s="1">
        <v>43852</v>
      </c>
      <c r="R578" t="s">
        <v>48</v>
      </c>
    </row>
    <row r="579" spans="1:38" x14ac:dyDescent="0.25">
      <c r="A579" t="s">
        <v>297</v>
      </c>
      <c r="B579" s="2">
        <v>1.203E+19</v>
      </c>
      <c r="C579" t="s">
        <v>71</v>
      </c>
      <c r="D579" s="1">
        <v>43322</v>
      </c>
      <c r="E579" s="1">
        <v>43686</v>
      </c>
      <c r="F579" t="s">
        <v>76</v>
      </c>
      <c r="G579">
        <v>12</v>
      </c>
      <c r="H579" t="s">
        <v>155</v>
      </c>
      <c r="I579" t="s">
        <v>43</v>
      </c>
      <c r="J579" t="s">
        <v>126</v>
      </c>
      <c r="K579" t="s">
        <v>44</v>
      </c>
      <c r="L579">
        <v>345705</v>
      </c>
      <c r="M579" s="1">
        <v>43322</v>
      </c>
      <c r="N579" t="s">
        <v>45</v>
      </c>
      <c r="O579" t="s">
        <v>46</v>
      </c>
      <c r="P579" t="s">
        <v>47</v>
      </c>
      <c r="Q579" s="1">
        <v>43852</v>
      </c>
      <c r="R579" t="s">
        <v>48</v>
      </c>
    </row>
    <row r="580" spans="1:38" x14ac:dyDescent="0.25">
      <c r="A580" t="s">
        <v>298</v>
      </c>
      <c r="B580" s="2">
        <v>1.203E+19</v>
      </c>
      <c r="C580" t="s">
        <v>40</v>
      </c>
      <c r="D580" s="1">
        <v>43687</v>
      </c>
      <c r="E580" s="1">
        <v>44052</v>
      </c>
      <c r="F580" t="s">
        <v>76</v>
      </c>
      <c r="G580">
        <v>3</v>
      </c>
      <c r="H580" t="s">
        <v>125</v>
      </c>
      <c r="I580" t="s">
        <v>43</v>
      </c>
      <c r="J580" t="s">
        <v>126</v>
      </c>
      <c r="K580" t="s">
        <v>44</v>
      </c>
      <c r="L580">
        <v>77400</v>
      </c>
      <c r="M580" s="1">
        <v>43687</v>
      </c>
      <c r="N580" t="s">
        <v>45</v>
      </c>
      <c r="O580" t="s">
        <v>44</v>
      </c>
      <c r="P580" t="s">
        <v>47</v>
      </c>
      <c r="Q580" s="1">
        <v>43852</v>
      </c>
      <c r="R580" t="s">
        <v>48</v>
      </c>
    </row>
    <row r="581" spans="1:38" x14ac:dyDescent="0.25">
      <c r="A581" t="s">
        <v>299</v>
      </c>
      <c r="B581" s="2">
        <v>1.203E+19</v>
      </c>
      <c r="C581" t="s">
        <v>40</v>
      </c>
      <c r="D581" s="1">
        <v>43687</v>
      </c>
      <c r="E581" s="1">
        <v>44052</v>
      </c>
      <c r="F581" t="s">
        <v>76</v>
      </c>
      <c r="G581">
        <v>3</v>
      </c>
      <c r="H581" t="s">
        <v>125</v>
      </c>
      <c r="I581" t="s">
        <v>43</v>
      </c>
      <c r="J581" t="s">
        <v>126</v>
      </c>
      <c r="K581" t="s">
        <v>44</v>
      </c>
      <c r="L581">
        <v>302811.08</v>
      </c>
      <c r="M581" s="1">
        <v>43687</v>
      </c>
      <c r="N581" t="s">
        <v>45</v>
      </c>
      <c r="O581" t="s">
        <v>44</v>
      </c>
      <c r="P581" t="s">
        <v>47</v>
      </c>
      <c r="Q581" s="1">
        <v>43852</v>
      </c>
      <c r="R581" t="s">
        <v>48</v>
      </c>
    </row>
    <row r="582" spans="1:38" x14ac:dyDescent="0.25">
      <c r="A582" t="s">
        <v>300</v>
      </c>
      <c r="B582" t="s">
        <v>301</v>
      </c>
      <c r="C582" t="s">
        <v>40</v>
      </c>
      <c r="D582" s="1">
        <v>43282</v>
      </c>
      <c r="E582" s="1">
        <v>43646</v>
      </c>
      <c r="F582" t="s">
        <v>77</v>
      </c>
      <c r="G582">
        <v>12</v>
      </c>
      <c r="H582" t="s">
        <v>155</v>
      </c>
      <c r="I582" t="s">
        <v>43</v>
      </c>
      <c r="J582" t="s">
        <v>126</v>
      </c>
      <c r="K582" t="s">
        <v>44</v>
      </c>
      <c r="L582">
        <v>1183.3800000000001</v>
      </c>
      <c r="M582" s="1">
        <v>43282</v>
      </c>
      <c r="N582" t="s">
        <v>45</v>
      </c>
      <c r="O582" t="s">
        <v>46</v>
      </c>
      <c r="P582" t="s">
        <v>47</v>
      </c>
      <c r="Q582" s="1">
        <v>43852</v>
      </c>
      <c r="R582" t="s">
        <v>48</v>
      </c>
      <c r="S582" t="s">
        <v>156</v>
      </c>
      <c r="T582" t="s">
        <v>157</v>
      </c>
      <c r="U582" t="s">
        <v>155</v>
      </c>
      <c r="V582">
        <v>500000</v>
      </c>
      <c r="W582">
        <v>75000</v>
      </c>
      <c r="X582" s="1">
        <v>43982</v>
      </c>
      <c r="Y582" t="s">
        <v>51</v>
      </c>
      <c r="Z582" t="s">
        <v>43</v>
      </c>
      <c r="AA582" t="s">
        <v>77</v>
      </c>
      <c r="AB582" t="s">
        <v>158</v>
      </c>
      <c r="AC582" t="s">
        <v>159</v>
      </c>
      <c r="AF582" t="s">
        <v>160</v>
      </c>
      <c r="AG582" s="1">
        <v>43851</v>
      </c>
    </row>
    <row r="583" spans="1:38" x14ac:dyDescent="0.25">
      <c r="A583" t="s">
        <v>300</v>
      </c>
      <c r="B583" t="s">
        <v>301</v>
      </c>
      <c r="C583" t="s">
        <v>40</v>
      </c>
      <c r="D583" s="1">
        <v>43282</v>
      </c>
      <c r="E583" s="1">
        <v>43646</v>
      </c>
      <c r="F583" t="s">
        <v>77</v>
      </c>
      <c r="G583">
        <v>12</v>
      </c>
      <c r="H583" t="s">
        <v>155</v>
      </c>
      <c r="I583" t="s">
        <v>43</v>
      </c>
      <c r="J583" t="s">
        <v>126</v>
      </c>
      <c r="K583" t="s">
        <v>44</v>
      </c>
      <c r="L583">
        <v>1183.3800000000001</v>
      </c>
      <c r="M583" s="1">
        <v>43282</v>
      </c>
      <c r="N583" t="s">
        <v>45</v>
      </c>
      <c r="O583" t="s">
        <v>46</v>
      </c>
      <c r="P583" t="s">
        <v>47</v>
      </c>
      <c r="Q583" s="1">
        <v>43852</v>
      </c>
      <c r="R583" t="s">
        <v>48</v>
      </c>
      <c r="S583" t="s">
        <v>156</v>
      </c>
      <c r="T583" t="s">
        <v>157</v>
      </c>
      <c r="U583" t="s">
        <v>155</v>
      </c>
      <c r="V583">
        <v>500000</v>
      </c>
      <c r="W583">
        <v>75000</v>
      </c>
      <c r="X583" s="1">
        <v>43982</v>
      </c>
      <c r="Y583" t="s">
        <v>51</v>
      </c>
      <c r="Z583" t="s">
        <v>43</v>
      </c>
      <c r="AA583" t="s">
        <v>77</v>
      </c>
      <c r="AB583" t="s">
        <v>158</v>
      </c>
      <c r="AC583" t="s">
        <v>159</v>
      </c>
      <c r="AF583" t="s">
        <v>161</v>
      </c>
      <c r="AG583" s="1">
        <v>43851</v>
      </c>
    </row>
    <row r="584" spans="1:38" x14ac:dyDescent="0.25">
      <c r="A584" t="s">
        <v>300</v>
      </c>
      <c r="B584" t="s">
        <v>301</v>
      </c>
      <c r="C584" t="s">
        <v>40</v>
      </c>
      <c r="D584" s="1">
        <v>43282</v>
      </c>
      <c r="E584" s="1">
        <v>43646</v>
      </c>
      <c r="F584" t="s">
        <v>77</v>
      </c>
      <c r="G584">
        <v>12</v>
      </c>
      <c r="H584" t="s">
        <v>155</v>
      </c>
      <c r="I584" t="s">
        <v>43</v>
      </c>
      <c r="J584" t="s">
        <v>126</v>
      </c>
      <c r="K584" t="s">
        <v>44</v>
      </c>
      <c r="L584">
        <v>1183.3800000000001</v>
      </c>
      <c r="M584" s="1">
        <v>43282</v>
      </c>
      <c r="N584" t="s">
        <v>45</v>
      </c>
      <c r="O584" t="s">
        <v>46</v>
      </c>
      <c r="P584" t="s">
        <v>47</v>
      </c>
      <c r="Q584" s="1">
        <v>43852</v>
      </c>
      <c r="R584" t="s">
        <v>48</v>
      </c>
      <c r="S584" t="s">
        <v>156</v>
      </c>
      <c r="T584" t="s">
        <v>157</v>
      </c>
      <c r="U584" t="s">
        <v>155</v>
      </c>
      <c r="V584">
        <v>500000</v>
      </c>
      <c r="W584">
        <v>75000</v>
      </c>
      <c r="X584" s="1">
        <v>43982</v>
      </c>
      <c r="Y584" t="s">
        <v>51</v>
      </c>
      <c r="Z584" t="s">
        <v>43</v>
      </c>
      <c r="AA584" t="s">
        <v>77</v>
      </c>
      <c r="AB584" t="s">
        <v>158</v>
      </c>
      <c r="AC584" t="s">
        <v>159</v>
      </c>
      <c r="AF584" t="s">
        <v>162</v>
      </c>
      <c r="AG584" s="1">
        <v>43851</v>
      </c>
    </row>
    <row r="585" spans="1:38" x14ac:dyDescent="0.25">
      <c r="A585" t="s">
        <v>300</v>
      </c>
      <c r="B585" t="s">
        <v>301</v>
      </c>
      <c r="C585" t="s">
        <v>40</v>
      </c>
      <c r="D585" s="1">
        <v>43282</v>
      </c>
      <c r="E585" s="1">
        <v>43646</v>
      </c>
      <c r="F585" t="s">
        <v>77</v>
      </c>
      <c r="G585">
        <v>12</v>
      </c>
      <c r="H585" t="s">
        <v>155</v>
      </c>
      <c r="I585" t="s">
        <v>43</v>
      </c>
      <c r="J585" t="s">
        <v>126</v>
      </c>
      <c r="K585" t="s">
        <v>44</v>
      </c>
      <c r="L585">
        <v>1183.3800000000001</v>
      </c>
      <c r="M585" s="1">
        <v>43282</v>
      </c>
      <c r="N585" t="s">
        <v>45</v>
      </c>
      <c r="O585" t="s">
        <v>46</v>
      </c>
      <c r="P585" t="s">
        <v>47</v>
      </c>
      <c r="Q585" s="1">
        <v>43852</v>
      </c>
      <c r="R585" t="s">
        <v>48</v>
      </c>
      <c r="S585" t="s">
        <v>156</v>
      </c>
      <c r="T585" t="s">
        <v>157</v>
      </c>
      <c r="U585" t="s">
        <v>155</v>
      </c>
      <c r="V585">
        <v>500000</v>
      </c>
      <c r="W585">
        <v>75000</v>
      </c>
      <c r="X585" s="1">
        <v>43982</v>
      </c>
      <c r="Y585" t="s">
        <v>51</v>
      </c>
      <c r="Z585" t="s">
        <v>43</v>
      </c>
      <c r="AA585" t="s">
        <v>77</v>
      </c>
      <c r="AB585" t="s">
        <v>158</v>
      </c>
      <c r="AC585" t="s">
        <v>159</v>
      </c>
      <c r="AF585" t="s">
        <v>163</v>
      </c>
      <c r="AG585" s="1">
        <v>43852</v>
      </c>
    </row>
    <row r="586" spans="1:38" x14ac:dyDescent="0.25">
      <c r="A586" t="s">
        <v>300</v>
      </c>
      <c r="B586" t="s">
        <v>301</v>
      </c>
      <c r="C586" t="s">
        <v>40</v>
      </c>
      <c r="D586" s="1">
        <v>43282</v>
      </c>
      <c r="E586" s="1">
        <v>43646</v>
      </c>
      <c r="F586" t="s">
        <v>77</v>
      </c>
      <c r="G586">
        <v>12</v>
      </c>
      <c r="H586" t="s">
        <v>155</v>
      </c>
      <c r="I586" t="s">
        <v>43</v>
      </c>
      <c r="J586" t="s">
        <v>126</v>
      </c>
      <c r="K586" t="s">
        <v>44</v>
      </c>
      <c r="L586">
        <v>1183.3800000000001</v>
      </c>
      <c r="M586" s="1">
        <v>43282</v>
      </c>
      <c r="N586" t="s">
        <v>45</v>
      </c>
      <c r="O586" t="s">
        <v>46</v>
      </c>
      <c r="P586" t="s">
        <v>47</v>
      </c>
      <c r="Q586" s="1">
        <v>43852</v>
      </c>
      <c r="R586" t="s">
        <v>48</v>
      </c>
      <c r="S586" t="s">
        <v>164</v>
      </c>
      <c r="T586" t="s">
        <v>165</v>
      </c>
      <c r="U586" t="s">
        <v>155</v>
      </c>
      <c r="V586">
        <v>0</v>
      </c>
      <c r="W586">
        <v>50000</v>
      </c>
      <c r="X586" s="1">
        <v>43921</v>
      </c>
      <c r="Y586" t="s">
        <v>51</v>
      </c>
      <c r="Z586" t="s">
        <v>43</v>
      </c>
      <c r="AA586" t="s">
        <v>77</v>
      </c>
      <c r="AB586" t="s">
        <v>158</v>
      </c>
      <c r="AC586" t="s">
        <v>166</v>
      </c>
      <c r="AF586" t="s">
        <v>160</v>
      </c>
      <c r="AG586" s="1">
        <v>43851</v>
      </c>
    </row>
    <row r="587" spans="1:38" x14ac:dyDescent="0.25">
      <c r="A587" t="s">
        <v>300</v>
      </c>
      <c r="B587" t="s">
        <v>301</v>
      </c>
      <c r="C587" t="s">
        <v>40</v>
      </c>
      <c r="D587" s="1">
        <v>43282</v>
      </c>
      <c r="E587" s="1">
        <v>43646</v>
      </c>
      <c r="F587" t="s">
        <v>77</v>
      </c>
      <c r="G587">
        <v>12</v>
      </c>
      <c r="H587" t="s">
        <v>155</v>
      </c>
      <c r="I587" t="s">
        <v>43</v>
      </c>
      <c r="J587" t="s">
        <v>126</v>
      </c>
      <c r="K587" t="s">
        <v>44</v>
      </c>
      <c r="L587">
        <v>1183.3800000000001</v>
      </c>
      <c r="M587" s="1">
        <v>43282</v>
      </c>
      <c r="N587" t="s">
        <v>45</v>
      </c>
      <c r="O587" t="s">
        <v>46</v>
      </c>
      <c r="P587" t="s">
        <v>47</v>
      </c>
      <c r="Q587" s="1">
        <v>43852</v>
      </c>
      <c r="R587" t="s">
        <v>48</v>
      </c>
      <c r="S587" t="s">
        <v>164</v>
      </c>
      <c r="T587" t="s">
        <v>165</v>
      </c>
      <c r="U587" t="s">
        <v>155</v>
      </c>
      <c r="V587">
        <v>0</v>
      </c>
      <c r="W587">
        <v>50000</v>
      </c>
      <c r="X587" s="1">
        <v>43921</v>
      </c>
      <c r="Y587" t="s">
        <v>51</v>
      </c>
      <c r="Z587" t="s">
        <v>43</v>
      </c>
      <c r="AA587" t="s">
        <v>77</v>
      </c>
      <c r="AB587" t="s">
        <v>158</v>
      </c>
      <c r="AC587" t="s">
        <v>166</v>
      </c>
      <c r="AF587" t="s">
        <v>161</v>
      </c>
      <c r="AG587" s="1">
        <v>43851</v>
      </c>
    </row>
    <row r="588" spans="1:38" x14ac:dyDescent="0.25">
      <c r="A588" t="s">
        <v>300</v>
      </c>
      <c r="B588" t="s">
        <v>301</v>
      </c>
      <c r="C588" t="s">
        <v>40</v>
      </c>
      <c r="D588" s="1">
        <v>43282</v>
      </c>
      <c r="E588" s="1">
        <v>43646</v>
      </c>
      <c r="F588" t="s">
        <v>77</v>
      </c>
      <c r="G588">
        <v>12</v>
      </c>
      <c r="H588" t="s">
        <v>155</v>
      </c>
      <c r="I588" t="s">
        <v>43</v>
      </c>
      <c r="J588" t="s">
        <v>126</v>
      </c>
      <c r="K588" t="s">
        <v>44</v>
      </c>
      <c r="L588">
        <v>1183.3800000000001</v>
      </c>
      <c r="M588" s="1">
        <v>43282</v>
      </c>
      <c r="N588" t="s">
        <v>45</v>
      </c>
      <c r="O588" t="s">
        <v>46</v>
      </c>
      <c r="P588" t="s">
        <v>47</v>
      </c>
      <c r="Q588" s="1">
        <v>43852</v>
      </c>
      <c r="R588" t="s">
        <v>48</v>
      </c>
      <c r="S588" t="s">
        <v>164</v>
      </c>
      <c r="T588" t="s">
        <v>165</v>
      </c>
      <c r="U588" t="s">
        <v>155</v>
      </c>
      <c r="V588">
        <v>0</v>
      </c>
      <c r="W588">
        <v>50000</v>
      </c>
      <c r="X588" s="1">
        <v>43921</v>
      </c>
      <c r="Y588" t="s">
        <v>51</v>
      </c>
      <c r="Z588" t="s">
        <v>43</v>
      </c>
      <c r="AA588" t="s">
        <v>77</v>
      </c>
      <c r="AB588" t="s">
        <v>158</v>
      </c>
      <c r="AC588" t="s">
        <v>166</v>
      </c>
      <c r="AF588" t="s">
        <v>162</v>
      </c>
      <c r="AG588" s="1">
        <v>43851</v>
      </c>
    </row>
    <row r="589" spans="1:38" x14ac:dyDescent="0.25">
      <c r="A589" t="s">
        <v>300</v>
      </c>
      <c r="B589" t="s">
        <v>301</v>
      </c>
      <c r="C589" t="s">
        <v>40</v>
      </c>
      <c r="D589" s="1">
        <v>43282</v>
      </c>
      <c r="E589" s="1">
        <v>43646</v>
      </c>
      <c r="F589" t="s">
        <v>77</v>
      </c>
      <c r="G589">
        <v>12</v>
      </c>
      <c r="H589" t="s">
        <v>155</v>
      </c>
      <c r="I589" t="s">
        <v>43</v>
      </c>
      <c r="J589" t="s">
        <v>126</v>
      </c>
      <c r="K589" t="s">
        <v>44</v>
      </c>
      <c r="L589">
        <v>1183.3800000000001</v>
      </c>
      <c r="M589" s="1">
        <v>43282</v>
      </c>
      <c r="N589" t="s">
        <v>45</v>
      </c>
      <c r="O589" t="s">
        <v>46</v>
      </c>
      <c r="P589" t="s">
        <v>47</v>
      </c>
      <c r="Q589" s="1">
        <v>43852</v>
      </c>
      <c r="R589" t="s">
        <v>48</v>
      </c>
      <c r="S589" t="s">
        <v>164</v>
      </c>
      <c r="T589" t="s">
        <v>165</v>
      </c>
      <c r="U589" t="s">
        <v>155</v>
      </c>
      <c r="V589">
        <v>0</v>
      </c>
      <c r="W589">
        <v>50000</v>
      </c>
      <c r="X589" s="1">
        <v>43921</v>
      </c>
      <c r="Y589" t="s">
        <v>51</v>
      </c>
      <c r="Z589" t="s">
        <v>43</v>
      </c>
      <c r="AA589" t="s">
        <v>77</v>
      </c>
      <c r="AB589" t="s">
        <v>158</v>
      </c>
      <c r="AC589" t="s">
        <v>166</v>
      </c>
      <c r="AF589" t="s">
        <v>163</v>
      </c>
      <c r="AG589" s="1">
        <v>43852</v>
      </c>
    </row>
    <row r="590" spans="1:38" x14ac:dyDescent="0.25">
      <c r="A590" t="s">
        <v>302</v>
      </c>
      <c r="B590" t="s">
        <v>303</v>
      </c>
      <c r="C590" t="s">
        <v>40</v>
      </c>
      <c r="D590" s="1">
        <v>43359</v>
      </c>
      <c r="E590" s="1">
        <v>43723</v>
      </c>
      <c r="F590" t="s">
        <v>72</v>
      </c>
      <c r="G590">
        <v>1</v>
      </c>
      <c r="H590" t="s">
        <v>42</v>
      </c>
      <c r="I590" t="s">
        <v>43</v>
      </c>
      <c r="J590" t="s">
        <v>115</v>
      </c>
      <c r="K590" t="s">
        <v>44</v>
      </c>
      <c r="L590">
        <v>33977.82</v>
      </c>
      <c r="M590" s="1">
        <v>43359</v>
      </c>
      <c r="N590" t="s">
        <v>45</v>
      </c>
      <c r="O590" t="s">
        <v>46</v>
      </c>
      <c r="P590" t="s">
        <v>47</v>
      </c>
      <c r="Q590" s="1">
        <v>43852</v>
      </c>
      <c r="R590" t="s">
        <v>48</v>
      </c>
    </row>
    <row r="591" spans="1:38" x14ac:dyDescent="0.25">
      <c r="A591" t="s">
        <v>304</v>
      </c>
      <c r="B591" t="s">
        <v>305</v>
      </c>
      <c r="C591" t="s">
        <v>40</v>
      </c>
      <c r="D591" s="1">
        <v>43066</v>
      </c>
      <c r="E591" s="1">
        <v>44161</v>
      </c>
      <c r="F591" t="s">
        <v>306</v>
      </c>
      <c r="G591">
        <v>11</v>
      </c>
      <c r="H591" t="s">
        <v>223</v>
      </c>
      <c r="I591" t="s">
        <v>43</v>
      </c>
      <c r="J591" t="s">
        <v>73</v>
      </c>
      <c r="K591" t="s">
        <v>127</v>
      </c>
      <c r="L591">
        <v>25303.02</v>
      </c>
      <c r="M591" s="1">
        <v>43247</v>
      </c>
      <c r="N591" t="s">
        <v>45</v>
      </c>
      <c r="O591" t="s">
        <v>46</v>
      </c>
      <c r="P591" t="s">
        <v>47</v>
      </c>
      <c r="Q591" s="1">
        <v>43852</v>
      </c>
      <c r="R591" t="s">
        <v>48</v>
      </c>
    </row>
    <row r="592" spans="1:38" x14ac:dyDescent="0.25">
      <c r="A592" t="s">
        <v>307</v>
      </c>
      <c r="B592" t="s">
        <v>305</v>
      </c>
      <c r="C592" t="s">
        <v>40</v>
      </c>
      <c r="D592" s="1">
        <v>43066</v>
      </c>
      <c r="E592" s="1">
        <v>44161</v>
      </c>
      <c r="F592" t="s">
        <v>306</v>
      </c>
      <c r="G592">
        <v>11</v>
      </c>
      <c r="H592" t="s">
        <v>223</v>
      </c>
      <c r="I592" t="s">
        <v>43</v>
      </c>
      <c r="J592" t="s">
        <v>73</v>
      </c>
      <c r="K592" t="s">
        <v>127</v>
      </c>
      <c r="L592">
        <v>25302.959999999999</v>
      </c>
      <c r="M592" s="1">
        <v>43612</v>
      </c>
      <c r="N592" t="s">
        <v>45</v>
      </c>
      <c r="O592" t="s">
        <v>46</v>
      </c>
      <c r="P592" t="s">
        <v>47</v>
      </c>
      <c r="Q592" s="1">
        <v>43852</v>
      </c>
      <c r="R592" t="s">
        <v>48</v>
      </c>
    </row>
    <row r="593" spans="1:33" x14ac:dyDescent="0.25">
      <c r="A593" t="s">
        <v>308</v>
      </c>
      <c r="B593" t="s">
        <v>305</v>
      </c>
      <c r="C593" t="s">
        <v>40</v>
      </c>
      <c r="D593" s="1">
        <v>43066</v>
      </c>
      <c r="E593" s="1">
        <v>44161</v>
      </c>
      <c r="F593" t="s">
        <v>306</v>
      </c>
      <c r="G593">
        <v>11</v>
      </c>
      <c r="H593" t="s">
        <v>223</v>
      </c>
      <c r="I593" t="s">
        <v>43</v>
      </c>
      <c r="J593" t="s">
        <v>73</v>
      </c>
      <c r="K593" t="s">
        <v>127</v>
      </c>
      <c r="L593">
        <v>25302.959999999999</v>
      </c>
      <c r="M593" s="1">
        <v>43704</v>
      </c>
      <c r="N593" t="s">
        <v>45</v>
      </c>
      <c r="O593" t="s">
        <v>46</v>
      </c>
      <c r="P593" t="s">
        <v>47</v>
      </c>
      <c r="Q593" s="1">
        <v>43852</v>
      </c>
      <c r="R593" t="s">
        <v>48</v>
      </c>
    </row>
    <row r="594" spans="1:33" x14ac:dyDescent="0.25">
      <c r="A594" t="s">
        <v>309</v>
      </c>
      <c r="B594" t="s">
        <v>305</v>
      </c>
      <c r="C594" t="s">
        <v>40</v>
      </c>
      <c r="D594" s="1">
        <v>43066</v>
      </c>
      <c r="E594" s="1">
        <v>44161</v>
      </c>
      <c r="F594" t="s">
        <v>306</v>
      </c>
      <c r="G594">
        <v>11</v>
      </c>
      <c r="H594" t="s">
        <v>223</v>
      </c>
      <c r="I594" t="s">
        <v>43</v>
      </c>
      <c r="J594" t="s">
        <v>73</v>
      </c>
      <c r="K594" t="s">
        <v>127</v>
      </c>
      <c r="L594">
        <v>25302.959999999999</v>
      </c>
      <c r="M594" s="1">
        <v>43796</v>
      </c>
      <c r="N594" t="s">
        <v>45</v>
      </c>
      <c r="O594" t="s">
        <v>46</v>
      </c>
      <c r="P594" t="s">
        <v>47</v>
      </c>
      <c r="Q594" s="1">
        <v>43852</v>
      </c>
      <c r="R594" t="s">
        <v>48</v>
      </c>
    </row>
    <row r="595" spans="1:33" x14ac:dyDescent="0.25">
      <c r="A595" t="s">
        <v>310</v>
      </c>
      <c r="B595" t="s">
        <v>305</v>
      </c>
      <c r="C595" t="s">
        <v>40</v>
      </c>
      <c r="D595" s="1">
        <v>43066</v>
      </c>
      <c r="E595" s="1">
        <v>44161</v>
      </c>
      <c r="F595" t="s">
        <v>306</v>
      </c>
      <c r="G595">
        <v>11</v>
      </c>
      <c r="H595" t="s">
        <v>223</v>
      </c>
      <c r="I595" t="s">
        <v>43</v>
      </c>
      <c r="J595" t="s">
        <v>73</v>
      </c>
      <c r="K595" t="s">
        <v>127</v>
      </c>
      <c r="L595">
        <v>25302.959999999999</v>
      </c>
      <c r="M595" s="1">
        <v>43888</v>
      </c>
      <c r="N595" t="s">
        <v>45</v>
      </c>
      <c r="O595" t="s">
        <v>46</v>
      </c>
      <c r="P595" t="s">
        <v>47</v>
      </c>
      <c r="Q595" s="1">
        <v>43852</v>
      </c>
      <c r="R595" t="s">
        <v>48</v>
      </c>
    </row>
    <row r="596" spans="1:33" x14ac:dyDescent="0.25">
      <c r="A596" t="s">
        <v>311</v>
      </c>
      <c r="B596" t="s">
        <v>305</v>
      </c>
      <c r="C596" t="s">
        <v>40</v>
      </c>
      <c r="D596" s="1">
        <v>43066</v>
      </c>
      <c r="E596" s="1">
        <v>44161</v>
      </c>
      <c r="F596" t="s">
        <v>306</v>
      </c>
      <c r="G596">
        <v>11</v>
      </c>
      <c r="H596" t="s">
        <v>223</v>
      </c>
      <c r="I596" t="s">
        <v>43</v>
      </c>
      <c r="J596" t="s">
        <v>73</v>
      </c>
      <c r="K596" t="s">
        <v>127</v>
      </c>
      <c r="L596">
        <v>25302.959999999999</v>
      </c>
      <c r="M596" s="1">
        <v>43978</v>
      </c>
      <c r="N596" t="s">
        <v>45</v>
      </c>
      <c r="O596" t="s">
        <v>46</v>
      </c>
      <c r="P596" t="s">
        <v>47</v>
      </c>
      <c r="Q596" s="1">
        <v>43852</v>
      </c>
      <c r="R596" t="s">
        <v>48</v>
      </c>
    </row>
    <row r="597" spans="1:33" x14ac:dyDescent="0.25">
      <c r="A597" t="s">
        <v>312</v>
      </c>
      <c r="B597" t="s">
        <v>305</v>
      </c>
      <c r="C597" t="s">
        <v>40</v>
      </c>
      <c r="D597" s="1">
        <v>43066</v>
      </c>
      <c r="E597" s="1">
        <v>44161</v>
      </c>
      <c r="F597" t="s">
        <v>306</v>
      </c>
      <c r="G597">
        <v>11</v>
      </c>
      <c r="H597" t="s">
        <v>223</v>
      </c>
      <c r="I597" t="s">
        <v>43</v>
      </c>
      <c r="J597" t="s">
        <v>73</v>
      </c>
      <c r="K597" t="s">
        <v>127</v>
      </c>
      <c r="L597">
        <v>25302.959999999999</v>
      </c>
      <c r="M597" s="1">
        <v>43339</v>
      </c>
      <c r="N597" t="s">
        <v>45</v>
      </c>
      <c r="O597" t="s">
        <v>46</v>
      </c>
      <c r="P597" t="s">
        <v>47</v>
      </c>
      <c r="Q597" s="1">
        <v>43852</v>
      </c>
      <c r="R597" t="s">
        <v>48</v>
      </c>
    </row>
    <row r="598" spans="1:33" x14ac:dyDescent="0.25">
      <c r="A598" t="s">
        <v>313</v>
      </c>
      <c r="B598" t="s">
        <v>305</v>
      </c>
      <c r="C598" t="s">
        <v>40</v>
      </c>
      <c r="D598" s="1">
        <v>43066</v>
      </c>
      <c r="E598" s="1">
        <v>44161</v>
      </c>
      <c r="F598" t="s">
        <v>306</v>
      </c>
      <c r="G598">
        <v>11</v>
      </c>
      <c r="H598" t="s">
        <v>223</v>
      </c>
      <c r="I598" t="s">
        <v>43</v>
      </c>
      <c r="J598" t="s">
        <v>73</v>
      </c>
      <c r="K598" t="s">
        <v>127</v>
      </c>
      <c r="L598">
        <v>25302.959999999999</v>
      </c>
      <c r="M598" s="1">
        <v>43431</v>
      </c>
      <c r="N598" t="s">
        <v>45</v>
      </c>
      <c r="O598" t="s">
        <v>46</v>
      </c>
      <c r="P598" t="s">
        <v>47</v>
      </c>
      <c r="Q598" s="1">
        <v>43852</v>
      </c>
      <c r="R598" t="s">
        <v>48</v>
      </c>
    </row>
    <row r="599" spans="1:33" x14ac:dyDescent="0.25">
      <c r="A599" t="s">
        <v>313</v>
      </c>
      <c r="B599" t="s">
        <v>305</v>
      </c>
      <c r="C599" t="s">
        <v>40</v>
      </c>
      <c r="D599" s="1">
        <v>43066</v>
      </c>
      <c r="E599" s="1">
        <v>44161</v>
      </c>
      <c r="F599" t="s">
        <v>306</v>
      </c>
      <c r="G599">
        <v>11</v>
      </c>
      <c r="H599" t="s">
        <v>223</v>
      </c>
      <c r="I599" t="s">
        <v>43</v>
      </c>
      <c r="J599" t="s">
        <v>73</v>
      </c>
      <c r="K599" t="s">
        <v>127</v>
      </c>
      <c r="L599">
        <v>25302.959999999999</v>
      </c>
      <c r="M599" s="1">
        <v>43523</v>
      </c>
      <c r="N599" t="s">
        <v>45</v>
      </c>
      <c r="O599" t="s">
        <v>46</v>
      </c>
      <c r="P599" t="s">
        <v>47</v>
      </c>
      <c r="Q599" s="1">
        <v>43852</v>
      </c>
      <c r="R599" t="s">
        <v>48</v>
      </c>
    </row>
    <row r="600" spans="1:33" x14ac:dyDescent="0.25">
      <c r="A600" t="s">
        <v>313</v>
      </c>
      <c r="B600" t="s">
        <v>305</v>
      </c>
      <c r="C600" t="s">
        <v>40</v>
      </c>
      <c r="D600" s="1">
        <v>43066</v>
      </c>
      <c r="E600" s="1">
        <v>44161</v>
      </c>
      <c r="F600" t="s">
        <v>306</v>
      </c>
      <c r="G600">
        <v>11</v>
      </c>
      <c r="H600" t="s">
        <v>223</v>
      </c>
      <c r="I600" t="s">
        <v>43</v>
      </c>
      <c r="J600" t="s">
        <v>73</v>
      </c>
      <c r="K600" t="s">
        <v>127</v>
      </c>
      <c r="L600">
        <v>25303.02</v>
      </c>
      <c r="M600" s="1">
        <v>43158</v>
      </c>
      <c r="N600" t="s">
        <v>45</v>
      </c>
      <c r="O600" t="s">
        <v>46</v>
      </c>
      <c r="P600" t="s">
        <v>47</v>
      </c>
      <c r="Q600" s="1">
        <v>43852</v>
      </c>
      <c r="R600" t="s">
        <v>48</v>
      </c>
    </row>
    <row r="601" spans="1:33" x14ac:dyDescent="0.25">
      <c r="A601" t="s">
        <v>313</v>
      </c>
      <c r="B601" t="s">
        <v>305</v>
      </c>
      <c r="C601" t="s">
        <v>40</v>
      </c>
      <c r="D601" s="1">
        <v>43066</v>
      </c>
      <c r="E601" s="1">
        <v>44161</v>
      </c>
      <c r="F601" t="s">
        <v>306</v>
      </c>
      <c r="G601">
        <v>11</v>
      </c>
      <c r="H601" t="s">
        <v>223</v>
      </c>
      <c r="I601" t="s">
        <v>43</v>
      </c>
      <c r="J601" t="s">
        <v>73</v>
      </c>
      <c r="K601" t="s">
        <v>127</v>
      </c>
      <c r="L601">
        <v>39952.080000000002</v>
      </c>
      <c r="M601" s="1">
        <v>43066</v>
      </c>
      <c r="N601" t="s">
        <v>45</v>
      </c>
      <c r="O601" t="s">
        <v>46</v>
      </c>
      <c r="P601" t="s">
        <v>47</v>
      </c>
      <c r="Q601" s="1">
        <v>43852</v>
      </c>
      <c r="R601" t="s">
        <v>48</v>
      </c>
    </row>
    <row r="602" spans="1:33" x14ac:dyDescent="0.25">
      <c r="A602" t="s">
        <v>313</v>
      </c>
      <c r="B602">
        <v>8540162</v>
      </c>
      <c r="C602" t="s">
        <v>71</v>
      </c>
      <c r="D602" s="1">
        <v>43158</v>
      </c>
      <c r="E602" s="1">
        <v>43522</v>
      </c>
      <c r="F602" t="s">
        <v>72</v>
      </c>
      <c r="G602">
        <v>1</v>
      </c>
      <c r="H602" t="s">
        <v>42</v>
      </c>
      <c r="I602" t="s">
        <v>43</v>
      </c>
      <c r="J602" t="s">
        <v>115</v>
      </c>
      <c r="K602" t="s">
        <v>44</v>
      </c>
      <c r="L602">
        <v>562.24</v>
      </c>
      <c r="M602" s="1">
        <v>43158</v>
      </c>
      <c r="N602" t="s">
        <v>45</v>
      </c>
      <c r="O602" t="s">
        <v>46</v>
      </c>
      <c r="P602" t="s">
        <v>47</v>
      </c>
      <c r="Q602" s="1">
        <v>43852</v>
      </c>
      <c r="R602" t="s">
        <v>48</v>
      </c>
    </row>
    <row r="603" spans="1:33" x14ac:dyDescent="0.25">
      <c r="A603" t="s">
        <v>313</v>
      </c>
      <c r="B603" t="s">
        <v>314</v>
      </c>
      <c r="C603" t="s">
        <v>40</v>
      </c>
      <c r="D603" s="1">
        <v>43523</v>
      </c>
      <c r="E603" s="1">
        <v>43887</v>
      </c>
      <c r="F603" t="s">
        <v>72</v>
      </c>
      <c r="G603">
        <v>1</v>
      </c>
      <c r="H603" t="s">
        <v>42</v>
      </c>
      <c r="I603" t="s">
        <v>43</v>
      </c>
      <c r="J603" t="s">
        <v>115</v>
      </c>
      <c r="K603" t="s">
        <v>44</v>
      </c>
      <c r="L603">
        <v>628.70000000000005</v>
      </c>
      <c r="M603" s="1">
        <v>43526</v>
      </c>
      <c r="N603" t="s">
        <v>45</v>
      </c>
      <c r="O603" t="s">
        <v>44</v>
      </c>
      <c r="P603" t="s">
        <v>47</v>
      </c>
      <c r="Q603" s="1">
        <v>43852</v>
      </c>
      <c r="R603" t="s">
        <v>48</v>
      </c>
    </row>
    <row r="604" spans="1:33" x14ac:dyDescent="0.25">
      <c r="A604" t="s">
        <v>313</v>
      </c>
      <c r="B604">
        <v>304001926</v>
      </c>
      <c r="C604" t="s">
        <v>71</v>
      </c>
      <c r="D604" s="1">
        <v>43191</v>
      </c>
      <c r="E604" s="1">
        <v>43555</v>
      </c>
      <c r="F604" t="s">
        <v>77</v>
      </c>
      <c r="G604">
        <v>12</v>
      </c>
      <c r="H604" t="s">
        <v>155</v>
      </c>
      <c r="I604" t="s">
        <v>43</v>
      </c>
      <c r="J604" t="s">
        <v>126</v>
      </c>
      <c r="K604" t="s">
        <v>44</v>
      </c>
      <c r="L604">
        <v>5075.5</v>
      </c>
      <c r="M604" s="1">
        <v>43191</v>
      </c>
      <c r="N604" t="s">
        <v>45</v>
      </c>
      <c r="O604" t="s">
        <v>46</v>
      </c>
      <c r="P604" t="s">
        <v>47</v>
      </c>
      <c r="Q604" s="1">
        <v>43852</v>
      </c>
      <c r="R604" t="s">
        <v>48</v>
      </c>
      <c r="S604" t="s">
        <v>156</v>
      </c>
      <c r="T604" t="s">
        <v>157</v>
      </c>
      <c r="U604" t="s">
        <v>155</v>
      </c>
      <c r="V604">
        <v>500000</v>
      </c>
      <c r="W604">
        <v>75000</v>
      </c>
      <c r="X604" s="1">
        <v>43982</v>
      </c>
      <c r="Y604" t="s">
        <v>51</v>
      </c>
      <c r="Z604" t="s">
        <v>43</v>
      </c>
      <c r="AA604" t="s">
        <v>77</v>
      </c>
      <c r="AB604" t="s">
        <v>158</v>
      </c>
      <c r="AC604" t="s">
        <v>159</v>
      </c>
      <c r="AF604" t="s">
        <v>160</v>
      </c>
      <c r="AG604" s="1">
        <v>43851</v>
      </c>
    </row>
    <row r="605" spans="1:33" x14ac:dyDescent="0.25">
      <c r="A605" t="s">
        <v>313</v>
      </c>
      <c r="B605">
        <v>304001926</v>
      </c>
      <c r="C605" t="s">
        <v>71</v>
      </c>
      <c r="D605" s="1">
        <v>43191</v>
      </c>
      <c r="E605" s="1">
        <v>43555</v>
      </c>
      <c r="F605" t="s">
        <v>77</v>
      </c>
      <c r="G605">
        <v>12</v>
      </c>
      <c r="H605" t="s">
        <v>155</v>
      </c>
      <c r="I605" t="s">
        <v>43</v>
      </c>
      <c r="J605" t="s">
        <v>126</v>
      </c>
      <c r="K605" t="s">
        <v>44</v>
      </c>
      <c r="L605">
        <v>5075.5</v>
      </c>
      <c r="M605" s="1">
        <v>43191</v>
      </c>
      <c r="N605" t="s">
        <v>45</v>
      </c>
      <c r="O605" t="s">
        <v>46</v>
      </c>
      <c r="P605" t="s">
        <v>47</v>
      </c>
      <c r="Q605" s="1">
        <v>43852</v>
      </c>
      <c r="R605" t="s">
        <v>48</v>
      </c>
      <c r="S605" t="s">
        <v>156</v>
      </c>
      <c r="T605" t="s">
        <v>157</v>
      </c>
      <c r="U605" t="s">
        <v>155</v>
      </c>
      <c r="V605">
        <v>500000</v>
      </c>
      <c r="W605">
        <v>75000</v>
      </c>
      <c r="X605" s="1">
        <v>43982</v>
      </c>
      <c r="Y605" t="s">
        <v>51</v>
      </c>
      <c r="Z605" t="s">
        <v>43</v>
      </c>
      <c r="AA605" t="s">
        <v>77</v>
      </c>
      <c r="AB605" t="s">
        <v>158</v>
      </c>
      <c r="AC605" t="s">
        <v>159</v>
      </c>
      <c r="AF605" t="s">
        <v>161</v>
      </c>
      <c r="AG605" s="1">
        <v>43851</v>
      </c>
    </row>
    <row r="606" spans="1:33" x14ac:dyDescent="0.25">
      <c r="A606" t="s">
        <v>313</v>
      </c>
      <c r="B606">
        <v>304001926</v>
      </c>
      <c r="C606" t="s">
        <v>71</v>
      </c>
      <c r="D606" s="1">
        <v>43191</v>
      </c>
      <c r="E606" s="1">
        <v>43555</v>
      </c>
      <c r="F606" t="s">
        <v>77</v>
      </c>
      <c r="G606">
        <v>12</v>
      </c>
      <c r="H606" t="s">
        <v>155</v>
      </c>
      <c r="I606" t="s">
        <v>43</v>
      </c>
      <c r="J606" t="s">
        <v>126</v>
      </c>
      <c r="K606" t="s">
        <v>44</v>
      </c>
      <c r="L606">
        <v>5075.5</v>
      </c>
      <c r="M606" s="1">
        <v>43191</v>
      </c>
      <c r="N606" t="s">
        <v>45</v>
      </c>
      <c r="O606" t="s">
        <v>46</v>
      </c>
      <c r="P606" t="s">
        <v>47</v>
      </c>
      <c r="Q606" s="1">
        <v>43852</v>
      </c>
      <c r="R606" t="s">
        <v>48</v>
      </c>
      <c r="S606" t="s">
        <v>156</v>
      </c>
      <c r="T606" t="s">
        <v>157</v>
      </c>
      <c r="U606" t="s">
        <v>155</v>
      </c>
      <c r="V606">
        <v>500000</v>
      </c>
      <c r="W606">
        <v>75000</v>
      </c>
      <c r="X606" s="1">
        <v>43982</v>
      </c>
      <c r="Y606" t="s">
        <v>51</v>
      </c>
      <c r="Z606" t="s">
        <v>43</v>
      </c>
      <c r="AA606" t="s">
        <v>77</v>
      </c>
      <c r="AB606" t="s">
        <v>158</v>
      </c>
      <c r="AC606" t="s">
        <v>159</v>
      </c>
      <c r="AF606" t="s">
        <v>162</v>
      </c>
      <c r="AG606" s="1">
        <v>43851</v>
      </c>
    </row>
    <row r="607" spans="1:33" x14ac:dyDescent="0.25">
      <c r="A607" t="s">
        <v>313</v>
      </c>
      <c r="B607">
        <v>304001926</v>
      </c>
      <c r="C607" t="s">
        <v>71</v>
      </c>
      <c r="D607" s="1">
        <v>43191</v>
      </c>
      <c r="E607" s="1">
        <v>43555</v>
      </c>
      <c r="F607" t="s">
        <v>77</v>
      </c>
      <c r="G607">
        <v>12</v>
      </c>
      <c r="H607" t="s">
        <v>155</v>
      </c>
      <c r="I607" t="s">
        <v>43</v>
      </c>
      <c r="J607" t="s">
        <v>126</v>
      </c>
      <c r="K607" t="s">
        <v>44</v>
      </c>
      <c r="L607">
        <v>5075.5</v>
      </c>
      <c r="M607" s="1">
        <v>43191</v>
      </c>
      <c r="N607" t="s">
        <v>45</v>
      </c>
      <c r="O607" t="s">
        <v>46</v>
      </c>
      <c r="P607" t="s">
        <v>47</v>
      </c>
      <c r="Q607" s="1">
        <v>43852</v>
      </c>
      <c r="R607" t="s">
        <v>48</v>
      </c>
      <c r="S607" t="s">
        <v>156</v>
      </c>
      <c r="T607" t="s">
        <v>157</v>
      </c>
      <c r="U607" t="s">
        <v>155</v>
      </c>
      <c r="V607">
        <v>500000</v>
      </c>
      <c r="W607">
        <v>75000</v>
      </c>
      <c r="X607" s="1">
        <v>43982</v>
      </c>
      <c r="Y607" t="s">
        <v>51</v>
      </c>
      <c r="Z607" t="s">
        <v>43</v>
      </c>
      <c r="AA607" t="s">
        <v>77</v>
      </c>
      <c r="AB607" t="s">
        <v>158</v>
      </c>
      <c r="AC607" t="s">
        <v>159</v>
      </c>
      <c r="AF607" t="s">
        <v>163</v>
      </c>
      <c r="AG607" s="1">
        <v>43852</v>
      </c>
    </row>
    <row r="608" spans="1:33" x14ac:dyDescent="0.25">
      <c r="A608" t="s">
        <v>313</v>
      </c>
      <c r="B608">
        <v>304001926</v>
      </c>
      <c r="C608" t="s">
        <v>71</v>
      </c>
      <c r="D608" s="1">
        <v>43191</v>
      </c>
      <c r="E608" s="1">
        <v>43555</v>
      </c>
      <c r="F608" t="s">
        <v>77</v>
      </c>
      <c r="G608">
        <v>12</v>
      </c>
      <c r="H608" t="s">
        <v>155</v>
      </c>
      <c r="I608" t="s">
        <v>43</v>
      </c>
      <c r="J608" t="s">
        <v>126</v>
      </c>
      <c r="K608" t="s">
        <v>44</v>
      </c>
      <c r="L608">
        <v>5075.5</v>
      </c>
      <c r="M608" s="1">
        <v>43191</v>
      </c>
      <c r="N608" t="s">
        <v>45</v>
      </c>
      <c r="O608" t="s">
        <v>46</v>
      </c>
      <c r="P608" t="s">
        <v>47</v>
      </c>
      <c r="Q608" s="1">
        <v>43852</v>
      </c>
      <c r="R608" t="s">
        <v>48</v>
      </c>
      <c r="S608" t="s">
        <v>164</v>
      </c>
      <c r="T608" t="s">
        <v>165</v>
      </c>
      <c r="U608" t="s">
        <v>155</v>
      </c>
      <c r="V608">
        <v>0</v>
      </c>
      <c r="W608">
        <v>50000</v>
      </c>
      <c r="X608" s="1">
        <v>43921</v>
      </c>
      <c r="Y608" t="s">
        <v>51</v>
      </c>
      <c r="Z608" t="s">
        <v>43</v>
      </c>
      <c r="AA608" t="s">
        <v>77</v>
      </c>
      <c r="AB608" t="s">
        <v>158</v>
      </c>
      <c r="AC608" t="s">
        <v>166</v>
      </c>
      <c r="AF608" t="s">
        <v>160</v>
      </c>
      <c r="AG608" s="1">
        <v>43851</v>
      </c>
    </row>
    <row r="609" spans="1:38" x14ac:dyDescent="0.25">
      <c r="A609" t="s">
        <v>313</v>
      </c>
      <c r="B609">
        <v>304001926</v>
      </c>
      <c r="C609" t="s">
        <v>71</v>
      </c>
      <c r="D609" s="1">
        <v>43191</v>
      </c>
      <c r="E609" s="1">
        <v>43555</v>
      </c>
      <c r="F609" t="s">
        <v>77</v>
      </c>
      <c r="G609">
        <v>12</v>
      </c>
      <c r="H609" t="s">
        <v>155</v>
      </c>
      <c r="I609" t="s">
        <v>43</v>
      </c>
      <c r="J609" t="s">
        <v>126</v>
      </c>
      <c r="K609" t="s">
        <v>44</v>
      </c>
      <c r="L609">
        <v>5075.5</v>
      </c>
      <c r="M609" s="1">
        <v>43191</v>
      </c>
      <c r="N609" t="s">
        <v>45</v>
      </c>
      <c r="O609" t="s">
        <v>46</v>
      </c>
      <c r="P609" t="s">
        <v>47</v>
      </c>
      <c r="Q609" s="1">
        <v>43852</v>
      </c>
      <c r="R609" t="s">
        <v>48</v>
      </c>
      <c r="S609" t="s">
        <v>164</v>
      </c>
      <c r="T609" t="s">
        <v>165</v>
      </c>
      <c r="U609" t="s">
        <v>155</v>
      </c>
      <c r="V609">
        <v>0</v>
      </c>
      <c r="W609">
        <v>50000</v>
      </c>
      <c r="X609" s="1">
        <v>43921</v>
      </c>
      <c r="Y609" t="s">
        <v>51</v>
      </c>
      <c r="Z609" t="s">
        <v>43</v>
      </c>
      <c r="AA609" t="s">
        <v>77</v>
      </c>
      <c r="AB609" t="s">
        <v>158</v>
      </c>
      <c r="AC609" t="s">
        <v>166</v>
      </c>
      <c r="AF609" t="s">
        <v>161</v>
      </c>
      <c r="AG609" s="1">
        <v>43851</v>
      </c>
    </row>
    <row r="610" spans="1:38" x14ac:dyDescent="0.25">
      <c r="A610" t="s">
        <v>313</v>
      </c>
      <c r="B610">
        <v>304001926</v>
      </c>
      <c r="C610" t="s">
        <v>71</v>
      </c>
      <c r="D610" s="1">
        <v>43191</v>
      </c>
      <c r="E610" s="1">
        <v>43555</v>
      </c>
      <c r="F610" t="s">
        <v>77</v>
      </c>
      <c r="G610">
        <v>12</v>
      </c>
      <c r="H610" t="s">
        <v>155</v>
      </c>
      <c r="I610" t="s">
        <v>43</v>
      </c>
      <c r="J610" t="s">
        <v>126</v>
      </c>
      <c r="K610" t="s">
        <v>44</v>
      </c>
      <c r="L610">
        <v>5075.5</v>
      </c>
      <c r="M610" s="1">
        <v>43191</v>
      </c>
      <c r="N610" t="s">
        <v>45</v>
      </c>
      <c r="O610" t="s">
        <v>46</v>
      </c>
      <c r="P610" t="s">
        <v>47</v>
      </c>
      <c r="Q610" s="1">
        <v>43852</v>
      </c>
      <c r="R610" t="s">
        <v>48</v>
      </c>
      <c r="S610" t="s">
        <v>164</v>
      </c>
      <c r="T610" t="s">
        <v>165</v>
      </c>
      <c r="U610" t="s">
        <v>155</v>
      </c>
      <c r="V610">
        <v>0</v>
      </c>
      <c r="W610">
        <v>50000</v>
      </c>
      <c r="X610" s="1">
        <v>43921</v>
      </c>
      <c r="Y610" t="s">
        <v>51</v>
      </c>
      <c r="Z610" t="s">
        <v>43</v>
      </c>
      <c r="AA610" t="s">
        <v>77</v>
      </c>
      <c r="AB610" t="s">
        <v>158</v>
      </c>
      <c r="AC610" t="s">
        <v>166</v>
      </c>
      <c r="AF610" t="s">
        <v>162</v>
      </c>
      <c r="AG610" s="1">
        <v>43851</v>
      </c>
    </row>
    <row r="611" spans="1:38" x14ac:dyDescent="0.25">
      <c r="A611" t="s">
        <v>313</v>
      </c>
      <c r="B611">
        <v>304001926</v>
      </c>
      <c r="C611" t="s">
        <v>71</v>
      </c>
      <c r="D611" s="1">
        <v>43191</v>
      </c>
      <c r="E611" s="1">
        <v>43555</v>
      </c>
      <c r="F611" t="s">
        <v>77</v>
      </c>
      <c r="G611">
        <v>12</v>
      </c>
      <c r="H611" t="s">
        <v>155</v>
      </c>
      <c r="I611" t="s">
        <v>43</v>
      </c>
      <c r="J611" t="s">
        <v>126</v>
      </c>
      <c r="K611" t="s">
        <v>44</v>
      </c>
      <c r="L611">
        <v>5075.5</v>
      </c>
      <c r="M611" s="1">
        <v>43191</v>
      </c>
      <c r="N611" t="s">
        <v>45</v>
      </c>
      <c r="O611" t="s">
        <v>46</v>
      </c>
      <c r="P611" t="s">
        <v>47</v>
      </c>
      <c r="Q611" s="1">
        <v>43852</v>
      </c>
      <c r="R611" t="s">
        <v>48</v>
      </c>
      <c r="S611" t="s">
        <v>164</v>
      </c>
      <c r="T611" t="s">
        <v>165</v>
      </c>
      <c r="U611" t="s">
        <v>155</v>
      </c>
      <c r="V611">
        <v>0</v>
      </c>
      <c r="W611">
        <v>50000</v>
      </c>
      <c r="X611" s="1">
        <v>43921</v>
      </c>
      <c r="Y611" t="s">
        <v>51</v>
      </c>
      <c r="Z611" t="s">
        <v>43</v>
      </c>
      <c r="AA611" t="s">
        <v>77</v>
      </c>
      <c r="AB611" t="s">
        <v>158</v>
      </c>
      <c r="AC611" t="s">
        <v>166</v>
      </c>
      <c r="AF611" t="s">
        <v>163</v>
      </c>
      <c r="AG611" s="1">
        <v>43852</v>
      </c>
    </row>
    <row r="612" spans="1:38" x14ac:dyDescent="0.25">
      <c r="A612" t="s">
        <v>313</v>
      </c>
      <c r="B612">
        <v>304003761</v>
      </c>
      <c r="C612" t="s">
        <v>40</v>
      </c>
      <c r="D612" s="1">
        <v>43556</v>
      </c>
      <c r="E612" s="1">
        <v>43921</v>
      </c>
      <c r="F612" t="s">
        <v>77</v>
      </c>
      <c r="G612">
        <v>3</v>
      </c>
      <c r="H612" t="s">
        <v>125</v>
      </c>
      <c r="I612" t="s">
        <v>43</v>
      </c>
      <c r="J612" t="s">
        <v>126</v>
      </c>
      <c r="K612" t="s">
        <v>44</v>
      </c>
      <c r="L612">
        <v>5206</v>
      </c>
      <c r="M612" s="1">
        <v>43556</v>
      </c>
      <c r="N612" t="s">
        <v>45</v>
      </c>
      <c r="O612" t="s">
        <v>44</v>
      </c>
      <c r="P612" t="s">
        <v>47</v>
      </c>
      <c r="Q612" s="1">
        <v>43852</v>
      </c>
      <c r="R612" t="s">
        <v>48</v>
      </c>
    </row>
    <row r="613" spans="1:38" x14ac:dyDescent="0.25">
      <c r="A613" t="s">
        <v>66</v>
      </c>
      <c r="B613" t="s">
        <v>315</v>
      </c>
      <c r="C613" t="s">
        <v>40</v>
      </c>
      <c r="D613" s="1">
        <v>43494</v>
      </c>
      <c r="E613" s="1">
        <v>43858</v>
      </c>
      <c r="F613" t="s">
        <v>72</v>
      </c>
      <c r="G613">
        <v>13</v>
      </c>
      <c r="H613" t="s">
        <v>316</v>
      </c>
      <c r="I613" t="s">
        <v>43</v>
      </c>
      <c r="J613" t="s">
        <v>115</v>
      </c>
      <c r="K613" t="s">
        <v>68</v>
      </c>
      <c r="L613">
        <v>5462.5</v>
      </c>
      <c r="M613" s="1">
        <v>43494</v>
      </c>
      <c r="N613" t="s">
        <v>45</v>
      </c>
      <c r="O613" t="s">
        <v>46</v>
      </c>
      <c r="P613" t="s">
        <v>47</v>
      </c>
      <c r="Q613" s="1">
        <v>43852</v>
      </c>
      <c r="R613" t="s">
        <v>48</v>
      </c>
    </row>
    <row r="614" spans="1:38" x14ac:dyDescent="0.25">
      <c r="A614" t="s">
        <v>69</v>
      </c>
      <c r="B614" t="s">
        <v>317</v>
      </c>
      <c r="C614" t="s">
        <v>40</v>
      </c>
      <c r="D614" s="1">
        <v>43472</v>
      </c>
      <c r="E614" s="1">
        <v>43836</v>
      </c>
      <c r="F614" t="s">
        <v>41</v>
      </c>
      <c r="G614">
        <v>1</v>
      </c>
      <c r="H614" t="s">
        <v>42</v>
      </c>
      <c r="I614" t="s">
        <v>43</v>
      </c>
      <c r="J614" t="s">
        <v>41</v>
      </c>
      <c r="K614" t="s">
        <v>44</v>
      </c>
      <c r="L614">
        <v>13612.5</v>
      </c>
      <c r="M614" s="1">
        <v>43472</v>
      </c>
      <c r="N614" t="s">
        <v>45</v>
      </c>
      <c r="O614" t="s">
        <v>106</v>
      </c>
      <c r="P614" t="s">
        <v>47</v>
      </c>
      <c r="Q614" s="1">
        <v>43852</v>
      </c>
      <c r="R614" t="s">
        <v>48</v>
      </c>
      <c r="S614" t="s">
        <v>49</v>
      </c>
      <c r="T614" t="s">
        <v>50</v>
      </c>
      <c r="U614" t="s">
        <v>42</v>
      </c>
      <c r="V614">
        <v>0</v>
      </c>
      <c r="W614">
        <v>100000</v>
      </c>
      <c r="X614" s="1">
        <v>44012</v>
      </c>
      <c r="Y614" t="s">
        <v>51</v>
      </c>
      <c r="Z614" t="s">
        <v>43</v>
      </c>
      <c r="AA614" t="s">
        <v>41</v>
      </c>
      <c r="AB614" t="s">
        <v>52</v>
      </c>
      <c r="AC614" t="s">
        <v>53</v>
      </c>
      <c r="AF614" t="s">
        <v>54</v>
      </c>
      <c r="AG614" s="1">
        <v>43832</v>
      </c>
      <c r="AH614" t="s">
        <v>42</v>
      </c>
      <c r="AI614" t="s">
        <v>55</v>
      </c>
      <c r="AJ614">
        <v>12788092</v>
      </c>
      <c r="AK614">
        <v>250000</v>
      </c>
      <c r="AL614">
        <v>1500000</v>
      </c>
    </row>
    <row r="615" spans="1:38" x14ac:dyDescent="0.25">
      <c r="A615" t="s">
        <v>69</v>
      </c>
      <c r="B615" t="s">
        <v>317</v>
      </c>
      <c r="C615" t="s">
        <v>40</v>
      </c>
      <c r="D615" s="1">
        <v>43472</v>
      </c>
      <c r="E615" s="1">
        <v>43836</v>
      </c>
      <c r="F615" t="s">
        <v>41</v>
      </c>
      <c r="G615">
        <v>1</v>
      </c>
      <c r="H615" t="s">
        <v>42</v>
      </c>
      <c r="I615" t="s">
        <v>43</v>
      </c>
      <c r="J615" t="s">
        <v>41</v>
      </c>
      <c r="K615" t="s">
        <v>44</v>
      </c>
      <c r="L615">
        <v>13612.5</v>
      </c>
      <c r="M615" s="1">
        <v>43472</v>
      </c>
      <c r="N615" t="s">
        <v>45</v>
      </c>
      <c r="O615" t="s">
        <v>106</v>
      </c>
      <c r="P615" t="s">
        <v>47</v>
      </c>
      <c r="Q615" s="1">
        <v>43852</v>
      </c>
      <c r="R615" t="s">
        <v>48</v>
      </c>
      <c r="S615" t="s">
        <v>49</v>
      </c>
      <c r="T615" t="s">
        <v>50</v>
      </c>
      <c r="U615" t="s">
        <v>42</v>
      </c>
      <c r="V615">
        <v>0</v>
      </c>
      <c r="W615">
        <v>100000</v>
      </c>
      <c r="X615" s="1">
        <v>44012</v>
      </c>
      <c r="Y615" t="s">
        <v>51</v>
      </c>
      <c r="Z615" t="s">
        <v>43</v>
      </c>
      <c r="AA615" t="s">
        <v>41</v>
      </c>
      <c r="AB615" t="s">
        <v>52</v>
      </c>
      <c r="AC615" t="s">
        <v>53</v>
      </c>
      <c r="AF615" t="s">
        <v>56</v>
      </c>
      <c r="AG615" s="1">
        <v>43833</v>
      </c>
      <c r="AH615" t="s">
        <v>42</v>
      </c>
      <c r="AI615" t="s">
        <v>55</v>
      </c>
      <c r="AJ615">
        <v>12788092</v>
      </c>
      <c r="AK615">
        <v>250000</v>
      </c>
      <c r="AL615">
        <v>1500000</v>
      </c>
    </row>
    <row r="616" spans="1:38" x14ac:dyDescent="0.25">
      <c r="A616" t="s">
        <v>69</v>
      </c>
      <c r="B616" t="s">
        <v>317</v>
      </c>
      <c r="C616" t="s">
        <v>40</v>
      </c>
      <c r="D616" s="1">
        <v>43472</v>
      </c>
      <c r="E616" s="1">
        <v>43836</v>
      </c>
      <c r="F616" t="s">
        <v>41</v>
      </c>
      <c r="G616">
        <v>1</v>
      </c>
      <c r="H616" t="s">
        <v>42</v>
      </c>
      <c r="I616" t="s">
        <v>43</v>
      </c>
      <c r="J616" t="s">
        <v>41</v>
      </c>
      <c r="K616" t="s">
        <v>44</v>
      </c>
      <c r="L616">
        <v>13612.5</v>
      </c>
      <c r="M616" s="1">
        <v>43472</v>
      </c>
      <c r="N616" t="s">
        <v>45</v>
      </c>
      <c r="O616" t="s">
        <v>106</v>
      </c>
      <c r="P616" t="s">
        <v>47</v>
      </c>
      <c r="Q616" s="1">
        <v>43852</v>
      </c>
      <c r="R616" t="s">
        <v>48</v>
      </c>
      <c r="S616" t="s">
        <v>49</v>
      </c>
      <c r="T616" t="s">
        <v>50</v>
      </c>
      <c r="U616" t="s">
        <v>42</v>
      </c>
      <c r="V616">
        <v>0</v>
      </c>
      <c r="W616">
        <v>100000</v>
      </c>
      <c r="X616" s="1">
        <v>44012</v>
      </c>
      <c r="Y616" t="s">
        <v>51</v>
      </c>
      <c r="Z616" t="s">
        <v>43</v>
      </c>
      <c r="AA616" t="s">
        <v>41</v>
      </c>
      <c r="AB616" t="s">
        <v>52</v>
      </c>
      <c r="AC616" t="s">
        <v>53</v>
      </c>
      <c r="AF616" t="s">
        <v>57</v>
      </c>
      <c r="AG616" s="1">
        <v>43836</v>
      </c>
      <c r="AH616" t="s">
        <v>42</v>
      </c>
      <c r="AI616" t="s">
        <v>55</v>
      </c>
      <c r="AJ616">
        <v>12788092</v>
      </c>
      <c r="AK616">
        <v>250000</v>
      </c>
      <c r="AL616">
        <v>1500000</v>
      </c>
    </row>
    <row r="617" spans="1:38" x14ac:dyDescent="0.25">
      <c r="A617" t="s">
        <v>69</v>
      </c>
      <c r="B617" t="s">
        <v>317</v>
      </c>
      <c r="C617" t="s">
        <v>40</v>
      </c>
      <c r="D617" s="1">
        <v>43472</v>
      </c>
      <c r="E617" s="1">
        <v>43836</v>
      </c>
      <c r="F617" t="s">
        <v>41</v>
      </c>
      <c r="G617">
        <v>1</v>
      </c>
      <c r="H617" t="s">
        <v>42</v>
      </c>
      <c r="I617" t="s">
        <v>43</v>
      </c>
      <c r="J617" t="s">
        <v>41</v>
      </c>
      <c r="K617" t="s">
        <v>44</v>
      </c>
      <c r="L617">
        <v>13612.5</v>
      </c>
      <c r="M617" s="1">
        <v>43472</v>
      </c>
      <c r="N617" t="s">
        <v>45</v>
      </c>
      <c r="O617" t="s">
        <v>106</v>
      </c>
      <c r="P617" t="s">
        <v>47</v>
      </c>
      <c r="Q617" s="1">
        <v>43852</v>
      </c>
      <c r="R617" t="s">
        <v>48</v>
      </c>
      <c r="S617" t="s">
        <v>49</v>
      </c>
      <c r="T617" t="s">
        <v>50</v>
      </c>
      <c r="U617" t="s">
        <v>42</v>
      </c>
      <c r="V617">
        <v>0</v>
      </c>
      <c r="W617">
        <v>100000</v>
      </c>
      <c r="X617" s="1">
        <v>44012</v>
      </c>
      <c r="Y617" t="s">
        <v>51</v>
      </c>
      <c r="Z617" t="s">
        <v>43</v>
      </c>
      <c r="AA617" t="s">
        <v>41</v>
      </c>
      <c r="AB617" t="s">
        <v>52</v>
      </c>
      <c r="AC617" t="s">
        <v>53</v>
      </c>
      <c r="AF617" t="s">
        <v>58</v>
      </c>
      <c r="AG617" s="1">
        <v>43837</v>
      </c>
      <c r="AH617" t="s">
        <v>42</v>
      </c>
      <c r="AI617" t="s">
        <v>55</v>
      </c>
      <c r="AJ617">
        <v>12788092</v>
      </c>
      <c r="AK617">
        <v>250000</v>
      </c>
      <c r="AL617">
        <v>1500000</v>
      </c>
    </row>
    <row r="618" spans="1:38" x14ac:dyDescent="0.25">
      <c r="A618" t="s">
        <v>69</v>
      </c>
      <c r="B618" t="s">
        <v>317</v>
      </c>
      <c r="C618" t="s">
        <v>40</v>
      </c>
      <c r="D618" s="1">
        <v>43472</v>
      </c>
      <c r="E618" s="1">
        <v>43836</v>
      </c>
      <c r="F618" t="s">
        <v>41</v>
      </c>
      <c r="G618">
        <v>1</v>
      </c>
      <c r="H618" t="s">
        <v>42</v>
      </c>
      <c r="I618" t="s">
        <v>43</v>
      </c>
      <c r="J618" t="s">
        <v>41</v>
      </c>
      <c r="K618" t="s">
        <v>44</v>
      </c>
      <c r="L618">
        <v>13612.5</v>
      </c>
      <c r="M618" s="1">
        <v>43472</v>
      </c>
      <c r="N618" t="s">
        <v>45</v>
      </c>
      <c r="O618" t="s">
        <v>106</v>
      </c>
      <c r="P618" t="s">
        <v>47</v>
      </c>
      <c r="Q618" s="1">
        <v>43852</v>
      </c>
      <c r="R618" t="s">
        <v>48</v>
      </c>
      <c r="S618" t="s">
        <v>49</v>
      </c>
      <c r="T618" t="s">
        <v>50</v>
      </c>
      <c r="U618" t="s">
        <v>42</v>
      </c>
      <c r="V618">
        <v>0</v>
      </c>
      <c r="W618">
        <v>100000</v>
      </c>
      <c r="X618" s="1">
        <v>44012</v>
      </c>
      <c r="Y618" t="s">
        <v>51</v>
      </c>
      <c r="Z618" t="s">
        <v>43</v>
      </c>
      <c r="AA618" t="s">
        <v>41</v>
      </c>
      <c r="AB618" t="s">
        <v>52</v>
      </c>
      <c r="AC618" t="s">
        <v>53</v>
      </c>
      <c r="AF618" t="s">
        <v>59</v>
      </c>
      <c r="AG618" s="1">
        <v>43838</v>
      </c>
      <c r="AH618" t="s">
        <v>42</v>
      </c>
      <c r="AI618" t="s">
        <v>55</v>
      </c>
      <c r="AJ618">
        <v>12788092</v>
      </c>
      <c r="AK618">
        <v>250000</v>
      </c>
      <c r="AL618">
        <v>1500000</v>
      </c>
    </row>
    <row r="619" spans="1:38" x14ac:dyDescent="0.25">
      <c r="A619" t="s">
        <v>69</v>
      </c>
      <c r="B619" t="s">
        <v>317</v>
      </c>
      <c r="C619" t="s">
        <v>40</v>
      </c>
      <c r="D619" s="1">
        <v>43472</v>
      </c>
      <c r="E619" s="1">
        <v>43836</v>
      </c>
      <c r="F619" t="s">
        <v>41</v>
      </c>
      <c r="G619">
        <v>1</v>
      </c>
      <c r="H619" t="s">
        <v>42</v>
      </c>
      <c r="I619" t="s">
        <v>43</v>
      </c>
      <c r="J619" t="s">
        <v>41</v>
      </c>
      <c r="K619" t="s">
        <v>44</v>
      </c>
      <c r="L619">
        <v>13612.5</v>
      </c>
      <c r="M619" s="1">
        <v>43472</v>
      </c>
      <c r="N619" t="s">
        <v>45</v>
      </c>
      <c r="O619" t="s">
        <v>106</v>
      </c>
      <c r="P619" t="s">
        <v>47</v>
      </c>
      <c r="Q619" s="1">
        <v>43852</v>
      </c>
      <c r="R619" t="s">
        <v>48</v>
      </c>
      <c r="S619" t="s">
        <v>60</v>
      </c>
      <c r="T619" t="s">
        <v>61</v>
      </c>
      <c r="U619" t="s">
        <v>42</v>
      </c>
      <c r="V619">
        <v>0</v>
      </c>
      <c r="W619">
        <v>100000</v>
      </c>
      <c r="X619" s="1">
        <v>43921</v>
      </c>
      <c r="Y619" t="s">
        <v>51</v>
      </c>
      <c r="Z619" t="s">
        <v>43</v>
      </c>
      <c r="AA619" t="s">
        <v>41</v>
      </c>
      <c r="AB619" t="s">
        <v>52</v>
      </c>
      <c r="AC619" t="s">
        <v>53</v>
      </c>
      <c r="AF619" t="s">
        <v>54</v>
      </c>
      <c r="AG619" s="1">
        <v>43832</v>
      </c>
      <c r="AH619" t="s">
        <v>42</v>
      </c>
      <c r="AI619" t="s">
        <v>55</v>
      </c>
      <c r="AJ619">
        <v>12788092</v>
      </c>
      <c r="AK619">
        <v>250000</v>
      </c>
      <c r="AL619">
        <v>1500000</v>
      </c>
    </row>
    <row r="620" spans="1:38" x14ac:dyDescent="0.25">
      <c r="A620" t="s">
        <v>69</v>
      </c>
      <c r="B620" t="s">
        <v>317</v>
      </c>
      <c r="C620" t="s">
        <v>40</v>
      </c>
      <c r="D620" s="1">
        <v>43472</v>
      </c>
      <c r="E620" s="1">
        <v>43836</v>
      </c>
      <c r="F620" t="s">
        <v>41</v>
      </c>
      <c r="G620">
        <v>1</v>
      </c>
      <c r="H620" t="s">
        <v>42</v>
      </c>
      <c r="I620" t="s">
        <v>43</v>
      </c>
      <c r="J620" t="s">
        <v>41</v>
      </c>
      <c r="K620" t="s">
        <v>44</v>
      </c>
      <c r="L620">
        <v>13612.5</v>
      </c>
      <c r="M620" s="1">
        <v>43472</v>
      </c>
      <c r="N620" t="s">
        <v>45</v>
      </c>
      <c r="O620" t="s">
        <v>106</v>
      </c>
      <c r="P620" t="s">
        <v>47</v>
      </c>
      <c r="Q620" s="1">
        <v>43852</v>
      </c>
      <c r="R620" t="s">
        <v>48</v>
      </c>
      <c r="S620" t="s">
        <v>60</v>
      </c>
      <c r="T620" t="s">
        <v>61</v>
      </c>
      <c r="U620" t="s">
        <v>42</v>
      </c>
      <c r="V620">
        <v>0</v>
      </c>
      <c r="W620">
        <v>100000</v>
      </c>
      <c r="X620" s="1">
        <v>43921</v>
      </c>
      <c r="Y620" t="s">
        <v>51</v>
      </c>
      <c r="Z620" t="s">
        <v>43</v>
      </c>
      <c r="AA620" t="s">
        <v>41</v>
      </c>
      <c r="AB620" t="s">
        <v>52</v>
      </c>
      <c r="AC620" t="s">
        <v>53</v>
      </c>
      <c r="AF620" t="s">
        <v>56</v>
      </c>
      <c r="AG620" s="1">
        <v>43833</v>
      </c>
      <c r="AH620" t="s">
        <v>42</v>
      </c>
      <c r="AI620" t="s">
        <v>55</v>
      </c>
      <c r="AJ620">
        <v>12788092</v>
      </c>
      <c r="AK620">
        <v>250000</v>
      </c>
      <c r="AL620">
        <v>1500000</v>
      </c>
    </row>
    <row r="621" spans="1:38" x14ac:dyDescent="0.25">
      <c r="A621" t="s">
        <v>69</v>
      </c>
      <c r="B621" t="s">
        <v>317</v>
      </c>
      <c r="C621" t="s">
        <v>40</v>
      </c>
      <c r="D621" s="1">
        <v>43472</v>
      </c>
      <c r="E621" s="1">
        <v>43836</v>
      </c>
      <c r="F621" t="s">
        <v>41</v>
      </c>
      <c r="G621">
        <v>1</v>
      </c>
      <c r="H621" t="s">
        <v>42</v>
      </c>
      <c r="I621" t="s">
        <v>43</v>
      </c>
      <c r="J621" t="s">
        <v>41</v>
      </c>
      <c r="K621" t="s">
        <v>44</v>
      </c>
      <c r="L621">
        <v>13612.5</v>
      </c>
      <c r="M621" s="1">
        <v>43472</v>
      </c>
      <c r="N621" t="s">
        <v>45</v>
      </c>
      <c r="O621" t="s">
        <v>106</v>
      </c>
      <c r="P621" t="s">
        <v>47</v>
      </c>
      <c r="Q621" s="1">
        <v>43852</v>
      </c>
      <c r="R621" t="s">
        <v>48</v>
      </c>
      <c r="S621" t="s">
        <v>60</v>
      </c>
      <c r="T621" t="s">
        <v>61</v>
      </c>
      <c r="U621" t="s">
        <v>42</v>
      </c>
      <c r="V621">
        <v>0</v>
      </c>
      <c r="W621">
        <v>100000</v>
      </c>
      <c r="X621" s="1">
        <v>43921</v>
      </c>
      <c r="Y621" t="s">
        <v>51</v>
      </c>
      <c r="Z621" t="s">
        <v>43</v>
      </c>
      <c r="AA621" t="s">
        <v>41</v>
      </c>
      <c r="AB621" t="s">
        <v>52</v>
      </c>
      <c r="AC621" t="s">
        <v>53</v>
      </c>
      <c r="AF621" t="s">
        <v>57</v>
      </c>
      <c r="AG621" s="1">
        <v>43836</v>
      </c>
      <c r="AH621" t="s">
        <v>42</v>
      </c>
      <c r="AI621" t="s">
        <v>55</v>
      </c>
      <c r="AJ621">
        <v>12788092</v>
      </c>
      <c r="AK621">
        <v>250000</v>
      </c>
      <c r="AL621">
        <v>1500000</v>
      </c>
    </row>
    <row r="622" spans="1:38" x14ac:dyDescent="0.25">
      <c r="A622" t="s">
        <v>69</v>
      </c>
      <c r="B622" t="s">
        <v>317</v>
      </c>
      <c r="C622" t="s">
        <v>40</v>
      </c>
      <c r="D622" s="1">
        <v>43472</v>
      </c>
      <c r="E622" s="1">
        <v>43836</v>
      </c>
      <c r="F622" t="s">
        <v>41</v>
      </c>
      <c r="G622">
        <v>1</v>
      </c>
      <c r="H622" t="s">
        <v>42</v>
      </c>
      <c r="I622" t="s">
        <v>43</v>
      </c>
      <c r="J622" t="s">
        <v>41</v>
      </c>
      <c r="K622" t="s">
        <v>44</v>
      </c>
      <c r="L622">
        <v>13612.5</v>
      </c>
      <c r="M622" s="1">
        <v>43472</v>
      </c>
      <c r="N622" t="s">
        <v>45</v>
      </c>
      <c r="O622" t="s">
        <v>106</v>
      </c>
      <c r="P622" t="s">
        <v>47</v>
      </c>
      <c r="Q622" s="1">
        <v>43852</v>
      </c>
      <c r="R622" t="s">
        <v>48</v>
      </c>
      <c r="S622" t="s">
        <v>60</v>
      </c>
      <c r="T622" t="s">
        <v>61</v>
      </c>
      <c r="U622" t="s">
        <v>42</v>
      </c>
      <c r="V622">
        <v>0</v>
      </c>
      <c r="W622">
        <v>100000</v>
      </c>
      <c r="X622" s="1">
        <v>43921</v>
      </c>
      <c r="Y622" t="s">
        <v>51</v>
      </c>
      <c r="Z622" t="s">
        <v>43</v>
      </c>
      <c r="AA622" t="s">
        <v>41</v>
      </c>
      <c r="AB622" t="s">
        <v>52</v>
      </c>
      <c r="AC622" t="s">
        <v>53</v>
      </c>
      <c r="AF622" t="s">
        <v>58</v>
      </c>
      <c r="AG622" s="1">
        <v>43837</v>
      </c>
      <c r="AH622" t="s">
        <v>42</v>
      </c>
      <c r="AI622" t="s">
        <v>55</v>
      </c>
      <c r="AJ622">
        <v>12788092</v>
      </c>
      <c r="AK622">
        <v>250000</v>
      </c>
      <c r="AL622">
        <v>1500000</v>
      </c>
    </row>
    <row r="623" spans="1:38" x14ac:dyDescent="0.25">
      <c r="A623" t="s">
        <v>69</v>
      </c>
      <c r="B623" t="s">
        <v>317</v>
      </c>
      <c r="C623" t="s">
        <v>40</v>
      </c>
      <c r="D623" s="1">
        <v>43472</v>
      </c>
      <c r="E623" s="1">
        <v>43836</v>
      </c>
      <c r="F623" t="s">
        <v>41</v>
      </c>
      <c r="G623">
        <v>1</v>
      </c>
      <c r="H623" t="s">
        <v>42</v>
      </c>
      <c r="I623" t="s">
        <v>43</v>
      </c>
      <c r="J623" t="s">
        <v>41</v>
      </c>
      <c r="K623" t="s">
        <v>44</v>
      </c>
      <c r="L623">
        <v>13612.5</v>
      </c>
      <c r="M623" s="1">
        <v>43472</v>
      </c>
      <c r="N623" t="s">
        <v>45</v>
      </c>
      <c r="O623" t="s">
        <v>106</v>
      </c>
      <c r="P623" t="s">
        <v>47</v>
      </c>
      <c r="Q623" s="1">
        <v>43852</v>
      </c>
      <c r="R623" t="s">
        <v>48</v>
      </c>
      <c r="S623" t="s">
        <v>60</v>
      </c>
      <c r="T623" t="s">
        <v>61</v>
      </c>
      <c r="U623" t="s">
        <v>42</v>
      </c>
      <c r="V623">
        <v>0</v>
      </c>
      <c r="W623">
        <v>100000</v>
      </c>
      <c r="X623" s="1">
        <v>43921</v>
      </c>
      <c r="Y623" t="s">
        <v>51</v>
      </c>
      <c r="Z623" t="s">
        <v>43</v>
      </c>
      <c r="AA623" t="s">
        <v>41</v>
      </c>
      <c r="AB623" t="s">
        <v>52</v>
      </c>
      <c r="AC623" t="s">
        <v>53</v>
      </c>
      <c r="AF623" t="s">
        <v>59</v>
      </c>
      <c r="AG623" s="1">
        <v>43838</v>
      </c>
      <c r="AH623" t="s">
        <v>42</v>
      </c>
      <c r="AI623" t="s">
        <v>55</v>
      </c>
      <c r="AJ623">
        <v>12788092</v>
      </c>
      <c r="AK623">
        <v>250000</v>
      </c>
      <c r="AL623">
        <v>1500000</v>
      </c>
    </row>
    <row r="624" spans="1:38" x14ac:dyDescent="0.25">
      <c r="A624" t="s">
        <v>69</v>
      </c>
      <c r="B624" t="s">
        <v>317</v>
      </c>
      <c r="C624" t="s">
        <v>40</v>
      </c>
      <c r="D624" s="1">
        <v>43472</v>
      </c>
      <c r="E624" s="1">
        <v>43836</v>
      </c>
      <c r="F624" t="s">
        <v>41</v>
      </c>
      <c r="G624">
        <v>1</v>
      </c>
      <c r="H624" t="s">
        <v>42</v>
      </c>
      <c r="I624" t="s">
        <v>43</v>
      </c>
      <c r="J624" t="s">
        <v>41</v>
      </c>
      <c r="K624" t="s">
        <v>44</v>
      </c>
      <c r="L624">
        <v>13612.5</v>
      </c>
      <c r="M624" s="1">
        <v>43472</v>
      </c>
      <c r="N624" t="s">
        <v>45</v>
      </c>
      <c r="O624" t="s">
        <v>106</v>
      </c>
      <c r="P624" t="s">
        <v>47</v>
      </c>
      <c r="Q624" s="1">
        <v>43852</v>
      </c>
      <c r="R624" t="s">
        <v>48</v>
      </c>
      <c r="S624" t="s">
        <v>62</v>
      </c>
      <c r="T624" t="s">
        <v>63</v>
      </c>
      <c r="U624" t="s">
        <v>42</v>
      </c>
      <c r="V624">
        <v>0</v>
      </c>
      <c r="W624">
        <v>100000</v>
      </c>
      <c r="X624" s="1">
        <v>43982</v>
      </c>
      <c r="Y624" t="s">
        <v>51</v>
      </c>
      <c r="Z624" t="s">
        <v>43</v>
      </c>
      <c r="AA624" t="s">
        <v>41</v>
      </c>
      <c r="AB624" t="s">
        <v>52</v>
      </c>
      <c r="AC624" t="s">
        <v>53</v>
      </c>
      <c r="AF624" t="s">
        <v>54</v>
      </c>
      <c r="AG624" s="1">
        <v>43832</v>
      </c>
      <c r="AH624" t="s">
        <v>42</v>
      </c>
      <c r="AI624" t="s">
        <v>55</v>
      </c>
      <c r="AJ624">
        <v>12788092</v>
      </c>
      <c r="AK624">
        <v>250000</v>
      </c>
      <c r="AL624">
        <v>1500000</v>
      </c>
    </row>
    <row r="625" spans="1:38" x14ac:dyDescent="0.25">
      <c r="A625" t="s">
        <v>69</v>
      </c>
      <c r="B625" t="s">
        <v>317</v>
      </c>
      <c r="C625" t="s">
        <v>40</v>
      </c>
      <c r="D625" s="1">
        <v>43472</v>
      </c>
      <c r="E625" s="1">
        <v>43836</v>
      </c>
      <c r="F625" t="s">
        <v>41</v>
      </c>
      <c r="G625">
        <v>1</v>
      </c>
      <c r="H625" t="s">
        <v>42</v>
      </c>
      <c r="I625" t="s">
        <v>43</v>
      </c>
      <c r="J625" t="s">
        <v>41</v>
      </c>
      <c r="K625" t="s">
        <v>44</v>
      </c>
      <c r="L625">
        <v>13612.5</v>
      </c>
      <c r="M625" s="1">
        <v>43472</v>
      </c>
      <c r="N625" t="s">
        <v>45</v>
      </c>
      <c r="O625" t="s">
        <v>106</v>
      </c>
      <c r="P625" t="s">
        <v>47</v>
      </c>
      <c r="Q625" s="1">
        <v>43852</v>
      </c>
      <c r="R625" t="s">
        <v>48</v>
      </c>
      <c r="S625" t="s">
        <v>62</v>
      </c>
      <c r="T625" t="s">
        <v>63</v>
      </c>
      <c r="U625" t="s">
        <v>42</v>
      </c>
      <c r="V625">
        <v>0</v>
      </c>
      <c r="W625">
        <v>100000</v>
      </c>
      <c r="X625" s="1">
        <v>43982</v>
      </c>
      <c r="Y625" t="s">
        <v>51</v>
      </c>
      <c r="Z625" t="s">
        <v>43</v>
      </c>
      <c r="AA625" t="s">
        <v>41</v>
      </c>
      <c r="AB625" t="s">
        <v>52</v>
      </c>
      <c r="AC625" t="s">
        <v>53</v>
      </c>
      <c r="AF625" t="s">
        <v>56</v>
      </c>
      <c r="AG625" s="1">
        <v>43833</v>
      </c>
      <c r="AH625" t="s">
        <v>42</v>
      </c>
      <c r="AI625" t="s">
        <v>55</v>
      </c>
      <c r="AJ625">
        <v>12788092</v>
      </c>
      <c r="AK625">
        <v>250000</v>
      </c>
      <c r="AL625">
        <v>1500000</v>
      </c>
    </row>
    <row r="626" spans="1:38" x14ac:dyDescent="0.25">
      <c r="A626" t="s">
        <v>69</v>
      </c>
      <c r="B626" t="s">
        <v>317</v>
      </c>
      <c r="C626" t="s">
        <v>40</v>
      </c>
      <c r="D626" s="1">
        <v>43472</v>
      </c>
      <c r="E626" s="1">
        <v>43836</v>
      </c>
      <c r="F626" t="s">
        <v>41</v>
      </c>
      <c r="G626">
        <v>1</v>
      </c>
      <c r="H626" t="s">
        <v>42</v>
      </c>
      <c r="I626" t="s">
        <v>43</v>
      </c>
      <c r="J626" t="s">
        <v>41</v>
      </c>
      <c r="K626" t="s">
        <v>44</v>
      </c>
      <c r="L626">
        <v>13612.5</v>
      </c>
      <c r="M626" s="1">
        <v>43472</v>
      </c>
      <c r="N626" t="s">
        <v>45</v>
      </c>
      <c r="O626" t="s">
        <v>106</v>
      </c>
      <c r="P626" t="s">
        <v>47</v>
      </c>
      <c r="Q626" s="1">
        <v>43852</v>
      </c>
      <c r="R626" t="s">
        <v>48</v>
      </c>
      <c r="S626" t="s">
        <v>62</v>
      </c>
      <c r="T626" t="s">
        <v>63</v>
      </c>
      <c r="U626" t="s">
        <v>42</v>
      </c>
      <c r="V626">
        <v>0</v>
      </c>
      <c r="W626">
        <v>100000</v>
      </c>
      <c r="X626" s="1">
        <v>43982</v>
      </c>
      <c r="Y626" t="s">
        <v>51</v>
      </c>
      <c r="Z626" t="s">
        <v>43</v>
      </c>
      <c r="AA626" t="s">
        <v>41</v>
      </c>
      <c r="AB626" t="s">
        <v>52</v>
      </c>
      <c r="AC626" t="s">
        <v>53</v>
      </c>
      <c r="AF626" t="s">
        <v>57</v>
      </c>
      <c r="AG626" s="1">
        <v>43836</v>
      </c>
      <c r="AH626" t="s">
        <v>42</v>
      </c>
      <c r="AI626" t="s">
        <v>55</v>
      </c>
      <c r="AJ626">
        <v>12788092</v>
      </c>
      <c r="AK626">
        <v>250000</v>
      </c>
      <c r="AL626">
        <v>1500000</v>
      </c>
    </row>
    <row r="627" spans="1:38" x14ac:dyDescent="0.25">
      <c r="A627" t="s">
        <v>69</v>
      </c>
      <c r="B627" t="s">
        <v>317</v>
      </c>
      <c r="C627" t="s">
        <v>40</v>
      </c>
      <c r="D627" s="1">
        <v>43472</v>
      </c>
      <c r="E627" s="1">
        <v>43836</v>
      </c>
      <c r="F627" t="s">
        <v>41</v>
      </c>
      <c r="G627">
        <v>1</v>
      </c>
      <c r="H627" t="s">
        <v>42</v>
      </c>
      <c r="I627" t="s">
        <v>43</v>
      </c>
      <c r="J627" t="s">
        <v>41</v>
      </c>
      <c r="K627" t="s">
        <v>44</v>
      </c>
      <c r="L627">
        <v>13612.5</v>
      </c>
      <c r="M627" s="1">
        <v>43472</v>
      </c>
      <c r="N627" t="s">
        <v>45</v>
      </c>
      <c r="O627" t="s">
        <v>106</v>
      </c>
      <c r="P627" t="s">
        <v>47</v>
      </c>
      <c r="Q627" s="1">
        <v>43852</v>
      </c>
      <c r="R627" t="s">
        <v>48</v>
      </c>
      <c r="S627" t="s">
        <v>62</v>
      </c>
      <c r="T627" t="s">
        <v>63</v>
      </c>
      <c r="U627" t="s">
        <v>42</v>
      </c>
      <c r="V627">
        <v>0</v>
      </c>
      <c r="W627">
        <v>100000</v>
      </c>
      <c r="X627" s="1">
        <v>43982</v>
      </c>
      <c r="Y627" t="s">
        <v>51</v>
      </c>
      <c r="Z627" t="s">
        <v>43</v>
      </c>
      <c r="AA627" t="s">
        <v>41</v>
      </c>
      <c r="AB627" t="s">
        <v>52</v>
      </c>
      <c r="AC627" t="s">
        <v>53</v>
      </c>
      <c r="AF627" t="s">
        <v>58</v>
      </c>
      <c r="AG627" s="1">
        <v>43837</v>
      </c>
      <c r="AH627" t="s">
        <v>42</v>
      </c>
      <c r="AI627" t="s">
        <v>55</v>
      </c>
      <c r="AJ627">
        <v>12788092</v>
      </c>
      <c r="AK627">
        <v>250000</v>
      </c>
      <c r="AL627">
        <v>1500000</v>
      </c>
    </row>
    <row r="628" spans="1:38" x14ac:dyDescent="0.25">
      <c r="A628" t="s">
        <v>69</v>
      </c>
      <c r="B628" t="s">
        <v>317</v>
      </c>
      <c r="C628" t="s">
        <v>40</v>
      </c>
      <c r="D628" s="1">
        <v>43472</v>
      </c>
      <c r="E628" s="1">
        <v>43836</v>
      </c>
      <c r="F628" t="s">
        <v>41</v>
      </c>
      <c r="G628">
        <v>1</v>
      </c>
      <c r="H628" t="s">
        <v>42</v>
      </c>
      <c r="I628" t="s">
        <v>43</v>
      </c>
      <c r="J628" t="s">
        <v>41</v>
      </c>
      <c r="K628" t="s">
        <v>44</v>
      </c>
      <c r="L628">
        <v>13612.5</v>
      </c>
      <c r="M628" s="1">
        <v>43472</v>
      </c>
      <c r="N628" t="s">
        <v>45</v>
      </c>
      <c r="O628" t="s">
        <v>106</v>
      </c>
      <c r="P628" t="s">
        <v>47</v>
      </c>
      <c r="Q628" s="1">
        <v>43852</v>
      </c>
      <c r="R628" t="s">
        <v>48</v>
      </c>
      <c r="S628" t="s">
        <v>62</v>
      </c>
      <c r="T628" t="s">
        <v>63</v>
      </c>
      <c r="U628" t="s">
        <v>42</v>
      </c>
      <c r="V628">
        <v>0</v>
      </c>
      <c r="W628">
        <v>100000</v>
      </c>
      <c r="X628" s="1">
        <v>43982</v>
      </c>
      <c r="Y628" t="s">
        <v>51</v>
      </c>
      <c r="Z628" t="s">
        <v>43</v>
      </c>
      <c r="AA628" t="s">
        <v>41</v>
      </c>
      <c r="AB628" t="s">
        <v>52</v>
      </c>
      <c r="AC628" t="s">
        <v>53</v>
      </c>
      <c r="AF628" t="s">
        <v>59</v>
      </c>
      <c r="AG628" s="1">
        <v>43838</v>
      </c>
      <c r="AH628" t="s">
        <v>42</v>
      </c>
      <c r="AI628" t="s">
        <v>55</v>
      </c>
      <c r="AJ628">
        <v>12788092</v>
      </c>
      <c r="AK628">
        <v>250000</v>
      </c>
      <c r="AL628">
        <v>1500000</v>
      </c>
    </row>
    <row r="629" spans="1:38" x14ac:dyDescent="0.25">
      <c r="A629" t="s">
        <v>69</v>
      </c>
      <c r="B629" t="s">
        <v>317</v>
      </c>
      <c r="C629" t="s">
        <v>40</v>
      </c>
      <c r="D629" s="1">
        <v>43472</v>
      </c>
      <c r="E629" s="1">
        <v>43836</v>
      </c>
      <c r="F629" t="s">
        <v>41</v>
      </c>
      <c r="G629">
        <v>1</v>
      </c>
      <c r="H629" t="s">
        <v>42</v>
      </c>
      <c r="I629" t="s">
        <v>43</v>
      </c>
      <c r="J629" t="s">
        <v>41</v>
      </c>
      <c r="K629" t="s">
        <v>44</v>
      </c>
      <c r="L629">
        <v>13612.5</v>
      </c>
      <c r="M629" s="1">
        <v>43472</v>
      </c>
      <c r="N629" t="s">
        <v>45</v>
      </c>
      <c r="O629" t="s">
        <v>106</v>
      </c>
      <c r="P629" t="s">
        <v>47</v>
      </c>
      <c r="Q629" s="1">
        <v>43852</v>
      </c>
      <c r="R629" t="s">
        <v>48</v>
      </c>
      <c r="S629" t="s">
        <v>64</v>
      </c>
      <c r="T629" t="s">
        <v>65</v>
      </c>
      <c r="U629" t="s">
        <v>42</v>
      </c>
      <c r="V629">
        <v>0</v>
      </c>
      <c r="W629">
        <v>100000</v>
      </c>
      <c r="X629" s="1">
        <v>43921</v>
      </c>
      <c r="Y629" t="s">
        <v>51</v>
      </c>
      <c r="Z629" t="s">
        <v>43</v>
      </c>
      <c r="AA629" t="s">
        <v>41</v>
      </c>
      <c r="AB629" t="s">
        <v>52</v>
      </c>
      <c r="AC629" t="s">
        <v>53</v>
      </c>
      <c r="AF629" t="s">
        <v>54</v>
      </c>
      <c r="AG629" s="1">
        <v>43832</v>
      </c>
      <c r="AH629" t="s">
        <v>42</v>
      </c>
      <c r="AI629" t="s">
        <v>55</v>
      </c>
      <c r="AJ629">
        <v>12788092</v>
      </c>
      <c r="AK629">
        <v>250000</v>
      </c>
      <c r="AL629">
        <v>1500000</v>
      </c>
    </row>
    <row r="630" spans="1:38" x14ac:dyDescent="0.25">
      <c r="A630" t="s">
        <v>69</v>
      </c>
      <c r="B630" t="s">
        <v>317</v>
      </c>
      <c r="C630" t="s">
        <v>40</v>
      </c>
      <c r="D630" s="1">
        <v>43472</v>
      </c>
      <c r="E630" s="1">
        <v>43836</v>
      </c>
      <c r="F630" t="s">
        <v>41</v>
      </c>
      <c r="G630">
        <v>1</v>
      </c>
      <c r="H630" t="s">
        <v>42</v>
      </c>
      <c r="I630" t="s">
        <v>43</v>
      </c>
      <c r="J630" t="s">
        <v>41</v>
      </c>
      <c r="K630" t="s">
        <v>44</v>
      </c>
      <c r="L630">
        <v>13612.5</v>
      </c>
      <c r="M630" s="1">
        <v>43472</v>
      </c>
      <c r="N630" t="s">
        <v>45</v>
      </c>
      <c r="O630" t="s">
        <v>106</v>
      </c>
      <c r="P630" t="s">
        <v>47</v>
      </c>
      <c r="Q630" s="1">
        <v>43852</v>
      </c>
      <c r="R630" t="s">
        <v>48</v>
      </c>
      <c r="S630" t="s">
        <v>64</v>
      </c>
      <c r="T630" t="s">
        <v>65</v>
      </c>
      <c r="U630" t="s">
        <v>42</v>
      </c>
      <c r="V630">
        <v>0</v>
      </c>
      <c r="W630">
        <v>100000</v>
      </c>
      <c r="X630" s="1">
        <v>43921</v>
      </c>
      <c r="Y630" t="s">
        <v>51</v>
      </c>
      <c r="Z630" t="s">
        <v>43</v>
      </c>
      <c r="AA630" t="s">
        <v>41</v>
      </c>
      <c r="AB630" t="s">
        <v>52</v>
      </c>
      <c r="AC630" t="s">
        <v>53</v>
      </c>
      <c r="AF630" t="s">
        <v>56</v>
      </c>
      <c r="AG630" s="1">
        <v>43833</v>
      </c>
      <c r="AH630" t="s">
        <v>42</v>
      </c>
      <c r="AI630" t="s">
        <v>55</v>
      </c>
      <c r="AJ630">
        <v>12788092</v>
      </c>
      <c r="AK630">
        <v>250000</v>
      </c>
      <c r="AL630">
        <v>1500000</v>
      </c>
    </row>
    <row r="631" spans="1:38" x14ac:dyDescent="0.25">
      <c r="A631" t="s">
        <v>69</v>
      </c>
      <c r="B631" t="s">
        <v>317</v>
      </c>
      <c r="C631" t="s">
        <v>40</v>
      </c>
      <c r="D631" s="1">
        <v>43472</v>
      </c>
      <c r="E631" s="1">
        <v>43836</v>
      </c>
      <c r="F631" t="s">
        <v>41</v>
      </c>
      <c r="G631">
        <v>1</v>
      </c>
      <c r="H631" t="s">
        <v>42</v>
      </c>
      <c r="I631" t="s">
        <v>43</v>
      </c>
      <c r="J631" t="s">
        <v>41</v>
      </c>
      <c r="K631" t="s">
        <v>44</v>
      </c>
      <c r="L631">
        <v>13612.5</v>
      </c>
      <c r="M631" s="1">
        <v>43472</v>
      </c>
      <c r="N631" t="s">
        <v>45</v>
      </c>
      <c r="O631" t="s">
        <v>106</v>
      </c>
      <c r="P631" t="s">
        <v>47</v>
      </c>
      <c r="Q631" s="1">
        <v>43852</v>
      </c>
      <c r="R631" t="s">
        <v>48</v>
      </c>
      <c r="S631" t="s">
        <v>64</v>
      </c>
      <c r="T631" t="s">
        <v>65</v>
      </c>
      <c r="U631" t="s">
        <v>42</v>
      </c>
      <c r="V631">
        <v>0</v>
      </c>
      <c r="W631">
        <v>100000</v>
      </c>
      <c r="X631" s="1">
        <v>43921</v>
      </c>
      <c r="Y631" t="s">
        <v>51</v>
      </c>
      <c r="Z631" t="s">
        <v>43</v>
      </c>
      <c r="AA631" t="s">
        <v>41</v>
      </c>
      <c r="AB631" t="s">
        <v>52</v>
      </c>
      <c r="AC631" t="s">
        <v>53</v>
      </c>
      <c r="AF631" t="s">
        <v>57</v>
      </c>
      <c r="AG631" s="1">
        <v>43836</v>
      </c>
      <c r="AH631" t="s">
        <v>42</v>
      </c>
      <c r="AI631" t="s">
        <v>55</v>
      </c>
      <c r="AJ631">
        <v>12788092</v>
      </c>
      <c r="AK631">
        <v>250000</v>
      </c>
      <c r="AL631">
        <v>1500000</v>
      </c>
    </row>
    <row r="632" spans="1:38" x14ac:dyDescent="0.25">
      <c r="A632" t="s">
        <v>69</v>
      </c>
      <c r="B632" t="s">
        <v>317</v>
      </c>
      <c r="C632" t="s">
        <v>40</v>
      </c>
      <c r="D632" s="1">
        <v>43472</v>
      </c>
      <c r="E632" s="1">
        <v>43836</v>
      </c>
      <c r="F632" t="s">
        <v>41</v>
      </c>
      <c r="G632">
        <v>1</v>
      </c>
      <c r="H632" t="s">
        <v>42</v>
      </c>
      <c r="I632" t="s">
        <v>43</v>
      </c>
      <c r="J632" t="s">
        <v>41</v>
      </c>
      <c r="K632" t="s">
        <v>44</v>
      </c>
      <c r="L632">
        <v>13612.5</v>
      </c>
      <c r="M632" s="1">
        <v>43472</v>
      </c>
      <c r="N632" t="s">
        <v>45</v>
      </c>
      <c r="O632" t="s">
        <v>106</v>
      </c>
      <c r="P632" t="s">
        <v>47</v>
      </c>
      <c r="Q632" s="1">
        <v>43852</v>
      </c>
      <c r="R632" t="s">
        <v>48</v>
      </c>
      <c r="S632" t="s">
        <v>64</v>
      </c>
      <c r="T632" t="s">
        <v>65</v>
      </c>
      <c r="U632" t="s">
        <v>42</v>
      </c>
      <c r="V632">
        <v>0</v>
      </c>
      <c r="W632">
        <v>100000</v>
      </c>
      <c r="X632" s="1">
        <v>43921</v>
      </c>
      <c r="Y632" t="s">
        <v>51</v>
      </c>
      <c r="Z632" t="s">
        <v>43</v>
      </c>
      <c r="AA632" t="s">
        <v>41</v>
      </c>
      <c r="AB632" t="s">
        <v>52</v>
      </c>
      <c r="AC632" t="s">
        <v>53</v>
      </c>
      <c r="AF632" t="s">
        <v>58</v>
      </c>
      <c r="AG632" s="1">
        <v>43837</v>
      </c>
      <c r="AH632" t="s">
        <v>42</v>
      </c>
      <c r="AI632" t="s">
        <v>55</v>
      </c>
      <c r="AJ632">
        <v>12788092</v>
      </c>
      <c r="AK632">
        <v>250000</v>
      </c>
      <c r="AL632">
        <v>1500000</v>
      </c>
    </row>
    <row r="633" spans="1:38" x14ac:dyDescent="0.25">
      <c r="A633" t="s">
        <v>69</v>
      </c>
      <c r="B633" t="s">
        <v>317</v>
      </c>
      <c r="C633" t="s">
        <v>40</v>
      </c>
      <c r="D633" s="1">
        <v>43472</v>
      </c>
      <c r="E633" s="1">
        <v>43836</v>
      </c>
      <c r="F633" t="s">
        <v>41</v>
      </c>
      <c r="G633">
        <v>1</v>
      </c>
      <c r="H633" t="s">
        <v>42</v>
      </c>
      <c r="I633" t="s">
        <v>43</v>
      </c>
      <c r="J633" t="s">
        <v>41</v>
      </c>
      <c r="K633" t="s">
        <v>44</v>
      </c>
      <c r="L633">
        <v>13612.5</v>
      </c>
      <c r="M633" s="1">
        <v>43472</v>
      </c>
      <c r="N633" t="s">
        <v>45</v>
      </c>
      <c r="O633" t="s">
        <v>106</v>
      </c>
      <c r="P633" t="s">
        <v>47</v>
      </c>
      <c r="Q633" s="1">
        <v>43852</v>
      </c>
      <c r="R633" t="s">
        <v>48</v>
      </c>
      <c r="S633" t="s">
        <v>64</v>
      </c>
      <c r="T633" t="s">
        <v>65</v>
      </c>
      <c r="U633" t="s">
        <v>42</v>
      </c>
      <c r="V633">
        <v>0</v>
      </c>
      <c r="W633">
        <v>100000</v>
      </c>
      <c r="X633" s="1">
        <v>43921</v>
      </c>
      <c r="Y633" t="s">
        <v>51</v>
      </c>
      <c r="Z633" t="s">
        <v>43</v>
      </c>
      <c r="AA633" t="s">
        <v>41</v>
      </c>
      <c r="AB633" t="s">
        <v>52</v>
      </c>
      <c r="AC633" t="s">
        <v>53</v>
      </c>
      <c r="AF633" t="s">
        <v>59</v>
      </c>
      <c r="AG633" s="1">
        <v>43838</v>
      </c>
      <c r="AH633" t="s">
        <v>42</v>
      </c>
      <c r="AI633" t="s">
        <v>55</v>
      </c>
      <c r="AJ633">
        <v>12788092</v>
      </c>
      <c r="AK633">
        <v>250000</v>
      </c>
      <c r="AL633">
        <v>1500000</v>
      </c>
    </row>
    <row r="634" spans="1:38" x14ac:dyDescent="0.25">
      <c r="A634" t="s">
        <v>74</v>
      </c>
      <c r="B634" t="s">
        <v>317</v>
      </c>
      <c r="C634" t="s">
        <v>40</v>
      </c>
      <c r="D634" s="1">
        <v>43472</v>
      </c>
      <c r="E634" s="1">
        <v>43836</v>
      </c>
      <c r="F634" t="s">
        <v>41</v>
      </c>
      <c r="G634">
        <v>1</v>
      </c>
      <c r="H634" t="s">
        <v>42</v>
      </c>
      <c r="I634" t="s">
        <v>43</v>
      </c>
      <c r="J634" t="s">
        <v>41</v>
      </c>
      <c r="K634" t="s">
        <v>44</v>
      </c>
      <c r="L634">
        <v>6991.55</v>
      </c>
      <c r="M634" s="1">
        <v>43559</v>
      </c>
      <c r="N634" t="s">
        <v>108</v>
      </c>
      <c r="O634" t="s">
        <v>106</v>
      </c>
      <c r="P634" t="s">
        <v>47</v>
      </c>
      <c r="Q634" s="1">
        <v>43852</v>
      </c>
      <c r="R634" t="s">
        <v>48</v>
      </c>
      <c r="S634" t="s">
        <v>49</v>
      </c>
      <c r="T634" t="s">
        <v>50</v>
      </c>
      <c r="U634" t="s">
        <v>42</v>
      </c>
      <c r="V634">
        <v>0</v>
      </c>
      <c r="W634">
        <v>100000</v>
      </c>
      <c r="X634" s="1">
        <v>44012</v>
      </c>
      <c r="Y634" t="s">
        <v>51</v>
      </c>
      <c r="Z634" t="s">
        <v>43</v>
      </c>
      <c r="AA634" t="s">
        <v>41</v>
      </c>
      <c r="AB634" t="s">
        <v>52</v>
      </c>
      <c r="AC634" t="s">
        <v>53</v>
      </c>
      <c r="AF634" t="s">
        <v>54</v>
      </c>
      <c r="AG634" s="1">
        <v>43832</v>
      </c>
      <c r="AH634" t="s">
        <v>42</v>
      </c>
      <c r="AI634" t="s">
        <v>55</v>
      </c>
      <c r="AJ634">
        <v>12788092</v>
      </c>
      <c r="AK634">
        <v>250000</v>
      </c>
      <c r="AL634">
        <v>1500000</v>
      </c>
    </row>
    <row r="635" spans="1:38" x14ac:dyDescent="0.25">
      <c r="A635" t="s">
        <v>74</v>
      </c>
      <c r="B635" t="s">
        <v>317</v>
      </c>
      <c r="C635" t="s">
        <v>40</v>
      </c>
      <c r="D635" s="1">
        <v>43472</v>
      </c>
      <c r="E635" s="1">
        <v>43836</v>
      </c>
      <c r="F635" t="s">
        <v>41</v>
      </c>
      <c r="G635">
        <v>1</v>
      </c>
      <c r="H635" t="s">
        <v>42</v>
      </c>
      <c r="I635" t="s">
        <v>43</v>
      </c>
      <c r="J635" t="s">
        <v>41</v>
      </c>
      <c r="K635" t="s">
        <v>44</v>
      </c>
      <c r="L635">
        <v>6991.55</v>
      </c>
      <c r="M635" s="1">
        <v>43559</v>
      </c>
      <c r="N635" t="s">
        <v>108</v>
      </c>
      <c r="O635" t="s">
        <v>106</v>
      </c>
      <c r="P635" t="s">
        <v>47</v>
      </c>
      <c r="Q635" s="1">
        <v>43852</v>
      </c>
      <c r="R635" t="s">
        <v>48</v>
      </c>
      <c r="S635" t="s">
        <v>49</v>
      </c>
      <c r="T635" t="s">
        <v>50</v>
      </c>
      <c r="U635" t="s">
        <v>42</v>
      </c>
      <c r="V635">
        <v>0</v>
      </c>
      <c r="W635">
        <v>100000</v>
      </c>
      <c r="X635" s="1">
        <v>44012</v>
      </c>
      <c r="Y635" t="s">
        <v>51</v>
      </c>
      <c r="Z635" t="s">
        <v>43</v>
      </c>
      <c r="AA635" t="s">
        <v>41</v>
      </c>
      <c r="AB635" t="s">
        <v>52</v>
      </c>
      <c r="AC635" t="s">
        <v>53</v>
      </c>
      <c r="AF635" t="s">
        <v>56</v>
      </c>
      <c r="AG635" s="1">
        <v>43833</v>
      </c>
      <c r="AH635" t="s">
        <v>42</v>
      </c>
      <c r="AI635" t="s">
        <v>55</v>
      </c>
      <c r="AJ635">
        <v>12788092</v>
      </c>
      <c r="AK635">
        <v>250000</v>
      </c>
      <c r="AL635">
        <v>1500000</v>
      </c>
    </row>
    <row r="636" spans="1:38" x14ac:dyDescent="0.25">
      <c r="A636" t="s">
        <v>74</v>
      </c>
      <c r="B636" t="s">
        <v>317</v>
      </c>
      <c r="C636" t="s">
        <v>40</v>
      </c>
      <c r="D636" s="1">
        <v>43472</v>
      </c>
      <c r="E636" s="1">
        <v>43836</v>
      </c>
      <c r="F636" t="s">
        <v>41</v>
      </c>
      <c r="G636">
        <v>1</v>
      </c>
      <c r="H636" t="s">
        <v>42</v>
      </c>
      <c r="I636" t="s">
        <v>43</v>
      </c>
      <c r="J636" t="s">
        <v>41</v>
      </c>
      <c r="K636" t="s">
        <v>44</v>
      </c>
      <c r="L636">
        <v>6991.55</v>
      </c>
      <c r="M636" s="1">
        <v>43559</v>
      </c>
      <c r="N636" t="s">
        <v>108</v>
      </c>
      <c r="O636" t="s">
        <v>106</v>
      </c>
      <c r="P636" t="s">
        <v>47</v>
      </c>
      <c r="Q636" s="1">
        <v>43852</v>
      </c>
      <c r="R636" t="s">
        <v>48</v>
      </c>
      <c r="S636" t="s">
        <v>49</v>
      </c>
      <c r="T636" t="s">
        <v>50</v>
      </c>
      <c r="U636" t="s">
        <v>42</v>
      </c>
      <c r="V636">
        <v>0</v>
      </c>
      <c r="W636">
        <v>100000</v>
      </c>
      <c r="X636" s="1">
        <v>44012</v>
      </c>
      <c r="Y636" t="s">
        <v>51</v>
      </c>
      <c r="Z636" t="s">
        <v>43</v>
      </c>
      <c r="AA636" t="s">
        <v>41</v>
      </c>
      <c r="AB636" t="s">
        <v>52</v>
      </c>
      <c r="AC636" t="s">
        <v>53</v>
      </c>
      <c r="AF636" t="s">
        <v>57</v>
      </c>
      <c r="AG636" s="1">
        <v>43836</v>
      </c>
      <c r="AH636" t="s">
        <v>42</v>
      </c>
      <c r="AI636" t="s">
        <v>55</v>
      </c>
      <c r="AJ636">
        <v>12788092</v>
      </c>
      <c r="AK636">
        <v>250000</v>
      </c>
      <c r="AL636">
        <v>1500000</v>
      </c>
    </row>
    <row r="637" spans="1:38" x14ac:dyDescent="0.25">
      <c r="A637" t="s">
        <v>74</v>
      </c>
      <c r="B637" t="s">
        <v>317</v>
      </c>
      <c r="C637" t="s">
        <v>40</v>
      </c>
      <c r="D637" s="1">
        <v>43472</v>
      </c>
      <c r="E637" s="1">
        <v>43836</v>
      </c>
      <c r="F637" t="s">
        <v>41</v>
      </c>
      <c r="G637">
        <v>1</v>
      </c>
      <c r="H637" t="s">
        <v>42</v>
      </c>
      <c r="I637" t="s">
        <v>43</v>
      </c>
      <c r="J637" t="s">
        <v>41</v>
      </c>
      <c r="K637" t="s">
        <v>44</v>
      </c>
      <c r="L637">
        <v>6991.55</v>
      </c>
      <c r="M637" s="1">
        <v>43559</v>
      </c>
      <c r="N637" t="s">
        <v>108</v>
      </c>
      <c r="O637" t="s">
        <v>106</v>
      </c>
      <c r="P637" t="s">
        <v>47</v>
      </c>
      <c r="Q637" s="1">
        <v>43852</v>
      </c>
      <c r="R637" t="s">
        <v>48</v>
      </c>
      <c r="S637" t="s">
        <v>49</v>
      </c>
      <c r="T637" t="s">
        <v>50</v>
      </c>
      <c r="U637" t="s">
        <v>42</v>
      </c>
      <c r="V637">
        <v>0</v>
      </c>
      <c r="W637">
        <v>100000</v>
      </c>
      <c r="X637" s="1">
        <v>44012</v>
      </c>
      <c r="Y637" t="s">
        <v>51</v>
      </c>
      <c r="Z637" t="s">
        <v>43</v>
      </c>
      <c r="AA637" t="s">
        <v>41</v>
      </c>
      <c r="AB637" t="s">
        <v>52</v>
      </c>
      <c r="AC637" t="s">
        <v>53</v>
      </c>
      <c r="AF637" t="s">
        <v>58</v>
      </c>
      <c r="AG637" s="1">
        <v>43837</v>
      </c>
      <c r="AH637" t="s">
        <v>42</v>
      </c>
      <c r="AI637" t="s">
        <v>55</v>
      </c>
      <c r="AJ637">
        <v>12788092</v>
      </c>
      <c r="AK637">
        <v>250000</v>
      </c>
      <c r="AL637">
        <v>1500000</v>
      </c>
    </row>
    <row r="638" spans="1:38" x14ac:dyDescent="0.25">
      <c r="A638" t="s">
        <v>74</v>
      </c>
      <c r="B638" t="s">
        <v>317</v>
      </c>
      <c r="C638" t="s">
        <v>40</v>
      </c>
      <c r="D638" s="1">
        <v>43472</v>
      </c>
      <c r="E638" s="1">
        <v>43836</v>
      </c>
      <c r="F638" t="s">
        <v>41</v>
      </c>
      <c r="G638">
        <v>1</v>
      </c>
      <c r="H638" t="s">
        <v>42</v>
      </c>
      <c r="I638" t="s">
        <v>43</v>
      </c>
      <c r="J638" t="s">
        <v>41</v>
      </c>
      <c r="K638" t="s">
        <v>44</v>
      </c>
      <c r="L638">
        <v>6991.55</v>
      </c>
      <c r="M638" s="1">
        <v>43559</v>
      </c>
      <c r="N638" t="s">
        <v>108</v>
      </c>
      <c r="O638" t="s">
        <v>106</v>
      </c>
      <c r="P638" t="s">
        <v>47</v>
      </c>
      <c r="Q638" s="1">
        <v>43852</v>
      </c>
      <c r="R638" t="s">
        <v>48</v>
      </c>
      <c r="S638" t="s">
        <v>49</v>
      </c>
      <c r="T638" t="s">
        <v>50</v>
      </c>
      <c r="U638" t="s">
        <v>42</v>
      </c>
      <c r="V638">
        <v>0</v>
      </c>
      <c r="W638">
        <v>100000</v>
      </c>
      <c r="X638" s="1">
        <v>44012</v>
      </c>
      <c r="Y638" t="s">
        <v>51</v>
      </c>
      <c r="Z638" t="s">
        <v>43</v>
      </c>
      <c r="AA638" t="s">
        <v>41</v>
      </c>
      <c r="AB638" t="s">
        <v>52</v>
      </c>
      <c r="AC638" t="s">
        <v>53</v>
      </c>
      <c r="AF638" t="s">
        <v>59</v>
      </c>
      <c r="AG638" s="1">
        <v>43838</v>
      </c>
      <c r="AH638" t="s">
        <v>42</v>
      </c>
      <c r="AI638" t="s">
        <v>55</v>
      </c>
      <c r="AJ638">
        <v>12788092</v>
      </c>
      <c r="AK638">
        <v>250000</v>
      </c>
      <c r="AL638">
        <v>1500000</v>
      </c>
    </row>
    <row r="639" spans="1:38" x14ac:dyDescent="0.25">
      <c r="A639" t="s">
        <v>74</v>
      </c>
      <c r="B639" t="s">
        <v>317</v>
      </c>
      <c r="C639" t="s">
        <v>40</v>
      </c>
      <c r="D639" s="1">
        <v>43472</v>
      </c>
      <c r="E639" s="1">
        <v>43836</v>
      </c>
      <c r="F639" t="s">
        <v>41</v>
      </c>
      <c r="G639">
        <v>1</v>
      </c>
      <c r="H639" t="s">
        <v>42</v>
      </c>
      <c r="I639" t="s">
        <v>43</v>
      </c>
      <c r="J639" t="s">
        <v>41</v>
      </c>
      <c r="K639" t="s">
        <v>44</v>
      </c>
      <c r="L639">
        <v>6991.55</v>
      </c>
      <c r="M639" s="1">
        <v>43559</v>
      </c>
      <c r="N639" t="s">
        <v>108</v>
      </c>
      <c r="O639" t="s">
        <v>106</v>
      </c>
      <c r="P639" t="s">
        <v>47</v>
      </c>
      <c r="Q639" s="1">
        <v>43852</v>
      </c>
      <c r="R639" t="s">
        <v>48</v>
      </c>
      <c r="S639" t="s">
        <v>60</v>
      </c>
      <c r="T639" t="s">
        <v>61</v>
      </c>
      <c r="U639" t="s">
        <v>42</v>
      </c>
      <c r="V639">
        <v>0</v>
      </c>
      <c r="W639">
        <v>100000</v>
      </c>
      <c r="X639" s="1">
        <v>43921</v>
      </c>
      <c r="Y639" t="s">
        <v>51</v>
      </c>
      <c r="Z639" t="s">
        <v>43</v>
      </c>
      <c r="AA639" t="s">
        <v>41</v>
      </c>
      <c r="AB639" t="s">
        <v>52</v>
      </c>
      <c r="AC639" t="s">
        <v>53</v>
      </c>
      <c r="AF639" t="s">
        <v>54</v>
      </c>
      <c r="AG639" s="1">
        <v>43832</v>
      </c>
      <c r="AH639" t="s">
        <v>42</v>
      </c>
      <c r="AI639" t="s">
        <v>55</v>
      </c>
      <c r="AJ639">
        <v>12788092</v>
      </c>
      <c r="AK639">
        <v>250000</v>
      </c>
      <c r="AL639">
        <v>1500000</v>
      </c>
    </row>
    <row r="640" spans="1:38" x14ac:dyDescent="0.25">
      <c r="A640" t="s">
        <v>74</v>
      </c>
      <c r="B640" t="s">
        <v>317</v>
      </c>
      <c r="C640" t="s">
        <v>40</v>
      </c>
      <c r="D640" s="1">
        <v>43472</v>
      </c>
      <c r="E640" s="1">
        <v>43836</v>
      </c>
      <c r="F640" t="s">
        <v>41</v>
      </c>
      <c r="G640">
        <v>1</v>
      </c>
      <c r="H640" t="s">
        <v>42</v>
      </c>
      <c r="I640" t="s">
        <v>43</v>
      </c>
      <c r="J640" t="s">
        <v>41</v>
      </c>
      <c r="K640" t="s">
        <v>44</v>
      </c>
      <c r="L640">
        <v>6991.55</v>
      </c>
      <c r="M640" s="1">
        <v>43559</v>
      </c>
      <c r="N640" t="s">
        <v>108</v>
      </c>
      <c r="O640" t="s">
        <v>106</v>
      </c>
      <c r="P640" t="s">
        <v>47</v>
      </c>
      <c r="Q640" s="1">
        <v>43852</v>
      </c>
      <c r="R640" t="s">
        <v>48</v>
      </c>
      <c r="S640" t="s">
        <v>60</v>
      </c>
      <c r="T640" t="s">
        <v>61</v>
      </c>
      <c r="U640" t="s">
        <v>42</v>
      </c>
      <c r="V640">
        <v>0</v>
      </c>
      <c r="W640">
        <v>100000</v>
      </c>
      <c r="X640" s="1">
        <v>43921</v>
      </c>
      <c r="Y640" t="s">
        <v>51</v>
      </c>
      <c r="Z640" t="s">
        <v>43</v>
      </c>
      <c r="AA640" t="s">
        <v>41</v>
      </c>
      <c r="AB640" t="s">
        <v>52</v>
      </c>
      <c r="AC640" t="s">
        <v>53</v>
      </c>
      <c r="AF640" t="s">
        <v>56</v>
      </c>
      <c r="AG640" s="1">
        <v>43833</v>
      </c>
      <c r="AH640" t="s">
        <v>42</v>
      </c>
      <c r="AI640" t="s">
        <v>55</v>
      </c>
      <c r="AJ640">
        <v>12788092</v>
      </c>
      <c r="AK640">
        <v>250000</v>
      </c>
      <c r="AL640">
        <v>1500000</v>
      </c>
    </row>
    <row r="641" spans="1:38" x14ac:dyDescent="0.25">
      <c r="A641" t="s">
        <v>74</v>
      </c>
      <c r="B641" t="s">
        <v>317</v>
      </c>
      <c r="C641" t="s">
        <v>40</v>
      </c>
      <c r="D641" s="1">
        <v>43472</v>
      </c>
      <c r="E641" s="1">
        <v>43836</v>
      </c>
      <c r="F641" t="s">
        <v>41</v>
      </c>
      <c r="G641">
        <v>1</v>
      </c>
      <c r="H641" t="s">
        <v>42</v>
      </c>
      <c r="I641" t="s">
        <v>43</v>
      </c>
      <c r="J641" t="s">
        <v>41</v>
      </c>
      <c r="K641" t="s">
        <v>44</v>
      </c>
      <c r="L641">
        <v>6991.55</v>
      </c>
      <c r="M641" s="1">
        <v>43559</v>
      </c>
      <c r="N641" t="s">
        <v>108</v>
      </c>
      <c r="O641" t="s">
        <v>106</v>
      </c>
      <c r="P641" t="s">
        <v>47</v>
      </c>
      <c r="Q641" s="1">
        <v>43852</v>
      </c>
      <c r="R641" t="s">
        <v>48</v>
      </c>
      <c r="S641" t="s">
        <v>60</v>
      </c>
      <c r="T641" t="s">
        <v>61</v>
      </c>
      <c r="U641" t="s">
        <v>42</v>
      </c>
      <c r="V641">
        <v>0</v>
      </c>
      <c r="W641">
        <v>100000</v>
      </c>
      <c r="X641" s="1">
        <v>43921</v>
      </c>
      <c r="Y641" t="s">
        <v>51</v>
      </c>
      <c r="Z641" t="s">
        <v>43</v>
      </c>
      <c r="AA641" t="s">
        <v>41</v>
      </c>
      <c r="AB641" t="s">
        <v>52</v>
      </c>
      <c r="AC641" t="s">
        <v>53</v>
      </c>
      <c r="AF641" t="s">
        <v>57</v>
      </c>
      <c r="AG641" s="1">
        <v>43836</v>
      </c>
      <c r="AH641" t="s">
        <v>42</v>
      </c>
      <c r="AI641" t="s">
        <v>55</v>
      </c>
      <c r="AJ641">
        <v>12788092</v>
      </c>
      <c r="AK641">
        <v>250000</v>
      </c>
      <c r="AL641">
        <v>1500000</v>
      </c>
    </row>
    <row r="642" spans="1:38" x14ac:dyDescent="0.25">
      <c r="A642" t="s">
        <v>74</v>
      </c>
      <c r="B642" t="s">
        <v>317</v>
      </c>
      <c r="C642" t="s">
        <v>40</v>
      </c>
      <c r="D642" s="1">
        <v>43472</v>
      </c>
      <c r="E642" s="1">
        <v>43836</v>
      </c>
      <c r="F642" t="s">
        <v>41</v>
      </c>
      <c r="G642">
        <v>1</v>
      </c>
      <c r="H642" t="s">
        <v>42</v>
      </c>
      <c r="I642" t="s">
        <v>43</v>
      </c>
      <c r="J642" t="s">
        <v>41</v>
      </c>
      <c r="K642" t="s">
        <v>44</v>
      </c>
      <c r="L642">
        <v>6991.55</v>
      </c>
      <c r="M642" s="1">
        <v>43559</v>
      </c>
      <c r="N642" t="s">
        <v>108</v>
      </c>
      <c r="O642" t="s">
        <v>106</v>
      </c>
      <c r="P642" t="s">
        <v>47</v>
      </c>
      <c r="Q642" s="1">
        <v>43852</v>
      </c>
      <c r="R642" t="s">
        <v>48</v>
      </c>
      <c r="S642" t="s">
        <v>60</v>
      </c>
      <c r="T642" t="s">
        <v>61</v>
      </c>
      <c r="U642" t="s">
        <v>42</v>
      </c>
      <c r="V642">
        <v>0</v>
      </c>
      <c r="W642">
        <v>100000</v>
      </c>
      <c r="X642" s="1">
        <v>43921</v>
      </c>
      <c r="Y642" t="s">
        <v>51</v>
      </c>
      <c r="Z642" t="s">
        <v>43</v>
      </c>
      <c r="AA642" t="s">
        <v>41</v>
      </c>
      <c r="AB642" t="s">
        <v>52</v>
      </c>
      <c r="AC642" t="s">
        <v>53</v>
      </c>
      <c r="AF642" t="s">
        <v>58</v>
      </c>
      <c r="AG642" s="1">
        <v>43837</v>
      </c>
      <c r="AH642" t="s">
        <v>42</v>
      </c>
      <c r="AI642" t="s">
        <v>55</v>
      </c>
      <c r="AJ642">
        <v>12788092</v>
      </c>
      <c r="AK642">
        <v>250000</v>
      </c>
      <c r="AL642">
        <v>1500000</v>
      </c>
    </row>
    <row r="643" spans="1:38" x14ac:dyDescent="0.25">
      <c r="A643" t="s">
        <v>74</v>
      </c>
      <c r="B643" t="s">
        <v>317</v>
      </c>
      <c r="C643" t="s">
        <v>40</v>
      </c>
      <c r="D643" s="1">
        <v>43472</v>
      </c>
      <c r="E643" s="1">
        <v>43836</v>
      </c>
      <c r="F643" t="s">
        <v>41</v>
      </c>
      <c r="G643">
        <v>1</v>
      </c>
      <c r="H643" t="s">
        <v>42</v>
      </c>
      <c r="I643" t="s">
        <v>43</v>
      </c>
      <c r="J643" t="s">
        <v>41</v>
      </c>
      <c r="K643" t="s">
        <v>44</v>
      </c>
      <c r="L643">
        <v>6991.55</v>
      </c>
      <c r="M643" s="1">
        <v>43559</v>
      </c>
      <c r="N643" t="s">
        <v>108</v>
      </c>
      <c r="O643" t="s">
        <v>106</v>
      </c>
      <c r="P643" t="s">
        <v>47</v>
      </c>
      <c r="Q643" s="1">
        <v>43852</v>
      </c>
      <c r="R643" t="s">
        <v>48</v>
      </c>
      <c r="S643" t="s">
        <v>60</v>
      </c>
      <c r="T643" t="s">
        <v>61</v>
      </c>
      <c r="U643" t="s">
        <v>42</v>
      </c>
      <c r="V643">
        <v>0</v>
      </c>
      <c r="W643">
        <v>100000</v>
      </c>
      <c r="X643" s="1">
        <v>43921</v>
      </c>
      <c r="Y643" t="s">
        <v>51</v>
      </c>
      <c r="Z643" t="s">
        <v>43</v>
      </c>
      <c r="AA643" t="s">
        <v>41</v>
      </c>
      <c r="AB643" t="s">
        <v>52</v>
      </c>
      <c r="AC643" t="s">
        <v>53</v>
      </c>
      <c r="AF643" t="s">
        <v>59</v>
      </c>
      <c r="AG643" s="1">
        <v>43838</v>
      </c>
      <c r="AH643" t="s">
        <v>42</v>
      </c>
      <c r="AI643" t="s">
        <v>55</v>
      </c>
      <c r="AJ643">
        <v>12788092</v>
      </c>
      <c r="AK643">
        <v>250000</v>
      </c>
      <c r="AL643">
        <v>1500000</v>
      </c>
    </row>
    <row r="644" spans="1:38" x14ac:dyDescent="0.25">
      <c r="A644" t="s">
        <v>74</v>
      </c>
      <c r="B644" t="s">
        <v>317</v>
      </c>
      <c r="C644" t="s">
        <v>40</v>
      </c>
      <c r="D644" s="1">
        <v>43472</v>
      </c>
      <c r="E644" s="1">
        <v>43836</v>
      </c>
      <c r="F644" t="s">
        <v>41</v>
      </c>
      <c r="G644">
        <v>1</v>
      </c>
      <c r="H644" t="s">
        <v>42</v>
      </c>
      <c r="I644" t="s">
        <v>43</v>
      </c>
      <c r="J644" t="s">
        <v>41</v>
      </c>
      <c r="K644" t="s">
        <v>44</v>
      </c>
      <c r="L644">
        <v>6991.55</v>
      </c>
      <c r="M644" s="1">
        <v>43559</v>
      </c>
      <c r="N644" t="s">
        <v>108</v>
      </c>
      <c r="O644" t="s">
        <v>106</v>
      </c>
      <c r="P644" t="s">
        <v>47</v>
      </c>
      <c r="Q644" s="1">
        <v>43852</v>
      </c>
      <c r="R644" t="s">
        <v>48</v>
      </c>
      <c r="S644" t="s">
        <v>62</v>
      </c>
      <c r="T644" t="s">
        <v>63</v>
      </c>
      <c r="U644" t="s">
        <v>42</v>
      </c>
      <c r="V644">
        <v>0</v>
      </c>
      <c r="W644">
        <v>100000</v>
      </c>
      <c r="X644" s="1">
        <v>43982</v>
      </c>
      <c r="Y644" t="s">
        <v>51</v>
      </c>
      <c r="Z644" t="s">
        <v>43</v>
      </c>
      <c r="AA644" t="s">
        <v>41</v>
      </c>
      <c r="AB644" t="s">
        <v>52</v>
      </c>
      <c r="AC644" t="s">
        <v>53</v>
      </c>
      <c r="AF644" t="s">
        <v>54</v>
      </c>
      <c r="AG644" s="1">
        <v>43832</v>
      </c>
      <c r="AH644" t="s">
        <v>42</v>
      </c>
      <c r="AI644" t="s">
        <v>55</v>
      </c>
      <c r="AJ644">
        <v>12788092</v>
      </c>
      <c r="AK644">
        <v>250000</v>
      </c>
      <c r="AL644">
        <v>1500000</v>
      </c>
    </row>
    <row r="645" spans="1:38" x14ac:dyDescent="0.25">
      <c r="A645" t="s">
        <v>74</v>
      </c>
      <c r="B645" t="s">
        <v>317</v>
      </c>
      <c r="C645" t="s">
        <v>40</v>
      </c>
      <c r="D645" s="1">
        <v>43472</v>
      </c>
      <c r="E645" s="1">
        <v>43836</v>
      </c>
      <c r="F645" t="s">
        <v>41</v>
      </c>
      <c r="G645">
        <v>1</v>
      </c>
      <c r="H645" t="s">
        <v>42</v>
      </c>
      <c r="I645" t="s">
        <v>43</v>
      </c>
      <c r="J645" t="s">
        <v>41</v>
      </c>
      <c r="K645" t="s">
        <v>44</v>
      </c>
      <c r="L645">
        <v>6991.55</v>
      </c>
      <c r="M645" s="1">
        <v>43559</v>
      </c>
      <c r="N645" t="s">
        <v>108</v>
      </c>
      <c r="O645" t="s">
        <v>106</v>
      </c>
      <c r="P645" t="s">
        <v>47</v>
      </c>
      <c r="Q645" s="1">
        <v>43852</v>
      </c>
      <c r="R645" t="s">
        <v>48</v>
      </c>
      <c r="S645" t="s">
        <v>62</v>
      </c>
      <c r="T645" t="s">
        <v>63</v>
      </c>
      <c r="U645" t="s">
        <v>42</v>
      </c>
      <c r="V645">
        <v>0</v>
      </c>
      <c r="W645">
        <v>100000</v>
      </c>
      <c r="X645" s="1">
        <v>43982</v>
      </c>
      <c r="Y645" t="s">
        <v>51</v>
      </c>
      <c r="Z645" t="s">
        <v>43</v>
      </c>
      <c r="AA645" t="s">
        <v>41</v>
      </c>
      <c r="AB645" t="s">
        <v>52</v>
      </c>
      <c r="AC645" t="s">
        <v>53</v>
      </c>
      <c r="AF645" t="s">
        <v>56</v>
      </c>
      <c r="AG645" s="1">
        <v>43833</v>
      </c>
      <c r="AH645" t="s">
        <v>42</v>
      </c>
      <c r="AI645" t="s">
        <v>55</v>
      </c>
      <c r="AJ645">
        <v>12788092</v>
      </c>
      <c r="AK645">
        <v>250000</v>
      </c>
      <c r="AL645">
        <v>1500000</v>
      </c>
    </row>
    <row r="646" spans="1:38" x14ac:dyDescent="0.25">
      <c r="A646" t="s">
        <v>74</v>
      </c>
      <c r="B646" t="s">
        <v>317</v>
      </c>
      <c r="C646" t="s">
        <v>40</v>
      </c>
      <c r="D646" s="1">
        <v>43472</v>
      </c>
      <c r="E646" s="1">
        <v>43836</v>
      </c>
      <c r="F646" t="s">
        <v>41</v>
      </c>
      <c r="G646">
        <v>1</v>
      </c>
      <c r="H646" t="s">
        <v>42</v>
      </c>
      <c r="I646" t="s">
        <v>43</v>
      </c>
      <c r="J646" t="s">
        <v>41</v>
      </c>
      <c r="K646" t="s">
        <v>44</v>
      </c>
      <c r="L646">
        <v>6991.55</v>
      </c>
      <c r="M646" s="1">
        <v>43559</v>
      </c>
      <c r="N646" t="s">
        <v>108</v>
      </c>
      <c r="O646" t="s">
        <v>106</v>
      </c>
      <c r="P646" t="s">
        <v>47</v>
      </c>
      <c r="Q646" s="1">
        <v>43852</v>
      </c>
      <c r="R646" t="s">
        <v>48</v>
      </c>
      <c r="S646" t="s">
        <v>62</v>
      </c>
      <c r="T646" t="s">
        <v>63</v>
      </c>
      <c r="U646" t="s">
        <v>42</v>
      </c>
      <c r="V646">
        <v>0</v>
      </c>
      <c r="W646">
        <v>100000</v>
      </c>
      <c r="X646" s="1">
        <v>43982</v>
      </c>
      <c r="Y646" t="s">
        <v>51</v>
      </c>
      <c r="Z646" t="s">
        <v>43</v>
      </c>
      <c r="AA646" t="s">
        <v>41</v>
      </c>
      <c r="AB646" t="s">
        <v>52</v>
      </c>
      <c r="AC646" t="s">
        <v>53</v>
      </c>
      <c r="AF646" t="s">
        <v>57</v>
      </c>
      <c r="AG646" s="1">
        <v>43836</v>
      </c>
      <c r="AH646" t="s">
        <v>42</v>
      </c>
      <c r="AI646" t="s">
        <v>55</v>
      </c>
      <c r="AJ646">
        <v>12788092</v>
      </c>
      <c r="AK646">
        <v>250000</v>
      </c>
      <c r="AL646">
        <v>1500000</v>
      </c>
    </row>
    <row r="647" spans="1:38" x14ac:dyDescent="0.25">
      <c r="A647" t="s">
        <v>74</v>
      </c>
      <c r="B647" t="s">
        <v>317</v>
      </c>
      <c r="C647" t="s">
        <v>40</v>
      </c>
      <c r="D647" s="1">
        <v>43472</v>
      </c>
      <c r="E647" s="1">
        <v>43836</v>
      </c>
      <c r="F647" t="s">
        <v>41</v>
      </c>
      <c r="G647">
        <v>1</v>
      </c>
      <c r="H647" t="s">
        <v>42</v>
      </c>
      <c r="I647" t="s">
        <v>43</v>
      </c>
      <c r="J647" t="s">
        <v>41</v>
      </c>
      <c r="K647" t="s">
        <v>44</v>
      </c>
      <c r="L647">
        <v>6991.55</v>
      </c>
      <c r="M647" s="1">
        <v>43559</v>
      </c>
      <c r="N647" t="s">
        <v>108</v>
      </c>
      <c r="O647" t="s">
        <v>106</v>
      </c>
      <c r="P647" t="s">
        <v>47</v>
      </c>
      <c r="Q647" s="1">
        <v>43852</v>
      </c>
      <c r="R647" t="s">
        <v>48</v>
      </c>
      <c r="S647" t="s">
        <v>62</v>
      </c>
      <c r="T647" t="s">
        <v>63</v>
      </c>
      <c r="U647" t="s">
        <v>42</v>
      </c>
      <c r="V647">
        <v>0</v>
      </c>
      <c r="W647">
        <v>100000</v>
      </c>
      <c r="X647" s="1">
        <v>43982</v>
      </c>
      <c r="Y647" t="s">
        <v>51</v>
      </c>
      <c r="Z647" t="s">
        <v>43</v>
      </c>
      <c r="AA647" t="s">
        <v>41</v>
      </c>
      <c r="AB647" t="s">
        <v>52</v>
      </c>
      <c r="AC647" t="s">
        <v>53</v>
      </c>
      <c r="AF647" t="s">
        <v>58</v>
      </c>
      <c r="AG647" s="1">
        <v>43837</v>
      </c>
      <c r="AH647" t="s">
        <v>42</v>
      </c>
      <c r="AI647" t="s">
        <v>55</v>
      </c>
      <c r="AJ647">
        <v>12788092</v>
      </c>
      <c r="AK647">
        <v>250000</v>
      </c>
      <c r="AL647">
        <v>1500000</v>
      </c>
    </row>
    <row r="648" spans="1:38" x14ac:dyDescent="0.25">
      <c r="A648" t="s">
        <v>74</v>
      </c>
      <c r="B648" t="s">
        <v>317</v>
      </c>
      <c r="C648" t="s">
        <v>40</v>
      </c>
      <c r="D648" s="1">
        <v>43472</v>
      </c>
      <c r="E648" s="1">
        <v>43836</v>
      </c>
      <c r="F648" t="s">
        <v>41</v>
      </c>
      <c r="G648">
        <v>1</v>
      </c>
      <c r="H648" t="s">
        <v>42</v>
      </c>
      <c r="I648" t="s">
        <v>43</v>
      </c>
      <c r="J648" t="s">
        <v>41</v>
      </c>
      <c r="K648" t="s">
        <v>44</v>
      </c>
      <c r="L648">
        <v>6991.55</v>
      </c>
      <c r="M648" s="1">
        <v>43559</v>
      </c>
      <c r="N648" t="s">
        <v>108</v>
      </c>
      <c r="O648" t="s">
        <v>106</v>
      </c>
      <c r="P648" t="s">
        <v>47</v>
      </c>
      <c r="Q648" s="1">
        <v>43852</v>
      </c>
      <c r="R648" t="s">
        <v>48</v>
      </c>
      <c r="S648" t="s">
        <v>62</v>
      </c>
      <c r="T648" t="s">
        <v>63</v>
      </c>
      <c r="U648" t="s">
        <v>42</v>
      </c>
      <c r="V648">
        <v>0</v>
      </c>
      <c r="W648">
        <v>100000</v>
      </c>
      <c r="X648" s="1">
        <v>43982</v>
      </c>
      <c r="Y648" t="s">
        <v>51</v>
      </c>
      <c r="Z648" t="s">
        <v>43</v>
      </c>
      <c r="AA648" t="s">
        <v>41</v>
      </c>
      <c r="AB648" t="s">
        <v>52</v>
      </c>
      <c r="AC648" t="s">
        <v>53</v>
      </c>
      <c r="AF648" t="s">
        <v>59</v>
      </c>
      <c r="AG648" s="1">
        <v>43838</v>
      </c>
      <c r="AH648" t="s">
        <v>42</v>
      </c>
      <c r="AI648" t="s">
        <v>55</v>
      </c>
      <c r="AJ648">
        <v>12788092</v>
      </c>
      <c r="AK648">
        <v>250000</v>
      </c>
      <c r="AL648">
        <v>1500000</v>
      </c>
    </row>
    <row r="649" spans="1:38" x14ac:dyDescent="0.25">
      <c r="A649" t="s">
        <v>74</v>
      </c>
      <c r="B649" t="s">
        <v>317</v>
      </c>
      <c r="C649" t="s">
        <v>40</v>
      </c>
      <c r="D649" s="1">
        <v>43472</v>
      </c>
      <c r="E649" s="1">
        <v>43836</v>
      </c>
      <c r="F649" t="s">
        <v>41</v>
      </c>
      <c r="G649">
        <v>1</v>
      </c>
      <c r="H649" t="s">
        <v>42</v>
      </c>
      <c r="I649" t="s">
        <v>43</v>
      </c>
      <c r="J649" t="s">
        <v>41</v>
      </c>
      <c r="K649" t="s">
        <v>44</v>
      </c>
      <c r="L649">
        <v>6991.55</v>
      </c>
      <c r="M649" s="1">
        <v>43559</v>
      </c>
      <c r="N649" t="s">
        <v>108</v>
      </c>
      <c r="O649" t="s">
        <v>106</v>
      </c>
      <c r="P649" t="s">
        <v>47</v>
      </c>
      <c r="Q649" s="1">
        <v>43852</v>
      </c>
      <c r="R649" t="s">
        <v>48</v>
      </c>
      <c r="S649" t="s">
        <v>64</v>
      </c>
      <c r="T649" t="s">
        <v>65</v>
      </c>
      <c r="U649" t="s">
        <v>42</v>
      </c>
      <c r="V649">
        <v>0</v>
      </c>
      <c r="W649">
        <v>100000</v>
      </c>
      <c r="X649" s="1">
        <v>43921</v>
      </c>
      <c r="Y649" t="s">
        <v>51</v>
      </c>
      <c r="Z649" t="s">
        <v>43</v>
      </c>
      <c r="AA649" t="s">
        <v>41</v>
      </c>
      <c r="AB649" t="s">
        <v>52</v>
      </c>
      <c r="AC649" t="s">
        <v>53</v>
      </c>
      <c r="AF649" t="s">
        <v>54</v>
      </c>
      <c r="AG649" s="1">
        <v>43832</v>
      </c>
      <c r="AH649" t="s">
        <v>42</v>
      </c>
      <c r="AI649" t="s">
        <v>55</v>
      </c>
      <c r="AJ649">
        <v>12788092</v>
      </c>
      <c r="AK649">
        <v>250000</v>
      </c>
      <c r="AL649">
        <v>1500000</v>
      </c>
    </row>
    <row r="650" spans="1:38" x14ac:dyDescent="0.25">
      <c r="A650" t="s">
        <v>74</v>
      </c>
      <c r="B650" t="s">
        <v>317</v>
      </c>
      <c r="C650" t="s">
        <v>40</v>
      </c>
      <c r="D650" s="1">
        <v>43472</v>
      </c>
      <c r="E650" s="1">
        <v>43836</v>
      </c>
      <c r="F650" t="s">
        <v>41</v>
      </c>
      <c r="G650">
        <v>1</v>
      </c>
      <c r="H650" t="s">
        <v>42</v>
      </c>
      <c r="I650" t="s">
        <v>43</v>
      </c>
      <c r="J650" t="s">
        <v>41</v>
      </c>
      <c r="K650" t="s">
        <v>44</v>
      </c>
      <c r="L650">
        <v>6991.55</v>
      </c>
      <c r="M650" s="1">
        <v>43559</v>
      </c>
      <c r="N650" t="s">
        <v>108</v>
      </c>
      <c r="O650" t="s">
        <v>106</v>
      </c>
      <c r="P650" t="s">
        <v>47</v>
      </c>
      <c r="Q650" s="1">
        <v>43852</v>
      </c>
      <c r="R650" t="s">
        <v>48</v>
      </c>
      <c r="S650" t="s">
        <v>64</v>
      </c>
      <c r="T650" t="s">
        <v>65</v>
      </c>
      <c r="U650" t="s">
        <v>42</v>
      </c>
      <c r="V650">
        <v>0</v>
      </c>
      <c r="W650">
        <v>100000</v>
      </c>
      <c r="X650" s="1">
        <v>43921</v>
      </c>
      <c r="Y650" t="s">
        <v>51</v>
      </c>
      <c r="Z650" t="s">
        <v>43</v>
      </c>
      <c r="AA650" t="s">
        <v>41</v>
      </c>
      <c r="AB650" t="s">
        <v>52</v>
      </c>
      <c r="AC650" t="s">
        <v>53</v>
      </c>
      <c r="AF650" t="s">
        <v>56</v>
      </c>
      <c r="AG650" s="1">
        <v>43833</v>
      </c>
      <c r="AH650" t="s">
        <v>42</v>
      </c>
      <c r="AI650" t="s">
        <v>55</v>
      </c>
      <c r="AJ650">
        <v>12788092</v>
      </c>
      <c r="AK650">
        <v>250000</v>
      </c>
      <c r="AL650">
        <v>1500000</v>
      </c>
    </row>
    <row r="651" spans="1:38" x14ac:dyDescent="0.25">
      <c r="A651" t="s">
        <v>74</v>
      </c>
      <c r="B651" t="s">
        <v>317</v>
      </c>
      <c r="C651" t="s">
        <v>40</v>
      </c>
      <c r="D651" s="1">
        <v>43472</v>
      </c>
      <c r="E651" s="1">
        <v>43836</v>
      </c>
      <c r="F651" t="s">
        <v>41</v>
      </c>
      <c r="G651">
        <v>1</v>
      </c>
      <c r="H651" t="s">
        <v>42</v>
      </c>
      <c r="I651" t="s">
        <v>43</v>
      </c>
      <c r="J651" t="s">
        <v>41</v>
      </c>
      <c r="K651" t="s">
        <v>44</v>
      </c>
      <c r="L651">
        <v>6991.55</v>
      </c>
      <c r="M651" s="1">
        <v>43559</v>
      </c>
      <c r="N651" t="s">
        <v>108</v>
      </c>
      <c r="O651" t="s">
        <v>106</v>
      </c>
      <c r="P651" t="s">
        <v>47</v>
      </c>
      <c r="Q651" s="1">
        <v>43852</v>
      </c>
      <c r="R651" t="s">
        <v>48</v>
      </c>
      <c r="S651" t="s">
        <v>64</v>
      </c>
      <c r="T651" t="s">
        <v>65</v>
      </c>
      <c r="U651" t="s">
        <v>42</v>
      </c>
      <c r="V651">
        <v>0</v>
      </c>
      <c r="W651">
        <v>100000</v>
      </c>
      <c r="X651" s="1">
        <v>43921</v>
      </c>
      <c r="Y651" t="s">
        <v>51</v>
      </c>
      <c r="Z651" t="s">
        <v>43</v>
      </c>
      <c r="AA651" t="s">
        <v>41</v>
      </c>
      <c r="AB651" t="s">
        <v>52</v>
      </c>
      <c r="AC651" t="s">
        <v>53</v>
      </c>
      <c r="AF651" t="s">
        <v>57</v>
      </c>
      <c r="AG651" s="1">
        <v>43836</v>
      </c>
      <c r="AH651" t="s">
        <v>42</v>
      </c>
      <c r="AI651" t="s">
        <v>55</v>
      </c>
      <c r="AJ651">
        <v>12788092</v>
      </c>
      <c r="AK651">
        <v>250000</v>
      </c>
      <c r="AL651">
        <v>1500000</v>
      </c>
    </row>
    <row r="652" spans="1:38" x14ac:dyDescent="0.25">
      <c r="A652" t="s">
        <v>74</v>
      </c>
      <c r="B652" t="s">
        <v>317</v>
      </c>
      <c r="C652" t="s">
        <v>40</v>
      </c>
      <c r="D652" s="1">
        <v>43472</v>
      </c>
      <c r="E652" s="1">
        <v>43836</v>
      </c>
      <c r="F652" t="s">
        <v>41</v>
      </c>
      <c r="G652">
        <v>1</v>
      </c>
      <c r="H652" t="s">
        <v>42</v>
      </c>
      <c r="I652" t="s">
        <v>43</v>
      </c>
      <c r="J652" t="s">
        <v>41</v>
      </c>
      <c r="K652" t="s">
        <v>44</v>
      </c>
      <c r="L652">
        <v>6991.55</v>
      </c>
      <c r="M652" s="1">
        <v>43559</v>
      </c>
      <c r="N652" t="s">
        <v>108</v>
      </c>
      <c r="O652" t="s">
        <v>106</v>
      </c>
      <c r="P652" t="s">
        <v>47</v>
      </c>
      <c r="Q652" s="1">
        <v>43852</v>
      </c>
      <c r="R652" t="s">
        <v>48</v>
      </c>
      <c r="S652" t="s">
        <v>64</v>
      </c>
      <c r="T652" t="s">
        <v>65</v>
      </c>
      <c r="U652" t="s">
        <v>42</v>
      </c>
      <c r="V652">
        <v>0</v>
      </c>
      <c r="W652">
        <v>100000</v>
      </c>
      <c r="X652" s="1">
        <v>43921</v>
      </c>
      <c r="Y652" t="s">
        <v>51</v>
      </c>
      <c r="Z652" t="s">
        <v>43</v>
      </c>
      <c r="AA652" t="s">
        <v>41</v>
      </c>
      <c r="AB652" t="s">
        <v>52</v>
      </c>
      <c r="AC652" t="s">
        <v>53</v>
      </c>
      <c r="AF652" t="s">
        <v>58</v>
      </c>
      <c r="AG652" s="1">
        <v>43837</v>
      </c>
      <c r="AH652" t="s">
        <v>42</v>
      </c>
      <c r="AI652" t="s">
        <v>55</v>
      </c>
      <c r="AJ652">
        <v>12788092</v>
      </c>
      <c r="AK652">
        <v>250000</v>
      </c>
      <c r="AL652">
        <v>1500000</v>
      </c>
    </row>
    <row r="653" spans="1:38" x14ac:dyDescent="0.25">
      <c r="A653" t="s">
        <v>74</v>
      </c>
      <c r="B653" t="s">
        <v>317</v>
      </c>
      <c r="C653" t="s">
        <v>40</v>
      </c>
      <c r="D653" s="1">
        <v>43472</v>
      </c>
      <c r="E653" s="1">
        <v>43836</v>
      </c>
      <c r="F653" t="s">
        <v>41</v>
      </c>
      <c r="G653">
        <v>1</v>
      </c>
      <c r="H653" t="s">
        <v>42</v>
      </c>
      <c r="I653" t="s">
        <v>43</v>
      </c>
      <c r="J653" t="s">
        <v>41</v>
      </c>
      <c r="K653" t="s">
        <v>44</v>
      </c>
      <c r="L653">
        <v>6991.55</v>
      </c>
      <c r="M653" s="1">
        <v>43559</v>
      </c>
      <c r="N653" t="s">
        <v>108</v>
      </c>
      <c r="O653" t="s">
        <v>106</v>
      </c>
      <c r="P653" t="s">
        <v>47</v>
      </c>
      <c r="Q653" s="1">
        <v>43852</v>
      </c>
      <c r="R653" t="s">
        <v>48</v>
      </c>
      <c r="S653" t="s">
        <v>64</v>
      </c>
      <c r="T653" t="s">
        <v>65</v>
      </c>
      <c r="U653" t="s">
        <v>42</v>
      </c>
      <c r="V653">
        <v>0</v>
      </c>
      <c r="W653">
        <v>100000</v>
      </c>
      <c r="X653" s="1">
        <v>43921</v>
      </c>
      <c r="Y653" t="s">
        <v>51</v>
      </c>
      <c r="Z653" t="s">
        <v>43</v>
      </c>
      <c r="AA653" t="s">
        <v>41</v>
      </c>
      <c r="AB653" t="s">
        <v>52</v>
      </c>
      <c r="AC653" t="s">
        <v>53</v>
      </c>
      <c r="AF653" t="s">
        <v>59</v>
      </c>
      <c r="AG653" s="1">
        <v>43838</v>
      </c>
      <c r="AH653" t="s">
        <v>42</v>
      </c>
      <c r="AI653" t="s">
        <v>55</v>
      </c>
      <c r="AJ653">
        <v>12788092</v>
      </c>
      <c r="AK653">
        <v>250000</v>
      </c>
      <c r="AL653">
        <v>1500000</v>
      </c>
    </row>
    <row r="654" spans="1:38" x14ac:dyDescent="0.25">
      <c r="A654" t="s">
        <v>75</v>
      </c>
      <c r="B654">
        <v>2302003012</v>
      </c>
      <c r="C654" t="s">
        <v>40</v>
      </c>
      <c r="D654" s="1">
        <v>43339</v>
      </c>
      <c r="E654" s="1">
        <v>43703</v>
      </c>
      <c r="F654" t="s">
        <v>77</v>
      </c>
      <c r="G654">
        <v>1</v>
      </c>
      <c r="H654" t="s">
        <v>42</v>
      </c>
      <c r="I654" t="s">
        <v>43</v>
      </c>
      <c r="J654" t="s">
        <v>77</v>
      </c>
      <c r="K654" t="s">
        <v>44</v>
      </c>
      <c r="L654">
        <v>13750</v>
      </c>
      <c r="M654" s="1">
        <v>43339</v>
      </c>
      <c r="N654" t="s">
        <v>45</v>
      </c>
      <c r="O654" t="s">
        <v>46</v>
      </c>
      <c r="P654" t="s">
        <v>47</v>
      </c>
      <c r="Q654" s="1">
        <v>43852</v>
      </c>
      <c r="R654" t="s">
        <v>48</v>
      </c>
      <c r="S654" t="s">
        <v>233</v>
      </c>
      <c r="T654" t="s">
        <v>234</v>
      </c>
      <c r="U654" t="s">
        <v>42</v>
      </c>
      <c r="V654">
        <v>0</v>
      </c>
      <c r="W654">
        <v>100000</v>
      </c>
      <c r="X654" s="1">
        <v>43982</v>
      </c>
      <c r="Y654" t="s">
        <v>51</v>
      </c>
      <c r="Z654" t="s">
        <v>43</v>
      </c>
      <c r="AA654" t="s">
        <v>77</v>
      </c>
      <c r="AB654" t="s">
        <v>158</v>
      </c>
      <c r="AC654" t="s">
        <v>235</v>
      </c>
      <c r="AF654" t="s">
        <v>54</v>
      </c>
      <c r="AG654" s="1">
        <v>43832</v>
      </c>
      <c r="AH654" t="s">
        <v>42</v>
      </c>
      <c r="AI654" t="s">
        <v>55</v>
      </c>
      <c r="AJ654">
        <v>12788092</v>
      </c>
      <c r="AK654">
        <v>250000</v>
      </c>
      <c r="AL654">
        <v>1500000</v>
      </c>
    </row>
    <row r="655" spans="1:38" x14ac:dyDescent="0.25">
      <c r="A655" t="s">
        <v>75</v>
      </c>
      <c r="B655">
        <v>2302003012</v>
      </c>
      <c r="C655" t="s">
        <v>40</v>
      </c>
      <c r="D655" s="1">
        <v>43339</v>
      </c>
      <c r="E655" s="1">
        <v>43703</v>
      </c>
      <c r="F655" t="s">
        <v>77</v>
      </c>
      <c r="G655">
        <v>1</v>
      </c>
      <c r="H655" t="s">
        <v>42</v>
      </c>
      <c r="I655" t="s">
        <v>43</v>
      </c>
      <c r="J655" t="s">
        <v>77</v>
      </c>
      <c r="K655" t="s">
        <v>44</v>
      </c>
      <c r="L655">
        <v>13750</v>
      </c>
      <c r="M655" s="1">
        <v>43339</v>
      </c>
      <c r="N655" t="s">
        <v>45</v>
      </c>
      <c r="O655" t="s">
        <v>46</v>
      </c>
      <c r="P655" t="s">
        <v>47</v>
      </c>
      <c r="Q655" s="1">
        <v>43852</v>
      </c>
      <c r="R655" t="s">
        <v>48</v>
      </c>
      <c r="S655" t="s">
        <v>233</v>
      </c>
      <c r="T655" t="s">
        <v>234</v>
      </c>
      <c r="U655" t="s">
        <v>42</v>
      </c>
      <c r="V655">
        <v>0</v>
      </c>
      <c r="W655">
        <v>100000</v>
      </c>
      <c r="X655" s="1">
        <v>43982</v>
      </c>
      <c r="Y655" t="s">
        <v>51</v>
      </c>
      <c r="Z655" t="s">
        <v>43</v>
      </c>
      <c r="AA655" t="s">
        <v>77</v>
      </c>
      <c r="AB655" t="s">
        <v>158</v>
      </c>
      <c r="AC655" t="s">
        <v>235</v>
      </c>
      <c r="AF655" t="s">
        <v>56</v>
      </c>
      <c r="AG655" s="1">
        <v>43833</v>
      </c>
      <c r="AH655" t="s">
        <v>42</v>
      </c>
      <c r="AI655" t="s">
        <v>55</v>
      </c>
      <c r="AJ655">
        <v>12788092</v>
      </c>
      <c r="AK655">
        <v>250000</v>
      </c>
      <c r="AL655">
        <v>1500000</v>
      </c>
    </row>
    <row r="656" spans="1:38" x14ac:dyDescent="0.25">
      <c r="A656" t="s">
        <v>75</v>
      </c>
      <c r="B656">
        <v>2302003012</v>
      </c>
      <c r="C656" t="s">
        <v>40</v>
      </c>
      <c r="D656" s="1">
        <v>43339</v>
      </c>
      <c r="E656" s="1">
        <v>43703</v>
      </c>
      <c r="F656" t="s">
        <v>77</v>
      </c>
      <c r="G656">
        <v>1</v>
      </c>
      <c r="H656" t="s">
        <v>42</v>
      </c>
      <c r="I656" t="s">
        <v>43</v>
      </c>
      <c r="J656" t="s">
        <v>77</v>
      </c>
      <c r="K656" t="s">
        <v>44</v>
      </c>
      <c r="L656">
        <v>13750</v>
      </c>
      <c r="M656" s="1">
        <v>43339</v>
      </c>
      <c r="N656" t="s">
        <v>45</v>
      </c>
      <c r="O656" t="s">
        <v>46</v>
      </c>
      <c r="P656" t="s">
        <v>47</v>
      </c>
      <c r="Q656" s="1">
        <v>43852</v>
      </c>
      <c r="R656" t="s">
        <v>48</v>
      </c>
      <c r="S656" t="s">
        <v>233</v>
      </c>
      <c r="T656" t="s">
        <v>234</v>
      </c>
      <c r="U656" t="s">
        <v>42</v>
      </c>
      <c r="V656">
        <v>0</v>
      </c>
      <c r="W656">
        <v>100000</v>
      </c>
      <c r="X656" s="1">
        <v>43982</v>
      </c>
      <c r="Y656" t="s">
        <v>51</v>
      </c>
      <c r="Z656" t="s">
        <v>43</v>
      </c>
      <c r="AA656" t="s">
        <v>77</v>
      </c>
      <c r="AB656" t="s">
        <v>158</v>
      </c>
      <c r="AC656" t="s">
        <v>235</v>
      </c>
      <c r="AF656" t="s">
        <v>57</v>
      </c>
      <c r="AG656" s="1">
        <v>43836</v>
      </c>
      <c r="AH656" t="s">
        <v>42</v>
      </c>
      <c r="AI656" t="s">
        <v>55</v>
      </c>
      <c r="AJ656">
        <v>12788092</v>
      </c>
      <c r="AK656">
        <v>250000</v>
      </c>
      <c r="AL656">
        <v>1500000</v>
      </c>
    </row>
    <row r="657" spans="1:38" x14ac:dyDescent="0.25">
      <c r="A657" t="s">
        <v>75</v>
      </c>
      <c r="B657">
        <v>2302003012</v>
      </c>
      <c r="C657" t="s">
        <v>40</v>
      </c>
      <c r="D657" s="1">
        <v>43339</v>
      </c>
      <c r="E657" s="1">
        <v>43703</v>
      </c>
      <c r="F657" t="s">
        <v>77</v>
      </c>
      <c r="G657">
        <v>1</v>
      </c>
      <c r="H657" t="s">
        <v>42</v>
      </c>
      <c r="I657" t="s">
        <v>43</v>
      </c>
      <c r="J657" t="s">
        <v>77</v>
      </c>
      <c r="K657" t="s">
        <v>44</v>
      </c>
      <c r="L657">
        <v>13750</v>
      </c>
      <c r="M657" s="1">
        <v>43339</v>
      </c>
      <c r="N657" t="s">
        <v>45</v>
      </c>
      <c r="O657" t="s">
        <v>46</v>
      </c>
      <c r="P657" t="s">
        <v>47</v>
      </c>
      <c r="Q657" s="1">
        <v>43852</v>
      </c>
      <c r="R657" t="s">
        <v>48</v>
      </c>
      <c r="S657" t="s">
        <v>233</v>
      </c>
      <c r="T657" t="s">
        <v>234</v>
      </c>
      <c r="U657" t="s">
        <v>42</v>
      </c>
      <c r="V657">
        <v>0</v>
      </c>
      <c r="W657">
        <v>100000</v>
      </c>
      <c r="X657" s="1">
        <v>43982</v>
      </c>
      <c r="Y657" t="s">
        <v>51</v>
      </c>
      <c r="Z657" t="s">
        <v>43</v>
      </c>
      <c r="AA657" t="s">
        <v>77</v>
      </c>
      <c r="AB657" t="s">
        <v>158</v>
      </c>
      <c r="AC657" t="s">
        <v>235</v>
      </c>
      <c r="AF657" t="s">
        <v>58</v>
      </c>
      <c r="AG657" s="1">
        <v>43837</v>
      </c>
      <c r="AH657" t="s">
        <v>42</v>
      </c>
      <c r="AI657" t="s">
        <v>55</v>
      </c>
      <c r="AJ657">
        <v>12788092</v>
      </c>
      <c r="AK657">
        <v>250000</v>
      </c>
      <c r="AL657">
        <v>1500000</v>
      </c>
    </row>
    <row r="658" spans="1:38" x14ac:dyDescent="0.25">
      <c r="A658" t="s">
        <v>75</v>
      </c>
      <c r="B658">
        <v>2302003012</v>
      </c>
      <c r="C658" t="s">
        <v>40</v>
      </c>
      <c r="D658" s="1">
        <v>43339</v>
      </c>
      <c r="E658" s="1">
        <v>43703</v>
      </c>
      <c r="F658" t="s">
        <v>77</v>
      </c>
      <c r="G658">
        <v>1</v>
      </c>
      <c r="H658" t="s">
        <v>42</v>
      </c>
      <c r="I658" t="s">
        <v>43</v>
      </c>
      <c r="J658" t="s">
        <v>77</v>
      </c>
      <c r="K658" t="s">
        <v>44</v>
      </c>
      <c r="L658">
        <v>13750</v>
      </c>
      <c r="M658" s="1">
        <v>43339</v>
      </c>
      <c r="N658" t="s">
        <v>45</v>
      </c>
      <c r="O658" t="s">
        <v>46</v>
      </c>
      <c r="P658" t="s">
        <v>47</v>
      </c>
      <c r="Q658" s="1">
        <v>43852</v>
      </c>
      <c r="R658" t="s">
        <v>48</v>
      </c>
      <c r="S658" t="s">
        <v>233</v>
      </c>
      <c r="T658" t="s">
        <v>234</v>
      </c>
      <c r="U658" t="s">
        <v>42</v>
      </c>
      <c r="V658">
        <v>0</v>
      </c>
      <c r="W658">
        <v>100000</v>
      </c>
      <c r="X658" s="1">
        <v>43982</v>
      </c>
      <c r="Y658" t="s">
        <v>51</v>
      </c>
      <c r="Z658" t="s">
        <v>43</v>
      </c>
      <c r="AA658" t="s">
        <v>77</v>
      </c>
      <c r="AB658" t="s">
        <v>158</v>
      </c>
      <c r="AC658" t="s">
        <v>235</v>
      </c>
      <c r="AF658" t="s">
        <v>59</v>
      </c>
      <c r="AG658" s="1">
        <v>43838</v>
      </c>
      <c r="AH658" t="s">
        <v>42</v>
      </c>
      <c r="AI658" t="s">
        <v>55</v>
      </c>
      <c r="AJ658">
        <v>12788092</v>
      </c>
      <c r="AK658">
        <v>250000</v>
      </c>
      <c r="AL658">
        <v>1500000</v>
      </c>
    </row>
    <row r="659" spans="1:38" x14ac:dyDescent="0.25">
      <c r="A659" t="s">
        <v>82</v>
      </c>
      <c r="B659">
        <v>41045400</v>
      </c>
      <c r="C659" t="s">
        <v>40</v>
      </c>
      <c r="D659" s="1">
        <v>43543</v>
      </c>
      <c r="E659" s="1">
        <v>43908</v>
      </c>
      <c r="F659" t="s">
        <v>77</v>
      </c>
      <c r="G659">
        <v>13</v>
      </c>
      <c r="H659" t="s">
        <v>316</v>
      </c>
      <c r="I659" t="s">
        <v>43</v>
      </c>
      <c r="J659" t="s">
        <v>77</v>
      </c>
      <c r="K659" t="s">
        <v>68</v>
      </c>
      <c r="L659">
        <v>70125</v>
      </c>
      <c r="M659" s="1">
        <v>43543</v>
      </c>
      <c r="N659" t="s">
        <v>45</v>
      </c>
      <c r="O659" t="s">
        <v>46</v>
      </c>
      <c r="P659" t="s">
        <v>47</v>
      </c>
      <c r="Q659" s="1">
        <v>43852</v>
      </c>
      <c r="R659" t="s">
        <v>48</v>
      </c>
    </row>
    <row r="660" spans="1:38" x14ac:dyDescent="0.25">
      <c r="A660" t="s">
        <v>104</v>
      </c>
      <c r="B660">
        <v>41045403</v>
      </c>
      <c r="C660" t="s">
        <v>40</v>
      </c>
      <c r="D660" s="1">
        <v>43543</v>
      </c>
      <c r="E660" s="1">
        <v>43908</v>
      </c>
      <c r="F660" t="s">
        <v>77</v>
      </c>
      <c r="G660">
        <v>13</v>
      </c>
      <c r="H660" t="s">
        <v>316</v>
      </c>
      <c r="I660" t="s">
        <v>43</v>
      </c>
      <c r="J660" t="s">
        <v>77</v>
      </c>
      <c r="K660" t="s">
        <v>68</v>
      </c>
      <c r="L660">
        <v>70125</v>
      </c>
      <c r="M660" s="1">
        <v>43543</v>
      </c>
      <c r="N660" t="s">
        <v>45</v>
      </c>
      <c r="O660" t="s">
        <v>46</v>
      </c>
      <c r="P660" t="s">
        <v>47</v>
      </c>
      <c r="Q660" s="1">
        <v>43852</v>
      </c>
      <c r="R660" t="s">
        <v>48</v>
      </c>
    </row>
    <row r="661" spans="1:38" x14ac:dyDescent="0.25">
      <c r="A661" t="s">
        <v>107</v>
      </c>
      <c r="B661" t="s">
        <v>318</v>
      </c>
      <c r="C661" t="s">
        <v>71</v>
      </c>
      <c r="D661" s="1">
        <v>43191</v>
      </c>
      <c r="E661" s="1">
        <v>43555</v>
      </c>
      <c r="F661" t="s">
        <v>41</v>
      </c>
      <c r="G661">
        <v>3</v>
      </c>
      <c r="H661" t="s">
        <v>125</v>
      </c>
      <c r="I661" t="s">
        <v>43</v>
      </c>
      <c r="J661" t="s">
        <v>126</v>
      </c>
      <c r="K661" t="s">
        <v>44</v>
      </c>
      <c r="L661">
        <v>208122.92</v>
      </c>
      <c r="M661" s="1">
        <v>43191</v>
      </c>
      <c r="N661" t="s">
        <v>45</v>
      </c>
      <c r="O661" t="s">
        <v>46</v>
      </c>
      <c r="P661" t="s">
        <v>47</v>
      </c>
      <c r="Q661" s="1">
        <v>43852</v>
      </c>
      <c r="R661" t="s">
        <v>48</v>
      </c>
      <c r="S661" t="s">
        <v>41</v>
      </c>
      <c r="T661" t="s">
        <v>130</v>
      </c>
      <c r="U661" t="s">
        <v>125</v>
      </c>
      <c r="V661">
        <v>0</v>
      </c>
      <c r="W661">
        <v>100000</v>
      </c>
      <c r="X661" s="1">
        <v>43769</v>
      </c>
      <c r="Y661" t="s">
        <v>131</v>
      </c>
      <c r="Z661" t="s">
        <v>43</v>
      </c>
      <c r="AA661" t="s">
        <v>41</v>
      </c>
      <c r="AB661" t="s">
        <v>132</v>
      </c>
      <c r="AC661" t="s">
        <v>133</v>
      </c>
      <c r="AF661" t="s">
        <v>134</v>
      </c>
      <c r="AG661" s="1">
        <v>43843</v>
      </c>
      <c r="AH661" t="s">
        <v>125</v>
      </c>
      <c r="AI661" t="s">
        <v>92</v>
      </c>
      <c r="AJ661">
        <v>1278023</v>
      </c>
      <c r="AK661">
        <v>12365300</v>
      </c>
      <c r="AL661">
        <v>12900</v>
      </c>
    </row>
    <row r="662" spans="1:38" x14ac:dyDescent="0.25">
      <c r="A662" t="s">
        <v>107</v>
      </c>
      <c r="B662" t="s">
        <v>318</v>
      </c>
      <c r="C662" t="s">
        <v>71</v>
      </c>
      <c r="D662" s="1">
        <v>43191</v>
      </c>
      <c r="E662" s="1">
        <v>43555</v>
      </c>
      <c r="F662" t="s">
        <v>41</v>
      </c>
      <c r="G662">
        <v>3</v>
      </c>
      <c r="H662" t="s">
        <v>125</v>
      </c>
      <c r="I662" t="s">
        <v>43</v>
      </c>
      <c r="J662" t="s">
        <v>126</v>
      </c>
      <c r="K662" t="s">
        <v>44</v>
      </c>
      <c r="L662">
        <v>208122.92</v>
      </c>
      <c r="M662" s="1">
        <v>43191</v>
      </c>
      <c r="N662" t="s">
        <v>45</v>
      </c>
      <c r="O662" t="s">
        <v>46</v>
      </c>
      <c r="P662" t="s">
        <v>47</v>
      </c>
      <c r="Q662" s="1">
        <v>43852</v>
      </c>
      <c r="R662" t="s">
        <v>48</v>
      </c>
      <c r="S662" t="s">
        <v>41</v>
      </c>
      <c r="T662" t="s">
        <v>130</v>
      </c>
      <c r="U662" t="s">
        <v>125</v>
      </c>
      <c r="V662">
        <v>0</v>
      </c>
      <c r="W662">
        <v>100000</v>
      </c>
      <c r="X662" s="1">
        <v>43769</v>
      </c>
      <c r="Y662" t="s">
        <v>131</v>
      </c>
      <c r="Z662" t="s">
        <v>43</v>
      </c>
      <c r="AA662" t="s">
        <v>41</v>
      </c>
      <c r="AB662" t="s">
        <v>132</v>
      </c>
      <c r="AC662" t="s">
        <v>133</v>
      </c>
      <c r="AF662" t="s">
        <v>135</v>
      </c>
      <c r="AG662" s="1">
        <v>43843</v>
      </c>
      <c r="AH662" t="s">
        <v>125</v>
      </c>
      <c r="AI662" t="s">
        <v>92</v>
      </c>
      <c r="AJ662">
        <v>1278023</v>
      </c>
      <c r="AK662">
        <v>12365300</v>
      </c>
      <c r="AL662">
        <v>12900</v>
      </c>
    </row>
    <row r="663" spans="1:38" x14ac:dyDescent="0.25">
      <c r="A663" t="s">
        <v>107</v>
      </c>
      <c r="B663" t="s">
        <v>318</v>
      </c>
      <c r="C663" t="s">
        <v>71</v>
      </c>
      <c r="D663" s="1">
        <v>43191</v>
      </c>
      <c r="E663" s="1">
        <v>43555</v>
      </c>
      <c r="F663" t="s">
        <v>41</v>
      </c>
      <c r="G663">
        <v>3</v>
      </c>
      <c r="H663" t="s">
        <v>125</v>
      </c>
      <c r="I663" t="s">
        <v>43</v>
      </c>
      <c r="J663" t="s">
        <v>126</v>
      </c>
      <c r="K663" t="s">
        <v>44</v>
      </c>
      <c r="L663">
        <v>208122.92</v>
      </c>
      <c r="M663" s="1">
        <v>43191</v>
      </c>
      <c r="N663" t="s">
        <v>45</v>
      </c>
      <c r="O663" t="s">
        <v>46</v>
      </c>
      <c r="P663" t="s">
        <v>47</v>
      </c>
      <c r="Q663" s="1">
        <v>43852</v>
      </c>
      <c r="R663" t="s">
        <v>48</v>
      </c>
      <c r="S663" t="s">
        <v>41</v>
      </c>
      <c r="T663" t="s">
        <v>130</v>
      </c>
      <c r="U663" t="s">
        <v>125</v>
      </c>
      <c r="V663">
        <v>0</v>
      </c>
      <c r="W663">
        <v>100000</v>
      </c>
      <c r="X663" s="1">
        <v>43769</v>
      </c>
      <c r="Y663" t="s">
        <v>131</v>
      </c>
      <c r="Z663" t="s">
        <v>43</v>
      </c>
      <c r="AA663" t="s">
        <v>41</v>
      </c>
      <c r="AB663" t="s">
        <v>132</v>
      </c>
      <c r="AC663" t="s">
        <v>133</v>
      </c>
      <c r="AF663" t="s">
        <v>136</v>
      </c>
      <c r="AG663" s="1">
        <v>43839</v>
      </c>
      <c r="AH663" t="s">
        <v>125</v>
      </c>
      <c r="AI663" t="s">
        <v>92</v>
      </c>
      <c r="AJ663">
        <v>1278023</v>
      </c>
      <c r="AK663">
        <v>12365300</v>
      </c>
      <c r="AL663">
        <v>12900</v>
      </c>
    </row>
    <row r="664" spans="1:38" x14ac:dyDescent="0.25">
      <c r="A664" t="s">
        <v>107</v>
      </c>
      <c r="B664" t="s">
        <v>318</v>
      </c>
      <c r="C664" t="s">
        <v>71</v>
      </c>
      <c r="D664" s="1">
        <v>43191</v>
      </c>
      <c r="E664" s="1">
        <v>43555</v>
      </c>
      <c r="F664" t="s">
        <v>41</v>
      </c>
      <c r="G664">
        <v>3</v>
      </c>
      <c r="H664" t="s">
        <v>125</v>
      </c>
      <c r="I664" t="s">
        <v>43</v>
      </c>
      <c r="J664" t="s">
        <v>126</v>
      </c>
      <c r="K664" t="s">
        <v>44</v>
      </c>
      <c r="L664">
        <v>208122.92</v>
      </c>
      <c r="M664" s="1">
        <v>43191</v>
      </c>
      <c r="N664" t="s">
        <v>45</v>
      </c>
      <c r="O664" t="s">
        <v>46</v>
      </c>
      <c r="P664" t="s">
        <v>47</v>
      </c>
      <c r="Q664" s="1">
        <v>43852</v>
      </c>
      <c r="R664" t="s">
        <v>48</v>
      </c>
      <c r="S664" t="s">
        <v>41</v>
      </c>
      <c r="T664" t="s">
        <v>130</v>
      </c>
      <c r="U664" t="s">
        <v>125</v>
      </c>
      <c r="V664">
        <v>0</v>
      </c>
      <c r="W664">
        <v>100000</v>
      </c>
      <c r="X664" s="1">
        <v>43769</v>
      </c>
      <c r="Y664" t="s">
        <v>131</v>
      </c>
      <c r="Z664" t="s">
        <v>43</v>
      </c>
      <c r="AA664" t="s">
        <v>41</v>
      </c>
      <c r="AB664" t="s">
        <v>132</v>
      </c>
      <c r="AC664" t="s">
        <v>133</v>
      </c>
      <c r="AF664" t="s">
        <v>137</v>
      </c>
      <c r="AG664" s="1">
        <v>43840</v>
      </c>
      <c r="AH664" t="s">
        <v>125</v>
      </c>
      <c r="AI664" t="s">
        <v>92</v>
      </c>
      <c r="AJ664">
        <v>1278023</v>
      </c>
      <c r="AK664">
        <v>12365300</v>
      </c>
      <c r="AL664">
        <v>12900</v>
      </c>
    </row>
    <row r="665" spans="1:38" x14ac:dyDescent="0.25">
      <c r="A665" t="s">
        <v>107</v>
      </c>
      <c r="B665" t="s">
        <v>318</v>
      </c>
      <c r="C665" t="s">
        <v>71</v>
      </c>
      <c r="D665" s="1">
        <v>43191</v>
      </c>
      <c r="E665" s="1">
        <v>43555</v>
      </c>
      <c r="F665" t="s">
        <v>41</v>
      </c>
      <c r="G665">
        <v>3</v>
      </c>
      <c r="H665" t="s">
        <v>125</v>
      </c>
      <c r="I665" t="s">
        <v>43</v>
      </c>
      <c r="J665" t="s">
        <v>126</v>
      </c>
      <c r="K665" t="s">
        <v>44</v>
      </c>
      <c r="L665">
        <v>208122.92</v>
      </c>
      <c r="M665" s="1">
        <v>43191</v>
      </c>
      <c r="N665" t="s">
        <v>45</v>
      </c>
      <c r="O665" t="s">
        <v>46</v>
      </c>
      <c r="P665" t="s">
        <v>47</v>
      </c>
      <c r="Q665" s="1">
        <v>43852</v>
      </c>
      <c r="R665" t="s">
        <v>48</v>
      </c>
      <c r="S665" t="s">
        <v>138</v>
      </c>
      <c r="T665" t="s">
        <v>139</v>
      </c>
      <c r="U665" t="s">
        <v>125</v>
      </c>
      <c r="V665">
        <v>0</v>
      </c>
      <c r="W665">
        <v>10000</v>
      </c>
      <c r="X665" s="1">
        <v>43738</v>
      </c>
      <c r="Y665" t="s">
        <v>140</v>
      </c>
      <c r="Z665" t="s">
        <v>43</v>
      </c>
      <c r="AA665" t="s">
        <v>41</v>
      </c>
      <c r="AB665" t="s">
        <v>132</v>
      </c>
      <c r="AC665" t="s">
        <v>132</v>
      </c>
      <c r="AF665" t="s">
        <v>134</v>
      </c>
      <c r="AG665" s="1">
        <v>43843</v>
      </c>
      <c r="AH665" t="s">
        <v>125</v>
      </c>
      <c r="AI665" t="s">
        <v>92</v>
      </c>
      <c r="AJ665">
        <v>1278023</v>
      </c>
      <c r="AK665">
        <v>12365300</v>
      </c>
      <c r="AL665">
        <v>12900</v>
      </c>
    </row>
    <row r="666" spans="1:38" x14ac:dyDescent="0.25">
      <c r="A666" t="s">
        <v>107</v>
      </c>
      <c r="B666" t="s">
        <v>318</v>
      </c>
      <c r="C666" t="s">
        <v>71</v>
      </c>
      <c r="D666" s="1">
        <v>43191</v>
      </c>
      <c r="E666" s="1">
        <v>43555</v>
      </c>
      <c r="F666" t="s">
        <v>41</v>
      </c>
      <c r="G666">
        <v>3</v>
      </c>
      <c r="H666" t="s">
        <v>125</v>
      </c>
      <c r="I666" t="s">
        <v>43</v>
      </c>
      <c r="J666" t="s">
        <v>126</v>
      </c>
      <c r="K666" t="s">
        <v>44</v>
      </c>
      <c r="L666">
        <v>208122.92</v>
      </c>
      <c r="M666" s="1">
        <v>43191</v>
      </c>
      <c r="N666" t="s">
        <v>45</v>
      </c>
      <c r="O666" t="s">
        <v>46</v>
      </c>
      <c r="P666" t="s">
        <v>47</v>
      </c>
      <c r="Q666" s="1">
        <v>43852</v>
      </c>
      <c r="R666" t="s">
        <v>48</v>
      </c>
      <c r="S666" t="s">
        <v>138</v>
      </c>
      <c r="T666" t="s">
        <v>139</v>
      </c>
      <c r="U666" t="s">
        <v>125</v>
      </c>
      <c r="V666">
        <v>0</v>
      </c>
      <c r="W666">
        <v>10000</v>
      </c>
      <c r="X666" s="1">
        <v>43738</v>
      </c>
      <c r="Y666" t="s">
        <v>140</v>
      </c>
      <c r="Z666" t="s">
        <v>43</v>
      </c>
      <c r="AA666" t="s">
        <v>41</v>
      </c>
      <c r="AB666" t="s">
        <v>132</v>
      </c>
      <c r="AC666" t="s">
        <v>132</v>
      </c>
      <c r="AF666" t="s">
        <v>135</v>
      </c>
      <c r="AG666" s="1">
        <v>43843</v>
      </c>
      <c r="AH666" t="s">
        <v>125</v>
      </c>
      <c r="AI666" t="s">
        <v>92</v>
      </c>
      <c r="AJ666">
        <v>1278023</v>
      </c>
      <c r="AK666">
        <v>12365300</v>
      </c>
      <c r="AL666">
        <v>12900</v>
      </c>
    </row>
    <row r="667" spans="1:38" x14ac:dyDescent="0.25">
      <c r="A667" t="s">
        <v>107</v>
      </c>
      <c r="B667" t="s">
        <v>318</v>
      </c>
      <c r="C667" t="s">
        <v>71</v>
      </c>
      <c r="D667" s="1">
        <v>43191</v>
      </c>
      <c r="E667" s="1">
        <v>43555</v>
      </c>
      <c r="F667" t="s">
        <v>41</v>
      </c>
      <c r="G667">
        <v>3</v>
      </c>
      <c r="H667" t="s">
        <v>125</v>
      </c>
      <c r="I667" t="s">
        <v>43</v>
      </c>
      <c r="J667" t="s">
        <v>126</v>
      </c>
      <c r="K667" t="s">
        <v>44</v>
      </c>
      <c r="L667">
        <v>208122.92</v>
      </c>
      <c r="M667" s="1">
        <v>43191</v>
      </c>
      <c r="N667" t="s">
        <v>45</v>
      </c>
      <c r="O667" t="s">
        <v>46</v>
      </c>
      <c r="P667" t="s">
        <v>47</v>
      </c>
      <c r="Q667" s="1">
        <v>43852</v>
      </c>
      <c r="R667" t="s">
        <v>48</v>
      </c>
      <c r="S667" t="s">
        <v>138</v>
      </c>
      <c r="T667" t="s">
        <v>139</v>
      </c>
      <c r="U667" t="s">
        <v>125</v>
      </c>
      <c r="V667">
        <v>0</v>
      </c>
      <c r="W667">
        <v>10000</v>
      </c>
      <c r="X667" s="1">
        <v>43738</v>
      </c>
      <c r="Y667" t="s">
        <v>140</v>
      </c>
      <c r="Z667" t="s">
        <v>43</v>
      </c>
      <c r="AA667" t="s">
        <v>41</v>
      </c>
      <c r="AB667" t="s">
        <v>132</v>
      </c>
      <c r="AC667" t="s">
        <v>132</v>
      </c>
      <c r="AF667" t="s">
        <v>136</v>
      </c>
      <c r="AG667" s="1">
        <v>43839</v>
      </c>
      <c r="AH667" t="s">
        <v>125</v>
      </c>
      <c r="AI667" t="s">
        <v>92</v>
      </c>
      <c r="AJ667">
        <v>1278023</v>
      </c>
      <c r="AK667">
        <v>12365300</v>
      </c>
      <c r="AL667">
        <v>12900</v>
      </c>
    </row>
    <row r="668" spans="1:38" x14ac:dyDescent="0.25">
      <c r="A668" t="s">
        <v>107</v>
      </c>
      <c r="B668" t="s">
        <v>318</v>
      </c>
      <c r="C668" t="s">
        <v>71</v>
      </c>
      <c r="D668" s="1">
        <v>43191</v>
      </c>
      <c r="E668" s="1">
        <v>43555</v>
      </c>
      <c r="F668" t="s">
        <v>41</v>
      </c>
      <c r="G668">
        <v>3</v>
      </c>
      <c r="H668" t="s">
        <v>125</v>
      </c>
      <c r="I668" t="s">
        <v>43</v>
      </c>
      <c r="J668" t="s">
        <v>126</v>
      </c>
      <c r="K668" t="s">
        <v>44</v>
      </c>
      <c r="L668">
        <v>208122.92</v>
      </c>
      <c r="M668" s="1">
        <v>43191</v>
      </c>
      <c r="N668" t="s">
        <v>45</v>
      </c>
      <c r="O668" t="s">
        <v>46</v>
      </c>
      <c r="P668" t="s">
        <v>47</v>
      </c>
      <c r="Q668" s="1">
        <v>43852</v>
      </c>
      <c r="R668" t="s">
        <v>48</v>
      </c>
      <c r="S668" t="s">
        <v>138</v>
      </c>
      <c r="T668" t="s">
        <v>139</v>
      </c>
      <c r="U668" t="s">
        <v>125</v>
      </c>
      <c r="V668">
        <v>0</v>
      </c>
      <c r="W668">
        <v>10000</v>
      </c>
      <c r="X668" s="1">
        <v>43738</v>
      </c>
      <c r="Y668" t="s">
        <v>140</v>
      </c>
      <c r="Z668" t="s">
        <v>43</v>
      </c>
      <c r="AA668" t="s">
        <v>41</v>
      </c>
      <c r="AB668" t="s">
        <v>132</v>
      </c>
      <c r="AC668" t="s">
        <v>132</v>
      </c>
      <c r="AF668" t="s">
        <v>137</v>
      </c>
      <c r="AG668" s="1">
        <v>43840</v>
      </c>
      <c r="AH668" t="s">
        <v>125</v>
      </c>
      <c r="AI668" t="s">
        <v>92</v>
      </c>
      <c r="AJ668">
        <v>1278023</v>
      </c>
      <c r="AK668">
        <v>12365300</v>
      </c>
      <c r="AL668">
        <v>12900</v>
      </c>
    </row>
    <row r="669" spans="1:38" x14ac:dyDescent="0.25">
      <c r="A669" t="s">
        <v>109</v>
      </c>
      <c r="B669">
        <v>8502066</v>
      </c>
      <c r="C669" t="s">
        <v>71</v>
      </c>
      <c r="D669" s="1">
        <v>43160</v>
      </c>
      <c r="E669" s="1">
        <v>43524</v>
      </c>
      <c r="F669" t="s">
        <v>41</v>
      </c>
      <c r="G669">
        <v>3</v>
      </c>
      <c r="H669" t="s">
        <v>125</v>
      </c>
      <c r="I669" t="s">
        <v>43</v>
      </c>
      <c r="J669" t="s">
        <v>126</v>
      </c>
      <c r="K669" t="s">
        <v>44</v>
      </c>
      <c r="L669">
        <v>45375.15</v>
      </c>
      <c r="M669" s="1">
        <v>43160</v>
      </c>
      <c r="N669" t="s">
        <v>45</v>
      </c>
      <c r="O669" t="s">
        <v>106</v>
      </c>
      <c r="P669" t="s">
        <v>47</v>
      </c>
      <c r="Q669" s="1">
        <v>43852</v>
      </c>
      <c r="R669" t="s">
        <v>48</v>
      </c>
      <c r="S669" t="s">
        <v>41</v>
      </c>
      <c r="T669" t="s">
        <v>130</v>
      </c>
      <c r="U669" t="s">
        <v>125</v>
      </c>
      <c r="V669">
        <v>0</v>
      </c>
      <c r="W669">
        <v>100000</v>
      </c>
      <c r="X669" s="1">
        <v>43769</v>
      </c>
      <c r="Y669" t="s">
        <v>131</v>
      </c>
      <c r="Z669" t="s">
        <v>43</v>
      </c>
      <c r="AA669" t="s">
        <v>41</v>
      </c>
      <c r="AB669" t="s">
        <v>132</v>
      </c>
      <c r="AC669" t="s">
        <v>133</v>
      </c>
      <c r="AF669" t="s">
        <v>134</v>
      </c>
      <c r="AG669" s="1">
        <v>43843</v>
      </c>
      <c r="AH669" t="s">
        <v>125</v>
      </c>
      <c r="AI669" t="s">
        <v>92</v>
      </c>
      <c r="AJ669">
        <v>1278023</v>
      </c>
      <c r="AK669">
        <v>12365300</v>
      </c>
      <c r="AL669">
        <v>12900</v>
      </c>
    </row>
    <row r="670" spans="1:38" x14ac:dyDescent="0.25">
      <c r="A670" t="s">
        <v>109</v>
      </c>
      <c r="B670">
        <v>8502066</v>
      </c>
      <c r="C670" t="s">
        <v>71</v>
      </c>
      <c r="D670" s="1">
        <v>43160</v>
      </c>
      <c r="E670" s="1">
        <v>43524</v>
      </c>
      <c r="F670" t="s">
        <v>41</v>
      </c>
      <c r="G670">
        <v>3</v>
      </c>
      <c r="H670" t="s">
        <v>125</v>
      </c>
      <c r="I670" t="s">
        <v>43</v>
      </c>
      <c r="J670" t="s">
        <v>126</v>
      </c>
      <c r="K670" t="s">
        <v>44</v>
      </c>
      <c r="L670">
        <v>45375.15</v>
      </c>
      <c r="M670" s="1">
        <v>43160</v>
      </c>
      <c r="N670" t="s">
        <v>45</v>
      </c>
      <c r="O670" t="s">
        <v>106</v>
      </c>
      <c r="P670" t="s">
        <v>47</v>
      </c>
      <c r="Q670" s="1">
        <v>43852</v>
      </c>
      <c r="R670" t="s">
        <v>48</v>
      </c>
      <c r="S670" t="s">
        <v>41</v>
      </c>
      <c r="T670" t="s">
        <v>130</v>
      </c>
      <c r="U670" t="s">
        <v>125</v>
      </c>
      <c r="V670">
        <v>0</v>
      </c>
      <c r="W670">
        <v>100000</v>
      </c>
      <c r="X670" s="1">
        <v>43769</v>
      </c>
      <c r="Y670" t="s">
        <v>131</v>
      </c>
      <c r="Z670" t="s">
        <v>43</v>
      </c>
      <c r="AA670" t="s">
        <v>41</v>
      </c>
      <c r="AB670" t="s">
        <v>132</v>
      </c>
      <c r="AC670" t="s">
        <v>133</v>
      </c>
      <c r="AF670" t="s">
        <v>135</v>
      </c>
      <c r="AG670" s="1">
        <v>43843</v>
      </c>
      <c r="AH670" t="s">
        <v>125</v>
      </c>
      <c r="AI670" t="s">
        <v>92</v>
      </c>
      <c r="AJ670">
        <v>1278023</v>
      </c>
      <c r="AK670">
        <v>12365300</v>
      </c>
      <c r="AL670">
        <v>12900</v>
      </c>
    </row>
    <row r="671" spans="1:38" x14ac:dyDescent="0.25">
      <c r="A671" t="s">
        <v>109</v>
      </c>
      <c r="B671">
        <v>8502066</v>
      </c>
      <c r="C671" t="s">
        <v>71</v>
      </c>
      <c r="D671" s="1">
        <v>43160</v>
      </c>
      <c r="E671" s="1">
        <v>43524</v>
      </c>
      <c r="F671" t="s">
        <v>41</v>
      </c>
      <c r="G671">
        <v>3</v>
      </c>
      <c r="H671" t="s">
        <v>125</v>
      </c>
      <c r="I671" t="s">
        <v>43</v>
      </c>
      <c r="J671" t="s">
        <v>126</v>
      </c>
      <c r="K671" t="s">
        <v>44</v>
      </c>
      <c r="L671">
        <v>45375.15</v>
      </c>
      <c r="M671" s="1">
        <v>43160</v>
      </c>
      <c r="N671" t="s">
        <v>45</v>
      </c>
      <c r="O671" t="s">
        <v>106</v>
      </c>
      <c r="P671" t="s">
        <v>47</v>
      </c>
      <c r="Q671" s="1">
        <v>43852</v>
      </c>
      <c r="R671" t="s">
        <v>48</v>
      </c>
      <c r="S671" t="s">
        <v>41</v>
      </c>
      <c r="T671" t="s">
        <v>130</v>
      </c>
      <c r="U671" t="s">
        <v>125</v>
      </c>
      <c r="V671">
        <v>0</v>
      </c>
      <c r="W671">
        <v>100000</v>
      </c>
      <c r="X671" s="1">
        <v>43769</v>
      </c>
      <c r="Y671" t="s">
        <v>131</v>
      </c>
      <c r="Z671" t="s">
        <v>43</v>
      </c>
      <c r="AA671" t="s">
        <v>41</v>
      </c>
      <c r="AB671" t="s">
        <v>132</v>
      </c>
      <c r="AC671" t="s">
        <v>133</v>
      </c>
      <c r="AF671" t="s">
        <v>136</v>
      </c>
      <c r="AG671" s="1">
        <v>43839</v>
      </c>
      <c r="AH671" t="s">
        <v>125</v>
      </c>
      <c r="AI671" t="s">
        <v>92</v>
      </c>
      <c r="AJ671">
        <v>1278023</v>
      </c>
      <c r="AK671">
        <v>12365300</v>
      </c>
      <c r="AL671">
        <v>12900</v>
      </c>
    </row>
    <row r="672" spans="1:38" x14ac:dyDescent="0.25">
      <c r="A672" t="s">
        <v>109</v>
      </c>
      <c r="B672">
        <v>8502066</v>
      </c>
      <c r="C672" t="s">
        <v>71</v>
      </c>
      <c r="D672" s="1">
        <v>43160</v>
      </c>
      <c r="E672" s="1">
        <v>43524</v>
      </c>
      <c r="F672" t="s">
        <v>41</v>
      </c>
      <c r="G672">
        <v>3</v>
      </c>
      <c r="H672" t="s">
        <v>125</v>
      </c>
      <c r="I672" t="s">
        <v>43</v>
      </c>
      <c r="J672" t="s">
        <v>126</v>
      </c>
      <c r="K672" t="s">
        <v>44</v>
      </c>
      <c r="L672">
        <v>45375.15</v>
      </c>
      <c r="M672" s="1">
        <v>43160</v>
      </c>
      <c r="N672" t="s">
        <v>45</v>
      </c>
      <c r="O672" t="s">
        <v>106</v>
      </c>
      <c r="P672" t="s">
        <v>47</v>
      </c>
      <c r="Q672" s="1">
        <v>43852</v>
      </c>
      <c r="R672" t="s">
        <v>48</v>
      </c>
      <c r="S672" t="s">
        <v>41</v>
      </c>
      <c r="T672" t="s">
        <v>130</v>
      </c>
      <c r="U672" t="s">
        <v>125</v>
      </c>
      <c r="V672">
        <v>0</v>
      </c>
      <c r="W672">
        <v>100000</v>
      </c>
      <c r="X672" s="1">
        <v>43769</v>
      </c>
      <c r="Y672" t="s">
        <v>131</v>
      </c>
      <c r="Z672" t="s">
        <v>43</v>
      </c>
      <c r="AA672" t="s">
        <v>41</v>
      </c>
      <c r="AB672" t="s">
        <v>132</v>
      </c>
      <c r="AC672" t="s">
        <v>133</v>
      </c>
      <c r="AF672" t="s">
        <v>137</v>
      </c>
      <c r="AG672" s="1">
        <v>43840</v>
      </c>
      <c r="AH672" t="s">
        <v>125</v>
      </c>
      <c r="AI672" t="s">
        <v>92</v>
      </c>
      <c r="AJ672">
        <v>1278023</v>
      </c>
      <c r="AK672">
        <v>12365300</v>
      </c>
      <c r="AL672">
        <v>12900</v>
      </c>
    </row>
    <row r="673" spans="1:38" x14ac:dyDescent="0.25">
      <c r="A673" t="s">
        <v>109</v>
      </c>
      <c r="B673">
        <v>8502066</v>
      </c>
      <c r="C673" t="s">
        <v>71</v>
      </c>
      <c r="D673" s="1">
        <v>43160</v>
      </c>
      <c r="E673" s="1">
        <v>43524</v>
      </c>
      <c r="F673" t="s">
        <v>41</v>
      </c>
      <c r="G673">
        <v>3</v>
      </c>
      <c r="H673" t="s">
        <v>125</v>
      </c>
      <c r="I673" t="s">
        <v>43</v>
      </c>
      <c r="J673" t="s">
        <v>126</v>
      </c>
      <c r="K673" t="s">
        <v>44</v>
      </c>
      <c r="L673">
        <v>45375.15</v>
      </c>
      <c r="M673" s="1">
        <v>43160</v>
      </c>
      <c r="N673" t="s">
        <v>45</v>
      </c>
      <c r="O673" t="s">
        <v>106</v>
      </c>
      <c r="P673" t="s">
        <v>47</v>
      </c>
      <c r="Q673" s="1">
        <v>43852</v>
      </c>
      <c r="R673" t="s">
        <v>48</v>
      </c>
      <c r="S673" t="s">
        <v>138</v>
      </c>
      <c r="T673" t="s">
        <v>139</v>
      </c>
      <c r="U673" t="s">
        <v>125</v>
      </c>
      <c r="V673">
        <v>0</v>
      </c>
      <c r="W673">
        <v>10000</v>
      </c>
      <c r="X673" s="1">
        <v>43738</v>
      </c>
      <c r="Y673" t="s">
        <v>140</v>
      </c>
      <c r="Z673" t="s">
        <v>43</v>
      </c>
      <c r="AA673" t="s">
        <v>41</v>
      </c>
      <c r="AB673" t="s">
        <v>132</v>
      </c>
      <c r="AC673" t="s">
        <v>132</v>
      </c>
      <c r="AF673" t="s">
        <v>134</v>
      </c>
      <c r="AG673" s="1">
        <v>43843</v>
      </c>
      <c r="AH673" t="s">
        <v>125</v>
      </c>
      <c r="AI673" t="s">
        <v>92</v>
      </c>
      <c r="AJ673">
        <v>1278023</v>
      </c>
      <c r="AK673">
        <v>12365300</v>
      </c>
      <c r="AL673">
        <v>12900</v>
      </c>
    </row>
    <row r="674" spans="1:38" x14ac:dyDescent="0.25">
      <c r="A674" t="s">
        <v>109</v>
      </c>
      <c r="B674">
        <v>8502066</v>
      </c>
      <c r="C674" t="s">
        <v>71</v>
      </c>
      <c r="D674" s="1">
        <v>43160</v>
      </c>
      <c r="E674" s="1">
        <v>43524</v>
      </c>
      <c r="F674" t="s">
        <v>41</v>
      </c>
      <c r="G674">
        <v>3</v>
      </c>
      <c r="H674" t="s">
        <v>125</v>
      </c>
      <c r="I674" t="s">
        <v>43</v>
      </c>
      <c r="J674" t="s">
        <v>126</v>
      </c>
      <c r="K674" t="s">
        <v>44</v>
      </c>
      <c r="L674">
        <v>45375.15</v>
      </c>
      <c r="M674" s="1">
        <v>43160</v>
      </c>
      <c r="N674" t="s">
        <v>45</v>
      </c>
      <c r="O674" t="s">
        <v>106</v>
      </c>
      <c r="P674" t="s">
        <v>47</v>
      </c>
      <c r="Q674" s="1">
        <v>43852</v>
      </c>
      <c r="R674" t="s">
        <v>48</v>
      </c>
      <c r="S674" t="s">
        <v>138</v>
      </c>
      <c r="T674" t="s">
        <v>139</v>
      </c>
      <c r="U674" t="s">
        <v>125</v>
      </c>
      <c r="V674">
        <v>0</v>
      </c>
      <c r="W674">
        <v>10000</v>
      </c>
      <c r="X674" s="1">
        <v>43738</v>
      </c>
      <c r="Y674" t="s">
        <v>140</v>
      </c>
      <c r="Z674" t="s">
        <v>43</v>
      </c>
      <c r="AA674" t="s">
        <v>41</v>
      </c>
      <c r="AB674" t="s">
        <v>132</v>
      </c>
      <c r="AC674" t="s">
        <v>132</v>
      </c>
      <c r="AF674" t="s">
        <v>135</v>
      </c>
      <c r="AG674" s="1">
        <v>43843</v>
      </c>
      <c r="AH674" t="s">
        <v>125</v>
      </c>
      <c r="AI674" t="s">
        <v>92</v>
      </c>
      <c r="AJ674">
        <v>1278023</v>
      </c>
      <c r="AK674">
        <v>12365300</v>
      </c>
      <c r="AL674">
        <v>12900</v>
      </c>
    </row>
    <row r="675" spans="1:38" x14ac:dyDescent="0.25">
      <c r="A675" t="s">
        <v>109</v>
      </c>
      <c r="B675">
        <v>8502066</v>
      </c>
      <c r="C675" t="s">
        <v>71</v>
      </c>
      <c r="D675" s="1">
        <v>43160</v>
      </c>
      <c r="E675" s="1">
        <v>43524</v>
      </c>
      <c r="F675" t="s">
        <v>41</v>
      </c>
      <c r="G675">
        <v>3</v>
      </c>
      <c r="H675" t="s">
        <v>125</v>
      </c>
      <c r="I675" t="s">
        <v>43</v>
      </c>
      <c r="J675" t="s">
        <v>126</v>
      </c>
      <c r="K675" t="s">
        <v>44</v>
      </c>
      <c r="L675">
        <v>45375.15</v>
      </c>
      <c r="M675" s="1">
        <v>43160</v>
      </c>
      <c r="N675" t="s">
        <v>45</v>
      </c>
      <c r="O675" t="s">
        <v>106</v>
      </c>
      <c r="P675" t="s">
        <v>47</v>
      </c>
      <c r="Q675" s="1">
        <v>43852</v>
      </c>
      <c r="R675" t="s">
        <v>48</v>
      </c>
      <c r="S675" t="s">
        <v>138</v>
      </c>
      <c r="T675" t="s">
        <v>139</v>
      </c>
      <c r="U675" t="s">
        <v>125</v>
      </c>
      <c r="V675">
        <v>0</v>
      </c>
      <c r="W675">
        <v>10000</v>
      </c>
      <c r="X675" s="1">
        <v>43738</v>
      </c>
      <c r="Y675" t="s">
        <v>140</v>
      </c>
      <c r="Z675" t="s">
        <v>43</v>
      </c>
      <c r="AA675" t="s">
        <v>41</v>
      </c>
      <c r="AB675" t="s">
        <v>132</v>
      </c>
      <c r="AC675" t="s">
        <v>132</v>
      </c>
      <c r="AF675" t="s">
        <v>136</v>
      </c>
      <c r="AG675" s="1">
        <v>43839</v>
      </c>
      <c r="AH675" t="s">
        <v>125</v>
      </c>
      <c r="AI675" t="s">
        <v>92</v>
      </c>
      <c r="AJ675">
        <v>1278023</v>
      </c>
      <c r="AK675">
        <v>12365300</v>
      </c>
      <c r="AL675">
        <v>12900</v>
      </c>
    </row>
    <row r="676" spans="1:38" x14ac:dyDescent="0.25">
      <c r="A676" t="s">
        <v>109</v>
      </c>
      <c r="B676">
        <v>8502066</v>
      </c>
      <c r="C676" t="s">
        <v>71</v>
      </c>
      <c r="D676" s="1">
        <v>43160</v>
      </c>
      <c r="E676" s="1">
        <v>43524</v>
      </c>
      <c r="F676" t="s">
        <v>41</v>
      </c>
      <c r="G676">
        <v>3</v>
      </c>
      <c r="H676" t="s">
        <v>125</v>
      </c>
      <c r="I676" t="s">
        <v>43</v>
      </c>
      <c r="J676" t="s">
        <v>126</v>
      </c>
      <c r="K676" t="s">
        <v>44</v>
      </c>
      <c r="L676">
        <v>45375.15</v>
      </c>
      <c r="M676" s="1">
        <v>43160</v>
      </c>
      <c r="N676" t="s">
        <v>45</v>
      </c>
      <c r="O676" t="s">
        <v>106</v>
      </c>
      <c r="P676" t="s">
        <v>47</v>
      </c>
      <c r="Q676" s="1">
        <v>43852</v>
      </c>
      <c r="R676" t="s">
        <v>48</v>
      </c>
      <c r="S676" t="s">
        <v>138</v>
      </c>
      <c r="T676" t="s">
        <v>139</v>
      </c>
      <c r="U676" t="s">
        <v>125</v>
      </c>
      <c r="V676">
        <v>0</v>
      </c>
      <c r="W676">
        <v>10000</v>
      </c>
      <c r="X676" s="1">
        <v>43738</v>
      </c>
      <c r="Y676" t="s">
        <v>140</v>
      </c>
      <c r="Z676" t="s">
        <v>43</v>
      </c>
      <c r="AA676" t="s">
        <v>41</v>
      </c>
      <c r="AB676" t="s">
        <v>132</v>
      </c>
      <c r="AC676" t="s">
        <v>132</v>
      </c>
      <c r="AF676" t="s">
        <v>137</v>
      </c>
      <c r="AG676" s="1">
        <v>43840</v>
      </c>
      <c r="AH676" t="s">
        <v>125</v>
      </c>
      <c r="AI676" t="s">
        <v>92</v>
      </c>
      <c r="AJ676">
        <v>1278023</v>
      </c>
      <c r="AK676">
        <v>12365300</v>
      </c>
      <c r="AL676">
        <v>12900</v>
      </c>
    </row>
    <row r="677" spans="1:38" x14ac:dyDescent="0.25">
      <c r="A677" t="s">
        <v>110</v>
      </c>
      <c r="B677">
        <v>8502066</v>
      </c>
      <c r="C677" t="s">
        <v>71</v>
      </c>
      <c r="D677" s="1">
        <v>43160</v>
      </c>
      <c r="E677" s="1">
        <v>43524</v>
      </c>
      <c r="F677" t="s">
        <v>41</v>
      </c>
      <c r="G677">
        <v>3</v>
      </c>
      <c r="H677" t="s">
        <v>125</v>
      </c>
      <c r="I677" t="s">
        <v>43</v>
      </c>
      <c r="J677" t="s">
        <v>126</v>
      </c>
      <c r="K677" t="s">
        <v>44</v>
      </c>
      <c r="L677">
        <v>18150</v>
      </c>
      <c r="M677" s="1">
        <v>43468</v>
      </c>
      <c r="N677" t="s">
        <v>108</v>
      </c>
      <c r="O677" t="s">
        <v>106</v>
      </c>
      <c r="P677" t="s">
        <v>47</v>
      </c>
      <c r="Q677" s="1">
        <v>43852</v>
      </c>
      <c r="R677" t="s">
        <v>48</v>
      </c>
      <c r="S677" t="s">
        <v>41</v>
      </c>
      <c r="T677" t="s">
        <v>130</v>
      </c>
      <c r="U677" t="s">
        <v>125</v>
      </c>
      <c r="V677">
        <v>0</v>
      </c>
      <c r="W677">
        <v>100000</v>
      </c>
      <c r="X677" s="1">
        <v>43769</v>
      </c>
      <c r="Y677" t="s">
        <v>131</v>
      </c>
      <c r="Z677" t="s">
        <v>43</v>
      </c>
      <c r="AA677" t="s">
        <v>41</v>
      </c>
      <c r="AB677" t="s">
        <v>132</v>
      </c>
      <c r="AC677" t="s">
        <v>133</v>
      </c>
      <c r="AF677" t="s">
        <v>134</v>
      </c>
      <c r="AG677" s="1">
        <v>43843</v>
      </c>
      <c r="AH677" t="s">
        <v>125</v>
      </c>
      <c r="AI677" t="s">
        <v>92</v>
      </c>
      <c r="AJ677">
        <v>1278023</v>
      </c>
      <c r="AK677">
        <v>12365300</v>
      </c>
      <c r="AL677">
        <v>12900</v>
      </c>
    </row>
    <row r="678" spans="1:38" x14ac:dyDescent="0.25">
      <c r="A678" t="s">
        <v>110</v>
      </c>
      <c r="B678">
        <v>8502066</v>
      </c>
      <c r="C678" t="s">
        <v>71</v>
      </c>
      <c r="D678" s="1">
        <v>43160</v>
      </c>
      <c r="E678" s="1">
        <v>43524</v>
      </c>
      <c r="F678" t="s">
        <v>41</v>
      </c>
      <c r="G678">
        <v>3</v>
      </c>
      <c r="H678" t="s">
        <v>125</v>
      </c>
      <c r="I678" t="s">
        <v>43</v>
      </c>
      <c r="J678" t="s">
        <v>126</v>
      </c>
      <c r="K678" t="s">
        <v>44</v>
      </c>
      <c r="L678">
        <v>18150</v>
      </c>
      <c r="M678" s="1">
        <v>43468</v>
      </c>
      <c r="N678" t="s">
        <v>108</v>
      </c>
      <c r="O678" t="s">
        <v>106</v>
      </c>
      <c r="P678" t="s">
        <v>47</v>
      </c>
      <c r="Q678" s="1">
        <v>43852</v>
      </c>
      <c r="R678" t="s">
        <v>48</v>
      </c>
      <c r="S678" t="s">
        <v>41</v>
      </c>
      <c r="T678" t="s">
        <v>130</v>
      </c>
      <c r="U678" t="s">
        <v>125</v>
      </c>
      <c r="V678">
        <v>0</v>
      </c>
      <c r="W678">
        <v>100000</v>
      </c>
      <c r="X678" s="1">
        <v>43769</v>
      </c>
      <c r="Y678" t="s">
        <v>131</v>
      </c>
      <c r="Z678" t="s">
        <v>43</v>
      </c>
      <c r="AA678" t="s">
        <v>41</v>
      </c>
      <c r="AB678" t="s">
        <v>132</v>
      </c>
      <c r="AC678" t="s">
        <v>133</v>
      </c>
      <c r="AF678" t="s">
        <v>135</v>
      </c>
      <c r="AG678" s="1">
        <v>43843</v>
      </c>
      <c r="AH678" t="s">
        <v>125</v>
      </c>
      <c r="AI678" t="s">
        <v>92</v>
      </c>
      <c r="AJ678">
        <v>1278023</v>
      </c>
      <c r="AK678">
        <v>12365300</v>
      </c>
      <c r="AL678">
        <v>12900</v>
      </c>
    </row>
    <row r="679" spans="1:38" x14ac:dyDescent="0.25">
      <c r="A679" t="s">
        <v>110</v>
      </c>
      <c r="B679">
        <v>8502066</v>
      </c>
      <c r="C679" t="s">
        <v>71</v>
      </c>
      <c r="D679" s="1">
        <v>43160</v>
      </c>
      <c r="E679" s="1">
        <v>43524</v>
      </c>
      <c r="F679" t="s">
        <v>41</v>
      </c>
      <c r="G679">
        <v>3</v>
      </c>
      <c r="H679" t="s">
        <v>125</v>
      </c>
      <c r="I679" t="s">
        <v>43</v>
      </c>
      <c r="J679" t="s">
        <v>126</v>
      </c>
      <c r="K679" t="s">
        <v>44</v>
      </c>
      <c r="L679">
        <v>18150</v>
      </c>
      <c r="M679" s="1">
        <v>43468</v>
      </c>
      <c r="N679" t="s">
        <v>108</v>
      </c>
      <c r="O679" t="s">
        <v>106</v>
      </c>
      <c r="P679" t="s">
        <v>47</v>
      </c>
      <c r="Q679" s="1">
        <v>43852</v>
      </c>
      <c r="R679" t="s">
        <v>48</v>
      </c>
      <c r="S679" t="s">
        <v>41</v>
      </c>
      <c r="T679" t="s">
        <v>130</v>
      </c>
      <c r="U679" t="s">
        <v>125</v>
      </c>
      <c r="V679">
        <v>0</v>
      </c>
      <c r="W679">
        <v>100000</v>
      </c>
      <c r="X679" s="1">
        <v>43769</v>
      </c>
      <c r="Y679" t="s">
        <v>131</v>
      </c>
      <c r="Z679" t="s">
        <v>43</v>
      </c>
      <c r="AA679" t="s">
        <v>41</v>
      </c>
      <c r="AB679" t="s">
        <v>132</v>
      </c>
      <c r="AC679" t="s">
        <v>133</v>
      </c>
      <c r="AF679" t="s">
        <v>136</v>
      </c>
      <c r="AG679" s="1">
        <v>43839</v>
      </c>
      <c r="AH679" t="s">
        <v>125</v>
      </c>
      <c r="AI679" t="s">
        <v>92</v>
      </c>
      <c r="AJ679">
        <v>1278023</v>
      </c>
      <c r="AK679">
        <v>12365300</v>
      </c>
      <c r="AL679">
        <v>12900</v>
      </c>
    </row>
    <row r="680" spans="1:38" x14ac:dyDescent="0.25">
      <c r="A680" t="s">
        <v>110</v>
      </c>
      <c r="B680">
        <v>8502066</v>
      </c>
      <c r="C680" t="s">
        <v>71</v>
      </c>
      <c r="D680" s="1">
        <v>43160</v>
      </c>
      <c r="E680" s="1">
        <v>43524</v>
      </c>
      <c r="F680" t="s">
        <v>41</v>
      </c>
      <c r="G680">
        <v>3</v>
      </c>
      <c r="H680" t="s">
        <v>125</v>
      </c>
      <c r="I680" t="s">
        <v>43</v>
      </c>
      <c r="J680" t="s">
        <v>126</v>
      </c>
      <c r="K680" t="s">
        <v>44</v>
      </c>
      <c r="L680">
        <v>18150</v>
      </c>
      <c r="M680" s="1">
        <v>43468</v>
      </c>
      <c r="N680" t="s">
        <v>108</v>
      </c>
      <c r="O680" t="s">
        <v>106</v>
      </c>
      <c r="P680" t="s">
        <v>47</v>
      </c>
      <c r="Q680" s="1">
        <v>43852</v>
      </c>
      <c r="R680" t="s">
        <v>48</v>
      </c>
      <c r="S680" t="s">
        <v>41</v>
      </c>
      <c r="T680" t="s">
        <v>130</v>
      </c>
      <c r="U680" t="s">
        <v>125</v>
      </c>
      <c r="V680">
        <v>0</v>
      </c>
      <c r="W680">
        <v>100000</v>
      </c>
      <c r="X680" s="1">
        <v>43769</v>
      </c>
      <c r="Y680" t="s">
        <v>131</v>
      </c>
      <c r="Z680" t="s">
        <v>43</v>
      </c>
      <c r="AA680" t="s">
        <v>41</v>
      </c>
      <c r="AB680" t="s">
        <v>132</v>
      </c>
      <c r="AC680" t="s">
        <v>133</v>
      </c>
      <c r="AF680" t="s">
        <v>137</v>
      </c>
      <c r="AG680" s="1">
        <v>43840</v>
      </c>
      <c r="AH680" t="s">
        <v>125</v>
      </c>
      <c r="AI680" t="s">
        <v>92</v>
      </c>
      <c r="AJ680">
        <v>1278023</v>
      </c>
      <c r="AK680">
        <v>12365300</v>
      </c>
      <c r="AL680">
        <v>12900</v>
      </c>
    </row>
    <row r="681" spans="1:38" x14ac:dyDescent="0.25">
      <c r="A681" t="s">
        <v>110</v>
      </c>
      <c r="B681">
        <v>8502066</v>
      </c>
      <c r="C681" t="s">
        <v>71</v>
      </c>
      <c r="D681" s="1">
        <v>43160</v>
      </c>
      <c r="E681" s="1">
        <v>43524</v>
      </c>
      <c r="F681" t="s">
        <v>41</v>
      </c>
      <c r="G681">
        <v>3</v>
      </c>
      <c r="H681" t="s">
        <v>125</v>
      </c>
      <c r="I681" t="s">
        <v>43</v>
      </c>
      <c r="J681" t="s">
        <v>126</v>
      </c>
      <c r="K681" t="s">
        <v>44</v>
      </c>
      <c r="L681">
        <v>18150</v>
      </c>
      <c r="M681" s="1">
        <v>43468</v>
      </c>
      <c r="N681" t="s">
        <v>108</v>
      </c>
      <c r="O681" t="s">
        <v>106</v>
      </c>
      <c r="P681" t="s">
        <v>47</v>
      </c>
      <c r="Q681" s="1">
        <v>43852</v>
      </c>
      <c r="R681" t="s">
        <v>48</v>
      </c>
      <c r="S681" t="s">
        <v>138</v>
      </c>
      <c r="T681" t="s">
        <v>139</v>
      </c>
      <c r="U681" t="s">
        <v>125</v>
      </c>
      <c r="V681">
        <v>0</v>
      </c>
      <c r="W681">
        <v>10000</v>
      </c>
      <c r="X681" s="1">
        <v>43738</v>
      </c>
      <c r="Y681" t="s">
        <v>140</v>
      </c>
      <c r="Z681" t="s">
        <v>43</v>
      </c>
      <c r="AA681" t="s">
        <v>41</v>
      </c>
      <c r="AB681" t="s">
        <v>132</v>
      </c>
      <c r="AC681" t="s">
        <v>132</v>
      </c>
      <c r="AF681" t="s">
        <v>134</v>
      </c>
      <c r="AG681" s="1">
        <v>43843</v>
      </c>
      <c r="AH681" t="s">
        <v>125</v>
      </c>
      <c r="AI681" t="s">
        <v>92</v>
      </c>
      <c r="AJ681">
        <v>1278023</v>
      </c>
      <c r="AK681">
        <v>12365300</v>
      </c>
      <c r="AL681">
        <v>12900</v>
      </c>
    </row>
    <row r="682" spans="1:38" x14ac:dyDescent="0.25">
      <c r="A682" t="s">
        <v>110</v>
      </c>
      <c r="B682">
        <v>8502066</v>
      </c>
      <c r="C682" t="s">
        <v>71</v>
      </c>
      <c r="D682" s="1">
        <v>43160</v>
      </c>
      <c r="E682" s="1">
        <v>43524</v>
      </c>
      <c r="F682" t="s">
        <v>41</v>
      </c>
      <c r="G682">
        <v>3</v>
      </c>
      <c r="H682" t="s">
        <v>125</v>
      </c>
      <c r="I682" t="s">
        <v>43</v>
      </c>
      <c r="J682" t="s">
        <v>126</v>
      </c>
      <c r="K682" t="s">
        <v>44</v>
      </c>
      <c r="L682">
        <v>18150</v>
      </c>
      <c r="M682" s="1">
        <v>43468</v>
      </c>
      <c r="N682" t="s">
        <v>108</v>
      </c>
      <c r="O682" t="s">
        <v>106</v>
      </c>
      <c r="P682" t="s">
        <v>47</v>
      </c>
      <c r="Q682" s="1">
        <v>43852</v>
      </c>
      <c r="R682" t="s">
        <v>48</v>
      </c>
      <c r="S682" t="s">
        <v>138</v>
      </c>
      <c r="T682" t="s">
        <v>139</v>
      </c>
      <c r="U682" t="s">
        <v>125</v>
      </c>
      <c r="V682">
        <v>0</v>
      </c>
      <c r="W682">
        <v>10000</v>
      </c>
      <c r="X682" s="1">
        <v>43738</v>
      </c>
      <c r="Y682" t="s">
        <v>140</v>
      </c>
      <c r="Z682" t="s">
        <v>43</v>
      </c>
      <c r="AA682" t="s">
        <v>41</v>
      </c>
      <c r="AB682" t="s">
        <v>132</v>
      </c>
      <c r="AC682" t="s">
        <v>132</v>
      </c>
      <c r="AF682" t="s">
        <v>135</v>
      </c>
      <c r="AG682" s="1">
        <v>43843</v>
      </c>
      <c r="AH682" t="s">
        <v>125</v>
      </c>
      <c r="AI682" t="s">
        <v>92</v>
      </c>
      <c r="AJ682">
        <v>1278023</v>
      </c>
      <c r="AK682">
        <v>12365300</v>
      </c>
      <c r="AL682">
        <v>12900</v>
      </c>
    </row>
    <row r="683" spans="1:38" x14ac:dyDescent="0.25">
      <c r="A683" t="s">
        <v>110</v>
      </c>
      <c r="B683">
        <v>8502066</v>
      </c>
      <c r="C683" t="s">
        <v>71</v>
      </c>
      <c r="D683" s="1">
        <v>43160</v>
      </c>
      <c r="E683" s="1">
        <v>43524</v>
      </c>
      <c r="F683" t="s">
        <v>41</v>
      </c>
      <c r="G683">
        <v>3</v>
      </c>
      <c r="H683" t="s">
        <v>125</v>
      </c>
      <c r="I683" t="s">
        <v>43</v>
      </c>
      <c r="J683" t="s">
        <v>126</v>
      </c>
      <c r="K683" t="s">
        <v>44</v>
      </c>
      <c r="L683">
        <v>18150</v>
      </c>
      <c r="M683" s="1">
        <v>43468</v>
      </c>
      <c r="N683" t="s">
        <v>108</v>
      </c>
      <c r="O683" t="s">
        <v>106</v>
      </c>
      <c r="P683" t="s">
        <v>47</v>
      </c>
      <c r="Q683" s="1">
        <v>43852</v>
      </c>
      <c r="R683" t="s">
        <v>48</v>
      </c>
      <c r="S683" t="s">
        <v>138</v>
      </c>
      <c r="T683" t="s">
        <v>139</v>
      </c>
      <c r="U683" t="s">
        <v>125</v>
      </c>
      <c r="V683">
        <v>0</v>
      </c>
      <c r="W683">
        <v>10000</v>
      </c>
      <c r="X683" s="1">
        <v>43738</v>
      </c>
      <c r="Y683" t="s">
        <v>140</v>
      </c>
      <c r="Z683" t="s">
        <v>43</v>
      </c>
      <c r="AA683" t="s">
        <v>41</v>
      </c>
      <c r="AB683" t="s">
        <v>132</v>
      </c>
      <c r="AC683" t="s">
        <v>132</v>
      </c>
      <c r="AF683" t="s">
        <v>136</v>
      </c>
      <c r="AG683" s="1">
        <v>43839</v>
      </c>
      <c r="AH683" t="s">
        <v>125</v>
      </c>
      <c r="AI683" t="s">
        <v>92</v>
      </c>
      <c r="AJ683">
        <v>1278023</v>
      </c>
      <c r="AK683">
        <v>12365300</v>
      </c>
      <c r="AL683">
        <v>12900</v>
      </c>
    </row>
    <row r="684" spans="1:38" x14ac:dyDescent="0.25">
      <c r="A684" t="s">
        <v>110</v>
      </c>
      <c r="B684">
        <v>8502066</v>
      </c>
      <c r="C684" t="s">
        <v>71</v>
      </c>
      <c r="D684" s="1">
        <v>43160</v>
      </c>
      <c r="E684" s="1">
        <v>43524</v>
      </c>
      <c r="F684" t="s">
        <v>41</v>
      </c>
      <c r="G684">
        <v>3</v>
      </c>
      <c r="H684" t="s">
        <v>125</v>
      </c>
      <c r="I684" t="s">
        <v>43</v>
      </c>
      <c r="J684" t="s">
        <v>126</v>
      </c>
      <c r="K684" t="s">
        <v>44</v>
      </c>
      <c r="L684">
        <v>18150</v>
      </c>
      <c r="M684" s="1">
        <v>43468</v>
      </c>
      <c r="N684" t="s">
        <v>108</v>
      </c>
      <c r="O684" t="s">
        <v>106</v>
      </c>
      <c r="P684" t="s">
        <v>47</v>
      </c>
      <c r="Q684" s="1">
        <v>43852</v>
      </c>
      <c r="R684" t="s">
        <v>48</v>
      </c>
      <c r="S684" t="s">
        <v>138</v>
      </c>
      <c r="T684" t="s">
        <v>139</v>
      </c>
      <c r="U684" t="s">
        <v>125</v>
      </c>
      <c r="V684">
        <v>0</v>
      </c>
      <c r="W684">
        <v>10000</v>
      </c>
      <c r="X684" s="1">
        <v>43738</v>
      </c>
      <c r="Y684" t="s">
        <v>140</v>
      </c>
      <c r="Z684" t="s">
        <v>43</v>
      </c>
      <c r="AA684" t="s">
        <v>41</v>
      </c>
      <c r="AB684" t="s">
        <v>132</v>
      </c>
      <c r="AC684" t="s">
        <v>132</v>
      </c>
      <c r="AF684" t="s">
        <v>137</v>
      </c>
      <c r="AG684" s="1">
        <v>43840</v>
      </c>
      <c r="AH684" t="s">
        <v>125</v>
      </c>
      <c r="AI684" t="s">
        <v>92</v>
      </c>
      <c r="AJ684">
        <v>1278023</v>
      </c>
      <c r="AK684">
        <v>12365300</v>
      </c>
      <c r="AL684">
        <v>12900</v>
      </c>
    </row>
    <row r="685" spans="1:38" x14ac:dyDescent="0.25">
      <c r="A685" t="s">
        <v>112</v>
      </c>
      <c r="B685" t="s">
        <v>319</v>
      </c>
      <c r="C685" t="s">
        <v>40</v>
      </c>
      <c r="D685" s="1">
        <v>43525</v>
      </c>
      <c r="E685" s="1">
        <v>44012</v>
      </c>
      <c r="F685" t="s">
        <v>41</v>
      </c>
      <c r="G685">
        <v>3</v>
      </c>
      <c r="H685" t="s">
        <v>125</v>
      </c>
      <c r="I685" t="s">
        <v>43</v>
      </c>
      <c r="J685" t="s">
        <v>126</v>
      </c>
      <c r="K685" t="s">
        <v>44</v>
      </c>
      <c r="L685">
        <v>45375.15</v>
      </c>
      <c r="M685" s="1">
        <v>43525</v>
      </c>
      <c r="N685" t="s">
        <v>45</v>
      </c>
      <c r="O685" t="s">
        <v>106</v>
      </c>
      <c r="P685" t="s">
        <v>47</v>
      </c>
      <c r="Q685" s="1">
        <v>43852</v>
      </c>
      <c r="R685" t="s">
        <v>48</v>
      </c>
      <c r="S685" t="s">
        <v>41</v>
      </c>
      <c r="T685" t="s">
        <v>130</v>
      </c>
      <c r="U685" t="s">
        <v>125</v>
      </c>
      <c r="V685">
        <v>0</v>
      </c>
      <c r="W685">
        <v>100000</v>
      </c>
      <c r="X685" s="1">
        <v>43769</v>
      </c>
      <c r="Y685" t="s">
        <v>131</v>
      </c>
      <c r="Z685" t="s">
        <v>43</v>
      </c>
      <c r="AA685" t="s">
        <v>41</v>
      </c>
      <c r="AB685" t="s">
        <v>132</v>
      </c>
      <c r="AC685" t="s">
        <v>133</v>
      </c>
      <c r="AF685" t="s">
        <v>134</v>
      </c>
      <c r="AG685" s="1">
        <v>43843</v>
      </c>
      <c r="AH685" t="s">
        <v>125</v>
      </c>
      <c r="AI685" t="s">
        <v>92</v>
      </c>
      <c r="AJ685">
        <v>1278023</v>
      </c>
      <c r="AK685">
        <v>12365300</v>
      </c>
      <c r="AL685">
        <v>12900</v>
      </c>
    </row>
    <row r="686" spans="1:38" x14ac:dyDescent="0.25">
      <c r="A686" t="s">
        <v>112</v>
      </c>
      <c r="B686" t="s">
        <v>319</v>
      </c>
      <c r="C686" t="s">
        <v>40</v>
      </c>
      <c r="D686" s="1">
        <v>43525</v>
      </c>
      <c r="E686" s="1">
        <v>44012</v>
      </c>
      <c r="F686" t="s">
        <v>41</v>
      </c>
      <c r="G686">
        <v>3</v>
      </c>
      <c r="H686" t="s">
        <v>125</v>
      </c>
      <c r="I686" t="s">
        <v>43</v>
      </c>
      <c r="J686" t="s">
        <v>126</v>
      </c>
      <c r="K686" t="s">
        <v>44</v>
      </c>
      <c r="L686">
        <v>45375.15</v>
      </c>
      <c r="M686" s="1">
        <v>43525</v>
      </c>
      <c r="N686" t="s">
        <v>45</v>
      </c>
      <c r="O686" t="s">
        <v>106</v>
      </c>
      <c r="P686" t="s">
        <v>47</v>
      </c>
      <c r="Q686" s="1">
        <v>43852</v>
      </c>
      <c r="R686" t="s">
        <v>48</v>
      </c>
      <c r="S686" t="s">
        <v>41</v>
      </c>
      <c r="T686" t="s">
        <v>130</v>
      </c>
      <c r="U686" t="s">
        <v>125</v>
      </c>
      <c r="V686">
        <v>0</v>
      </c>
      <c r="W686">
        <v>100000</v>
      </c>
      <c r="X686" s="1">
        <v>43769</v>
      </c>
      <c r="Y686" t="s">
        <v>131</v>
      </c>
      <c r="Z686" t="s">
        <v>43</v>
      </c>
      <c r="AA686" t="s">
        <v>41</v>
      </c>
      <c r="AB686" t="s">
        <v>132</v>
      </c>
      <c r="AC686" t="s">
        <v>133</v>
      </c>
      <c r="AF686" t="s">
        <v>135</v>
      </c>
      <c r="AG686" s="1">
        <v>43843</v>
      </c>
      <c r="AH686" t="s">
        <v>125</v>
      </c>
      <c r="AI686" t="s">
        <v>92</v>
      </c>
      <c r="AJ686">
        <v>1278023</v>
      </c>
      <c r="AK686">
        <v>12365300</v>
      </c>
      <c r="AL686">
        <v>12900</v>
      </c>
    </row>
    <row r="687" spans="1:38" x14ac:dyDescent="0.25">
      <c r="A687" t="s">
        <v>112</v>
      </c>
      <c r="B687" t="s">
        <v>319</v>
      </c>
      <c r="C687" t="s">
        <v>40</v>
      </c>
      <c r="D687" s="1">
        <v>43525</v>
      </c>
      <c r="E687" s="1">
        <v>44012</v>
      </c>
      <c r="F687" t="s">
        <v>41</v>
      </c>
      <c r="G687">
        <v>3</v>
      </c>
      <c r="H687" t="s">
        <v>125</v>
      </c>
      <c r="I687" t="s">
        <v>43</v>
      </c>
      <c r="J687" t="s">
        <v>126</v>
      </c>
      <c r="K687" t="s">
        <v>44</v>
      </c>
      <c r="L687">
        <v>45375.15</v>
      </c>
      <c r="M687" s="1">
        <v>43525</v>
      </c>
      <c r="N687" t="s">
        <v>45</v>
      </c>
      <c r="O687" t="s">
        <v>106</v>
      </c>
      <c r="P687" t="s">
        <v>47</v>
      </c>
      <c r="Q687" s="1">
        <v>43852</v>
      </c>
      <c r="R687" t="s">
        <v>48</v>
      </c>
      <c r="S687" t="s">
        <v>41</v>
      </c>
      <c r="T687" t="s">
        <v>130</v>
      </c>
      <c r="U687" t="s">
        <v>125</v>
      </c>
      <c r="V687">
        <v>0</v>
      </c>
      <c r="W687">
        <v>100000</v>
      </c>
      <c r="X687" s="1">
        <v>43769</v>
      </c>
      <c r="Y687" t="s">
        <v>131</v>
      </c>
      <c r="Z687" t="s">
        <v>43</v>
      </c>
      <c r="AA687" t="s">
        <v>41</v>
      </c>
      <c r="AB687" t="s">
        <v>132</v>
      </c>
      <c r="AC687" t="s">
        <v>133</v>
      </c>
      <c r="AF687" t="s">
        <v>136</v>
      </c>
      <c r="AG687" s="1">
        <v>43839</v>
      </c>
      <c r="AH687" t="s">
        <v>125</v>
      </c>
      <c r="AI687" t="s">
        <v>92</v>
      </c>
      <c r="AJ687">
        <v>1278023</v>
      </c>
      <c r="AK687">
        <v>12365300</v>
      </c>
      <c r="AL687">
        <v>12900</v>
      </c>
    </row>
    <row r="688" spans="1:38" x14ac:dyDescent="0.25">
      <c r="A688" t="s">
        <v>112</v>
      </c>
      <c r="B688" t="s">
        <v>319</v>
      </c>
      <c r="C688" t="s">
        <v>40</v>
      </c>
      <c r="D688" s="1">
        <v>43525</v>
      </c>
      <c r="E688" s="1">
        <v>44012</v>
      </c>
      <c r="F688" t="s">
        <v>41</v>
      </c>
      <c r="G688">
        <v>3</v>
      </c>
      <c r="H688" t="s">
        <v>125</v>
      </c>
      <c r="I688" t="s">
        <v>43</v>
      </c>
      <c r="J688" t="s">
        <v>126</v>
      </c>
      <c r="K688" t="s">
        <v>44</v>
      </c>
      <c r="L688">
        <v>45375.15</v>
      </c>
      <c r="M688" s="1">
        <v>43525</v>
      </c>
      <c r="N688" t="s">
        <v>45</v>
      </c>
      <c r="O688" t="s">
        <v>106</v>
      </c>
      <c r="P688" t="s">
        <v>47</v>
      </c>
      <c r="Q688" s="1">
        <v>43852</v>
      </c>
      <c r="R688" t="s">
        <v>48</v>
      </c>
      <c r="S688" t="s">
        <v>41</v>
      </c>
      <c r="T688" t="s">
        <v>130</v>
      </c>
      <c r="U688" t="s">
        <v>125</v>
      </c>
      <c r="V688">
        <v>0</v>
      </c>
      <c r="W688">
        <v>100000</v>
      </c>
      <c r="X688" s="1">
        <v>43769</v>
      </c>
      <c r="Y688" t="s">
        <v>131</v>
      </c>
      <c r="Z688" t="s">
        <v>43</v>
      </c>
      <c r="AA688" t="s">
        <v>41</v>
      </c>
      <c r="AB688" t="s">
        <v>132</v>
      </c>
      <c r="AC688" t="s">
        <v>133</v>
      </c>
      <c r="AF688" t="s">
        <v>137</v>
      </c>
      <c r="AG688" s="1">
        <v>43840</v>
      </c>
      <c r="AH688" t="s">
        <v>125</v>
      </c>
      <c r="AI688" t="s">
        <v>92</v>
      </c>
      <c r="AJ688">
        <v>1278023</v>
      </c>
      <c r="AK688">
        <v>12365300</v>
      </c>
      <c r="AL688">
        <v>12900</v>
      </c>
    </row>
    <row r="689" spans="1:38" x14ac:dyDescent="0.25">
      <c r="A689" t="s">
        <v>112</v>
      </c>
      <c r="B689" t="s">
        <v>319</v>
      </c>
      <c r="C689" t="s">
        <v>40</v>
      </c>
      <c r="D689" s="1">
        <v>43525</v>
      </c>
      <c r="E689" s="1">
        <v>44012</v>
      </c>
      <c r="F689" t="s">
        <v>41</v>
      </c>
      <c r="G689">
        <v>3</v>
      </c>
      <c r="H689" t="s">
        <v>125</v>
      </c>
      <c r="I689" t="s">
        <v>43</v>
      </c>
      <c r="J689" t="s">
        <v>126</v>
      </c>
      <c r="K689" t="s">
        <v>44</v>
      </c>
      <c r="L689">
        <v>45375.15</v>
      </c>
      <c r="M689" s="1">
        <v>43525</v>
      </c>
      <c r="N689" t="s">
        <v>45</v>
      </c>
      <c r="O689" t="s">
        <v>106</v>
      </c>
      <c r="P689" t="s">
        <v>47</v>
      </c>
      <c r="Q689" s="1">
        <v>43852</v>
      </c>
      <c r="R689" t="s">
        <v>48</v>
      </c>
      <c r="S689" t="s">
        <v>138</v>
      </c>
      <c r="T689" t="s">
        <v>139</v>
      </c>
      <c r="U689" t="s">
        <v>125</v>
      </c>
      <c r="V689">
        <v>0</v>
      </c>
      <c r="W689">
        <v>10000</v>
      </c>
      <c r="X689" s="1">
        <v>43738</v>
      </c>
      <c r="Y689" t="s">
        <v>140</v>
      </c>
      <c r="Z689" t="s">
        <v>43</v>
      </c>
      <c r="AA689" t="s">
        <v>41</v>
      </c>
      <c r="AB689" t="s">
        <v>132</v>
      </c>
      <c r="AC689" t="s">
        <v>132</v>
      </c>
      <c r="AF689" t="s">
        <v>134</v>
      </c>
      <c r="AG689" s="1">
        <v>43843</v>
      </c>
      <c r="AH689" t="s">
        <v>125</v>
      </c>
      <c r="AI689" t="s">
        <v>92</v>
      </c>
      <c r="AJ689">
        <v>1278023</v>
      </c>
      <c r="AK689">
        <v>12365300</v>
      </c>
      <c r="AL689">
        <v>12900</v>
      </c>
    </row>
    <row r="690" spans="1:38" x14ac:dyDescent="0.25">
      <c r="A690" t="s">
        <v>112</v>
      </c>
      <c r="B690" t="s">
        <v>319</v>
      </c>
      <c r="C690" t="s">
        <v>40</v>
      </c>
      <c r="D690" s="1">
        <v>43525</v>
      </c>
      <c r="E690" s="1">
        <v>44012</v>
      </c>
      <c r="F690" t="s">
        <v>41</v>
      </c>
      <c r="G690">
        <v>3</v>
      </c>
      <c r="H690" t="s">
        <v>125</v>
      </c>
      <c r="I690" t="s">
        <v>43</v>
      </c>
      <c r="J690" t="s">
        <v>126</v>
      </c>
      <c r="K690" t="s">
        <v>44</v>
      </c>
      <c r="L690">
        <v>45375.15</v>
      </c>
      <c r="M690" s="1">
        <v>43525</v>
      </c>
      <c r="N690" t="s">
        <v>45</v>
      </c>
      <c r="O690" t="s">
        <v>106</v>
      </c>
      <c r="P690" t="s">
        <v>47</v>
      </c>
      <c r="Q690" s="1">
        <v>43852</v>
      </c>
      <c r="R690" t="s">
        <v>48</v>
      </c>
      <c r="S690" t="s">
        <v>138</v>
      </c>
      <c r="T690" t="s">
        <v>139</v>
      </c>
      <c r="U690" t="s">
        <v>125</v>
      </c>
      <c r="V690">
        <v>0</v>
      </c>
      <c r="W690">
        <v>10000</v>
      </c>
      <c r="X690" s="1">
        <v>43738</v>
      </c>
      <c r="Y690" t="s">
        <v>140</v>
      </c>
      <c r="Z690" t="s">
        <v>43</v>
      </c>
      <c r="AA690" t="s">
        <v>41</v>
      </c>
      <c r="AB690" t="s">
        <v>132</v>
      </c>
      <c r="AC690" t="s">
        <v>132</v>
      </c>
      <c r="AF690" t="s">
        <v>135</v>
      </c>
      <c r="AG690" s="1">
        <v>43843</v>
      </c>
      <c r="AH690" t="s">
        <v>125</v>
      </c>
      <c r="AI690" t="s">
        <v>92</v>
      </c>
      <c r="AJ690">
        <v>1278023</v>
      </c>
      <c r="AK690">
        <v>12365300</v>
      </c>
      <c r="AL690">
        <v>12900</v>
      </c>
    </row>
    <row r="691" spans="1:38" x14ac:dyDescent="0.25">
      <c r="A691" t="s">
        <v>112</v>
      </c>
      <c r="B691" t="s">
        <v>319</v>
      </c>
      <c r="C691" t="s">
        <v>40</v>
      </c>
      <c r="D691" s="1">
        <v>43525</v>
      </c>
      <c r="E691" s="1">
        <v>44012</v>
      </c>
      <c r="F691" t="s">
        <v>41</v>
      </c>
      <c r="G691">
        <v>3</v>
      </c>
      <c r="H691" t="s">
        <v>125</v>
      </c>
      <c r="I691" t="s">
        <v>43</v>
      </c>
      <c r="J691" t="s">
        <v>126</v>
      </c>
      <c r="K691" t="s">
        <v>44</v>
      </c>
      <c r="L691">
        <v>45375.15</v>
      </c>
      <c r="M691" s="1">
        <v>43525</v>
      </c>
      <c r="N691" t="s">
        <v>45</v>
      </c>
      <c r="O691" t="s">
        <v>106</v>
      </c>
      <c r="P691" t="s">
        <v>47</v>
      </c>
      <c r="Q691" s="1">
        <v>43852</v>
      </c>
      <c r="R691" t="s">
        <v>48</v>
      </c>
      <c r="S691" t="s">
        <v>138</v>
      </c>
      <c r="T691" t="s">
        <v>139</v>
      </c>
      <c r="U691" t="s">
        <v>125</v>
      </c>
      <c r="V691">
        <v>0</v>
      </c>
      <c r="W691">
        <v>10000</v>
      </c>
      <c r="X691" s="1">
        <v>43738</v>
      </c>
      <c r="Y691" t="s">
        <v>140</v>
      </c>
      <c r="Z691" t="s">
        <v>43</v>
      </c>
      <c r="AA691" t="s">
        <v>41</v>
      </c>
      <c r="AB691" t="s">
        <v>132</v>
      </c>
      <c r="AC691" t="s">
        <v>132</v>
      </c>
      <c r="AF691" t="s">
        <v>136</v>
      </c>
      <c r="AG691" s="1">
        <v>43839</v>
      </c>
      <c r="AH691" t="s">
        <v>125</v>
      </c>
      <c r="AI691" t="s">
        <v>92</v>
      </c>
      <c r="AJ691">
        <v>1278023</v>
      </c>
      <c r="AK691">
        <v>12365300</v>
      </c>
      <c r="AL691">
        <v>12900</v>
      </c>
    </row>
    <row r="692" spans="1:38" x14ac:dyDescent="0.25">
      <c r="A692" t="s">
        <v>112</v>
      </c>
      <c r="B692" t="s">
        <v>319</v>
      </c>
      <c r="C692" t="s">
        <v>40</v>
      </c>
      <c r="D692" s="1">
        <v>43525</v>
      </c>
      <c r="E692" s="1">
        <v>44012</v>
      </c>
      <c r="F692" t="s">
        <v>41</v>
      </c>
      <c r="G692">
        <v>3</v>
      </c>
      <c r="H692" t="s">
        <v>125</v>
      </c>
      <c r="I692" t="s">
        <v>43</v>
      </c>
      <c r="J692" t="s">
        <v>126</v>
      </c>
      <c r="K692" t="s">
        <v>44</v>
      </c>
      <c r="L692">
        <v>45375.15</v>
      </c>
      <c r="M692" s="1">
        <v>43525</v>
      </c>
      <c r="N692" t="s">
        <v>45</v>
      </c>
      <c r="O692" t="s">
        <v>106</v>
      </c>
      <c r="P692" t="s">
        <v>47</v>
      </c>
      <c r="Q692" s="1">
        <v>43852</v>
      </c>
      <c r="R692" t="s">
        <v>48</v>
      </c>
      <c r="S692" t="s">
        <v>138</v>
      </c>
      <c r="T692" t="s">
        <v>139</v>
      </c>
      <c r="U692" t="s">
        <v>125</v>
      </c>
      <c r="V692">
        <v>0</v>
      </c>
      <c r="W692">
        <v>10000</v>
      </c>
      <c r="X692" s="1">
        <v>43738</v>
      </c>
      <c r="Y692" t="s">
        <v>140</v>
      </c>
      <c r="Z692" t="s">
        <v>43</v>
      </c>
      <c r="AA692" t="s">
        <v>41</v>
      </c>
      <c r="AB692" t="s">
        <v>132</v>
      </c>
      <c r="AC692" t="s">
        <v>132</v>
      </c>
      <c r="AF692" t="s">
        <v>137</v>
      </c>
      <c r="AG692" s="1">
        <v>43840</v>
      </c>
      <c r="AH692" t="s">
        <v>125</v>
      </c>
      <c r="AI692" t="s">
        <v>92</v>
      </c>
      <c r="AJ692">
        <v>1278023</v>
      </c>
      <c r="AK692">
        <v>12365300</v>
      </c>
      <c r="AL692">
        <v>12900</v>
      </c>
    </row>
    <row r="693" spans="1:38" x14ac:dyDescent="0.25">
      <c r="A693" t="s">
        <v>114</v>
      </c>
      <c r="B693" t="s">
        <v>319</v>
      </c>
      <c r="C693" t="s">
        <v>40</v>
      </c>
      <c r="D693" s="1">
        <v>43525</v>
      </c>
      <c r="E693" s="1">
        <v>43890</v>
      </c>
      <c r="F693" t="s">
        <v>41</v>
      </c>
      <c r="G693">
        <v>3</v>
      </c>
      <c r="H693" t="s">
        <v>125</v>
      </c>
      <c r="I693" t="s">
        <v>43</v>
      </c>
      <c r="J693" t="s">
        <v>126</v>
      </c>
      <c r="K693" t="s">
        <v>44</v>
      </c>
      <c r="L693">
        <v>45375</v>
      </c>
      <c r="M693" s="1">
        <v>43666</v>
      </c>
      <c r="N693" t="s">
        <v>108</v>
      </c>
      <c r="O693" t="s">
        <v>106</v>
      </c>
      <c r="P693" t="s">
        <v>47</v>
      </c>
      <c r="Q693" s="1">
        <v>43852</v>
      </c>
      <c r="R693" t="s">
        <v>48</v>
      </c>
      <c r="S693" t="s">
        <v>41</v>
      </c>
      <c r="T693" t="s">
        <v>130</v>
      </c>
      <c r="U693" t="s">
        <v>125</v>
      </c>
      <c r="V693">
        <v>0</v>
      </c>
      <c r="W693">
        <v>100000</v>
      </c>
      <c r="X693" s="1">
        <v>43769</v>
      </c>
      <c r="Y693" t="s">
        <v>131</v>
      </c>
      <c r="Z693" t="s">
        <v>43</v>
      </c>
      <c r="AA693" t="s">
        <v>41</v>
      </c>
      <c r="AB693" t="s">
        <v>132</v>
      </c>
      <c r="AC693" t="s">
        <v>133</v>
      </c>
      <c r="AF693" t="s">
        <v>134</v>
      </c>
      <c r="AG693" s="1">
        <v>43843</v>
      </c>
      <c r="AH693" t="s">
        <v>125</v>
      </c>
      <c r="AI693" t="s">
        <v>92</v>
      </c>
      <c r="AJ693">
        <v>1278023</v>
      </c>
      <c r="AK693">
        <v>12365300</v>
      </c>
      <c r="AL693">
        <v>12900</v>
      </c>
    </row>
    <row r="694" spans="1:38" x14ac:dyDescent="0.25">
      <c r="A694" t="s">
        <v>114</v>
      </c>
      <c r="B694" t="s">
        <v>319</v>
      </c>
      <c r="C694" t="s">
        <v>40</v>
      </c>
      <c r="D694" s="1">
        <v>43525</v>
      </c>
      <c r="E694" s="1">
        <v>43890</v>
      </c>
      <c r="F694" t="s">
        <v>41</v>
      </c>
      <c r="G694">
        <v>3</v>
      </c>
      <c r="H694" t="s">
        <v>125</v>
      </c>
      <c r="I694" t="s">
        <v>43</v>
      </c>
      <c r="J694" t="s">
        <v>126</v>
      </c>
      <c r="K694" t="s">
        <v>44</v>
      </c>
      <c r="L694">
        <v>45375</v>
      </c>
      <c r="M694" s="1">
        <v>43666</v>
      </c>
      <c r="N694" t="s">
        <v>108</v>
      </c>
      <c r="O694" t="s">
        <v>106</v>
      </c>
      <c r="P694" t="s">
        <v>47</v>
      </c>
      <c r="Q694" s="1">
        <v>43852</v>
      </c>
      <c r="R694" t="s">
        <v>48</v>
      </c>
      <c r="S694" t="s">
        <v>41</v>
      </c>
      <c r="T694" t="s">
        <v>130</v>
      </c>
      <c r="U694" t="s">
        <v>125</v>
      </c>
      <c r="V694">
        <v>0</v>
      </c>
      <c r="W694">
        <v>100000</v>
      </c>
      <c r="X694" s="1">
        <v>43769</v>
      </c>
      <c r="Y694" t="s">
        <v>131</v>
      </c>
      <c r="Z694" t="s">
        <v>43</v>
      </c>
      <c r="AA694" t="s">
        <v>41</v>
      </c>
      <c r="AB694" t="s">
        <v>132</v>
      </c>
      <c r="AC694" t="s">
        <v>133</v>
      </c>
      <c r="AF694" t="s">
        <v>135</v>
      </c>
      <c r="AG694" s="1">
        <v>43843</v>
      </c>
      <c r="AH694" t="s">
        <v>125</v>
      </c>
      <c r="AI694" t="s">
        <v>92</v>
      </c>
      <c r="AJ694">
        <v>1278023</v>
      </c>
      <c r="AK694">
        <v>12365300</v>
      </c>
      <c r="AL694">
        <v>12900</v>
      </c>
    </row>
    <row r="695" spans="1:38" x14ac:dyDescent="0.25">
      <c r="A695" t="s">
        <v>114</v>
      </c>
      <c r="B695" t="s">
        <v>319</v>
      </c>
      <c r="C695" t="s">
        <v>40</v>
      </c>
      <c r="D695" s="1">
        <v>43525</v>
      </c>
      <c r="E695" s="1">
        <v>43890</v>
      </c>
      <c r="F695" t="s">
        <v>41</v>
      </c>
      <c r="G695">
        <v>3</v>
      </c>
      <c r="H695" t="s">
        <v>125</v>
      </c>
      <c r="I695" t="s">
        <v>43</v>
      </c>
      <c r="J695" t="s">
        <v>126</v>
      </c>
      <c r="K695" t="s">
        <v>44</v>
      </c>
      <c r="L695">
        <v>45375</v>
      </c>
      <c r="M695" s="1">
        <v>43666</v>
      </c>
      <c r="N695" t="s">
        <v>108</v>
      </c>
      <c r="O695" t="s">
        <v>106</v>
      </c>
      <c r="P695" t="s">
        <v>47</v>
      </c>
      <c r="Q695" s="1">
        <v>43852</v>
      </c>
      <c r="R695" t="s">
        <v>48</v>
      </c>
      <c r="S695" t="s">
        <v>41</v>
      </c>
      <c r="T695" t="s">
        <v>130</v>
      </c>
      <c r="U695" t="s">
        <v>125</v>
      </c>
      <c r="V695">
        <v>0</v>
      </c>
      <c r="W695">
        <v>100000</v>
      </c>
      <c r="X695" s="1">
        <v>43769</v>
      </c>
      <c r="Y695" t="s">
        <v>131</v>
      </c>
      <c r="Z695" t="s">
        <v>43</v>
      </c>
      <c r="AA695" t="s">
        <v>41</v>
      </c>
      <c r="AB695" t="s">
        <v>132</v>
      </c>
      <c r="AC695" t="s">
        <v>133</v>
      </c>
      <c r="AF695" t="s">
        <v>136</v>
      </c>
      <c r="AG695" s="1">
        <v>43839</v>
      </c>
      <c r="AH695" t="s">
        <v>125</v>
      </c>
      <c r="AI695" t="s">
        <v>92</v>
      </c>
      <c r="AJ695">
        <v>1278023</v>
      </c>
      <c r="AK695">
        <v>12365300</v>
      </c>
      <c r="AL695">
        <v>12900</v>
      </c>
    </row>
    <row r="696" spans="1:38" x14ac:dyDescent="0.25">
      <c r="A696" t="s">
        <v>114</v>
      </c>
      <c r="B696" t="s">
        <v>319</v>
      </c>
      <c r="C696" t="s">
        <v>40</v>
      </c>
      <c r="D696" s="1">
        <v>43525</v>
      </c>
      <c r="E696" s="1">
        <v>43890</v>
      </c>
      <c r="F696" t="s">
        <v>41</v>
      </c>
      <c r="G696">
        <v>3</v>
      </c>
      <c r="H696" t="s">
        <v>125</v>
      </c>
      <c r="I696" t="s">
        <v>43</v>
      </c>
      <c r="J696" t="s">
        <v>126</v>
      </c>
      <c r="K696" t="s">
        <v>44</v>
      </c>
      <c r="L696">
        <v>45375</v>
      </c>
      <c r="M696" s="1">
        <v>43666</v>
      </c>
      <c r="N696" t="s">
        <v>108</v>
      </c>
      <c r="O696" t="s">
        <v>106</v>
      </c>
      <c r="P696" t="s">
        <v>47</v>
      </c>
      <c r="Q696" s="1">
        <v>43852</v>
      </c>
      <c r="R696" t="s">
        <v>48</v>
      </c>
      <c r="S696" t="s">
        <v>41</v>
      </c>
      <c r="T696" t="s">
        <v>130</v>
      </c>
      <c r="U696" t="s">
        <v>125</v>
      </c>
      <c r="V696">
        <v>0</v>
      </c>
      <c r="W696">
        <v>100000</v>
      </c>
      <c r="X696" s="1">
        <v>43769</v>
      </c>
      <c r="Y696" t="s">
        <v>131</v>
      </c>
      <c r="Z696" t="s">
        <v>43</v>
      </c>
      <c r="AA696" t="s">
        <v>41</v>
      </c>
      <c r="AB696" t="s">
        <v>132</v>
      </c>
      <c r="AC696" t="s">
        <v>133</v>
      </c>
      <c r="AF696" t="s">
        <v>137</v>
      </c>
      <c r="AG696" s="1">
        <v>43840</v>
      </c>
      <c r="AH696" t="s">
        <v>125</v>
      </c>
      <c r="AI696" t="s">
        <v>92</v>
      </c>
      <c r="AJ696">
        <v>1278023</v>
      </c>
      <c r="AK696">
        <v>12365300</v>
      </c>
      <c r="AL696">
        <v>12900</v>
      </c>
    </row>
    <row r="697" spans="1:38" x14ac:dyDescent="0.25">
      <c r="A697" t="s">
        <v>114</v>
      </c>
      <c r="B697" t="s">
        <v>319</v>
      </c>
      <c r="C697" t="s">
        <v>40</v>
      </c>
      <c r="D697" s="1">
        <v>43525</v>
      </c>
      <c r="E697" s="1">
        <v>43890</v>
      </c>
      <c r="F697" t="s">
        <v>41</v>
      </c>
      <c r="G697">
        <v>3</v>
      </c>
      <c r="H697" t="s">
        <v>125</v>
      </c>
      <c r="I697" t="s">
        <v>43</v>
      </c>
      <c r="J697" t="s">
        <v>126</v>
      </c>
      <c r="K697" t="s">
        <v>44</v>
      </c>
      <c r="L697">
        <v>45375</v>
      </c>
      <c r="M697" s="1">
        <v>43666</v>
      </c>
      <c r="N697" t="s">
        <v>108</v>
      </c>
      <c r="O697" t="s">
        <v>106</v>
      </c>
      <c r="P697" t="s">
        <v>47</v>
      </c>
      <c r="Q697" s="1">
        <v>43852</v>
      </c>
      <c r="R697" t="s">
        <v>48</v>
      </c>
      <c r="S697" t="s">
        <v>138</v>
      </c>
      <c r="T697" t="s">
        <v>139</v>
      </c>
      <c r="U697" t="s">
        <v>125</v>
      </c>
      <c r="V697">
        <v>0</v>
      </c>
      <c r="W697">
        <v>10000</v>
      </c>
      <c r="X697" s="1">
        <v>43738</v>
      </c>
      <c r="Y697" t="s">
        <v>140</v>
      </c>
      <c r="Z697" t="s">
        <v>43</v>
      </c>
      <c r="AA697" t="s">
        <v>41</v>
      </c>
      <c r="AB697" t="s">
        <v>132</v>
      </c>
      <c r="AC697" t="s">
        <v>132</v>
      </c>
      <c r="AF697" t="s">
        <v>134</v>
      </c>
      <c r="AG697" s="1">
        <v>43843</v>
      </c>
      <c r="AH697" t="s">
        <v>125</v>
      </c>
      <c r="AI697" t="s">
        <v>92</v>
      </c>
      <c r="AJ697">
        <v>1278023</v>
      </c>
      <c r="AK697">
        <v>12365300</v>
      </c>
      <c r="AL697">
        <v>12900</v>
      </c>
    </row>
    <row r="698" spans="1:38" x14ac:dyDescent="0.25">
      <c r="A698" t="s">
        <v>114</v>
      </c>
      <c r="B698" t="s">
        <v>319</v>
      </c>
      <c r="C698" t="s">
        <v>40</v>
      </c>
      <c r="D698" s="1">
        <v>43525</v>
      </c>
      <c r="E698" s="1">
        <v>43890</v>
      </c>
      <c r="F698" t="s">
        <v>41</v>
      </c>
      <c r="G698">
        <v>3</v>
      </c>
      <c r="H698" t="s">
        <v>125</v>
      </c>
      <c r="I698" t="s">
        <v>43</v>
      </c>
      <c r="J698" t="s">
        <v>126</v>
      </c>
      <c r="K698" t="s">
        <v>44</v>
      </c>
      <c r="L698">
        <v>45375</v>
      </c>
      <c r="M698" s="1">
        <v>43666</v>
      </c>
      <c r="N698" t="s">
        <v>108</v>
      </c>
      <c r="O698" t="s">
        <v>106</v>
      </c>
      <c r="P698" t="s">
        <v>47</v>
      </c>
      <c r="Q698" s="1">
        <v>43852</v>
      </c>
      <c r="R698" t="s">
        <v>48</v>
      </c>
      <c r="S698" t="s">
        <v>138</v>
      </c>
      <c r="T698" t="s">
        <v>139</v>
      </c>
      <c r="U698" t="s">
        <v>125</v>
      </c>
      <c r="V698">
        <v>0</v>
      </c>
      <c r="W698">
        <v>10000</v>
      </c>
      <c r="X698" s="1">
        <v>43738</v>
      </c>
      <c r="Y698" t="s">
        <v>140</v>
      </c>
      <c r="Z698" t="s">
        <v>43</v>
      </c>
      <c r="AA698" t="s">
        <v>41</v>
      </c>
      <c r="AB698" t="s">
        <v>132</v>
      </c>
      <c r="AC698" t="s">
        <v>132</v>
      </c>
      <c r="AF698" t="s">
        <v>135</v>
      </c>
      <c r="AG698" s="1">
        <v>43843</v>
      </c>
      <c r="AH698" t="s">
        <v>125</v>
      </c>
      <c r="AI698" t="s">
        <v>92</v>
      </c>
      <c r="AJ698">
        <v>1278023</v>
      </c>
      <c r="AK698">
        <v>12365300</v>
      </c>
      <c r="AL698">
        <v>12900</v>
      </c>
    </row>
    <row r="699" spans="1:38" x14ac:dyDescent="0.25">
      <c r="A699" t="s">
        <v>114</v>
      </c>
      <c r="B699" t="s">
        <v>319</v>
      </c>
      <c r="C699" t="s">
        <v>40</v>
      </c>
      <c r="D699" s="1">
        <v>43525</v>
      </c>
      <c r="E699" s="1">
        <v>43890</v>
      </c>
      <c r="F699" t="s">
        <v>41</v>
      </c>
      <c r="G699">
        <v>3</v>
      </c>
      <c r="H699" t="s">
        <v>125</v>
      </c>
      <c r="I699" t="s">
        <v>43</v>
      </c>
      <c r="J699" t="s">
        <v>126</v>
      </c>
      <c r="K699" t="s">
        <v>44</v>
      </c>
      <c r="L699">
        <v>45375</v>
      </c>
      <c r="M699" s="1">
        <v>43666</v>
      </c>
      <c r="N699" t="s">
        <v>108</v>
      </c>
      <c r="O699" t="s">
        <v>106</v>
      </c>
      <c r="P699" t="s">
        <v>47</v>
      </c>
      <c r="Q699" s="1">
        <v>43852</v>
      </c>
      <c r="R699" t="s">
        <v>48</v>
      </c>
      <c r="S699" t="s">
        <v>138</v>
      </c>
      <c r="T699" t="s">
        <v>139</v>
      </c>
      <c r="U699" t="s">
        <v>125</v>
      </c>
      <c r="V699">
        <v>0</v>
      </c>
      <c r="W699">
        <v>10000</v>
      </c>
      <c r="X699" s="1">
        <v>43738</v>
      </c>
      <c r="Y699" t="s">
        <v>140</v>
      </c>
      <c r="Z699" t="s">
        <v>43</v>
      </c>
      <c r="AA699" t="s">
        <v>41</v>
      </c>
      <c r="AB699" t="s">
        <v>132</v>
      </c>
      <c r="AC699" t="s">
        <v>132</v>
      </c>
      <c r="AF699" t="s">
        <v>136</v>
      </c>
      <c r="AG699" s="1">
        <v>43839</v>
      </c>
      <c r="AH699" t="s">
        <v>125</v>
      </c>
      <c r="AI699" t="s">
        <v>92</v>
      </c>
      <c r="AJ699">
        <v>1278023</v>
      </c>
      <c r="AK699">
        <v>12365300</v>
      </c>
      <c r="AL699">
        <v>12900</v>
      </c>
    </row>
    <row r="700" spans="1:38" x14ac:dyDescent="0.25">
      <c r="A700" t="s">
        <v>114</v>
      </c>
      <c r="B700" t="s">
        <v>319</v>
      </c>
      <c r="C700" t="s">
        <v>40</v>
      </c>
      <c r="D700" s="1">
        <v>43525</v>
      </c>
      <c r="E700" s="1">
        <v>43890</v>
      </c>
      <c r="F700" t="s">
        <v>41</v>
      </c>
      <c r="G700">
        <v>3</v>
      </c>
      <c r="H700" t="s">
        <v>125</v>
      </c>
      <c r="I700" t="s">
        <v>43</v>
      </c>
      <c r="J700" t="s">
        <v>126</v>
      </c>
      <c r="K700" t="s">
        <v>44</v>
      </c>
      <c r="L700">
        <v>45375</v>
      </c>
      <c r="M700" s="1">
        <v>43666</v>
      </c>
      <c r="N700" t="s">
        <v>108</v>
      </c>
      <c r="O700" t="s">
        <v>106</v>
      </c>
      <c r="P700" t="s">
        <v>47</v>
      </c>
      <c r="Q700" s="1">
        <v>43852</v>
      </c>
      <c r="R700" t="s">
        <v>48</v>
      </c>
      <c r="S700" t="s">
        <v>138</v>
      </c>
      <c r="T700" t="s">
        <v>139</v>
      </c>
      <c r="U700" t="s">
        <v>125</v>
      </c>
      <c r="V700">
        <v>0</v>
      </c>
      <c r="W700">
        <v>10000</v>
      </c>
      <c r="X700" s="1">
        <v>43738</v>
      </c>
      <c r="Y700" t="s">
        <v>140</v>
      </c>
      <c r="Z700" t="s">
        <v>43</v>
      </c>
      <c r="AA700" t="s">
        <v>41</v>
      </c>
      <c r="AB700" t="s">
        <v>132</v>
      </c>
      <c r="AC700" t="s">
        <v>132</v>
      </c>
      <c r="AF700" t="s">
        <v>137</v>
      </c>
      <c r="AG700" s="1">
        <v>43840</v>
      </c>
      <c r="AH700" t="s">
        <v>125</v>
      </c>
      <c r="AI700" t="s">
        <v>92</v>
      </c>
      <c r="AJ700">
        <v>1278023</v>
      </c>
      <c r="AK700">
        <v>12365300</v>
      </c>
      <c r="AL700">
        <v>12900</v>
      </c>
    </row>
    <row r="701" spans="1:38" x14ac:dyDescent="0.25">
      <c r="A701" t="s">
        <v>116</v>
      </c>
      <c r="B701" t="s">
        <v>319</v>
      </c>
      <c r="C701" t="s">
        <v>40</v>
      </c>
      <c r="D701" s="1">
        <v>43525</v>
      </c>
      <c r="E701" s="1">
        <v>43890</v>
      </c>
      <c r="F701" t="s">
        <v>41</v>
      </c>
      <c r="G701">
        <v>3</v>
      </c>
      <c r="H701" t="s">
        <v>125</v>
      </c>
      <c r="I701" t="s">
        <v>43</v>
      </c>
      <c r="J701" t="s">
        <v>126</v>
      </c>
      <c r="K701" t="s">
        <v>44</v>
      </c>
      <c r="L701">
        <v>0</v>
      </c>
      <c r="M701" s="1">
        <v>43191</v>
      </c>
      <c r="N701" t="s">
        <v>108</v>
      </c>
      <c r="O701" t="s">
        <v>106</v>
      </c>
      <c r="P701" t="s">
        <v>47</v>
      </c>
      <c r="Q701" s="1">
        <v>43852</v>
      </c>
      <c r="R701" t="s">
        <v>48</v>
      </c>
      <c r="S701" t="s">
        <v>41</v>
      </c>
      <c r="T701" t="s">
        <v>130</v>
      </c>
      <c r="U701" t="s">
        <v>125</v>
      </c>
      <c r="V701">
        <v>0</v>
      </c>
      <c r="W701">
        <v>100000</v>
      </c>
      <c r="X701" s="1">
        <v>43769</v>
      </c>
      <c r="Y701" t="s">
        <v>131</v>
      </c>
      <c r="Z701" t="s">
        <v>43</v>
      </c>
      <c r="AA701" t="s">
        <v>41</v>
      </c>
      <c r="AB701" t="s">
        <v>132</v>
      </c>
      <c r="AC701" t="s">
        <v>133</v>
      </c>
      <c r="AF701" t="s">
        <v>134</v>
      </c>
      <c r="AG701" s="1">
        <v>43843</v>
      </c>
      <c r="AH701" t="s">
        <v>125</v>
      </c>
      <c r="AI701" t="s">
        <v>92</v>
      </c>
      <c r="AJ701">
        <v>1278023</v>
      </c>
      <c r="AK701">
        <v>12365300</v>
      </c>
      <c r="AL701">
        <v>12900</v>
      </c>
    </row>
    <row r="702" spans="1:38" x14ac:dyDescent="0.25">
      <c r="A702" t="s">
        <v>116</v>
      </c>
      <c r="B702" t="s">
        <v>319</v>
      </c>
      <c r="C702" t="s">
        <v>40</v>
      </c>
      <c r="D702" s="1">
        <v>43525</v>
      </c>
      <c r="E702" s="1">
        <v>43890</v>
      </c>
      <c r="F702" t="s">
        <v>41</v>
      </c>
      <c r="G702">
        <v>3</v>
      </c>
      <c r="H702" t="s">
        <v>125</v>
      </c>
      <c r="I702" t="s">
        <v>43</v>
      </c>
      <c r="J702" t="s">
        <v>126</v>
      </c>
      <c r="K702" t="s">
        <v>44</v>
      </c>
      <c r="L702">
        <v>0</v>
      </c>
      <c r="M702" s="1">
        <v>43191</v>
      </c>
      <c r="N702" t="s">
        <v>108</v>
      </c>
      <c r="O702" t="s">
        <v>106</v>
      </c>
      <c r="P702" t="s">
        <v>47</v>
      </c>
      <c r="Q702" s="1">
        <v>43852</v>
      </c>
      <c r="R702" t="s">
        <v>48</v>
      </c>
      <c r="S702" t="s">
        <v>41</v>
      </c>
      <c r="T702" t="s">
        <v>130</v>
      </c>
      <c r="U702" t="s">
        <v>125</v>
      </c>
      <c r="V702">
        <v>0</v>
      </c>
      <c r="W702">
        <v>100000</v>
      </c>
      <c r="X702" s="1">
        <v>43769</v>
      </c>
      <c r="Y702" t="s">
        <v>131</v>
      </c>
      <c r="Z702" t="s">
        <v>43</v>
      </c>
      <c r="AA702" t="s">
        <v>41</v>
      </c>
      <c r="AB702" t="s">
        <v>132</v>
      </c>
      <c r="AC702" t="s">
        <v>133</v>
      </c>
      <c r="AF702" t="s">
        <v>135</v>
      </c>
      <c r="AG702" s="1">
        <v>43843</v>
      </c>
      <c r="AH702" t="s">
        <v>125</v>
      </c>
      <c r="AI702" t="s">
        <v>92</v>
      </c>
      <c r="AJ702">
        <v>1278023</v>
      </c>
      <c r="AK702">
        <v>12365300</v>
      </c>
      <c r="AL702">
        <v>12900</v>
      </c>
    </row>
    <row r="703" spans="1:38" x14ac:dyDescent="0.25">
      <c r="A703" t="s">
        <v>116</v>
      </c>
      <c r="B703" t="s">
        <v>319</v>
      </c>
      <c r="C703" t="s">
        <v>40</v>
      </c>
      <c r="D703" s="1">
        <v>43525</v>
      </c>
      <c r="E703" s="1">
        <v>43890</v>
      </c>
      <c r="F703" t="s">
        <v>41</v>
      </c>
      <c r="G703">
        <v>3</v>
      </c>
      <c r="H703" t="s">
        <v>125</v>
      </c>
      <c r="I703" t="s">
        <v>43</v>
      </c>
      <c r="J703" t="s">
        <v>126</v>
      </c>
      <c r="K703" t="s">
        <v>44</v>
      </c>
      <c r="L703">
        <v>0</v>
      </c>
      <c r="M703" s="1">
        <v>43191</v>
      </c>
      <c r="N703" t="s">
        <v>108</v>
      </c>
      <c r="O703" t="s">
        <v>106</v>
      </c>
      <c r="P703" t="s">
        <v>47</v>
      </c>
      <c r="Q703" s="1">
        <v>43852</v>
      </c>
      <c r="R703" t="s">
        <v>48</v>
      </c>
      <c r="S703" t="s">
        <v>41</v>
      </c>
      <c r="T703" t="s">
        <v>130</v>
      </c>
      <c r="U703" t="s">
        <v>125</v>
      </c>
      <c r="V703">
        <v>0</v>
      </c>
      <c r="W703">
        <v>100000</v>
      </c>
      <c r="X703" s="1">
        <v>43769</v>
      </c>
      <c r="Y703" t="s">
        <v>131</v>
      </c>
      <c r="Z703" t="s">
        <v>43</v>
      </c>
      <c r="AA703" t="s">
        <v>41</v>
      </c>
      <c r="AB703" t="s">
        <v>132</v>
      </c>
      <c r="AC703" t="s">
        <v>133</v>
      </c>
      <c r="AF703" t="s">
        <v>136</v>
      </c>
      <c r="AG703" s="1">
        <v>43839</v>
      </c>
      <c r="AH703" t="s">
        <v>125</v>
      </c>
      <c r="AI703" t="s">
        <v>92</v>
      </c>
      <c r="AJ703">
        <v>1278023</v>
      </c>
      <c r="AK703">
        <v>12365300</v>
      </c>
      <c r="AL703">
        <v>12900</v>
      </c>
    </row>
    <row r="704" spans="1:38" x14ac:dyDescent="0.25">
      <c r="A704" t="s">
        <v>116</v>
      </c>
      <c r="B704" t="s">
        <v>319</v>
      </c>
      <c r="C704" t="s">
        <v>40</v>
      </c>
      <c r="D704" s="1">
        <v>43525</v>
      </c>
      <c r="E704" s="1">
        <v>43890</v>
      </c>
      <c r="F704" t="s">
        <v>41</v>
      </c>
      <c r="G704">
        <v>3</v>
      </c>
      <c r="H704" t="s">
        <v>125</v>
      </c>
      <c r="I704" t="s">
        <v>43</v>
      </c>
      <c r="J704" t="s">
        <v>126</v>
      </c>
      <c r="K704" t="s">
        <v>44</v>
      </c>
      <c r="L704">
        <v>0</v>
      </c>
      <c r="M704" s="1">
        <v>43191</v>
      </c>
      <c r="N704" t="s">
        <v>108</v>
      </c>
      <c r="O704" t="s">
        <v>106</v>
      </c>
      <c r="P704" t="s">
        <v>47</v>
      </c>
      <c r="Q704" s="1">
        <v>43852</v>
      </c>
      <c r="R704" t="s">
        <v>48</v>
      </c>
      <c r="S704" t="s">
        <v>41</v>
      </c>
      <c r="T704" t="s">
        <v>130</v>
      </c>
      <c r="U704" t="s">
        <v>125</v>
      </c>
      <c r="V704">
        <v>0</v>
      </c>
      <c r="W704">
        <v>100000</v>
      </c>
      <c r="X704" s="1">
        <v>43769</v>
      </c>
      <c r="Y704" t="s">
        <v>131</v>
      </c>
      <c r="Z704" t="s">
        <v>43</v>
      </c>
      <c r="AA704" t="s">
        <v>41</v>
      </c>
      <c r="AB704" t="s">
        <v>132</v>
      </c>
      <c r="AC704" t="s">
        <v>133</v>
      </c>
      <c r="AF704" t="s">
        <v>137</v>
      </c>
      <c r="AG704" s="1">
        <v>43840</v>
      </c>
      <c r="AH704" t="s">
        <v>125</v>
      </c>
      <c r="AI704" t="s">
        <v>92</v>
      </c>
      <c r="AJ704">
        <v>1278023</v>
      </c>
      <c r="AK704">
        <v>12365300</v>
      </c>
      <c r="AL704">
        <v>12900</v>
      </c>
    </row>
    <row r="705" spans="1:38" x14ac:dyDescent="0.25">
      <c r="A705" t="s">
        <v>116</v>
      </c>
      <c r="B705" t="s">
        <v>319</v>
      </c>
      <c r="C705" t="s">
        <v>40</v>
      </c>
      <c r="D705" s="1">
        <v>43525</v>
      </c>
      <c r="E705" s="1">
        <v>43890</v>
      </c>
      <c r="F705" t="s">
        <v>41</v>
      </c>
      <c r="G705">
        <v>3</v>
      </c>
      <c r="H705" t="s">
        <v>125</v>
      </c>
      <c r="I705" t="s">
        <v>43</v>
      </c>
      <c r="J705" t="s">
        <v>126</v>
      </c>
      <c r="K705" t="s">
        <v>44</v>
      </c>
      <c r="L705">
        <v>0</v>
      </c>
      <c r="M705" s="1">
        <v>43191</v>
      </c>
      <c r="N705" t="s">
        <v>108</v>
      </c>
      <c r="O705" t="s">
        <v>106</v>
      </c>
      <c r="P705" t="s">
        <v>47</v>
      </c>
      <c r="Q705" s="1">
        <v>43852</v>
      </c>
      <c r="R705" t="s">
        <v>48</v>
      </c>
      <c r="S705" t="s">
        <v>138</v>
      </c>
      <c r="T705" t="s">
        <v>139</v>
      </c>
      <c r="U705" t="s">
        <v>125</v>
      </c>
      <c r="V705">
        <v>0</v>
      </c>
      <c r="W705">
        <v>10000</v>
      </c>
      <c r="X705" s="1">
        <v>43738</v>
      </c>
      <c r="Y705" t="s">
        <v>140</v>
      </c>
      <c r="Z705" t="s">
        <v>43</v>
      </c>
      <c r="AA705" t="s">
        <v>41</v>
      </c>
      <c r="AB705" t="s">
        <v>132</v>
      </c>
      <c r="AC705" t="s">
        <v>132</v>
      </c>
      <c r="AF705" t="s">
        <v>134</v>
      </c>
      <c r="AG705" s="1">
        <v>43843</v>
      </c>
      <c r="AH705" t="s">
        <v>125</v>
      </c>
      <c r="AI705" t="s">
        <v>92</v>
      </c>
      <c r="AJ705">
        <v>1278023</v>
      </c>
      <c r="AK705">
        <v>12365300</v>
      </c>
      <c r="AL705">
        <v>12900</v>
      </c>
    </row>
    <row r="706" spans="1:38" x14ac:dyDescent="0.25">
      <c r="A706" t="s">
        <v>116</v>
      </c>
      <c r="B706" t="s">
        <v>319</v>
      </c>
      <c r="C706" t="s">
        <v>40</v>
      </c>
      <c r="D706" s="1">
        <v>43525</v>
      </c>
      <c r="E706" s="1">
        <v>43890</v>
      </c>
      <c r="F706" t="s">
        <v>41</v>
      </c>
      <c r="G706">
        <v>3</v>
      </c>
      <c r="H706" t="s">
        <v>125</v>
      </c>
      <c r="I706" t="s">
        <v>43</v>
      </c>
      <c r="J706" t="s">
        <v>126</v>
      </c>
      <c r="K706" t="s">
        <v>44</v>
      </c>
      <c r="L706">
        <v>0</v>
      </c>
      <c r="M706" s="1">
        <v>43191</v>
      </c>
      <c r="N706" t="s">
        <v>108</v>
      </c>
      <c r="O706" t="s">
        <v>106</v>
      </c>
      <c r="P706" t="s">
        <v>47</v>
      </c>
      <c r="Q706" s="1">
        <v>43852</v>
      </c>
      <c r="R706" t="s">
        <v>48</v>
      </c>
      <c r="S706" t="s">
        <v>138</v>
      </c>
      <c r="T706" t="s">
        <v>139</v>
      </c>
      <c r="U706" t="s">
        <v>125</v>
      </c>
      <c r="V706">
        <v>0</v>
      </c>
      <c r="W706">
        <v>10000</v>
      </c>
      <c r="X706" s="1">
        <v>43738</v>
      </c>
      <c r="Y706" t="s">
        <v>140</v>
      </c>
      <c r="Z706" t="s">
        <v>43</v>
      </c>
      <c r="AA706" t="s">
        <v>41</v>
      </c>
      <c r="AB706" t="s">
        <v>132</v>
      </c>
      <c r="AC706" t="s">
        <v>132</v>
      </c>
      <c r="AF706" t="s">
        <v>135</v>
      </c>
      <c r="AG706" s="1">
        <v>43843</v>
      </c>
      <c r="AH706" t="s">
        <v>125</v>
      </c>
      <c r="AI706" t="s">
        <v>92</v>
      </c>
      <c r="AJ706">
        <v>1278023</v>
      </c>
      <c r="AK706">
        <v>12365300</v>
      </c>
      <c r="AL706">
        <v>12900</v>
      </c>
    </row>
    <row r="707" spans="1:38" x14ac:dyDescent="0.25">
      <c r="A707" t="s">
        <v>116</v>
      </c>
      <c r="B707" t="s">
        <v>319</v>
      </c>
      <c r="C707" t="s">
        <v>40</v>
      </c>
      <c r="D707" s="1">
        <v>43525</v>
      </c>
      <c r="E707" s="1">
        <v>43890</v>
      </c>
      <c r="F707" t="s">
        <v>41</v>
      </c>
      <c r="G707">
        <v>3</v>
      </c>
      <c r="H707" t="s">
        <v>125</v>
      </c>
      <c r="I707" t="s">
        <v>43</v>
      </c>
      <c r="J707" t="s">
        <v>126</v>
      </c>
      <c r="K707" t="s">
        <v>44</v>
      </c>
      <c r="L707">
        <v>0</v>
      </c>
      <c r="M707" s="1">
        <v>43191</v>
      </c>
      <c r="N707" t="s">
        <v>108</v>
      </c>
      <c r="O707" t="s">
        <v>106</v>
      </c>
      <c r="P707" t="s">
        <v>47</v>
      </c>
      <c r="Q707" s="1">
        <v>43852</v>
      </c>
      <c r="R707" t="s">
        <v>48</v>
      </c>
      <c r="S707" t="s">
        <v>138</v>
      </c>
      <c r="T707" t="s">
        <v>139</v>
      </c>
      <c r="U707" t="s">
        <v>125</v>
      </c>
      <c r="V707">
        <v>0</v>
      </c>
      <c r="W707">
        <v>10000</v>
      </c>
      <c r="X707" s="1">
        <v>43738</v>
      </c>
      <c r="Y707" t="s">
        <v>140</v>
      </c>
      <c r="Z707" t="s">
        <v>43</v>
      </c>
      <c r="AA707" t="s">
        <v>41</v>
      </c>
      <c r="AB707" t="s">
        <v>132</v>
      </c>
      <c r="AC707" t="s">
        <v>132</v>
      </c>
      <c r="AF707" t="s">
        <v>136</v>
      </c>
      <c r="AG707" s="1">
        <v>43839</v>
      </c>
      <c r="AH707" t="s">
        <v>125</v>
      </c>
      <c r="AI707" t="s">
        <v>92</v>
      </c>
      <c r="AJ707">
        <v>1278023</v>
      </c>
      <c r="AK707">
        <v>12365300</v>
      </c>
      <c r="AL707">
        <v>12900</v>
      </c>
    </row>
    <row r="708" spans="1:38" x14ac:dyDescent="0.25">
      <c r="A708" t="s">
        <v>116</v>
      </c>
      <c r="B708" t="s">
        <v>319</v>
      </c>
      <c r="C708" t="s">
        <v>40</v>
      </c>
      <c r="D708" s="1">
        <v>43525</v>
      </c>
      <c r="E708" s="1">
        <v>43890</v>
      </c>
      <c r="F708" t="s">
        <v>41</v>
      </c>
      <c r="G708">
        <v>3</v>
      </c>
      <c r="H708" t="s">
        <v>125</v>
      </c>
      <c r="I708" t="s">
        <v>43</v>
      </c>
      <c r="J708" t="s">
        <v>126</v>
      </c>
      <c r="K708" t="s">
        <v>44</v>
      </c>
      <c r="L708">
        <v>0</v>
      </c>
      <c r="M708" s="1">
        <v>43191</v>
      </c>
      <c r="N708" t="s">
        <v>108</v>
      </c>
      <c r="O708" t="s">
        <v>106</v>
      </c>
      <c r="P708" t="s">
        <v>47</v>
      </c>
      <c r="Q708" s="1">
        <v>43852</v>
      </c>
      <c r="R708" t="s">
        <v>48</v>
      </c>
      <c r="S708" t="s">
        <v>138</v>
      </c>
      <c r="T708" t="s">
        <v>139</v>
      </c>
      <c r="U708" t="s">
        <v>125</v>
      </c>
      <c r="V708">
        <v>0</v>
      </c>
      <c r="W708">
        <v>10000</v>
      </c>
      <c r="X708" s="1">
        <v>43738</v>
      </c>
      <c r="Y708" t="s">
        <v>140</v>
      </c>
      <c r="Z708" t="s">
        <v>43</v>
      </c>
      <c r="AA708" t="s">
        <v>41</v>
      </c>
      <c r="AB708" t="s">
        <v>132</v>
      </c>
      <c r="AC708" t="s">
        <v>132</v>
      </c>
      <c r="AF708" t="s">
        <v>137</v>
      </c>
      <c r="AG708" s="1">
        <v>43840</v>
      </c>
      <c r="AH708" t="s">
        <v>125</v>
      </c>
      <c r="AI708" t="s">
        <v>92</v>
      </c>
      <c r="AJ708">
        <v>1278023</v>
      </c>
      <c r="AK708">
        <v>12365300</v>
      </c>
      <c r="AL708">
        <v>12900</v>
      </c>
    </row>
    <row r="709" spans="1:38" x14ac:dyDescent="0.25">
      <c r="A709" t="s">
        <v>117</v>
      </c>
      <c r="B709" s="2">
        <v>2.9992E+18</v>
      </c>
      <c r="C709" t="s">
        <v>71</v>
      </c>
      <c r="D709" s="1">
        <v>43405</v>
      </c>
      <c r="E709" s="1">
        <v>43769</v>
      </c>
      <c r="F709" t="s">
        <v>84</v>
      </c>
      <c r="G709">
        <v>10</v>
      </c>
      <c r="H709" t="s">
        <v>85</v>
      </c>
      <c r="I709" t="s">
        <v>43</v>
      </c>
      <c r="J709" t="s">
        <v>86</v>
      </c>
      <c r="K709" t="s">
        <v>44</v>
      </c>
      <c r="L709">
        <v>6157.88</v>
      </c>
      <c r="M709" s="1">
        <v>43405</v>
      </c>
      <c r="N709" t="s">
        <v>45</v>
      </c>
      <c r="O709" t="s">
        <v>106</v>
      </c>
      <c r="P709" t="s">
        <v>47</v>
      </c>
      <c r="Q709" s="1">
        <v>43852</v>
      </c>
      <c r="R709" t="s">
        <v>48</v>
      </c>
      <c r="S709" t="s">
        <v>87</v>
      </c>
      <c r="T709" t="s">
        <v>88</v>
      </c>
      <c r="U709" t="s">
        <v>85</v>
      </c>
      <c r="V709">
        <v>1400000</v>
      </c>
      <c r="W709">
        <v>100000</v>
      </c>
      <c r="X709" s="1">
        <v>43808</v>
      </c>
      <c r="Y709" t="s">
        <v>51</v>
      </c>
      <c r="Z709" t="s">
        <v>43</v>
      </c>
      <c r="AA709" t="s">
        <v>86</v>
      </c>
      <c r="AB709" t="s">
        <v>89</v>
      </c>
      <c r="AC709" t="s">
        <v>90</v>
      </c>
      <c r="AF709" t="s">
        <v>91</v>
      </c>
      <c r="AG709" s="1">
        <v>43852</v>
      </c>
      <c r="AH709" t="s">
        <v>85</v>
      </c>
      <c r="AI709" t="s">
        <v>92</v>
      </c>
      <c r="AJ709">
        <v>19888</v>
      </c>
      <c r="AK709">
        <v>128777</v>
      </c>
      <c r="AL709">
        <v>198882</v>
      </c>
    </row>
    <row r="710" spans="1:38" x14ac:dyDescent="0.25">
      <c r="A710" t="s">
        <v>117</v>
      </c>
      <c r="B710" s="2">
        <v>2.9992E+18</v>
      </c>
      <c r="C710" t="s">
        <v>71</v>
      </c>
      <c r="D710" s="1">
        <v>43405</v>
      </c>
      <c r="E710" s="1">
        <v>43769</v>
      </c>
      <c r="F710" t="s">
        <v>84</v>
      </c>
      <c r="G710">
        <v>10</v>
      </c>
      <c r="H710" t="s">
        <v>85</v>
      </c>
      <c r="I710" t="s">
        <v>43</v>
      </c>
      <c r="J710" t="s">
        <v>86</v>
      </c>
      <c r="K710" t="s">
        <v>44</v>
      </c>
      <c r="L710">
        <v>6157.88</v>
      </c>
      <c r="M710" s="1">
        <v>43405</v>
      </c>
      <c r="N710" t="s">
        <v>45</v>
      </c>
      <c r="O710" t="s">
        <v>106</v>
      </c>
      <c r="P710" t="s">
        <v>47</v>
      </c>
      <c r="Q710" s="1">
        <v>43852</v>
      </c>
      <c r="R710" t="s">
        <v>48</v>
      </c>
      <c r="S710" t="s">
        <v>87</v>
      </c>
      <c r="T710" t="s">
        <v>88</v>
      </c>
      <c r="U710" t="s">
        <v>85</v>
      </c>
      <c r="V710">
        <v>1400000</v>
      </c>
      <c r="W710">
        <v>100000</v>
      </c>
      <c r="X710" s="1">
        <v>43808</v>
      </c>
      <c r="Y710" t="s">
        <v>51</v>
      </c>
      <c r="Z710" t="s">
        <v>43</v>
      </c>
      <c r="AA710" t="s">
        <v>86</v>
      </c>
      <c r="AB710" t="s">
        <v>89</v>
      </c>
      <c r="AC710" t="s">
        <v>90</v>
      </c>
      <c r="AF710" t="s">
        <v>93</v>
      </c>
      <c r="AG710" s="1">
        <v>43843</v>
      </c>
      <c r="AH710" t="s">
        <v>85</v>
      </c>
      <c r="AI710" t="s">
        <v>92</v>
      </c>
      <c r="AJ710">
        <v>19888</v>
      </c>
      <c r="AK710">
        <v>128777</v>
      </c>
      <c r="AL710">
        <v>198882</v>
      </c>
    </row>
    <row r="711" spans="1:38" x14ac:dyDescent="0.25">
      <c r="A711" t="s">
        <v>117</v>
      </c>
      <c r="B711" s="2">
        <v>2.9992E+18</v>
      </c>
      <c r="C711" t="s">
        <v>71</v>
      </c>
      <c r="D711" s="1">
        <v>43405</v>
      </c>
      <c r="E711" s="1">
        <v>43769</v>
      </c>
      <c r="F711" t="s">
        <v>84</v>
      </c>
      <c r="G711">
        <v>10</v>
      </c>
      <c r="H711" t="s">
        <v>85</v>
      </c>
      <c r="I711" t="s">
        <v>43</v>
      </c>
      <c r="J711" t="s">
        <v>86</v>
      </c>
      <c r="K711" t="s">
        <v>44</v>
      </c>
      <c r="L711">
        <v>6157.88</v>
      </c>
      <c r="M711" s="1">
        <v>43405</v>
      </c>
      <c r="N711" t="s">
        <v>45</v>
      </c>
      <c r="O711" t="s">
        <v>106</v>
      </c>
      <c r="P711" t="s">
        <v>47</v>
      </c>
      <c r="Q711" s="1">
        <v>43852</v>
      </c>
      <c r="R711" t="s">
        <v>48</v>
      </c>
      <c r="S711" t="s">
        <v>94</v>
      </c>
      <c r="T711" t="s">
        <v>95</v>
      </c>
      <c r="U711" t="s">
        <v>85</v>
      </c>
      <c r="V711">
        <v>4500000</v>
      </c>
      <c r="W711">
        <v>300000</v>
      </c>
      <c r="X711" s="1">
        <v>43767</v>
      </c>
      <c r="Y711" t="s">
        <v>51</v>
      </c>
      <c r="Z711" t="s">
        <v>43</v>
      </c>
      <c r="AA711" t="s">
        <v>86</v>
      </c>
      <c r="AB711" t="s">
        <v>89</v>
      </c>
      <c r="AC711" t="s">
        <v>90</v>
      </c>
      <c r="AF711" t="s">
        <v>91</v>
      </c>
      <c r="AG711" s="1">
        <v>43852</v>
      </c>
      <c r="AH711" t="s">
        <v>85</v>
      </c>
      <c r="AI711" t="s">
        <v>92</v>
      </c>
      <c r="AJ711">
        <v>19888</v>
      </c>
      <c r="AK711">
        <v>128777</v>
      </c>
      <c r="AL711">
        <v>198882</v>
      </c>
    </row>
    <row r="712" spans="1:38" x14ac:dyDescent="0.25">
      <c r="A712" t="s">
        <v>117</v>
      </c>
      <c r="B712" s="2">
        <v>2.9992E+18</v>
      </c>
      <c r="C712" t="s">
        <v>71</v>
      </c>
      <c r="D712" s="1">
        <v>43405</v>
      </c>
      <c r="E712" s="1">
        <v>43769</v>
      </c>
      <c r="F712" t="s">
        <v>84</v>
      </c>
      <c r="G712">
        <v>10</v>
      </c>
      <c r="H712" t="s">
        <v>85</v>
      </c>
      <c r="I712" t="s">
        <v>43</v>
      </c>
      <c r="J712" t="s">
        <v>86</v>
      </c>
      <c r="K712" t="s">
        <v>44</v>
      </c>
      <c r="L712">
        <v>6157.88</v>
      </c>
      <c r="M712" s="1">
        <v>43405</v>
      </c>
      <c r="N712" t="s">
        <v>45</v>
      </c>
      <c r="O712" t="s">
        <v>106</v>
      </c>
      <c r="P712" t="s">
        <v>47</v>
      </c>
      <c r="Q712" s="1">
        <v>43852</v>
      </c>
      <c r="R712" t="s">
        <v>48</v>
      </c>
      <c r="S712" t="s">
        <v>94</v>
      </c>
      <c r="T712" t="s">
        <v>95</v>
      </c>
      <c r="U712" t="s">
        <v>85</v>
      </c>
      <c r="V712">
        <v>4500000</v>
      </c>
      <c r="W712">
        <v>300000</v>
      </c>
      <c r="X712" s="1">
        <v>43767</v>
      </c>
      <c r="Y712" t="s">
        <v>51</v>
      </c>
      <c r="Z712" t="s">
        <v>43</v>
      </c>
      <c r="AA712" t="s">
        <v>86</v>
      </c>
      <c r="AB712" t="s">
        <v>89</v>
      </c>
      <c r="AC712" t="s">
        <v>90</v>
      </c>
      <c r="AF712" t="s">
        <v>93</v>
      </c>
      <c r="AG712" s="1">
        <v>43843</v>
      </c>
      <c r="AH712" t="s">
        <v>85</v>
      </c>
      <c r="AI712" t="s">
        <v>92</v>
      </c>
      <c r="AJ712">
        <v>19888</v>
      </c>
      <c r="AK712">
        <v>128777</v>
      </c>
      <c r="AL712">
        <v>198882</v>
      </c>
    </row>
    <row r="713" spans="1:38" x14ac:dyDescent="0.25">
      <c r="A713" t="s">
        <v>117</v>
      </c>
      <c r="B713" s="2">
        <v>2.9992E+18</v>
      </c>
      <c r="C713" t="s">
        <v>71</v>
      </c>
      <c r="D713" s="1">
        <v>43405</v>
      </c>
      <c r="E713" s="1">
        <v>43769</v>
      </c>
      <c r="F713" t="s">
        <v>84</v>
      </c>
      <c r="G713">
        <v>10</v>
      </c>
      <c r="H713" t="s">
        <v>85</v>
      </c>
      <c r="I713" t="s">
        <v>43</v>
      </c>
      <c r="J713" t="s">
        <v>86</v>
      </c>
      <c r="K713" t="s">
        <v>44</v>
      </c>
      <c r="L713">
        <v>6157.88</v>
      </c>
      <c r="M713" s="1">
        <v>43405</v>
      </c>
      <c r="N713" t="s">
        <v>45</v>
      </c>
      <c r="O713" t="s">
        <v>106</v>
      </c>
      <c r="P713" t="s">
        <v>47</v>
      </c>
      <c r="Q713" s="1">
        <v>43852</v>
      </c>
      <c r="R713" t="s">
        <v>48</v>
      </c>
      <c r="S713" t="s">
        <v>96</v>
      </c>
      <c r="T713" t="s">
        <v>97</v>
      </c>
      <c r="U713" t="s">
        <v>85</v>
      </c>
      <c r="V713">
        <v>600000</v>
      </c>
      <c r="W713">
        <v>100000</v>
      </c>
      <c r="X713" s="1">
        <v>43799</v>
      </c>
      <c r="Y713" t="s">
        <v>51</v>
      </c>
      <c r="Z713" t="s">
        <v>43</v>
      </c>
      <c r="AA713" t="s">
        <v>98</v>
      </c>
      <c r="AB713" t="s">
        <v>89</v>
      </c>
      <c r="AC713" t="s">
        <v>90</v>
      </c>
      <c r="AF713" t="s">
        <v>91</v>
      </c>
      <c r="AG713" s="1">
        <v>43852</v>
      </c>
      <c r="AH713" t="s">
        <v>85</v>
      </c>
      <c r="AI713" t="s">
        <v>92</v>
      </c>
      <c r="AJ713">
        <v>19888</v>
      </c>
      <c r="AK713">
        <v>128777</v>
      </c>
      <c r="AL713">
        <v>198882</v>
      </c>
    </row>
    <row r="714" spans="1:38" x14ac:dyDescent="0.25">
      <c r="A714" t="s">
        <v>117</v>
      </c>
      <c r="B714" s="2">
        <v>2.9992E+18</v>
      </c>
      <c r="C714" t="s">
        <v>71</v>
      </c>
      <c r="D714" s="1">
        <v>43405</v>
      </c>
      <c r="E714" s="1">
        <v>43769</v>
      </c>
      <c r="F714" t="s">
        <v>84</v>
      </c>
      <c r="G714">
        <v>10</v>
      </c>
      <c r="H714" t="s">
        <v>85</v>
      </c>
      <c r="I714" t="s">
        <v>43</v>
      </c>
      <c r="J714" t="s">
        <v>86</v>
      </c>
      <c r="K714" t="s">
        <v>44</v>
      </c>
      <c r="L714">
        <v>6157.88</v>
      </c>
      <c r="M714" s="1">
        <v>43405</v>
      </c>
      <c r="N714" t="s">
        <v>45</v>
      </c>
      <c r="O714" t="s">
        <v>106</v>
      </c>
      <c r="P714" t="s">
        <v>47</v>
      </c>
      <c r="Q714" s="1">
        <v>43852</v>
      </c>
      <c r="R714" t="s">
        <v>48</v>
      </c>
      <c r="S714" t="s">
        <v>96</v>
      </c>
      <c r="T714" t="s">
        <v>97</v>
      </c>
      <c r="U714" t="s">
        <v>85</v>
      </c>
      <c r="V714">
        <v>600000</v>
      </c>
      <c r="W714">
        <v>100000</v>
      </c>
      <c r="X714" s="1">
        <v>43799</v>
      </c>
      <c r="Y714" t="s">
        <v>51</v>
      </c>
      <c r="Z714" t="s">
        <v>43</v>
      </c>
      <c r="AA714" t="s">
        <v>98</v>
      </c>
      <c r="AB714" t="s">
        <v>89</v>
      </c>
      <c r="AC714" t="s">
        <v>90</v>
      </c>
      <c r="AF714" t="s">
        <v>93</v>
      </c>
      <c r="AG714" s="1">
        <v>43843</v>
      </c>
      <c r="AH714" t="s">
        <v>85</v>
      </c>
      <c r="AI714" t="s">
        <v>92</v>
      </c>
      <c r="AJ714">
        <v>19888</v>
      </c>
      <c r="AK714">
        <v>128777</v>
      </c>
      <c r="AL714">
        <v>198882</v>
      </c>
    </row>
    <row r="715" spans="1:38" x14ac:dyDescent="0.25">
      <c r="A715" t="s">
        <v>117</v>
      </c>
      <c r="B715" s="2">
        <v>2.9992E+18</v>
      </c>
      <c r="C715" t="s">
        <v>71</v>
      </c>
      <c r="D715" s="1">
        <v>43405</v>
      </c>
      <c r="E715" s="1">
        <v>43769</v>
      </c>
      <c r="F715" t="s">
        <v>84</v>
      </c>
      <c r="G715">
        <v>10</v>
      </c>
      <c r="H715" t="s">
        <v>85</v>
      </c>
      <c r="I715" t="s">
        <v>43</v>
      </c>
      <c r="J715" t="s">
        <v>86</v>
      </c>
      <c r="K715" t="s">
        <v>44</v>
      </c>
      <c r="L715">
        <v>6157.88</v>
      </c>
      <c r="M715" s="1">
        <v>43405</v>
      </c>
      <c r="N715" t="s">
        <v>45</v>
      </c>
      <c r="O715" t="s">
        <v>106</v>
      </c>
      <c r="P715" t="s">
        <v>47</v>
      </c>
      <c r="Q715" s="1">
        <v>43852</v>
      </c>
      <c r="R715" t="s">
        <v>48</v>
      </c>
      <c r="S715" t="s">
        <v>99</v>
      </c>
      <c r="T715" t="s">
        <v>100</v>
      </c>
      <c r="U715" t="s">
        <v>85</v>
      </c>
      <c r="V715">
        <v>210000</v>
      </c>
      <c r="W715">
        <v>35000</v>
      </c>
      <c r="X715" s="1">
        <v>43799</v>
      </c>
      <c r="Y715" t="s">
        <v>51</v>
      </c>
      <c r="Z715" t="s">
        <v>43</v>
      </c>
      <c r="AA715" t="s">
        <v>98</v>
      </c>
      <c r="AB715" t="s">
        <v>89</v>
      </c>
      <c r="AC715" t="s">
        <v>101</v>
      </c>
      <c r="AF715" t="s">
        <v>91</v>
      </c>
      <c r="AG715" s="1">
        <v>43852</v>
      </c>
      <c r="AH715" t="s">
        <v>85</v>
      </c>
      <c r="AI715" t="s">
        <v>92</v>
      </c>
      <c r="AJ715">
        <v>19888</v>
      </c>
      <c r="AK715">
        <v>128777</v>
      </c>
      <c r="AL715">
        <v>198882</v>
      </c>
    </row>
    <row r="716" spans="1:38" x14ac:dyDescent="0.25">
      <c r="A716" t="s">
        <v>117</v>
      </c>
      <c r="B716" s="2">
        <v>2.9992E+18</v>
      </c>
      <c r="C716" t="s">
        <v>71</v>
      </c>
      <c r="D716" s="1">
        <v>43405</v>
      </c>
      <c r="E716" s="1">
        <v>43769</v>
      </c>
      <c r="F716" t="s">
        <v>84</v>
      </c>
      <c r="G716">
        <v>10</v>
      </c>
      <c r="H716" t="s">
        <v>85</v>
      </c>
      <c r="I716" t="s">
        <v>43</v>
      </c>
      <c r="J716" t="s">
        <v>86</v>
      </c>
      <c r="K716" t="s">
        <v>44</v>
      </c>
      <c r="L716">
        <v>6157.88</v>
      </c>
      <c r="M716" s="1">
        <v>43405</v>
      </c>
      <c r="N716" t="s">
        <v>45</v>
      </c>
      <c r="O716" t="s">
        <v>106</v>
      </c>
      <c r="P716" t="s">
        <v>47</v>
      </c>
      <c r="Q716" s="1">
        <v>43852</v>
      </c>
      <c r="R716" t="s">
        <v>48</v>
      </c>
      <c r="S716" t="s">
        <v>99</v>
      </c>
      <c r="T716" t="s">
        <v>100</v>
      </c>
      <c r="U716" t="s">
        <v>85</v>
      </c>
      <c r="V716">
        <v>210000</v>
      </c>
      <c r="W716">
        <v>35000</v>
      </c>
      <c r="X716" s="1">
        <v>43799</v>
      </c>
      <c r="Y716" t="s">
        <v>51</v>
      </c>
      <c r="Z716" t="s">
        <v>43</v>
      </c>
      <c r="AA716" t="s">
        <v>98</v>
      </c>
      <c r="AB716" t="s">
        <v>89</v>
      </c>
      <c r="AC716" t="s">
        <v>101</v>
      </c>
      <c r="AF716" t="s">
        <v>93</v>
      </c>
      <c r="AG716" s="1">
        <v>43843</v>
      </c>
      <c r="AH716" t="s">
        <v>85</v>
      </c>
      <c r="AI716" t="s">
        <v>92</v>
      </c>
      <c r="AJ716">
        <v>19888</v>
      </c>
      <c r="AK716">
        <v>128777</v>
      </c>
      <c r="AL716">
        <v>198882</v>
      </c>
    </row>
    <row r="717" spans="1:38" x14ac:dyDescent="0.25">
      <c r="A717" t="s">
        <v>117</v>
      </c>
      <c r="B717" s="2">
        <v>2.9992E+18</v>
      </c>
      <c r="C717" t="s">
        <v>71</v>
      </c>
      <c r="D717" s="1">
        <v>43405</v>
      </c>
      <c r="E717" s="1">
        <v>43769</v>
      </c>
      <c r="F717" t="s">
        <v>84</v>
      </c>
      <c r="G717">
        <v>10</v>
      </c>
      <c r="H717" t="s">
        <v>85</v>
      </c>
      <c r="I717" t="s">
        <v>43</v>
      </c>
      <c r="J717" t="s">
        <v>86</v>
      </c>
      <c r="K717" t="s">
        <v>44</v>
      </c>
      <c r="L717">
        <v>6157.88</v>
      </c>
      <c r="M717" s="1">
        <v>43405</v>
      </c>
      <c r="N717" t="s">
        <v>45</v>
      </c>
      <c r="O717" t="s">
        <v>106</v>
      </c>
      <c r="P717" t="s">
        <v>47</v>
      </c>
      <c r="Q717" s="1">
        <v>43852</v>
      </c>
      <c r="R717" t="s">
        <v>48</v>
      </c>
      <c r="S717" t="s">
        <v>102</v>
      </c>
      <c r="T717" t="s">
        <v>103</v>
      </c>
      <c r="U717" t="s">
        <v>85</v>
      </c>
      <c r="V717">
        <v>5000000</v>
      </c>
      <c r="W717">
        <v>250000</v>
      </c>
      <c r="X717" s="1">
        <v>43799</v>
      </c>
      <c r="Y717" t="s">
        <v>51</v>
      </c>
      <c r="Z717" t="s">
        <v>43</v>
      </c>
      <c r="AA717" t="s">
        <v>86</v>
      </c>
      <c r="AB717" t="s">
        <v>89</v>
      </c>
      <c r="AC717" t="s">
        <v>90</v>
      </c>
      <c r="AF717" t="s">
        <v>91</v>
      </c>
      <c r="AG717" s="1">
        <v>43852</v>
      </c>
      <c r="AH717" t="s">
        <v>85</v>
      </c>
      <c r="AI717" t="s">
        <v>92</v>
      </c>
      <c r="AJ717">
        <v>19888</v>
      </c>
      <c r="AK717">
        <v>128777</v>
      </c>
      <c r="AL717">
        <v>198882</v>
      </c>
    </row>
    <row r="718" spans="1:38" x14ac:dyDescent="0.25">
      <c r="A718" t="s">
        <v>117</v>
      </c>
      <c r="B718" s="2">
        <v>2.9992E+18</v>
      </c>
      <c r="C718" t="s">
        <v>71</v>
      </c>
      <c r="D718" s="1">
        <v>43405</v>
      </c>
      <c r="E718" s="1">
        <v>43769</v>
      </c>
      <c r="F718" t="s">
        <v>84</v>
      </c>
      <c r="G718">
        <v>10</v>
      </c>
      <c r="H718" t="s">
        <v>85</v>
      </c>
      <c r="I718" t="s">
        <v>43</v>
      </c>
      <c r="J718" t="s">
        <v>86</v>
      </c>
      <c r="K718" t="s">
        <v>44</v>
      </c>
      <c r="L718">
        <v>6157.88</v>
      </c>
      <c r="M718" s="1">
        <v>43405</v>
      </c>
      <c r="N718" t="s">
        <v>45</v>
      </c>
      <c r="O718" t="s">
        <v>106</v>
      </c>
      <c r="P718" t="s">
        <v>47</v>
      </c>
      <c r="Q718" s="1">
        <v>43852</v>
      </c>
      <c r="R718" t="s">
        <v>48</v>
      </c>
      <c r="S718" t="s">
        <v>102</v>
      </c>
      <c r="T718" t="s">
        <v>103</v>
      </c>
      <c r="U718" t="s">
        <v>85</v>
      </c>
      <c r="V718">
        <v>5000000</v>
      </c>
      <c r="W718">
        <v>250000</v>
      </c>
      <c r="X718" s="1">
        <v>43799</v>
      </c>
      <c r="Y718" t="s">
        <v>51</v>
      </c>
      <c r="Z718" t="s">
        <v>43</v>
      </c>
      <c r="AA718" t="s">
        <v>86</v>
      </c>
      <c r="AB718" t="s">
        <v>89</v>
      </c>
      <c r="AC718" t="s">
        <v>90</v>
      </c>
      <c r="AF718" t="s">
        <v>93</v>
      </c>
      <c r="AG718" s="1">
        <v>43843</v>
      </c>
      <c r="AH718" t="s">
        <v>85</v>
      </c>
      <c r="AI718" t="s">
        <v>92</v>
      </c>
      <c r="AJ718">
        <v>19888</v>
      </c>
      <c r="AK718">
        <v>128777</v>
      </c>
      <c r="AL718">
        <v>198882</v>
      </c>
    </row>
    <row r="719" spans="1:38" x14ac:dyDescent="0.25">
      <c r="A719" t="s">
        <v>119</v>
      </c>
      <c r="B719" s="2">
        <v>2.9992E+18</v>
      </c>
      <c r="C719" t="s">
        <v>71</v>
      </c>
      <c r="D719" s="1">
        <v>43405</v>
      </c>
      <c r="E719" s="1">
        <v>43769</v>
      </c>
      <c r="F719" t="s">
        <v>84</v>
      </c>
      <c r="G719">
        <v>10</v>
      </c>
      <c r="H719" t="s">
        <v>85</v>
      </c>
      <c r="I719" t="s">
        <v>43</v>
      </c>
      <c r="J719" t="s">
        <v>86</v>
      </c>
      <c r="K719" t="s">
        <v>44</v>
      </c>
      <c r="L719">
        <v>13134.29</v>
      </c>
      <c r="M719" s="1">
        <v>43439</v>
      </c>
      <c r="N719" t="s">
        <v>108</v>
      </c>
      <c r="O719" t="s">
        <v>106</v>
      </c>
      <c r="P719" t="s">
        <v>47</v>
      </c>
      <c r="Q719" s="1">
        <v>43852</v>
      </c>
      <c r="R719" t="s">
        <v>48</v>
      </c>
      <c r="S719" t="s">
        <v>87</v>
      </c>
      <c r="T719" t="s">
        <v>88</v>
      </c>
      <c r="U719" t="s">
        <v>85</v>
      </c>
      <c r="V719">
        <v>1400000</v>
      </c>
      <c r="W719">
        <v>100000</v>
      </c>
      <c r="X719" s="1">
        <v>43808</v>
      </c>
      <c r="Y719" t="s">
        <v>51</v>
      </c>
      <c r="Z719" t="s">
        <v>43</v>
      </c>
      <c r="AA719" t="s">
        <v>86</v>
      </c>
      <c r="AB719" t="s">
        <v>89</v>
      </c>
      <c r="AC719" t="s">
        <v>90</v>
      </c>
      <c r="AF719" t="s">
        <v>91</v>
      </c>
      <c r="AG719" s="1">
        <v>43852</v>
      </c>
      <c r="AH719" t="s">
        <v>85</v>
      </c>
      <c r="AI719" t="s">
        <v>92</v>
      </c>
      <c r="AJ719">
        <v>19888</v>
      </c>
      <c r="AK719">
        <v>128777</v>
      </c>
      <c r="AL719">
        <v>198882</v>
      </c>
    </row>
    <row r="720" spans="1:38" x14ac:dyDescent="0.25">
      <c r="A720" t="s">
        <v>119</v>
      </c>
      <c r="B720" s="2">
        <v>2.9992E+18</v>
      </c>
      <c r="C720" t="s">
        <v>71</v>
      </c>
      <c r="D720" s="1">
        <v>43405</v>
      </c>
      <c r="E720" s="1">
        <v>43769</v>
      </c>
      <c r="F720" t="s">
        <v>84</v>
      </c>
      <c r="G720">
        <v>10</v>
      </c>
      <c r="H720" t="s">
        <v>85</v>
      </c>
      <c r="I720" t="s">
        <v>43</v>
      </c>
      <c r="J720" t="s">
        <v>86</v>
      </c>
      <c r="K720" t="s">
        <v>44</v>
      </c>
      <c r="L720">
        <v>13134.29</v>
      </c>
      <c r="M720" s="1">
        <v>43439</v>
      </c>
      <c r="N720" t="s">
        <v>108</v>
      </c>
      <c r="O720" t="s">
        <v>106</v>
      </c>
      <c r="P720" t="s">
        <v>47</v>
      </c>
      <c r="Q720" s="1">
        <v>43852</v>
      </c>
      <c r="R720" t="s">
        <v>48</v>
      </c>
      <c r="S720" t="s">
        <v>87</v>
      </c>
      <c r="T720" t="s">
        <v>88</v>
      </c>
      <c r="U720" t="s">
        <v>85</v>
      </c>
      <c r="V720">
        <v>1400000</v>
      </c>
      <c r="W720">
        <v>100000</v>
      </c>
      <c r="X720" s="1">
        <v>43808</v>
      </c>
      <c r="Y720" t="s">
        <v>51</v>
      </c>
      <c r="Z720" t="s">
        <v>43</v>
      </c>
      <c r="AA720" t="s">
        <v>86</v>
      </c>
      <c r="AB720" t="s">
        <v>89</v>
      </c>
      <c r="AC720" t="s">
        <v>90</v>
      </c>
      <c r="AF720" t="s">
        <v>93</v>
      </c>
      <c r="AG720" s="1">
        <v>43843</v>
      </c>
      <c r="AH720" t="s">
        <v>85</v>
      </c>
      <c r="AI720" t="s">
        <v>92</v>
      </c>
      <c r="AJ720">
        <v>19888</v>
      </c>
      <c r="AK720">
        <v>128777</v>
      </c>
      <c r="AL720">
        <v>198882</v>
      </c>
    </row>
    <row r="721" spans="1:38" x14ac:dyDescent="0.25">
      <c r="A721" t="s">
        <v>119</v>
      </c>
      <c r="B721" s="2">
        <v>2.9992E+18</v>
      </c>
      <c r="C721" t="s">
        <v>71</v>
      </c>
      <c r="D721" s="1">
        <v>43405</v>
      </c>
      <c r="E721" s="1">
        <v>43769</v>
      </c>
      <c r="F721" t="s">
        <v>84</v>
      </c>
      <c r="G721">
        <v>10</v>
      </c>
      <c r="H721" t="s">
        <v>85</v>
      </c>
      <c r="I721" t="s">
        <v>43</v>
      </c>
      <c r="J721" t="s">
        <v>86</v>
      </c>
      <c r="K721" t="s">
        <v>44</v>
      </c>
      <c r="L721">
        <v>13134.29</v>
      </c>
      <c r="M721" s="1">
        <v>43439</v>
      </c>
      <c r="N721" t="s">
        <v>108</v>
      </c>
      <c r="O721" t="s">
        <v>106</v>
      </c>
      <c r="P721" t="s">
        <v>47</v>
      </c>
      <c r="Q721" s="1">
        <v>43852</v>
      </c>
      <c r="R721" t="s">
        <v>48</v>
      </c>
      <c r="S721" t="s">
        <v>94</v>
      </c>
      <c r="T721" t="s">
        <v>95</v>
      </c>
      <c r="U721" t="s">
        <v>85</v>
      </c>
      <c r="V721">
        <v>4500000</v>
      </c>
      <c r="W721">
        <v>300000</v>
      </c>
      <c r="X721" s="1">
        <v>43767</v>
      </c>
      <c r="Y721" t="s">
        <v>51</v>
      </c>
      <c r="Z721" t="s">
        <v>43</v>
      </c>
      <c r="AA721" t="s">
        <v>86</v>
      </c>
      <c r="AB721" t="s">
        <v>89</v>
      </c>
      <c r="AC721" t="s">
        <v>90</v>
      </c>
      <c r="AF721" t="s">
        <v>91</v>
      </c>
      <c r="AG721" s="1">
        <v>43852</v>
      </c>
      <c r="AH721" t="s">
        <v>85</v>
      </c>
      <c r="AI721" t="s">
        <v>92</v>
      </c>
      <c r="AJ721">
        <v>19888</v>
      </c>
      <c r="AK721">
        <v>128777</v>
      </c>
      <c r="AL721">
        <v>198882</v>
      </c>
    </row>
    <row r="722" spans="1:38" x14ac:dyDescent="0.25">
      <c r="A722" t="s">
        <v>119</v>
      </c>
      <c r="B722" s="2">
        <v>2.9992E+18</v>
      </c>
      <c r="C722" t="s">
        <v>71</v>
      </c>
      <c r="D722" s="1">
        <v>43405</v>
      </c>
      <c r="E722" s="1">
        <v>43769</v>
      </c>
      <c r="F722" t="s">
        <v>84</v>
      </c>
      <c r="G722">
        <v>10</v>
      </c>
      <c r="H722" t="s">
        <v>85</v>
      </c>
      <c r="I722" t="s">
        <v>43</v>
      </c>
      <c r="J722" t="s">
        <v>86</v>
      </c>
      <c r="K722" t="s">
        <v>44</v>
      </c>
      <c r="L722">
        <v>13134.29</v>
      </c>
      <c r="M722" s="1">
        <v>43439</v>
      </c>
      <c r="N722" t="s">
        <v>108</v>
      </c>
      <c r="O722" t="s">
        <v>106</v>
      </c>
      <c r="P722" t="s">
        <v>47</v>
      </c>
      <c r="Q722" s="1">
        <v>43852</v>
      </c>
      <c r="R722" t="s">
        <v>48</v>
      </c>
      <c r="S722" t="s">
        <v>94</v>
      </c>
      <c r="T722" t="s">
        <v>95</v>
      </c>
      <c r="U722" t="s">
        <v>85</v>
      </c>
      <c r="V722">
        <v>4500000</v>
      </c>
      <c r="W722">
        <v>300000</v>
      </c>
      <c r="X722" s="1">
        <v>43767</v>
      </c>
      <c r="Y722" t="s">
        <v>51</v>
      </c>
      <c r="Z722" t="s">
        <v>43</v>
      </c>
      <c r="AA722" t="s">
        <v>86</v>
      </c>
      <c r="AB722" t="s">
        <v>89</v>
      </c>
      <c r="AC722" t="s">
        <v>90</v>
      </c>
      <c r="AF722" t="s">
        <v>93</v>
      </c>
      <c r="AG722" s="1">
        <v>43843</v>
      </c>
      <c r="AH722" t="s">
        <v>85</v>
      </c>
      <c r="AI722" t="s">
        <v>92</v>
      </c>
      <c r="AJ722">
        <v>19888</v>
      </c>
      <c r="AK722">
        <v>128777</v>
      </c>
      <c r="AL722">
        <v>198882</v>
      </c>
    </row>
    <row r="723" spans="1:38" x14ac:dyDescent="0.25">
      <c r="A723" t="s">
        <v>119</v>
      </c>
      <c r="B723" s="2">
        <v>2.9992E+18</v>
      </c>
      <c r="C723" t="s">
        <v>71</v>
      </c>
      <c r="D723" s="1">
        <v>43405</v>
      </c>
      <c r="E723" s="1">
        <v>43769</v>
      </c>
      <c r="F723" t="s">
        <v>84</v>
      </c>
      <c r="G723">
        <v>10</v>
      </c>
      <c r="H723" t="s">
        <v>85</v>
      </c>
      <c r="I723" t="s">
        <v>43</v>
      </c>
      <c r="J723" t="s">
        <v>86</v>
      </c>
      <c r="K723" t="s">
        <v>44</v>
      </c>
      <c r="L723">
        <v>13134.29</v>
      </c>
      <c r="M723" s="1">
        <v>43439</v>
      </c>
      <c r="N723" t="s">
        <v>108</v>
      </c>
      <c r="O723" t="s">
        <v>106</v>
      </c>
      <c r="P723" t="s">
        <v>47</v>
      </c>
      <c r="Q723" s="1">
        <v>43852</v>
      </c>
      <c r="R723" t="s">
        <v>48</v>
      </c>
      <c r="S723" t="s">
        <v>96</v>
      </c>
      <c r="T723" t="s">
        <v>97</v>
      </c>
      <c r="U723" t="s">
        <v>85</v>
      </c>
      <c r="V723">
        <v>600000</v>
      </c>
      <c r="W723">
        <v>100000</v>
      </c>
      <c r="X723" s="1">
        <v>43799</v>
      </c>
      <c r="Y723" t="s">
        <v>51</v>
      </c>
      <c r="Z723" t="s">
        <v>43</v>
      </c>
      <c r="AA723" t="s">
        <v>98</v>
      </c>
      <c r="AB723" t="s">
        <v>89</v>
      </c>
      <c r="AC723" t="s">
        <v>90</v>
      </c>
      <c r="AF723" t="s">
        <v>91</v>
      </c>
      <c r="AG723" s="1">
        <v>43852</v>
      </c>
      <c r="AH723" t="s">
        <v>85</v>
      </c>
      <c r="AI723" t="s">
        <v>92</v>
      </c>
      <c r="AJ723">
        <v>19888</v>
      </c>
      <c r="AK723">
        <v>128777</v>
      </c>
      <c r="AL723">
        <v>198882</v>
      </c>
    </row>
    <row r="724" spans="1:38" x14ac:dyDescent="0.25">
      <c r="A724" t="s">
        <v>119</v>
      </c>
      <c r="B724" s="2">
        <v>2.9992E+18</v>
      </c>
      <c r="C724" t="s">
        <v>71</v>
      </c>
      <c r="D724" s="1">
        <v>43405</v>
      </c>
      <c r="E724" s="1">
        <v>43769</v>
      </c>
      <c r="F724" t="s">
        <v>84</v>
      </c>
      <c r="G724">
        <v>10</v>
      </c>
      <c r="H724" t="s">
        <v>85</v>
      </c>
      <c r="I724" t="s">
        <v>43</v>
      </c>
      <c r="J724" t="s">
        <v>86</v>
      </c>
      <c r="K724" t="s">
        <v>44</v>
      </c>
      <c r="L724">
        <v>13134.29</v>
      </c>
      <c r="M724" s="1">
        <v>43439</v>
      </c>
      <c r="N724" t="s">
        <v>108</v>
      </c>
      <c r="O724" t="s">
        <v>106</v>
      </c>
      <c r="P724" t="s">
        <v>47</v>
      </c>
      <c r="Q724" s="1">
        <v>43852</v>
      </c>
      <c r="R724" t="s">
        <v>48</v>
      </c>
      <c r="S724" t="s">
        <v>96</v>
      </c>
      <c r="T724" t="s">
        <v>97</v>
      </c>
      <c r="U724" t="s">
        <v>85</v>
      </c>
      <c r="V724">
        <v>600000</v>
      </c>
      <c r="W724">
        <v>100000</v>
      </c>
      <c r="X724" s="1">
        <v>43799</v>
      </c>
      <c r="Y724" t="s">
        <v>51</v>
      </c>
      <c r="Z724" t="s">
        <v>43</v>
      </c>
      <c r="AA724" t="s">
        <v>98</v>
      </c>
      <c r="AB724" t="s">
        <v>89</v>
      </c>
      <c r="AC724" t="s">
        <v>90</v>
      </c>
      <c r="AF724" t="s">
        <v>93</v>
      </c>
      <c r="AG724" s="1">
        <v>43843</v>
      </c>
      <c r="AH724" t="s">
        <v>85</v>
      </c>
      <c r="AI724" t="s">
        <v>92</v>
      </c>
      <c r="AJ724">
        <v>19888</v>
      </c>
      <c r="AK724">
        <v>128777</v>
      </c>
      <c r="AL724">
        <v>198882</v>
      </c>
    </row>
    <row r="725" spans="1:38" x14ac:dyDescent="0.25">
      <c r="A725" t="s">
        <v>119</v>
      </c>
      <c r="B725" s="2">
        <v>2.9992E+18</v>
      </c>
      <c r="C725" t="s">
        <v>71</v>
      </c>
      <c r="D725" s="1">
        <v>43405</v>
      </c>
      <c r="E725" s="1">
        <v>43769</v>
      </c>
      <c r="F725" t="s">
        <v>84</v>
      </c>
      <c r="G725">
        <v>10</v>
      </c>
      <c r="H725" t="s">
        <v>85</v>
      </c>
      <c r="I725" t="s">
        <v>43</v>
      </c>
      <c r="J725" t="s">
        <v>86</v>
      </c>
      <c r="K725" t="s">
        <v>44</v>
      </c>
      <c r="L725">
        <v>13134.29</v>
      </c>
      <c r="M725" s="1">
        <v>43439</v>
      </c>
      <c r="N725" t="s">
        <v>108</v>
      </c>
      <c r="O725" t="s">
        <v>106</v>
      </c>
      <c r="P725" t="s">
        <v>47</v>
      </c>
      <c r="Q725" s="1">
        <v>43852</v>
      </c>
      <c r="R725" t="s">
        <v>48</v>
      </c>
      <c r="S725" t="s">
        <v>99</v>
      </c>
      <c r="T725" t="s">
        <v>100</v>
      </c>
      <c r="U725" t="s">
        <v>85</v>
      </c>
      <c r="V725">
        <v>210000</v>
      </c>
      <c r="W725">
        <v>35000</v>
      </c>
      <c r="X725" s="1">
        <v>43799</v>
      </c>
      <c r="Y725" t="s">
        <v>51</v>
      </c>
      <c r="Z725" t="s">
        <v>43</v>
      </c>
      <c r="AA725" t="s">
        <v>98</v>
      </c>
      <c r="AB725" t="s">
        <v>89</v>
      </c>
      <c r="AC725" t="s">
        <v>101</v>
      </c>
      <c r="AF725" t="s">
        <v>91</v>
      </c>
      <c r="AG725" s="1">
        <v>43852</v>
      </c>
      <c r="AH725" t="s">
        <v>85</v>
      </c>
      <c r="AI725" t="s">
        <v>92</v>
      </c>
      <c r="AJ725">
        <v>19888</v>
      </c>
      <c r="AK725">
        <v>128777</v>
      </c>
      <c r="AL725">
        <v>198882</v>
      </c>
    </row>
    <row r="726" spans="1:38" x14ac:dyDescent="0.25">
      <c r="A726" t="s">
        <v>119</v>
      </c>
      <c r="B726" s="2">
        <v>2.9992E+18</v>
      </c>
      <c r="C726" t="s">
        <v>71</v>
      </c>
      <c r="D726" s="1">
        <v>43405</v>
      </c>
      <c r="E726" s="1">
        <v>43769</v>
      </c>
      <c r="F726" t="s">
        <v>84</v>
      </c>
      <c r="G726">
        <v>10</v>
      </c>
      <c r="H726" t="s">
        <v>85</v>
      </c>
      <c r="I726" t="s">
        <v>43</v>
      </c>
      <c r="J726" t="s">
        <v>86</v>
      </c>
      <c r="K726" t="s">
        <v>44</v>
      </c>
      <c r="L726">
        <v>13134.29</v>
      </c>
      <c r="M726" s="1">
        <v>43439</v>
      </c>
      <c r="N726" t="s">
        <v>108</v>
      </c>
      <c r="O726" t="s">
        <v>106</v>
      </c>
      <c r="P726" t="s">
        <v>47</v>
      </c>
      <c r="Q726" s="1">
        <v>43852</v>
      </c>
      <c r="R726" t="s">
        <v>48</v>
      </c>
      <c r="S726" t="s">
        <v>99</v>
      </c>
      <c r="T726" t="s">
        <v>100</v>
      </c>
      <c r="U726" t="s">
        <v>85</v>
      </c>
      <c r="V726">
        <v>210000</v>
      </c>
      <c r="W726">
        <v>35000</v>
      </c>
      <c r="X726" s="1">
        <v>43799</v>
      </c>
      <c r="Y726" t="s">
        <v>51</v>
      </c>
      <c r="Z726" t="s">
        <v>43</v>
      </c>
      <c r="AA726" t="s">
        <v>98</v>
      </c>
      <c r="AB726" t="s">
        <v>89</v>
      </c>
      <c r="AC726" t="s">
        <v>101</v>
      </c>
      <c r="AF726" t="s">
        <v>93</v>
      </c>
      <c r="AG726" s="1">
        <v>43843</v>
      </c>
      <c r="AH726" t="s">
        <v>85</v>
      </c>
      <c r="AI726" t="s">
        <v>92</v>
      </c>
      <c r="AJ726">
        <v>19888</v>
      </c>
      <c r="AK726">
        <v>128777</v>
      </c>
      <c r="AL726">
        <v>198882</v>
      </c>
    </row>
    <row r="727" spans="1:38" x14ac:dyDescent="0.25">
      <c r="A727" t="s">
        <v>119</v>
      </c>
      <c r="B727" s="2">
        <v>2.9992E+18</v>
      </c>
      <c r="C727" t="s">
        <v>71</v>
      </c>
      <c r="D727" s="1">
        <v>43405</v>
      </c>
      <c r="E727" s="1">
        <v>43769</v>
      </c>
      <c r="F727" t="s">
        <v>84</v>
      </c>
      <c r="G727">
        <v>10</v>
      </c>
      <c r="H727" t="s">
        <v>85</v>
      </c>
      <c r="I727" t="s">
        <v>43</v>
      </c>
      <c r="J727" t="s">
        <v>86</v>
      </c>
      <c r="K727" t="s">
        <v>44</v>
      </c>
      <c r="L727">
        <v>13134.29</v>
      </c>
      <c r="M727" s="1">
        <v>43439</v>
      </c>
      <c r="N727" t="s">
        <v>108</v>
      </c>
      <c r="O727" t="s">
        <v>106</v>
      </c>
      <c r="P727" t="s">
        <v>47</v>
      </c>
      <c r="Q727" s="1">
        <v>43852</v>
      </c>
      <c r="R727" t="s">
        <v>48</v>
      </c>
      <c r="S727" t="s">
        <v>102</v>
      </c>
      <c r="T727" t="s">
        <v>103</v>
      </c>
      <c r="U727" t="s">
        <v>85</v>
      </c>
      <c r="V727">
        <v>5000000</v>
      </c>
      <c r="W727">
        <v>250000</v>
      </c>
      <c r="X727" s="1">
        <v>43799</v>
      </c>
      <c r="Y727" t="s">
        <v>51</v>
      </c>
      <c r="Z727" t="s">
        <v>43</v>
      </c>
      <c r="AA727" t="s">
        <v>86</v>
      </c>
      <c r="AB727" t="s">
        <v>89</v>
      </c>
      <c r="AC727" t="s">
        <v>90</v>
      </c>
      <c r="AF727" t="s">
        <v>91</v>
      </c>
      <c r="AG727" s="1">
        <v>43852</v>
      </c>
      <c r="AH727" t="s">
        <v>85</v>
      </c>
      <c r="AI727" t="s">
        <v>92</v>
      </c>
      <c r="AJ727">
        <v>19888</v>
      </c>
      <c r="AK727">
        <v>128777</v>
      </c>
      <c r="AL727">
        <v>198882</v>
      </c>
    </row>
    <row r="728" spans="1:38" x14ac:dyDescent="0.25">
      <c r="A728" t="s">
        <v>119</v>
      </c>
      <c r="B728" s="2">
        <v>2.9992E+18</v>
      </c>
      <c r="C728" t="s">
        <v>71</v>
      </c>
      <c r="D728" s="1">
        <v>43405</v>
      </c>
      <c r="E728" s="1">
        <v>43769</v>
      </c>
      <c r="F728" t="s">
        <v>84</v>
      </c>
      <c r="G728">
        <v>10</v>
      </c>
      <c r="H728" t="s">
        <v>85</v>
      </c>
      <c r="I728" t="s">
        <v>43</v>
      </c>
      <c r="J728" t="s">
        <v>86</v>
      </c>
      <c r="K728" t="s">
        <v>44</v>
      </c>
      <c r="L728">
        <v>13134.29</v>
      </c>
      <c r="M728" s="1">
        <v>43439</v>
      </c>
      <c r="N728" t="s">
        <v>108</v>
      </c>
      <c r="O728" t="s">
        <v>106</v>
      </c>
      <c r="P728" t="s">
        <v>47</v>
      </c>
      <c r="Q728" s="1">
        <v>43852</v>
      </c>
      <c r="R728" t="s">
        <v>48</v>
      </c>
      <c r="S728" t="s">
        <v>102</v>
      </c>
      <c r="T728" t="s">
        <v>103</v>
      </c>
      <c r="U728" t="s">
        <v>85</v>
      </c>
      <c r="V728">
        <v>5000000</v>
      </c>
      <c r="W728">
        <v>250000</v>
      </c>
      <c r="X728" s="1">
        <v>43799</v>
      </c>
      <c r="Y728" t="s">
        <v>51</v>
      </c>
      <c r="Z728" t="s">
        <v>43</v>
      </c>
      <c r="AA728" t="s">
        <v>86</v>
      </c>
      <c r="AB728" t="s">
        <v>89</v>
      </c>
      <c r="AC728" t="s">
        <v>90</v>
      </c>
      <c r="AF728" t="s">
        <v>93</v>
      </c>
      <c r="AG728" s="1">
        <v>43843</v>
      </c>
      <c r="AH728" t="s">
        <v>85</v>
      </c>
      <c r="AI728" t="s">
        <v>92</v>
      </c>
      <c r="AJ728">
        <v>19888</v>
      </c>
      <c r="AK728">
        <v>128777</v>
      </c>
      <c r="AL728">
        <v>198882</v>
      </c>
    </row>
    <row r="729" spans="1:38" x14ac:dyDescent="0.25">
      <c r="A729" t="s">
        <v>123</v>
      </c>
      <c r="B729" s="2">
        <v>2.9992E+18</v>
      </c>
      <c r="C729" t="s">
        <v>71</v>
      </c>
      <c r="D729" s="1">
        <v>43405</v>
      </c>
      <c r="E729" s="1">
        <v>43769</v>
      </c>
      <c r="F729" t="s">
        <v>84</v>
      </c>
      <c r="G729">
        <v>10</v>
      </c>
      <c r="H729" t="s">
        <v>85</v>
      </c>
      <c r="I729" t="s">
        <v>43</v>
      </c>
      <c r="J729" t="s">
        <v>86</v>
      </c>
      <c r="K729" t="s">
        <v>44</v>
      </c>
      <c r="L729">
        <v>113.48</v>
      </c>
      <c r="M729" s="1">
        <v>43504</v>
      </c>
      <c r="N729" t="s">
        <v>108</v>
      </c>
      <c r="O729" t="s">
        <v>106</v>
      </c>
      <c r="P729" t="s">
        <v>47</v>
      </c>
      <c r="Q729" s="1">
        <v>43852</v>
      </c>
      <c r="R729" t="s">
        <v>48</v>
      </c>
      <c r="S729" t="s">
        <v>87</v>
      </c>
      <c r="T729" t="s">
        <v>88</v>
      </c>
      <c r="U729" t="s">
        <v>85</v>
      </c>
      <c r="V729">
        <v>1400000</v>
      </c>
      <c r="W729">
        <v>100000</v>
      </c>
      <c r="X729" s="1">
        <v>43808</v>
      </c>
      <c r="Y729" t="s">
        <v>51</v>
      </c>
      <c r="Z729" t="s">
        <v>43</v>
      </c>
      <c r="AA729" t="s">
        <v>86</v>
      </c>
      <c r="AB729" t="s">
        <v>89</v>
      </c>
      <c r="AC729" t="s">
        <v>90</v>
      </c>
      <c r="AF729" t="s">
        <v>91</v>
      </c>
      <c r="AG729" s="1">
        <v>43852</v>
      </c>
      <c r="AH729" t="s">
        <v>85</v>
      </c>
      <c r="AI729" t="s">
        <v>92</v>
      </c>
      <c r="AJ729">
        <v>19888</v>
      </c>
      <c r="AK729">
        <v>128777</v>
      </c>
      <c r="AL729">
        <v>198882</v>
      </c>
    </row>
    <row r="730" spans="1:38" x14ac:dyDescent="0.25">
      <c r="A730" t="s">
        <v>123</v>
      </c>
      <c r="B730" s="2">
        <v>2.9992E+18</v>
      </c>
      <c r="C730" t="s">
        <v>71</v>
      </c>
      <c r="D730" s="1">
        <v>43405</v>
      </c>
      <c r="E730" s="1">
        <v>43769</v>
      </c>
      <c r="F730" t="s">
        <v>84</v>
      </c>
      <c r="G730">
        <v>10</v>
      </c>
      <c r="H730" t="s">
        <v>85</v>
      </c>
      <c r="I730" t="s">
        <v>43</v>
      </c>
      <c r="J730" t="s">
        <v>86</v>
      </c>
      <c r="K730" t="s">
        <v>44</v>
      </c>
      <c r="L730">
        <v>113.48</v>
      </c>
      <c r="M730" s="1">
        <v>43504</v>
      </c>
      <c r="N730" t="s">
        <v>108</v>
      </c>
      <c r="O730" t="s">
        <v>106</v>
      </c>
      <c r="P730" t="s">
        <v>47</v>
      </c>
      <c r="Q730" s="1">
        <v>43852</v>
      </c>
      <c r="R730" t="s">
        <v>48</v>
      </c>
      <c r="S730" t="s">
        <v>87</v>
      </c>
      <c r="T730" t="s">
        <v>88</v>
      </c>
      <c r="U730" t="s">
        <v>85</v>
      </c>
      <c r="V730">
        <v>1400000</v>
      </c>
      <c r="W730">
        <v>100000</v>
      </c>
      <c r="X730" s="1">
        <v>43808</v>
      </c>
      <c r="Y730" t="s">
        <v>51</v>
      </c>
      <c r="Z730" t="s">
        <v>43</v>
      </c>
      <c r="AA730" t="s">
        <v>86</v>
      </c>
      <c r="AB730" t="s">
        <v>89</v>
      </c>
      <c r="AC730" t="s">
        <v>90</v>
      </c>
      <c r="AF730" t="s">
        <v>93</v>
      </c>
      <c r="AG730" s="1">
        <v>43843</v>
      </c>
      <c r="AH730" t="s">
        <v>85</v>
      </c>
      <c r="AI730" t="s">
        <v>92</v>
      </c>
      <c r="AJ730">
        <v>19888</v>
      </c>
      <c r="AK730">
        <v>128777</v>
      </c>
      <c r="AL730">
        <v>198882</v>
      </c>
    </row>
    <row r="731" spans="1:38" x14ac:dyDescent="0.25">
      <c r="A731" t="s">
        <v>123</v>
      </c>
      <c r="B731" s="2">
        <v>2.9992E+18</v>
      </c>
      <c r="C731" t="s">
        <v>71</v>
      </c>
      <c r="D731" s="1">
        <v>43405</v>
      </c>
      <c r="E731" s="1">
        <v>43769</v>
      </c>
      <c r="F731" t="s">
        <v>84</v>
      </c>
      <c r="G731">
        <v>10</v>
      </c>
      <c r="H731" t="s">
        <v>85</v>
      </c>
      <c r="I731" t="s">
        <v>43</v>
      </c>
      <c r="J731" t="s">
        <v>86</v>
      </c>
      <c r="K731" t="s">
        <v>44</v>
      </c>
      <c r="L731">
        <v>113.48</v>
      </c>
      <c r="M731" s="1">
        <v>43504</v>
      </c>
      <c r="N731" t="s">
        <v>108</v>
      </c>
      <c r="O731" t="s">
        <v>106</v>
      </c>
      <c r="P731" t="s">
        <v>47</v>
      </c>
      <c r="Q731" s="1">
        <v>43852</v>
      </c>
      <c r="R731" t="s">
        <v>48</v>
      </c>
      <c r="S731" t="s">
        <v>94</v>
      </c>
      <c r="T731" t="s">
        <v>95</v>
      </c>
      <c r="U731" t="s">
        <v>85</v>
      </c>
      <c r="V731">
        <v>4500000</v>
      </c>
      <c r="W731">
        <v>300000</v>
      </c>
      <c r="X731" s="1">
        <v>43767</v>
      </c>
      <c r="Y731" t="s">
        <v>51</v>
      </c>
      <c r="Z731" t="s">
        <v>43</v>
      </c>
      <c r="AA731" t="s">
        <v>86</v>
      </c>
      <c r="AB731" t="s">
        <v>89</v>
      </c>
      <c r="AC731" t="s">
        <v>90</v>
      </c>
      <c r="AF731" t="s">
        <v>91</v>
      </c>
      <c r="AG731" s="1">
        <v>43852</v>
      </c>
      <c r="AH731" t="s">
        <v>85</v>
      </c>
      <c r="AI731" t="s">
        <v>92</v>
      </c>
      <c r="AJ731">
        <v>19888</v>
      </c>
      <c r="AK731">
        <v>128777</v>
      </c>
      <c r="AL731">
        <v>198882</v>
      </c>
    </row>
    <row r="732" spans="1:38" x14ac:dyDescent="0.25">
      <c r="A732" t="s">
        <v>123</v>
      </c>
      <c r="B732" s="2">
        <v>2.9992E+18</v>
      </c>
      <c r="C732" t="s">
        <v>71</v>
      </c>
      <c r="D732" s="1">
        <v>43405</v>
      </c>
      <c r="E732" s="1">
        <v>43769</v>
      </c>
      <c r="F732" t="s">
        <v>84</v>
      </c>
      <c r="G732">
        <v>10</v>
      </c>
      <c r="H732" t="s">
        <v>85</v>
      </c>
      <c r="I732" t="s">
        <v>43</v>
      </c>
      <c r="J732" t="s">
        <v>86</v>
      </c>
      <c r="K732" t="s">
        <v>44</v>
      </c>
      <c r="L732">
        <v>113.48</v>
      </c>
      <c r="M732" s="1">
        <v>43504</v>
      </c>
      <c r="N732" t="s">
        <v>108</v>
      </c>
      <c r="O732" t="s">
        <v>106</v>
      </c>
      <c r="P732" t="s">
        <v>47</v>
      </c>
      <c r="Q732" s="1">
        <v>43852</v>
      </c>
      <c r="R732" t="s">
        <v>48</v>
      </c>
      <c r="S732" t="s">
        <v>94</v>
      </c>
      <c r="T732" t="s">
        <v>95</v>
      </c>
      <c r="U732" t="s">
        <v>85</v>
      </c>
      <c r="V732">
        <v>4500000</v>
      </c>
      <c r="W732">
        <v>300000</v>
      </c>
      <c r="X732" s="1">
        <v>43767</v>
      </c>
      <c r="Y732" t="s">
        <v>51</v>
      </c>
      <c r="Z732" t="s">
        <v>43</v>
      </c>
      <c r="AA732" t="s">
        <v>86</v>
      </c>
      <c r="AB732" t="s">
        <v>89</v>
      </c>
      <c r="AC732" t="s">
        <v>90</v>
      </c>
      <c r="AF732" t="s">
        <v>93</v>
      </c>
      <c r="AG732" s="1">
        <v>43843</v>
      </c>
      <c r="AH732" t="s">
        <v>85</v>
      </c>
      <c r="AI732" t="s">
        <v>92</v>
      </c>
      <c r="AJ732">
        <v>19888</v>
      </c>
      <c r="AK732">
        <v>128777</v>
      </c>
      <c r="AL732">
        <v>198882</v>
      </c>
    </row>
    <row r="733" spans="1:38" x14ac:dyDescent="0.25">
      <c r="A733" t="s">
        <v>123</v>
      </c>
      <c r="B733" s="2">
        <v>2.9992E+18</v>
      </c>
      <c r="C733" t="s">
        <v>71</v>
      </c>
      <c r="D733" s="1">
        <v>43405</v>
      </c>
      <c r="E733" s="1">
        <v>43769</v>
      </c>
      <c r="F733" t="s">
        <v>84</v>
      </c>
      <c r="G733">
        <v>10</v>
      </c>
      <c r="H733" t="s">
        <v>85</v>
      </c>
      <c r="I733" t="s">
        <v>43</v>
      </c>
      <c r="J733" t="s">
        <v>86</v>
      </c>
      <c r="K733" t="s">
        <v>44</v>
      </c>
      <c r="L733">
        <v>113.48</v>
      </c>
      <c r="M733" s="1">
        <v>43504</v>
      </c>
      <c r="N733" t="s">
        <v>108</v>
      </c>
      <c r="O733" t="s">
        <v>106</v>
      </c>
      <c r="P733" t="s">
        <v>47</v>
      </c>
      <c r="Q733" s="1">
        <v>43852</v>
      </c>
      <c r="R733" t="s">
        <v>48</v>
      </c>
      <c r="S733" t="s">
        <v>96</v>
      </c>
      <c r="T733" t="s">
        <v>97</v>
      </c>
      <c r="U733" t="s">
        <v>85</v>
      </c>
      <c r="V733">
        <v>600000</v>
      </c>
      <c r="W733">
        <v>100000</v>
      </c>
      <c r="X733" s="1">
        <v>43799</v>
      </c>
      <c r="Y733" t="s">
        <v>51</v>
      </c>
      <c r="Z733" t="s">
        <v>43</v>
      </c>
      <c r="AA733" t="s">
        <v>98</v>
      </c>
      <c r="AB733" t="s">
        <v>89</v>
      </c>
      <c r="AC733" t="s">
        <v>90</v>
      </c>
      <c r="AF733" t="s">
        <v>91</v>
      </c>
      <c r="AG733" s="1">
        <v>43852</v>
      </c>
      <c r="AH733" t="s">
        <v>85</v>
      </c>
      <c r="AI733" t="s">
        <v>92</v>
      </c>
      <c r="AJ733">
        <v>19888</v>
      </c>
      <c r="AK733">
        <v>128777</v>
      </c>
      <c r="AL733">
        <v>198882</v>
      </c>
    </row>
    <row r="734" spans="1:38" x14ac:dyDescent="0.25">
      <c r="A734" t="s">
        <v>123</v>
      </c>
      <c r="B734" s="2">
        <v>2.9992E+18</v>
      </c>
      <c r="C734" t="s">
        <v>71</v>
      </c>
      <c r="D734" s="1">
        <v>43405</v>
      </c>
      <c r="E734" s="1">
        <v>43769</v>
      </c>
      <c r="F734" t="s">
        <v>84</v>
      </c>
      <c r="G734">
        <v>10</v>
      </c>
      <c r="H734" t="s">
        <v>85</v>
      </c>
      <c r="I734" t="s">
        <v>43</v>
      </c>
      <c r="J734" t="s">
        <v>86</v>
      </c>
      <c r="K734" t="s">
        <v>44</v>
      </c>
      <c r="L734">
        <v>113.48</v>
      </c>
      <c r="M734" s="1">
        <v>43504</v>
      </c>
      <c r="N734" t="s">
        <v>108</v>
      </c>
      <c r="O734" t="s">
        <v>106</v>
      </c>
      <c r="P734" t="s">
        <v>47</v>
      </c>
      <c r="Q734" s="1">
        <v>43852</v>
      </c>
      <c r="R734" t="s">
        <v>48</v>
      </c>
      <c r="S734" t="s">
        <v>96</v>
      </c>
      <c r="T734" t="s">
        <v>97</v>
      </c>
      <c r="U734" t="s">
        <v>85</v>
      </c>
      <c r="V734">
        <v>600000</v>
      </c>
      <c r="W734">
        <v>100000</v>
      </c>
      <c r="X734" s="1">
        <v>43799</v>
      </c>
      <c r="Y734" t="s">
        <v>51</v>
      </c>
      <c r="Z734" t="s">
        <v>43</v>
      </c>
      <c r="AA734" t="s">
        <v>98</v>
      </c>
      <c r="AB734" t="s">
        <v>89</v>
      </c>
      <c r="AC734" t="s">
        <v>90</v>
      </c>
      <c r="AF734" t="s">
        <v>93</v>
      </c>
      <c r="AG734" s="1">
        <v>43843</v>
      </c>
      <c r="AH734" t="s">
        <v>85</v>
      </c>
      <c r="AI734" t="s">
        <v>92</v>
      </c>
      <c r="AJ734">
        <v>19888</v>
      </c>
      <c r="AK734">
        <v>128777</v>
      </c>
      <c r="AL734">
        <v>198882</v>
      </c>
    </row>
    <row r="735" spans="1:38" x14ac:dyDescent="0.25">
      <c r="A735" t="s">
        <v>123</v>
      </c>
      <c r="B735" s="2">
        <v>2.9992E+18</v>
      </c>
      <c r="C735" t="s">
        <v>71</v>
      </c>
      <c r="D735" s="1">
        <v>43405</v>
      </c>
      <c r="E735" s="1">
        <v>43769</v>
      </c>
      <c r="F735" t="s">
        <v>84</v>
      </c>
      <c r="G735">
        <v>10</v>
      </c>
      <c r="H735" t="s">
        <v>85</v>
      </c>
      <c r="I735" t="s">
        <v>43</v>
      </c>
      <c r="J735" t="s">
        <v>86</v>
      </c>
      <c r="K735" t="s">
        <v>44</v>
      </c>
      <c r="L735">
        <v>113.48</v>
      </c>
      <c r="M735" s="1">
        <v>43504</v>
      </c>
      <c r="N735" t="s">
        <v>108</v>
      </c>
      <c r="O735" t="s">
        <v>106</v>
      </c>
      <c r="P735" t="s">
        <v>47</v>
      </c>
      <c r="Q735" s="1">
        <v>43852</v>
      </c>
      <c r="R735" t="s">
        <v>48</v>
      </c>
      <c r="S735" t="s">
        <v>99</v>
      </c>
      <c r="T735" t="s">
        <v>100</v>
      </c>
      <c r="U735" t="s">
        <v>85</v>
      </c>
      <c r="V735">
        <v>210000</v>
      </c>
      <c r="W735">
        <v>35000</v>
      </c>
      <c r="X735" s="1">
        <v>43799</v>
      </c>
      <c r="Y735" t="s">
        <v>51</v>
      </c>
      <c r="Z735" t="s">
        <v>43</v>
      </c>
      <c r="AA735" t="s">
        <v>98</v>
      </c>
      <c r="AB735" t="s">
        <v>89</v>
      </c>
      <c r="AC735" t="s">
        <v>101</v>
      </c>
      <c r="AF735" t="s">
        <v>91</v>
      </c>
      <c r="AG735" s="1">
        <v>43852</v>
      </c>
      <c r="AH735" t="s">
        <v>85</v>
      </c>
      <c r="AI735" t="s">
        <v>92</v>
      </c>
      <c r="AJ735">
        <v>19888</v>
      </c>
      <c r="AK735">
        <v>128777</v>
      </c>
      <c r="AL735">
        <v>198882</v>
      </c>
    </row>
    <row r="736" spans="1:38" x14ac:dyDescent="0.25">
      <c r="A736" t="s">
        <v>123</v>
      </c>
      <c r="B736" s="2">
        <v>2.9992E+18</v>
      </c>
      <c r="C736" t="s">
        <v>71</v>
      </c>
      <c r="D736" s="1">
        <v>43405</v>
      </c>
      <c r="E736" s="1">
        <v>43769</v>
      </c>
      <c r="F736" t="s">
        <v>84</v>
      </c>
      <c r="G736">
        <v>10</v>
      </c>
      <c r="H736" t="s">
        <v>85</v>
      </c>
      <c r="I736" t="s">
        <v>43</v>
      </c>
      <c r="J736" t="s">
        <v>86</v>
      </c>
      <c r="K736" t="s">
        <v>44</v>
      </c>
      <c r="L736">
        <v>113.48</v>
      </c>
      <c r="M736" s="1">
        <v>43504</v>
      </c>
      <c r="N736" t="s">
        <v>108</v>
      </c>
      <c r="O736" t="s">
        <v>106</v>
      </c>
      <c r="P736" t="s">
        <v>47</v>
      </c>
      <c r="Q736" s="1">
        <v>43852</v>
      </c>
      <c r="R736" t="s">
        <v>48</v>
      </c>
      <c r="S736" t="s">
        <v>99</v>
      </c>
      <c r="T736" t="s">
        <v>100</v>
      </c>
      <c r="U736" t="s">
        <v>85</v>
      </c>
      <c r="V736">
        <v>210000</v>
      </c>
      <c r="W736">
        <v>35000</v>
      </c>
      <c r="X736" s="1">
        <v>43799</v>
      </c>
      <c r="Y736" t="s">
        <v>51</v>
      </c>
      <c r="Z736" t="s">
        <v>43</v>
      </c>
      <c r="AA736" t="s">
        <v>98</v>
      </c>
      <c r="AB736" t="s">
        <v>89</v>
      </c>
      <c r="AC736" t="s">
        <v>101</v>
      </c>
      <c r="AF736" t="s">
        <v>93</v>
      </c>
      <c r="AG736" s="1">
        <v>43843</v>
      </c>
      <c r="AH736" t="s">
        <v>85</v>
      </c>
      <c r="AI736" t="s">
        <v>92</v>
      </c>
      <c r="AJ736">
        <v>19888</v>
      </c>
      <c r="AK736">
        <v>128777</v>
      </c>
      <c r="AL736">
        <v>198882</v>
      </c>
    </row>
    <row r="737" spans="1:38" x14ac:dyDescent="0.25">
      <c r="A737" t="s">
        <v>123</v>
      </c>
      <c r="B737" s="2">
        <v>2.9992E+18</v>
      </c>
      <c r="C737" t="s">
        <v>71</v>
      </c>
      <c r="D737" s="1">
        <v>43405</v>
      </c>
      <c r="E737" s="1">
        <v>43769</v>
      </c>
      <c r="F737" t="s">
        <v>84</v>
      </c>
      <c r="G737">
        <v>10</v>
      </c>
      <c r="H737" t="s">
        <v>85</v>
      </c>
      <c r="I737" t="s">
        <v>43</v>
      </c>
      <c r="J737" t="s">
        <v>86</v>
      </c>
      <c r="K737" t="s">
        <v>44</v>
      </c>
      <c r="L737">
        <v>113.48</v>
      </c>
      <c r="M737" s="1">
        <v>43504</v>
      </c>
      <c r="N737" t="s">
        <v>108</v>
      </c>
      <c r="O737" t="s">
        <v>106</v>
      </c>
      <c r="P737" t="s">
        <v>47</v>
      </c>
      <c r="Q737" s="1">
        <v>43852</v>
      </c>
      <c r="R737" t="s">
        <v>48</v>
      </c>
      <c r="S737" t="s">
        <v>102</v>
      </c>
      <c r="T737" t="s">
        <v>103</v>
      </c>
      <c r="U737" t="s">
        <v>85</v>
      </c>
      <c r="V737">
        <v>5000000</v>
      </c>
      <c r="W737">
        <v>250000</v>
      </c>
      <c r="X737" s="1">
        <v>43799</v>
      </c>
      <c r="Y737" t="s">
        <v>51</v>
      </c>
      <c r="Z737" t="s">
        <v>43</v>
      </c>
      <c r="AA737" t="s">
        <v>86</v>
      </c>
      <c r="AB737" t="s">
        <v>89</v>
      </c>
      <c r="AC737" t="s">
        <v>90</v>
      </c>
      <c r="AF737" t="s">
        <v>91</v>
      </c>
      <c r="AG737" s="1">
        <v>43852</v>
      </c>
      <c r="AH737" t="s">
        <v>85</v>
      </c>
      <c r="AI737" t="s">
        <v>92</v>
      </c>
      <c r="AJ737">
        <v>19888</v>
      </c>
      <c r="AK737">
        <v>128777</v>
      </c>
      <c r="AL737">
        <v>198882</v>
      </c>
    </row>
    <row r="738" spans="1:38" x14ac:dyDescent="0.25">
      <c r="A738" t="s">
        <v>123</v>
      </c>
      <c r="B738" s="2">
        <v>2.9992E+18</v>
      </c>
      <c r="C738" t="s">
        <v>71</v>
      </c>
      <c r="D738" s="1">
        <v>43405</v>
      </c>
      <c r="E738" s="1">
        <v>43769</v>
      </c>
      <c r="F738" t="s">
        <v>84</v>
      </c>
      <c r="G738">
        <v>10</v>
      </c>
      <c r="H738" t="s">
        <v>85</v>
      </c>
      <c r="I738" t="s">
        <v>43</v>
      </c>
      <c r="J738" t="s">
        <v>86</v>
      </c>
      <c r="K738" t="s">
        <v>44</v>
      </c>
      <c r="L738">
        <v>113.48</v>
      </c>
      <c r="M738" s="1">
        <v>43504</v>
      </c>
      <c r="N738" t="s">
        <v>108</v>
      </c>
      <c r="O738" t="s">
        <v>106</v>
      </c>
      <c r="P738" t="s">
        <v>47</v>
      </c>
      <c r="Q738" s="1">
        <v>43852</v>
      </c>
      <c r="R738" t="s">
        <v>48</v>
      </c>
      <c r="S738" t="s">
        <v>102</v>
      </c>
      <c r="T738" t="s">
        <v>103</v>
      </c>
      <c r="U738" t="s">
        <v>85</v>
      </c>
      <c r="V738">
        <v>5000000</v>
      </c>
      <c r="W738">
        <v>250000</v>
      </c>
      <c r="X738" s="1">
        <v>43799</v>
      </c>
      <c r="Y738" t="s">
        <v>51</v>
      </c>
      <c r="Z738" t="s">
        <v>43</v>
      </c>
      <c r="AA738" t="s">
        <v>86</v>
      </c>
      <c r="AB738" t="s">
        <v>89</v>
      </c>
      <c r="AC738" t="s">
        <v>90</v>
      </c>
      <c r="AF738" t="s">
        <v>93</v>
      </c>
      <c r="AG738" s="1">
        <v>43843</v>
      </c>
      <c r="AH738" t="s">
        <v>85</v>
      </c>
      <c r="AI738" t="s">
        <v>92</v>
      </c>
      <c r="AJ738">
        <v>19888</v>
      </c>
      <c r="AK738">
        <v>128777</v>
      </c>
      <c r="AL738">
        <v>198882</v>
      </c>
    </row>
    <row r="739" spans="1:38" x14ac:dyDescent="0.25">
      <c r="A739" t="s">
        <v>124</v>
      </c>
      <c r="B739" s="2">
        <v>2.9992E+18</v>
      </c>
      <c r="C739" t="s">
        <v>40</v>
      </c>
      <c r="D739" s="1">
        <v>43770</v>
      </c>
      <c r="E739" s="1">
        <v>44135</v>
      </c>
      <c r="F739" t="s">
        <v>84</v>
      </c>
      <c r="G739">
        <v>10</v>
      </c>
      <c r="H739" t="s">
        <v>85</v>
      </c>
      <c r="I739" t="s">
        <v>43</v>
      </c>
      <c r="J739" t="s">
        <v>86</v>
      </c>
      <c r="K739" t="s">
        <v>44</v>
      </c>
      <c r="L739">
        <v>4302.3</v>
      </c>
      <c r="M739" s="1">
        <v>43770</v>
      </c>
      <c r="N739" t="s">
        <v>45</v>
      </c>
      <c r="O739" t="s">
        <v>44</v>
      </c>
      <c r="P739" t="s">
        <v>47</v>
      </c>
      <c r="Q739" s="1">
        <v>43852</v>
      </c>
      <c r="R739" t="s">
        <v>48</v>
      </c>
      <c r="S739" t="s">
        <v>87</v>
      </c>
      <c r="T739" t="s">
        <v>88</v>
      </c>
      <c r="U739" t="s">
        <v>85</v>
      </c>
      <c r="V739">
        <v>1400000</v>
      </c>
      <c r="W739">
        <v>100000</v>
      </c>
      <c r="X739" s="1">
        <v>43808</v>
      </c>
      <c r="Y739" t="s">
        <v>51</v>
      </c>
      <c r="Z739" t="s">
        <v>43</v>
      </c>
      <c r="AA739" t="s">
        <v>86</v>
      </c>
      <c r="AB739" t="s">
        <v>89</v>
      </c>
      <c r="AC739" t="s">
        <v>90</v>
      </c>
      <c r="AF739" t="s">
        <v>91</v>
      </c>
      <c r="AG739" s="1">
        <v>43852</v>
      </c>
      <c r="AH739" t="s">
        <v>85</v>
      </c>
      <c r="AI739" t="s">
        <v>92</v>
      </c>
      <c r="AJ739">
        <v>19888</v>
      </c>
      <c r="AK739">
        <v>128777</v>
      </c>
      <c r="AL739">
        <v>198882</v>
      </c>
    </row>
    <row r="740" spans="1:38" x14ac:dyDescent="0.25">
      <c r="A740" t="s">
        <v>124</v>
      </c>
      <c r="B740" s="2">
        <v>2.9992E+18</v>
      </c>
      <c r="C740" t="s">
        <v>40</v>
      </c>
      <c r="D740" s="1">
        <v>43770</v>
      </c>
      <c r="E740" s="1">
        <v>44135</v>
      </c>
      <c r="F740" t="s">
        <v>84</v>
      </c>
      <c r="G740">
        <v>10</v>
      </c>
      <c r="H740" t="s">
        <v>85</v>
      </c>
      <c r="I740" t="s">
        <v>43</v>
      </c>
      <c r="J740" t="s">
        <v>86</v>
      </c>
      <c r="K740" t="s">
        <v>44</v>
      </c>
      <c r="L740">
        <v>4302.3</v>
      </c>
      <c r="M740" s="1">
        <v>43770</v>
      </c>
      <c r="N740" t="s">
        <v>45</v>
      </c>
      <c r="O740" t="s">
        <v>44</v>
      </c>
      <c r="P740" t="s">
        <v>47</v>
      </c>
      <c r="Q740" s="1">
        <v>43852</v>
      </c>
      <c r="R740" t="s">
        <v>48</v>
      </c>
      <c r="S740" t="s">
        <v>87</v>
      </c>
      <c r="T740" t="s">
        <v>88</v>
      </c>
      <c r="U740" t="s">
        <v>85</v>
      </c>
      <c r="V740">
        <v>1400000</v>
      </c>
      <c r="W740">
        <v>100000</v>
      </c>
      <c r="X740" s="1">
        <v>43808</v>
      </c>
      <c r="Y740" t="s">
        <v>51</v>
      </c>
      <c r="Z740" t="s">
        <v>43</v>
      </c>
      <c r="AA740" t="s">
        <v>86</v>
      </c>
      <c r="AB740" t="s">
        <v>89</v>
      </c>
      <c r="AC740" t="s">
        <v>90</v>
      </c>
      <c r="AF740" t="s">
        <v>93</v>
      </c>
      <c r="AG740" s="1">
        <v>43843</v>
      </c>
      <c r="AH740" t="s">
        <v>85</v>
      </c>
      <c r="AI740" t="s">
        <v>92</v>
      </c>
      <c r="AJ740">
        <v>19888</v>
      </c>
      <c r="AK740">
        <v>128777</v>
      </c>
      <c r="AL740">
        <v>198882</v>
      </c>
    </row>
    <row r="741" spans="1:38" x14ac:dyDescent="0.25">
      <c r="A741" t="s">
        <v>124</v>
      </c>
      <c r="B741" s="2">
        <v>2.9992E+18</v>
      </c>
      <c r="C741" t="s">
        <v>40</v>
      </c>
      <c r="D741" s="1">
        <v>43770</v>
      </c>
      <c r="E741" s="1">
        <v>44135</v>
      </c>
      <c r="F741" t="s">
        <v>84</v>
      </c>
      <c r="G741">
        <v>10</v>
      </c>
      <c r="H741" t="s">
        <v>85</v>
      </c>
      <c r="I741" t="s">
        <v>43</v>
      </c>
      <c r="J741" t="s">
        <v>86</v>
      </c>
      <c r="K741" t="s">
        <v>44</v>
      </c>
      <c r="L741">
        <v>4302.3</v>
      </c>
      <c r="M741" s="1">
        <v>43770</v>
      </c>
      <c r="N741" t="s">
        <v>45</v>
      </c>
      <c r="O741" t="s">
        <v>44</v>
      </c>
      <c r="P741" t="s">
        <v>47</v>
      </c>
      <c r="Q741" s="1">
        <v>43852</v>
      </c>
      <c r="R741" t="s">
        <v>48</v>
      </c>
      <c r="S741" t="s">
        <v>94</v>
      </c>
      <c r="T741" t="s">
        <v>95</v>
      </c>
      <c r="U741" t="s">
        <v>85</v>
      </c>
      <c r="V741">
        <v>4500000</v>
      </c>
      <c r="W741">
        <v>300000</v>
      </c>
      <c r="X741" s="1">
        <v>43767</v>
      </c>
      <c r="Y741" t="s">
        <v>51</v>
      </c>
      <c r="Z741" t="s">
        <v>43</v>
      </c>
      <c r="AA741" t="s">
        <v>86</v>
      </c>
      <c r="AB741" t="s">
        <v>89</v>
      </c>
      <c r="AC741" t="s">
        <v>90</v>
      </c>
      <c r="AF741" t="s">
        <v>91</v>
      </c>
      <c r="AG741" s="1">
        <v>43852</v>
      </c>
      <c r="AH741" t="s">
        <v>85</v>
      </c>
      <c r="AI741" t="s">
        <v>92</v>
      </c>
      <c r="AJ741">
        <v>19888</v>
      </c>
      <c r="AK741">
        <v>128777</v>
      </c>
      <c r="AL741">
        <v>198882</v>
      </c>
    </row>
    <row r="742" spans="1:38" x14ac:dyDescent="0.25">
      <c r="A742" t="s">
        <v>124</v>
      </c>
      <c r="B742" s="2">
        <v>2.9992E+18</v>
      </c>
      <c r="C742" t="s">
        <v>40</v>
      </c>
      <c r="D742" s="1">
        <v>43770</v>
      </c>
      <c r="E742" s="1">
        <v>44135</v>
      </c>
      <c r="F742" t="s">
        <v>84</v>
      </c>
      <c r="G742">
        <v>10</v>
      </c>
      <c r="H742" t="s">
        <v>85</v>
      </c>
      <c r="I742" t="s">
        <v>43</v>
      </c>
      <c r="J742" t="s">
        <v>86</v>
      </c>
      <c r="K742" t="s">
        <v>44</v>
      </c>
      <c r="L742">
        <v>4302.3</v>
      </c>
      <c r="M742" s="1">
        <v>43770</v>
      </c>
      <c r="N742" t="s">
        <v>45</v>
      </c>
      <c r="O742" t="s">
        <v>44</v>
      </c>
      <c r="P742" t="s">
        <v>47</v>
      </c>
      <c r="Q742" s="1">
        <v>43852</v>
      </c>
      <c r="R742" t="s">
        <v>48</v>
      </c>
      <c r="S742" t="s">
        <v>94</v>
      </c>
      <c r="T742" t="s">
        <v>95</v>
      </c>
      <c r="U742" t="s">
        <v>85</v>
      </c>
      <c r="V742">
        <v>4500000</v>
      </c>
      <c r="W742">
        <v>300000</v>
      </c>
      <c r="X742" s="1">
        <v>43767</v>
      </c>
      <c r="Y742" t="s">
        <v>51</v>
      </c>
      <c r="Z742" t="s">
        <v>43</v>
      </c>
      <c r="AA742" t="s">
        <v>86</v>
      </c>
      <c r="AB742" t="s">
        <v>89</v>
      </c>
      <c r="AC742" t="s">
        <v>90</v>
      </c>
      <c r="AF742" t="s">
        <v>93</v>
      </c>
      <c r="AG742" s="1">
        <v>43843</v>
      </c>
      <c r="AH742" t="s">
        <v>85</v>
      </c>
      <c r="AI742" t="s">
        <v>92</v>
      </c>
      <c r="AJ742">
        <v>19888</v>
      </c>
      <c r="AK742">
        <v>128777</v>
      </c>
      <c r="AL742">
        <v>198882</v>
      </c>
    </row>
    <row r="743" spans="1:38" x14ac:dyDescent="0.25">
      <c r="A743" t="s">
        <v>124</v>
      </c>
      <c r="B743" s="2">
        <v>2.9992E+18</v>
      </c>
      <c r="C743" t="s">
        <v>40</v>
      </c>
      <c r="D743" s="1">
        <v>43770</v>
      </c>
      <c r="E743" s="1">
        <v>44135</v>
      </c>
      <c r="F743" t="s">
        <v>84</v>
      </c>
      <c r="G743">
        <v>10</v>
      </c>
      <c r="H743" t="s">
        <v>85</v>
      </c>
      <c r="I743" t="s">
        <v>43</v>
      </c>
      <c r="J743" t="s">
        <v>86</v>
      </c>
      <c r="K743" t="s">
        <v>44</v>
      </c>
      <c r="L743">
        <v>4302.3</v>
      </c>
      <c r="M743" s="1">
        <v>43770</v>
      </c>
      <c r="N743" t="s">
        <v>45</v>
      </c>
      <c r="O743" t="s">
        <v>44</v>
      </c>
      <c r="P743" t="s">
        <v>47</v>
      </c>
      <c r="Q743" s="1">
        <v>43852</v>
      </c>
      <c r="R743" t="s">
        <v>48</v>
      </c>
      <c r="S743" t="s">
        <v>96</v>
      </c>
      <c r="T743" t="s">
        <v>97</v>
      </c>
      <c r="U743" t="s">
        <v>85</v>
      </c>
      <c r="V743">
        <v>600000</v>
      </c>
      <c r="W743">
        <v>100000</v>
      </c>
      <c r="X743" s="1">
        <v>43799</v>
      </c>
      <c r="Y743" t="s">
        <v>51</v>
      </c>
      <c r="Z743" t="s">
        <v>43</v>
      </c>
      <c r="AA743" t="s">
        <v>98</v>
      </c>
      <c r="AB743" t="s">
        <v>89</v>
      </c>
      <c r="AC743" t="s">
        <v>90</v>
      </c>
      <c r="AF743" t="s">
        <v>91</v>
      </c>
      <c r="AG743" s="1">
        <v>43852</v>
      </c>
      <c r="AH743" t="s">
        <v>85</v>
      </c>
      <c r="AI743" t="s">
        <v>92</v>
      </c>
      <c r="AJ743">
        <v>19888</v>
      </c>
      <c r="AK743">
        <v>128777</v>
      </c>
      <c r="AL743">
        <v>198882</v>
      </c>
    </row>
    <row r="744" spans="1:38" x14ac:dyDescent="0.25">
      <c r="A744" t="s">
        <v>124</v>
      </c>
      <c r="B744" s="2">
        <v>2.9992E+18</v>
      </c>
      <c r="C744" t="s">
        <v>40</v>
      </c>
      <c r="D744" s="1">
        <v>43770</v>
      </c>
      <c r="E744" s="1">
        <v>44135</v>
      </c>
      <c r="F744" t="s">
        <v>84</v>
      </c>
      <c r="G744">
        <v>10</v>
      </c>
      <c r="H744" t="s">
        <v>85</v>
      </c>
      <c r="I744" t="s">
        <v>43</v>
      </c>
      <c r="J744" t="s">
        <v>86</v>
      </c>
      <c r="K744" t="s">
        <v>44</v>
      </c>
      <c r="L744">
        <v>4302.3</v>
      </c>
      <c r="M744" s="1">
        <v>43770</v>
      </c>
      <c r="N744" t="s">
        <v>45</v>
      </c>
      <c r="O744" t="s">
        <v>44</v>
      </c>
      <c r="P744" t="s">
        <v>47</v>
      </c>
      <c r="Q744" s="1">
        <v>43852</v>
      </c>
      <c r="R744" t="s">
        <v>48</v>
      </c>
      <c r="S744" t="s">
        <v>96</v>
      </c>
      <c r="T744" t="s">
        <v>97</v>
      </c>
      <c r="U744" t="s">
        <v>85</v>
      </c>
      <c r="V744">
        <v>600000</v>
      </c>
      <c r="W744">
        <v>100000</v>
      </c>
      <c r="X744" s="1">
        <v>43799</v>
      </c>
      <c r="Y744" t="s">
        <v>51</v>
      </c>
      <c r="Z744" t="s">
        <v>43</v>
      </c>
      <c r="AA744" t="s">
        <v>98</v>
      </c>
      <c r="AB744" t="s">
        <v>89</v>
      </c>
      <c r="AC744" t="s">
        <v>90</v>
      </c>
      <c r="AF744" t="s">
        <v>93</v>
      </c>
      <c r="AG744" s="1">
        <v>43843</v>
      </c>
      <c r="AH744" t="s">
        <v>85</v>
      </c>
      <c r="AI744" t="s">
        <v>92</v>
      </c>
      <c r="AJ744">
        <v>19888</v>
      </c>
      <c r="AK744">
        <v>128777</v>
      </c>
      <c r="AL744">
        <v>198882</v>
      </c>
    </row>
    <row r="745" spans="1:38" x14ac:dyDescent="0.25">
      <c r="A745" t="s">
        <v>124</v>
      </c>
      <c r="B745" s="2">
        <v>2.9992E+18</v>
      </c>
      <c r="C745" t="s">
        <v>40</v>
      </c>
      <c r="D745" s="1">
        <v>43770</v>
      </c>
      <c r="E745" s="1">
        <v>44135</v>
      </c>
      <c r="F745" t="s">
        <v>84</v>
      </c>
      <c r="G745">
        <v>10</v>
      </c>
      <c r="H745" t="s">
        <v>85</v>
      </c>
      <c r="I745" t="s">
        <v>43</v>
      </c>
      <c r="J745" t="s">
        <v>86</v>
      </c>
      <c r="K745" t="s">
        <v>44</v>
      </c>
      <c r="L745">
        <v>4302.3</v>
      </c>
      <c r="M745" s="1">
        <v>43770</v>
      </c>
      <c r="N745" t="s">
        <v>45</v>
      </c>
      <c r="O745" t="s">
        <v>44</v>
      </c>
      <c r="P745" t="s">
        <v>47</v>
      </c>
      <c r="Q745" s="1">
        <v>43852</v>
      </c>
      <c r="R745" t="s">
        <v>48</v>
      </c>
      <c r="S745" t="s">
        <v>99</v>
      </c>
      <c r="T745" t="s">
        <v>100</v>
      </c>
      <c r="U745" t="s">
        <v>85</v>
      </c>
      <c r="V745">
        <v>210000</v>
      </c>
      <c r="W745">
        <v>35000</v>
      </c>
      <c r="X745" s="1">
        <v>43799</v>
      </c>
      <c r="Y745" t="s">
        <v>51</v>
      </c>
      <c r="Z745" t="s">
        <v>43</v>
      </c>
      <c r="AA745" t="s">
        <v>98</v>
      </c>
      <c r="AB745" t="s">
        <v>89</v>
      </c>
      <c r="AC745" t="s">
        <v>101</v>
      </c>
      <c r="AF745" t="s">
        <v>91</v>
      </c>
      <c r="AG745" s="1">
        <v>43852</v>
      </c>
      <c r="AH745" t="s">
        <v>85</v>
      </c>
      <c r="AI745" t="s">
        <v>92</v>
      </c>
      <c r="AJ745">
        <v>19888</v>
      </c>
      <c r="AK745">
        <v>128777</v>
      </c>
      <c r="AL745">
        <v>198882</v>
      </c>
    </row>
    <row r="746" spans="1:38" x14ac:dyDescent="0.25">
      <c r="A746" t="s">
        <v>124</v>
      </c>
      <c r="B746" s="2">
        <v>2.9992E+18</v>
      </c>
      <c r="C746" t="s">
        <v>40</v>
      </c>
      <c r="D746" s="1">
        <v>43770</v>
      </c>
      <c r="E746" s="1">
        <v>44135</v>
      </c>
      <c r="F746" t="s">
        <v>84</v>
      </c>
      <c r="G746">
        <v>10</v>
      </c>
      <c r="H746" t="s">
        <v>85</v>
      </c>
      <c r="I746" t="s">
        <v>43</v>
      </c>
      <c r="J746" t="s">
        <v>86</v>
      </c>
      <c r="K746" t="s">
        <v>44</v>
      </c>
      <c r="L746">
        <v>4302.3</v>
      </c>
      <c r="M746" s="1">
        <v>43770</v>
      </c>
      <c r="N746" t="s">
        <v>45</v>
      </c>
      <c r="O746" t="s">
        <v>44</v>
      </c>
      <c r="P746" t="s">
        <v>47</v>
      </c>
      <c r="Q746" s="1">
        <v>43852</v>
      </c>
      <c r="R746" t="s">
        <v>48</v>
      </c>
      <c r="S746" t="s">
        <v>99</v>
      </c>
      <c r="T746" t="s">
        <v>100</v>
      </c>
      <c r="U746" t="s">
        <v>85</v>
      </c>
      <c r="V746">
        <v>210000</v>
      </c>
      <c r="W746">
        <v>35000</v>
      </c>
      <c r="X746" s="1">
        <v>43799</v>
      </c>
      <c r="Y746" t="s">
        <v>51</v>
      </c>
      <c r="Z746" t="s">
        <v>43</v>
      </c>
      <c r="AA746" t="s">
        <v>98</v>
      </c>
      <c r="AB746" t="s">
        <v>89</v>
      </c>
      <c r="AC746" t="s">
        <v>101</v>
      </c>
      <c r="AF746" t="s">
        <v>93</v>
      </c>
      <c r="AG746" s="1">
        <v>43843</v>
      </c>
      <c r="AH746" t="s">
        <v>85</v>
      </c>
      <c r="AI746" t="s">
        <v>92</v>
      </c>
      <c r="AJ746">
        <v>19888</v>
      </c>
      <c r="AK746">
        <v>128777</v>
      </c>
      <c r="AL746">
        <v>198882</v>
      </c>
    </row>
    <row r="747" spans="1:38" x14ac:dyDescent="0.25">
      <c r="A747" t="s">
        <v>124</v>
      </c>
      <c r="B747" s="2">
        <v>2.9992E+18</v>
      </c>
      <c r="C747" t="s">
        <v>40</v>
      </c>
      <c r="D747" s="1">
        <v>43770</v>
      </c>
      <c r="E747" s="1">
        <v>44135</v>
      </c>
      <c r="F747" t="s">
        <v>84</v>
      </c>
      <c r="G747">
        <v>10</v>
      </c>
      <c r="H747" t="s">
        <v>85</v>
      </c>
      <c r="I747" t="s">
        <v>43</v>
      </c>
      <c r="J747" t="s">
        <v>86</v>
      </c>
      <c r="K747" t="s">
        <v>44</v>
      </c>
      <c r="L747">
        <v>4302.3</v>
      </c>
      <c r="M747" s="1">
        <v>43770</v>
      </c>
      <c r="N747" t="s">
        <v>45</v>
      </c>
      <c r="O747" t="s">
        <v>44</v>
      </c>
      <c r="P747" t="s">
        <v>47</v>
      </c>
      <c r="Q747" s="1">
        <v>43852</v>
      </c>
      <c r="R747" t="s">
        <v>48</v>
      </c>
      <c r="S747" t="s">
        <v>102</v>
      </c>
      <c r="T747" t="s">
        <v>103</v>
      </c>
      <c r="U747" t="s">
        <v>85</v>
      </c>
      <c r="V747">
        <v>5000000</v>
      </c>
      <c r="W747">
        <v>250000</v>
      </c>
      <c r="X747" s="1">
        <v>43799</v>
      </c>
      <c r="Y747" t="s">
        <v>51</v>
      </c>
      <c r="Z747" t="s">
        <v>43</v>
      </c>
      <c r="AA747" t="s">
        <v>86</v>
      </c>
      <c r="AB747" t="s">
        <v>89</v>
      </c>
      <c r="AC747" t="s">
        <v>90</v>
      </c>
      <c r="AF747" t="s">
        <v>91</v>
      </c>
      <c r="AG747" s="1">
        <v>43852</v>
      </c>
      <c r="AH747" t="s">
        <v>85</v>
      </c>
      <c r="AI747" t="s">
        <v>92</v>
      </c>
      <c r="AJ747">
        <v>19888</v>
      </c>
      <c r="AK747">
        <v>128777</v>
      </c>
      <c r="AL747">
        <v>198882</v>
      </c>
    </row>
    <row r="748" spans="1:38" x14ac:dyDescent="0.25">
      <c r="A748" t="s">
        <v>124</v>
      </c>
      <c r="B748" s="2">
        <v>2.9992E+18</v>
      </c>
      <c r="C748" t="s">
        <v>40</v>
      </c>
      <c r="D748" s="1">
        <v>43770</v>
      </c>
      <c r="E748" s="1">
        <v>44135</v>
      </c>
      <c r="F748" t="s">
        <v>84</v>
      </c>
      <c r="G748">
        <v>10</v>
      </c>
      <c r="H748" t="s">
        <v>85</v>
      </c>
      <c r="I748" t="s">
        <v>43</v>
      </c>
      <c r="J748" t="s">
        <v>86</v>
      </c>
      <c r="K748" t="s">
        <v>44</v>
      </c>
      <c r="L748">
        <v>4302.3</v>
      </c>
      <c r="M748" s="1">
        <v>43770</v>
      </c>
      <c r="N748" t="s">
        <v>45</v>
      </c>
      <c r="O748" t="s">
        <v>44</v>
      </c>
      <c r="P748" t="s">
        <v>47</v>
      </c>
      <c r="Q748" s="1">
        <v>43852</v>
      </c>
      <c r="R748" t="s">
        <v>48</v>
      </c>
      <c r="S748" t="s">
        <v>102</v>
      </c>
      <c r="T748" t="s">
        <v>103</v>
      </c>
      <c r="U748" t="s">
        <v>85</v>
      </c>
      <c r="V748">
        <v>5000000</v>
      </c>
      <c r="W748">
        <v>250000</v>
      </c>
      <c r="X748" s="1">
        <v>43799</v>
      </c>
      <c r="Y748" t="s">
        <v>51</v>
      </c>
      <c r="Z748" t="s">
        <v>43</v>
      </c>
      <c r="AA748" t="s">
        <v>86</v>
      </c>
      <c r="AB748" t="s">
        <v>89</v>
      </c>
      <c r="AC748" t="s">
        <v>90</v>
      </c>
      <c r="AF748" t="s">
        <v>93</v>
      </c>
      <c r="AG748" s="1">
        <v>43843</v>
      </c>
      <c r="AH748" t="s">
        <v>85</v>
      </c>
      <c r="AI748" t="s">
        <v>92</v>
      </c>
      <c r="AJ748">
        <v>19888</v>
      </c>
      <c r="AK748">
        <v>128777</v>
      </c>
      <c r="AL748">
        <v>198882</v>
      </c>
    </row>
    <row r="749" spans="1:38" x14ac:dyDescent="0.25">
      <c r="A749" t="s">
        <v>128</v>
      </c>
      <c r="B749" t="s">
        <v>320</v>
      </c>
      <c r="C749" t="s">
        <v>40</v>
      </c>
      <c r="D749" s="1">
        <v>43602</v>
      </c>
      <c r="E749" s="1">
        <v>43967</v>
      </c>
      <c r="F749" t="s">
        <v>84</v>
      </c>
      <c r="G749">
        <v>10</v>
      </c>
      <c r="H749" t="s">
        <v>85</v>
      </c>
      <c r="I749" t="s">
        <v>43</v>
      </c>
      <c r="J749" t="s">
        <v>86</v>
      </c>
      <c r="K749" t="s">
        <v>44</v>
      </c>
      <c r="L749">
        <v>52500</v>
      </c>
      <c r="M749" s="1">
        <v>43602</v>
      </c>
      <c r="N749" t="s">
        <v>45</v>
      </c>
      <c r="O749" t="s">
        <v>46</v>
      </c>
      <c r="P749" t="s">
        <v>47</v>
      </c>
      <c r="Q749" s="1">
        <v>43852</v>
      </c>
      <c r="R749" t="s">
        <v>48</v>
      </c>
      <c r="S749" t="s">
        <v>87</v>
      </c>
      <c r="T749" t="s">
        <v>88</v>
      </c>
      <c r="U749" t="s">
        <v>85</v>
      </c>
      <c r="V749">
        <v>1400000</v>
      </c>
      <c r="W749">
        <v>100000</v>
      </c>
      <c r="X749" s="1">
        <v>43808</v>
      </c>
      <c r="Y749" t="s">
        <v>51</v>
      </c>
      <c r="Z749" t="s">
        <v>43</v>
      </c>
      <c r="AA749" t="s">
        <v>86</v>
      </c>
      <c r="AB749" t="s">
        <v>89</v>
      </c>
      <c r="AC749" t="s">
        <v>90</v>
      </c>
      <c r="AF749" t="s">
        <v>91</v>
      </c>
      <c r="AG749" s="1">
        <v>43852</v>
      </c>
      <c r="AH749" t="s">
        <v>85</v>
      </c>
      <c r="AI749" t="s">
        <v>92</v>
      </c>
      <c r="AJ749">
        <v>19888</v>
      </c>
      <c r="AK749">
        <v>128777</v>
      </c>
      <c r="AL749">
        <v>198882</v>
      </c>
    </row>
    <row r="750" spans="1:38" x14ac:dyDescent="0.25">
      <c r="A750" t="s">
        <v>128</v>
      </c>
      <c r="B750" t="s">
        <v>320</v>
      </c>
      <c r="C750" t="s">
        <v>40</v>
      </c>
      <c r="D750" s="1">
        <v>43602</v>
      </c>
      <c r="E750" s="1">
        <v>43967</v>
      </c>
      <c r="F750" t="s">
        <v>84</v>
      </c>
      <c r="G750">
        <v>10</v>
      </c>
      <c r="H750" t="s">
        <v>85</v>
      </c>
      <c r="I750" t="s">
        <v>43</v>
      </c>
      <c r="J750" t="s">
        <v>86</v>
      </c>
      <c r="K750" t="s">
        <v>44</v>
      </c>
      <c r="L750">
        <v>52500</v>
      </c>
      <c r="M750" s="1">
        <v>43602</v>
      </c>
      <c r="N750" t="s">
        <v>45</v>
      </c>
      <c r="O750" t="s">
        <v>46</v>
      </c>
      <c r="P750" t="s">
        <v>47</v>
      </c>
      <c r="Q750" s="1">
        <v>43852</v>
      </c>
      <c r="R750" t="s">
        <v>48</v>
      </c>
      <c r="S750" t="s">
        <v>87</v>
      </c>
      <c r="T750" t="s">
        <v>88</v>
      </c>
      <c r="U750" t="s">
        <v>85</v>
      </c>
      <c r="V750">
        <v>1400000</v>
      </c>
      <c r="W750">
        <v>100000</v>
      </c>
      <c r="X750" s="1">
        <v>43808</v>
      </c>
      <c r="Y750" t="s">
        <v>51</v>
      </c>
      <c r="Z750" t="s">
        <v>43</v>
      </c>
      <c r="AA750" t="s">
        <v>86</v>
      </c>
      <c r="AB750" t="s">
        <v>89</v>
      </c>
      <c r="AC750" t="s">
        <v>90</v>
      </c>
      <c r="AF750" t="s">
        <v>93</v>
      </c>
      <c r="AG750" s="1">
        <v>43843</v>
      </c>
      <c r="AH750" t="s">
        <v>85</v>
      </c>
      <c r="AI750" t="s">
        <v>92</v>
      </c>
      <c r="AJ750">
        <v>19888</v>
      </c>
      <c r="AK750">
        <v>128777</v>
      </c>
      <c r="AL750">
        <v>198882</v>
      </c>
    </row>
    <row r="751" spans="1:38" x14ac:dyDescent="0.25">
      <c r="A751" t="s">
        <v>128</v>
      </c>
      <c r="B751" t="s">
        <v>320</v>
      </c>
      <c r="C751" t="s">
        <v>40</v>
      </c>
      <c r="D751" s="1">
        <v>43602</v>
      </c>
      <c r="E751" s="1">
        <v>43967</v>
      </c>
      <c r="F751" t="s">
        <v>84</v>
      </c>
      <c r="G751">
        <v>10</v>
      </c>
      <c r="H751" t="s">
        <v>85</v>
      </c>
      <c r="I751" t="s">
        <v>43</v>
      </c>
      <c r="J751" t="s">
        <v>86</v>
      </c>
      <c r="K751" t="s">
        <v>44</v>
      </c>
      <c r="L751">
        <v>52500</v>
      </c>
      <c r="M751" s="1">
        <v>43602</v>
      </c>
      <c r="N751" t="s">
        <v>45</v>
      </c>
      <c r="O751" t="s">
        <v>46</v>
      </c>
      <c r="P751" t="s">
        <v>47</v>
      </c>
      <c r="Q751" s="1">
        <v>43852</v>
      </c>
      <c r="R751" t="s">
        <v>48</v>
      </c>
      <c r="S751" t="s">
        <v>94</v>
      </c>
      <c r="T751" t="s">
        <v>95</v>
      </c>
      <c r="U751" t="s">
        <v>85</v>
      </c>
      <c r="V751">
        <v>4500000</v>
      </c>
      <c r="W751">
        <v>300000</v>
      </c>
      <c r="X751" s="1">
        <v>43767</v>
      </c>
      <c r="Y751" t="s">
        <v>51</v>
      </c>
      <c r="Z751" t="s">
        <v>43</v>
      </c>
      <c r="AA751" t="s">
        <v>86</v>
      </c>
      <c r="AB751" t="s">
        <v>89</v>
      </c>
      <c r="AC751" t="s">
        <v>90</v>
      </c>
      <c r="AF751" t="s">
        <v>91</v>
      </c>
      <c r="AG751" s="1">
        <v>43852</v>
      </c>
      <c r="AH751" t="s">
        <v>85</v>
      </c>
      <c r="AI751" t="s">
        <v>92</v>
      </c>
      <c r="AJ751">
        <v>19888</v>
      </c>
      <c r="AK751">
        <v>128777</v>
      </c>
      <c r="AL751">
        <v>198882</v>
      </c>
    </row>
    <row r="752" spans="1:38" x14ac:dyDescent="0.25">
      <c r="A752" t="s">
        <v>128</v>
      </c>
      <c r="B752" t="s">
        <v>320</v>
      </c>
      <c r="C752" t="s">
        <v>40</v>
      </c>
      <c r="D752" s="1">
        <v>43602</v>
      </c>
      <c r="E752" s="1">
        <v>43967</v>
      </c>
      <c r="F752" t="s">
        <v>84</v>
      </c>
      <c r="G752">
        <v>10</v>
      </c>
      <c r="H752" t="s">
        <v>85</v>
      </c>
      <c r="I752" t="s">
        <v>43</v>
      </c>
      <c r="J752" t="s">
        <v>86</v>
      </c>
      <c r="K752" t="s">
        <v>44</v>
      </c>
      <c r="L752">
        <v>52500</v>
      </c>
      <c r="M752" s="1">
        <v>43602</v>
      </c>
      <c r="N752" t="s">
        <v>45</v>
      </c>
      <c r="O752" t="s">
        <v>46</v>
      </c>
      <c r="P752" t="s">
        <v>47</v>
      </c>
      <c r="Q752" s="1">
        <v>43852</v>
      </c>
      <c r="R752" t="s">
        <v>48</v>
      </c>
      <c r="S752" t="s">
        <v>94</v>
      </c>
      <c r="T752" t="s">
        <v>95</v>
      </c>
      <c r="U752" t="s">
        <v>85</v>
      </c>
      <c r="V752">
        <v>4500000</v>
      </c>
      <c r="W752">
        <v>300000</v>
      </c>
      <c r="X752" s="1">
        <v>43767</v>
      </c>
      <c r="Y752" t="s">
        <v>51</v>
      </c>
      <c r="Z752" t="s">
        <v>43</v>
      </c>
      <c r="AA752" t="s">
        <v>86</v>
      </c>
      <c r="AB752" t="s">
        <v>89</v>
      </c>
      <c r="AC752" t="s">
        <v>90</v>
      </c>
      <c r="AF752" t="s">
        <v>93</v>
      </c>
      <c r="AG752" s="1">
        <v>43843</v>
      </c>
      <c r="AH752" t="s">
        <v>85</v>
      </c>
      <c r="AI752" t="s">
        <v>92</v>
      </c>
      <c r="AJ752">
        <v>19888</v>
      </c>
      <c r="AK752">
        <v>128777</v>
      </c>
      <c r="AL752">
        <v>198882</v>
      </c>
    </row>
    <row r="753" spans="1:38" x14ac:dyDescent="0.25">
      <c r="A753" t="s">
        <v>128</v>
      </c>
      <c r="B753" t="s">
        <v>320</v>
      </c>
      <c r="C753" t="s">
        <v>40</v>
      </c>
      <c r="D753" s="1">
        <v>43602</v>
      </c>
      <c r="E753" s="1">
        <v>43967</v>
      </c>
      <c r="F753" t="s">
        <v>84</v>
      </c>
      <c r="G753">
        <v>10</v>
      </c>
      <c r="H753" t="s">
        <v>85</v>
      </c>
      <c r="I753" t="s">
        <v>43</v>
      </c>
      <c r="J753" t="s">
        <v>86</v>
      </c>
      <c r="K753" t="s">
        <v>44</v>
      </c>
      <c r="L753">
        <v>52500</v>
      </c>
      <c r="M753" s="1">
        <v>43602</v>
      </c>
      <c r="N753" t="s">
        <v>45</v>
      </c>
      <c r="O753" t="s">
        <v>46</v>
      </c>
      <c r="P753" t="s">
        <v>47</v>
      </c>
      <c r="Q753" s="1">
        <v>43852</v>
      </c>
      <c r="R753" t="s">
        <v>48</v>
      </c>
      <c r="S753" t="s">
        <v>96</v>
      </c>
      <c r="T753" t="s">
        <v>97</v>
      </c>
      <c r="U753" t="s">
        <v>85</v>
      </c>
      <c r="V753">
        <v>600000</v>
      </c>
      <c r="W753">
        <v>100000</v>
      </c>
      <c r="X753" s="1">
        <v>43799</v>
      </c>
      <c r="Y753" t="s">
        <v>51</v>
      </c>
      <c r="Z753" t="s">
        <v>43</v>
      </c>
      <c r="AA753" t="s">
        <v>98</v>
      </c>
      <c r="AB753" t="s">
        <v>89</v>
      </c>
      <c r="AC753" t="s">
        <v>90</v>
      </c>
      <c r="AF753" t="s">
        <v>91</v>
      </c>
      <c r="AG753" s="1">
        <v>43852</v>
      </c>
      <c r="AH753" t="s">
        <v>85</v>
      </c>
      <c r="AI753" t="s">
        <v>92</v>
      </c>
      <c r="AJ753">
        <v>19888</v>
      </c>
      <c r="AK753">
        <v>128777</v>
      </c>
      <c r="AL753">
        <v>198882</v>
      </c>
    </row>
    <row r="754" spans="1:38" x14ac:dyDescent="0.25">
      <c r="A754" t="s">
        <v>128</v>
      </c>
      <c r="B754" t="s">
        <v>320</v>
      </c>
      <c r="C754" t="s">
        <v>40</v>
      </c>
      <c r="D754" s="1">
        <v>43602</v>
      </c>
      <c r="E754" s="1">
        <v>43967</v>
      </c>
      <c r="F754" t="s">
        <v>84</v>
      </c>
      <c r="G754">
        <v>10</v>
      </c>
      <c r="H754" t="s">
        <v>85</v>
      </c>
      <c r="I754" t="s">
        <v>43</v>
      </c>
      <c r="J754" t="s">
        <v>86</v>
      </c>
      <c r="K754" t="s">
        <v>44</v>
      </c>
      <c r="L754">
        <v>52500</v>
      </c>
      <c r="M754" s="1">
        <v>43602</v>
      </c>
      <c r="N754" t="s">
        <v>45</v>
      </c>
      <c r="O754" t="s">
        <v>46</v>
      </c>
      <c r="P754" t="s">
        <v>47</v>
      </c>
      <c r="Q754" s="1">
        <v>43852</v>
      </c>
      <c r="R754" t="s">
        <v>48</v>
      </c>
      <c r="S754" t="s">
        <v>96</v>
      </c>
      <c r="T754" t="s">
        <v>97</v>
      </c>
      <c r="U754" t="s">
        <v>85</v>
      </c>
      <c r="V754">
        <v>600000</v>
      </c>
      <c r="W754">
        <v>100000</v>
      </c>
      <c r="X754" s="1">
        <v>43799</v>
      </c>
      <c r="Y754" t="s">
        <v>51</v>
      </c>
      <c r="Z754" t="s">
        <v>43</v>
      </c>
      <c r="AA754" t="s">
        <v>98</v>
      </c>
      <c r="AB754" t="s">
        <v>89</v>
      </c>
      <c r="AC754" t="s">
        <v>90</v>
      </c>
      <c r="AF754" t="s">
        <v>93</v>
      </c>
      <c r="AG754" s="1">
        <v>43843</v>
      </c>
      <c r="AH754" t="s">
        <v>85</v>
      </c>
      <c r="AI754" t="s">
        <v>92</v>
      </c>
      <c r="AJ754">
        <v>19888</v>
      </c>
      <c r="AK754">
        <v>128777</v>
      </c>
      <c r="AL754">
        <v>198882</v>
      </c>
    </row>
    <row r="755" spans="1:38" x14ac:dyDescent="0.25">
      <c r="A755" t="s">
        <v>128</v>
      </c>
      <c r="B755" t="s">
        <v>320</v>
      </c>
      <c r="C755" t="s">
        <v>40</v>
      </c>
      <c r="D755" s="1">
        <v>43602</v>
      </c>
      <c r="E755" s="1">
        <v>43967</v>
      </c>
      <c r="F755" t="s">
        <v>84</v>
      </c>
      <c r="G755">
        <v>10</v>
      </c>
      <c r="H755" t="s">
        <v>85</v>
      </c>
      <c r="I755" t="s">
        <v>43</v>
      </c>
      <c r="J755" t="s">
        <v>86</v>
      </c>
      <c r="K755" t="s">
        <v>44</v>
      </c>
      <c r="L755">
        <v>52500</v>
      </c>
      <c r="M755" s="1">
        <v>43602</v>
      </c>
      <c r="N755" t="s">
        <v>45</v>
      </c>
      <c r="O755" t="s">
        <v>46</v>
      </c>
      <c r="P755" t="s">
        <v>47</v>
      </c>
      <c r="Q755" s="1">
        <v>43852</v>
      </c>
      <c r="R755" t="s">
        <v>48</v>
      </c>
      <c r="S755" t="s">
        <v>99</v>
      </c>
      <c r="T755" t="s">
        <v>100</v>
      </c>
      <c r="U755" t="s">
        <v>85</v>
      </c>
      <c r="V755">
        <v>210000</v>
      </c>
      <c r="W755">
        <v>35000</v>
      </c>
      <c r="X755" s="1">
        <v>43799</v>
      </c>
      <c r="Y755" t="s">
        <v>51</v>
      </c>
      <c r="Z755" t="s">
        <v>43</v>
      </c>
      <c r="AA755" t="s">
        <v>98</v>
      </c>
      <c r="AB755" t="s">
        <v>89</v>
      </c>
      <c r="AC755" t="s">
        <v>101</v>
      </c>
      <c r="AF755" t="s">
        <v>91</v>
      </c>
      <c r="AG755" s="1">
        <v>43852</v>
      </c>
      <c r="AH755" t="s">
        <v>85</v>
      </c>
      <c r="AI755" t="s">
        <v>92</v>
      </c>
      <c r="AJ755">
        <v>19888</v>
      </c>
      <c r="AK755">
        <v>128777</v>
      </c>
      <c r="AL755">
        <v>198882</v>
      </c>
    </row>
    <row r="756" spans="1:38" x14ac:dyDescent="0.25">
      <c r="A756" t="s">
        <v>128</v>
      </c>
      <c r="B756" t="s">
        <v>320</v>
      </c>
      <c r="C756" t="s">
        <v>40</v>
      </c>
      <c r="D756" s="1">
        <v>43602</v>
      </c>
      <c r="E756" s="1">
        <v>43967</v>
      </c>
      <c r="F756" t="s">
        <v>84</v>
      </c>
      <c r="G756">
        <v>10</v>
      </c>
      <c r="H756" t="s">
        <v>85</v>
      </c>
      <c r="I756" t="s">
        <v>43</v>
      </c>
      <c r="J756" t="s">
        <v>86</v>
      </c>
      <c r="K756" t="s">
        <v>44</v>
      </c>
      <c r="L756">
        <v>52500</v>
      </c>
      <c r="M756" s="1">
        <v>43602</v>
      </c>
      <c r="N756" t="s">
        <v>45</v>
      </c>
      <c r="O756" t="s">
        <v>46</v>
      </c>
      <c r="P756" t="s">
        <v>47</v>
      </c>
      <c r="Q756" s="1">
        <v>43852</v>
      </c>
      <c r="R756" t="s">
        <v>48</v>
      </c>
      <c r="S756" t="s">
        <v>99</v>
      </c>
      <c r="T756" t="s">
        <v>100</v>
      </c>
      <c r="U756" t="s">
        <v>85</v>
      </c>
      <c r="V756">
        <v>210000</v>
      </c>
      <c r="W756">
        <v>35000</v>
      </c>
      <c r="X756" s="1">
        <v>43799</v>
      </c>
      <c r="Y756" t="s">
        <v>51</v>
      </c>
      <c r="Z756" t="s">
        <v>43</v>
      </c>
      <c r="AA756" t="s">
        <v>98</v>
      </c>
      <c r="AB756" t="s">
        <v>89</v>
      </c>
      <c r="AC756" t="s">
        <v>101</v>
      </c>
      <c r="AF756" t="s">
        <v>93</v>
      </c>
      <c r="AG756" s="1">
        <v>43843</v>
      </c>
      <c r="AH756" t="s">
        <v>85</v>
      </c>
      <c r="AI756" t="s">
        <v>92</v>
      </c>
      <c r="AJ756">
        <v>19888</v>
      </c>
      <c r="AK756">
        <v>128777</v>
      </c>
      <c r="AL756">
        <v>198882</v>
      </c>
    </row>
    <row r="757" spans="1:38" x14ac:dyDescent="0.25">
      <c r="A757" t="s">
        <v>128</v>
      </c>
      <c r="B757" t="s">
        <v>320</v>
      </c>
      <c r="C757" t="s">
        <v>40</v>
      </c>
      <c r="D757" s="1">
        <v>43602</v>
      </c>
      <c r="E757" s="1">
        <v>43967</v>
      </c>
      <c r="F757" t="s">
        <v>84</v>
      </c>
      <c r="G757">
        <v>10</v>
      </c>
      <c r="H757" t="s">
        <v>85</v>
      </c>
      <c r="I757" t="s">
        <v>43</v>
      </c>
      <c r="J757" t="s">
        <v>86</v>
      </c>
      <c r="K757" t="s">
        <v>44</v>
      </c>
      <c r="L757">
        <v>52500</v>
      </c>
      <c r="M757" s="1">
        <v>43602</v>
      </c>
      <c r="N757" t="s">
        <v>45</v>
      </c>
      <c r="O757" t="s">
        <v>46</v>
      </c>
      <c r="P757" t="s">
        <v>47</v>
      </c>
      <c r="Q757" s="1">
        <v>43852</v>
      </c>
      <c r="R757" t="s">
        <v>48</v>
      </c>
      <c r="S757" t="s">
        <v>102</v>
      </c>
      <c r="T757" t="s">
        <v>103</v>
      </c>
      <c r="U757" t="s">
        <v>85</v>
      </c>
      <c r="V757">
        <v>5000000</v>
      </c>
      <c r="W757">
        <v>250000</v>
      </c>
      <c r="X757" s="1">
        <v>43799</v>
      </c>
      <c r="Y757" t="s">
        <v>51</v>
      </c>
      <c r="Z757" t="s">
        <v>43</v>
      </c>
      <c r="AA757" t="s">
        <v>86</v>
      </c>
      <c r="AB757" t="s">
        <v>89</v>
      </c>
      <c r="AC757" t="s">
        <v>90</v>
      </c>
      <c r="AF757" t="s">
        <v>91</v>
      </c>
      <c r="AG757" s="1">
        <v>43852</v>
      </c>
      <c r="AH757" t="s">
        <v>85</v>
      </c>
      <c r="AI757" t="s">
        <v>92</v>
      </c>
      <c r="AJ757">
        <v>19888</v>
      </c>
      <c r="AK757">
        <v>128777</v>
      </c>
      <c r="AL757">
        <v>198882</v>
      </c>
    </row>
    <row r="758" spans="1:38" x14ac:dyDescent="0.25">
      <c r="A758" t="s">
        <v>128</v>
      </c>
      <c r="B758" t="s">
        <v>320</v>
      </c>
      <c r="C758" t="s">
        <v>40</v>
      </c>
      <c r="D758" s="1">
        <v>43602</v>
      </c>
      <c r="E758" s="1">
        <v>43967</v>
      </c>
      <c r="F758" t="s">
        <v>84</v>
      </c>
      <c r="G758">
        <v>10</v>
      </c>
      <c r="H758" t="s">
        <v>85</v>
      </c>
      <c r="I758" t="s">
        <v>43</v>
      </c>
      <c r="J758" t="s">
        <v>86</v>
      </c>
      <c r="K758" t="s">
        <v>44</v>
      </c>
      <c r="L758">
        <v>52500</v>
      </c>
      <c r="M758" s="1">
        <v>43602</v>
      </c>
      <c r="N758" t="s">
        <v>45</v>
      </c>
      <c r="O758" t="s">
        <v>46</v>
      </c>
      <c r="P758" t="s">
        <v>47</v>
      </c>
      <c r="Q758" s="1">
        <v>43852</v>
      </c>
      <c r="R758" t="s">
        <v>48</v>
      </c>
      <c r="S758" t="s">
        <v>102</v>
      </c>
      <c r="T758" t="s">
        <v>103</v>
      </c>
      <c r="U758" t="s">
        <v>85</v>
      </c>
      <c r="V758">
        <v>5000000</v>
      </c>
      <c r="W758">
        <v>250000</v>
      </c>
      <c r="X758" s="1">
        <v>43799</v>
      </c>
      <c r="Y758" t="s">
        <v>51</v>
      </c>
      <c r="Z758" t="s">
        <v>43</v>
      </c>
      <c r="AA758" t="s">
        <v>86</v>
      </c>
      <c r="AB758" t="s">
        <v>89</v>
      </c>
      <c r="AC758" t="s">
        <v>90</v>
      </c>
      <c r="AF758" t="s">
        <v>93</v>
      </c>
      <c r="AG758" s="1">
        <v>43843</v>
      </c>
      <c r="AH758" t="s">
        <v>85</v>
      </c>
      <c r="AI758" t="s">
        <v>92</v>
      </c>
      <c r="AJ758">
        <v>19888</v>
      </c>
      <c r="AK758">
        <v>128777</v>
      </c>
      <c r="AL758">
        <v>198882</v>
      </c>
    </row>
    <row r="759" spans="1:38" x14ac:dyDescent="0.25">
      <c r="A759" t="s">
        <v>141</v>
      </c>
      <c r="B759" t="s">
        <v>321</v>
      </c>
      <c r="C759" t="s">
        <v>71</v>
      </c>
      <c r="D759" s="1">
        <v>43282</v>
      </c>
      <c r="E759" s="1">
        <v>43646</v>
      </c>
      <c r="F759" t="s">
        <v>76</v>
      </c>
      <c r="G759">
        <v>3</v>
      </c>
      <c r="H759" t="s">
        <v>125</v>
      </c>
      <c r="I759" t="s">
        <v>43</v>
      </c>
      <c r="J759" t="s">
        <v>126</v>
      </c>
      <c r="K759" t="s">
        <v>127</v>
      </c>
      <c r="L759">
        <v>1147.82</v>
      </c>
      <c r="M759" s="1">
        <v>43646</v>
      </c>
      <c r="N759" t="s">
        <v>45</v>
      </c>
      <c r="O759" t="s">
        <v>46</v>
      </c>
      <c r="P759" t="s">
        <v>47</v>
      </c>
      <c r="Q759" s="1">
        <v>43852</v>
      </c>
      <c r="R759" t="s">
        <v>48</v>
      </c>
    </row>
    <row r="760" spans="1:38" x14ac:dyDescent="0.25">
      <c r="A760" t="s">
        <v>143</v>
      </c>
      <c r="B760" t="s">
        <v>322</v>
      </c>
      <c r="C760" t="s">
        <v>71</v>
      </c>
      <c r="D760" s="1">
        <v>43282</v>
      </c>
      <c r="E760" s="1">
        <v>43646</v>
      </c>
      <c r="F760" t="s">
        <v>77</v>
      </c>
      <c r="G760">
        <v>3</v>
      </c>
      <c r="H760" t="s">
        <v>125</v>
      </c>
      <c r="I760" t="s">
        <v>43</v>
      </c>
      <c r="J760" t="s">
        <v>126</v>
      </c>
      <c r="K760" t="s">
        <v>44</v>
      </c>
      <c r="L760">
        <v>1896.63</v>
      </c>
      <c r="M760" s="1">
        <v>43282</v>
      </c>
      <c r="N760" t="s">
        <v>45</v>
      </c>
      <c r="O760" t="s">
        <v>46</v>
      </c>
      <c r="P760" t="s">
        <v>47</v>
      </c>
      <c r="Q760" s="1">
        <v>43852</v>
      </c>
      <c r="R760" t="s">
        <v>48</v>
      </c>
    </row>
    <row r="761" spans="1:38" x14ac:dyDescent="0.25">
      <c r="A761" t="s">
        <v>144</v>
      </c>
      <c r="B761" t="s">
        <v>323</v>
      </c>
      <c r="C761" t="s">
        <v>71</v>
      </c>
      <c r="D761" s="1">
        <v>43283</v>
      </c>
      <c r="E761" s="1">
        <v>43646</v>
      </c>
      <c r="F761" t="s">
        <v>77</v>
      </c>
      <c r="G761">
        <v>3</v>
      </c>
      <c r="H761" t="s">
        <v>125</v>
      </c>
      <c r="I761" t="s">
        <v>43</v>
      </c>
      <c r="J761" t="s">
        <v>126</v>
      </c>
      <c r="K761" t="s">
        <v>44</v>
      </c>
      <c r="L761">
        <v>0</v>
      </c>
      <c r="M761" s="1">
        <v>43646</v>
      </c>
      <c r="N761" t="s">
        <v>45</v>
      </c>
      <c r="O761" t="s">
        <v>46</v>
      </c>
      <c r="P761" t="s">
        <v>47</v>
      </c>
      <c r="Q761" s="1">
        <v>43852</v>
      </c>
      <c r="R761" t="s">
        <v>48</v>
      </c>
    </row>
    <row r="762" spans="1:38" x14ac:dyDescent="0.25">
      <c r="A762" t="s">
        <v>146</v>
      </c>
      <c r="B762" t="s">
        <v>324</v>
      </c>
      <c r="C762" t="s">
        <v>71</v>
      </c>
      <c r="D762" s="1">
        <v>43282</v>
      </c>
      <c r="E762" s="1">
        <v>43646</v>
      </c>
      <c r="F762" t="s">
        <v>77</v>
      </c>
      <c r="G762">
        <v>3</v>
      </c>
      <c r="H762" t="s">
        <v>125</v>
      </c>
      <c r="I762" t="s">
        <v>43</v>
      </c>
      <c r="J762" t="s">
        <v>126</v>
      </c>
      <c r="K762" t="s">
        <v>44</v>
      </c>
      <c r="L762">
        <v>48125</v>
      </c>
      <c r="M762" s="1">
        <v>43282</v>
      </c>
      <c r="N762" t="s">
        <v>45</v>
      </c>
      <c r="O762" t="s">
        <v>46</v>
      </c>
      <c r="P762" t="s">
        <v>47</v>
      </c>
      <c r="Q762" s="1">
        <v>43852</v>
      </c>
      <c r="R762" t="s">
        <v>48</v>
      </c>
    </row>
    <row r="763" spans="1:38" x14ac:dyDescent="0.25">
      <c r="A763" t="s">
        <v>148</v>
      </c>
      <c r="B763" t="s">
        <v>325</v>
      </c>
      <c r="C763" t="s">
        <v>71</v>
      </c>
      <c r="D763" s="1">
        <v>43282</v>
      </c>
      <c r="E763" s="1">
        <v>43646</v>
      </c>
      <c r="F763" t="s">
        <v>72</v>
      </c>
      <c r="G763">
        <v>3</v>
      </c>
      <c r="H763" t="s">
        <v>125</v>
      </c>
      <c r="I763" t="s">
        <v>43</v>
      </c>
      <c r="J763" t="s">
        <v>126</v>
      </c>
      <c r="K763" t="s">
        <v>44</v>
      </c>
      <c r="L763">
        <v>13560.92</v>
      </c>
      <c r="M763" s="1">
        <v>43282</v>
      </c>
      <c r="N763" t="s">
        <v>45</v>
      </c>
      <c r="O763" t="s">
        <v>46</v>
      </c>
      <c r="P763" t="s">
        <v>47</v>
      </c>
      <c r="Q763" s="1">
        <v>43852</v>
      </c>
      <c r="R763" t="s">
        <v>48</v>
      </c>
      <c r="S763" t="s">
        <v>266</v>
      </c>
      <c r="T763" t="s">
        <v>267</v>
      </c>
      <c r="U763" t="s">
        <v>125</v>
      </c>
      <c r="V763">
        <v>700000</v>
      </c>
      <c r="W763">
        <v>100000</v>
      </c>
      <c r="X763" s="1">
        <v>43830</v>
      </c>
      <c r="Y763" t="s">
        <v>51</v>
      </c>
      <c r="Z763" t="s">
        <v>43</v>
      </c>
      <c r="AA763" t="s">
        <v>115</v>
      </c>
      <c r="AB763" t="s">
        <v>268</v>
      </c>
      <c r="AC763" t="s">
        <v>269</v>
      </c>
      <c r="AF763" t="s">
        <v>134</v>
      </c>
      <c r="AG763" s="1">
        <v>43843</v>
      </c>
      <c r="AH763" t="s">
        <v>125</v>
      </c>
      <c r="AI763" t="s">
        <v>92</v>
      </c>
      <c r="AJ763">
        <v>1278023</v>
      </c>
      <c r="AK763">
        <v>12365300</v>
      </c>
      <c r="AL763">
        <v>12900</v>
      </c>
    </row>
    <row r="764" spans="1:38" x14ac:dyDescent="0.25">
      <c r="A764" t="s">
        <v>148</v>
      </c>
      <c r="B764" t="s">
        <v>325</v>
      </c>
      <c r="C764" t="s">
        <v>71</v>
      </c>
      <c r="D764" s="1">
        <v>43282</v>
      </c>
      <c r="E764" s="1">
        <v>43646</v>
      </c>
      <c r="F764" t="s">
        <v>72</v>
      </c>
      <c r="G764">
        <v>3</v>
      </c>
      <c r="H764" t="s">
        <v>125</v>
      </c>
      <c r="I764" t="s">
        <v>43</v>
      </c>
      <c r="J764" t="s">
        <v>126</v>
      </c>
      <c r="K764" t="s">
        <v>44</v>
      </c>
      <c r="L764">
        <v>13560.92</v>
      </c>
      <c r="M764" s="1">
        <v>43282</v>
      </c>
      <c r="N764" t="s">
        <v>45</v>
      </c>
      <c r="O764" t="s">
        <v>46</v>
      </c>
      <c r="P764" t="s">
        <v>47</v>
      </c>
      <c r="Q764" s="1">
        <v>43852</v>
      </c>
      <c r="R764" t="s">
        <v>48</v>
      </c>
      <c r="S764" t="s">
        <v>266</v>
      </c>
      <c r="T764" t="s">
        <v>267</v>
      </c>
      <c r="U764" t="s">
        <v>125</v>
      </c>
      <c r="V764">
        <v>700000</v>
      </c>
      <c r="W764">
        <v>100000</v>
      </c>
      <c r="X764" s="1">
        <v>43830</v>
      </c>
      <c r="Y764" t="s">
        <v>51</v>
      </c>
      <c r="Z764" t="s">
        <v>43</v>
      </c>
      <c r="AA764" t="s">
        <v>115</v>
      </c>
      <c r="AB764" t="s">
        <v>268</v>
      </c>
      <c r="AC764" t="s">
        <v>269</v>
      </c>
      <c r="AF764" t="s">
        <v>135</v>
      </c>
      <c r="AG764" s="1">
        <v>43843</v>
      </c>
      <c r="AH764" t="s">
        <v>125</v>
      </c>
      <c r="AI764" t="s">
        <v>92</v>
      </c>
      <c r="AJ764">
        <v>1278023</v>
      </c>
      <c r="AK764">
        <v>12365300</v>
      </c>
      <c r="AL764">
        <v>12900</v>
      </c>
    </row>
    <row r="765" spans="1:38" x14ac:dyDescent="0.25">
      <c r="A765" t="s">
        <v>148</v>
      </c>
      <c r="B765" t="s">
        <v>325</v>
      </c>
      <c r="C765" t="s">
        <v>71</v>
      </c>
      <c r="D765" s="1">
        <v>43282</v>
      </c>
      <c r="E765" s="1">
        <v>43646</v>
      </c>
      <c r="F765" t="s">
        <v>72</v>
      </c>
      <c r="G765">
        <v>3</v>
      </c>
      <c r="H765" t="s">
        <v>125</v>
      </c>
      <c r="I765" t="s">
        <v>43</v>
      </c>
      <c r="J765" t="s">
        <v>126</v>
      </c>
      <c r="K765" t="s">
        <v>44</v>
      </c>
      <c r="L765">
        <v>13560.92</v>
      </c>
      <c r="M765" s="1">
        <v>43282</v>
      </c>
      <c r="N765" t="s">
        <v>45</v>
      </c>
      <c r="O765" t="s">
        <v>46</v>
      </c>
      <c r="P765" t="s">
        <v>47</v>
      </c>
      <c r="Q765" s="1">
        <v>43852</v>
      </c>
      <c r="R765" t="s">
        <v>48</v>
      </c>
      <c r="S765" t="s">
        <v>266</v>
      </c>
      <c r="T765" t="s">
        <v>267</v>
      </c>
      <c r="U765" t="s">
        <v>125</v>
      </c>
      <c r="V765">
        <v>700000</v>
      </c>
      <c r="W765">
        <v>100000</v>
      </c>
      <c r="X765" s="1">
        <v>43830</v>
      </c>
      <c r="Y765" t="s">
        <v>51</v>
      </c>
      <c r="Z765" t="s">
        <v>43</v>
      </c>
      <c r="AA765" t="s">
        <v>115</v>
      </c>
      <c r="AB765" t="s">
        <v>268</v>
      </c>
      <c r="AC765" t="s">
        <v>269</v>
      </c>
      <c r="AF765" t="s">
        <v>136</v>
      </c>
      <c r="AG765" s="1">
        <v>43839</v>
      </c>
      <c r="AH765" t="s">
        <v>125</v>
      </c>
      <c r="AI765" t="s">
        <v>92</v>
      </c>
      <c r="AJ765">
        <v>1278023</v>
      </c>
      <c r="AK765">
        <v>12365300</v>
      </c>
      <c r="AL765">
        <v>12900</v>
      </c>
    </row>
    <row r="766" spans="1:38" x14ac:dyDescent="0.25">
      <c r="A766" t="s">
        <v>148</v>
      </c>
      <c r="B766" t="s">
        <v>325</v>
      </c>
      <c r="C766" t="s">
        <v>71</v>
      </c>
      <c r="D766" s="1">
        <v>43282</v>
      </c>
      <c r="E766" s="1">
        <v>43646</v>
      </c>
      <c r="F766" t="s">
        <v>72</v>
      </c>
      <c r="G766">
        <v>3</v>
      </c>
      <c r="H766" t="s">
        <v>125</v>
      </c>
      <c r="I766" t="s">
        <v>43</v>
      </c>
      <c r="J766" t="s">
        <v>126</v>
      </c>
      <c r="K766" t="s">
        <v>44</v>
      </c>
      <c r="L766">
        <v>13560.92</v>
      </c>
      <c r="M766" s="1">
        <v>43282</v>
      </c>
      <c r="N766" t="s">
        <v>45</v>
      </c>
      <c r="O766" t="s">
        <v>46</v>
      </c>
      <c r="P766" t="s">
        <v>47</v>
      </c>
      <c r="Q766" s="1">
        <v>43852</v>
      </c>
      <c r="R766" t="s">
        <v>48</v>
      </c>
      <c r="S766" t="s">
        <v>266</v>
      </c>
      <c r="T766" t="s">
        <v>267</v>
      </c>
      <c r="U766" t="s">
        <v>125</v>
      </c>
      <c r="V766">
        <v>700000</v>
      </c>
      <c r="W766">
        <v>100000</v>
      </c>
      <c r="X766" s="1">
        <v>43830</v>
      </c>
      <c r="Y766" t="s">
        <v>51</v>
      </c>
      <c r="Z766" t="s">
        <v>43</v>
      </c>
      <c r="AA766" t="s">
        <v>115</v>
      </c>
      <c r="AB766" t="s">
        <v>268</v>
      </c>
      <c r="AC766" t="s">
        <v>269</v>
      </c>
      <c r="AF766" t="s">
        <v>137</v>
      </c>
      <c r="AG766" s="1">
        <v>43840</v>
      </c>
      <c r="AH766" t="s">
        <v>125</v>
      </c>
      <c r="AI766" t="s">
        <v>92</v>
      </c>
      <c r="AJ766">
        <v>1278023</v>
      </c>
      <c r="AK766">
        <v>12365300</v>
      </c>
      <c r="AL766">
        <v>12900</v>
      </c>
    </row>
    <row r="767" spans="1:38" x14ac:dyDescent="0.25">
      <c r="A767" t="s">
        <v>148</v>
      </c>
      <c r="B767" t="s">
        <v>325</v>
      </c>
      <c r="C767" t="s">
        <v>71</v>
      </c>
      <c r="D767" s="1">
        <v>43282</v>
      </c>
      <c r="E767" s="1">
        <v>43646</v>
      </c>
      <c r="F767" t="s">
        <v>72</v>
      </c>
      <c r="G767">
        <v>3</v>
      </c>
      <c r="H767" t="s">
        <v>125</v>
      </c>
      <c r="I767" t="s">
        <v>43</v>
      </c>
      <c r="J767" t="s">
        <v>126</v>
      </c>
      <c r="K767" t="s">
        <v>44</v>
      </c>
      <c r="L767">
        <v>13560.92</v>
      </c>
      <c r="M767" s="1">
        <v>43282</v>
      </c>
      <c r="N767" t="s">
        <v>45</v>
      </c>
      <c r="O767" t="s">
        <v>46</v>
      </c>
      <c r="P767" t="s">
        <v>47</v>
      </c>
      <c r="Q767" s="1">
        <v>43852</v>
      </c>
      <c r="R767" t="s">
        <v>48</v>
      </c>
      <c r="S767" t="s">
        <v>72</v>
      </c>
      <c r="T767" t="s">
        <v>270</v>
      </c>
      <c r="U767" t="s">
        <v>125</v>
      </c>
      <c r="V767">
        <v>0</v>
      </c>
      <c r="W767">
        <v>500000</v>
      </c>
      <c r="X767" s="1">
        <v>43739</v>
      </c>
      <c r="Y767" t="s">
        <v>131</v>
      </c>
      <c r="Z767" t="s">
        <v>43</v>
      </c>
      <c r="AA767" t="s">
        <v>115</v>
      </c>
      <c r="AB767" t="s">
        <v>268</v>
      </c>
      <c r="AC767" t="s">
        <v>269</v>
      </c>
      <c r="AF767" t="s">
        <v>134</v>
      </c>
      <c r="AG767" s="1">
        <v>43843</v>
      </c>
      <c r="AH767" t="s">
        <v>125</v>
      </c>
      <c r="AI767" t="s">
        <v>92</v>
      </c>
      <c r="AJ767">
        <v>1278023</v>
      </c>
      <c r="AK767">
        <v>12365300</v>
      </c>
      <c r="AL767">
        <v>12900</v>
      </c>
    </row>
    <row r="768" spans="1:38" x14ac:dyDescent="0.25">
      <c r="A768" t="s">
        <v>148</v>
      </c>
      <c r="B768" t="s">
        <v>325</v>
      </c>
      <c r="C768" t="s">
        <v>71</v>
      </c>
      <c r="D768" s="1">
        <v>43282</v>
      </c>
      <c r="E768" s="1">
        <v>43646</v>
      </c>
      <c r="F768" t="s">
        <v>72</v>
      </c>
      <c r="G768">
        <v>3</v>
      </c>
      <c r="H768" t="s">
        <v>125</v>
      </c>
      <c r="I768" t="s">
        <v>43</v>
      </c>
      <c r="J768" t="s">
        <v>126</v>
      </c>
      <c r="K768" t="s">
        <v>44</v>
      </c>
      <c r="L768">
        <v>13560.92</v>
      </c>
      <c r="M768" s="1">
        <v>43282</v>
      </c>
      <c r="N768" t="s">
        <v>45</v>
      </c>
      <c r="O768" t="s">
        <v>46</v>
      </c>
      <c r="P768" t="s">
        <v>47</v>
      </c>
      <c r="Q768" s="1">
        <v>43852</v>
      </c>
      <c r="R768" t="s">
        <v>48</v>
      </c>
      <c r="S768" t="s">
        <v>72</v>
      </c>
      <c r="T768" t="s">
        <v>270</v>
      </c>
      <c r="U768" t="s">
        <v>125</v>
      </c>
      <c r="V768">
        <v>0</v>
      </c>
      <c r="W768">
        <v>500000</v>
      </c>
      <c r="X768" s="1">
        <v>43739</v>
      </c>
      <c r="Y768" t="s">
        <v>131</v>
      </c>
      <c r="Z768" t="s">
        <v>43</v>
      </c>
      <c r="AA768" t="s">
        <v>115</v>
      </c>
      <c r="AB768" t="s">
        <v>268</v>
      </c>
      <c r="AC768" t="s">
        <v>269</v>
      </c>
      <c r="AF768" t="s">
        <v>135</v>
      </c>
      <c r="AG768" s="1">
        <v>43843</v>
      </c>
      <c r="AH768" t="s">
        <v>125</v>
      </c>
      <c r="AI768" t="s">
        <v>92</v>
      </c>
      <c r="AJ768">
        <v>1278023</v>
      </c>
      <c r="AK768">
        <v>12365300</v>
      </c>
      <c r="AL768">
        <v>12900</v>
      </c>
    </row>
    <row r="769" spans="1:38" x14ac:dyDescent="0.25">
      <c r="A769" t="s">
        <v>148</v>
      </c>
      <c r="B769" t="s">
        <v>325</v>
      </c>
      <c r="C769" t="s">
        <v>71</v>
      </c>
      <c r="D769" s="1">
        <v>43282</v>
      </c>
      <c r="E769" s="1">
        <v>43646</v>
      </c>
      <c r="F769" t="s">
        <v>72</v>
      </c>
      <c r="G769">
        <v>3</v>
      </c>
      <c r="H769" t="s">
        <v>125</v>
      </c>
      <c r="I769" t="s">
        <v>43</v>
      </c>
      <c r="J769" t="s">
        <v>126</v>
      </c>
      <c r="K769" t="s">
        <v>44</v>
      </c>
      <c r="L769">
        <v>13560.92</v>
      </c>
      <c r="M769" s="1">
        <v>43282</v>
      </c>
      <c r="N769" t="s">
        <v>45</v>
      </c>
      <c r="O769" t="s">
        <v>46</v>
      </c>
      <c r="P769" t="s">
        <v>47</v>
      </c>
      <c r="Q769" s="1">
        <v>43852</v>
      </c>
      <c r="R769" t="s">
        <v>48</v>
      </c>
      <c r="S769" t="s">
        <v>72</v>
      </c>
      <c r="T769" t="s">
        <v>270</v>
      </c>
      <c r="U769" t="s">
        <v>125</v>
      </c>
      <c r="V769">
        <v>0</v>
      </c>
      <c r="W769">
        <v>500000</v>
      </c>
      <c r="X769" s="1">
        <v>43739</v>
      </c>
      <c r="Y769" t="s">
        <v>131</v>
      </c>
      <c r="Z769" t="s">
        <v>43</v>
      </c>
      <c r="AA769" t="s">
        <v>115</v>
      </c>
      <c r="AB769" t="s">
        <v>268</v>
      </c>
      <c r="AC769" t="s">
        <v>269</v>
      </c>
      <c r="AF769" t="s">
        <v>136</v>
      </c>
      <c r="AG769" s="1">
        <v>43839</v>
      </c>
      <c r="AH769" t="s">
        <v>125</v>
      </c>
      <c r="AI769" t="s">
        <v>92</v>
      </c>
      <c r="AJ769">
        <v>1278023</v>
      </c>
      <c r="AK769">
        <v>12365300</v>
      </c>
      <c r="AL769">
        <v>12900</v>
      </c>
    </row>
    <row r="770" spans="1:38" x14ac:dyDescent="0.25">
      <c r="A770" t="s">
        <v>148</v>
      </c>
      <c r="B770" t="s">
        <v>325</v>
      </c>
      <c r="C770" t="s">
        <v>71</v>
      </c>
      <c r="D770" s="1">
        <v>43282</v>
      </c>
      <c r="E770" s="1">
        <v>43646</v>
      </c>
      <c r="F770" t="s">
        <v>72</v>
      </c>
      <c r="G770">
        <v>3</v>
      </c>
      <c r="H770" t="s">
        <v>125</v>
      </c>
      <c r="I770" t="s">
        <v>43</v>
      </c>
      <c r="J770" t="s">
        <v>126</v>
      </c>
      <c r="K770" t="s">
        <v>44</v>
      </c>
      <c r="L770">
        <v>13560.92</v>
      </c>
      <c r="M770" s="1">
        <v>43282</v>
      </c>
      <c r="N770" t="s">
        <v>45</v>
      </c>
      <c r="O770" t="s">
        <v>46</v>
      </c>
      <c r="P770" t="s">
        <v>47</v>
      </c>
      <c r="Q770" s="1">
        <v>43852</v>
      </c>
      <c r="R770" t="s">
        <v>48</v>
      </c>
      <c r="S770" t="s">
        <v>72</v>
      </c>
      <c r="T770" t="s">
        <v>270</v>
      </c>
      <c r="U770" t="s">
        <v>125</v>
      </c>
      <c r="V770">
        <v>0</v>
      </c>
      <c r="W770">
        <v>500000</v>
      </c>
      <c r="X770" s="1">
        <v>43739</v>
      </c>
      <c r="Y770" t="s">
        <v>131</v>
      </c>
      <c r="Z770" t="s">
        <v>43</v>
      </c>
      <c r="AA770" t="s">
        <v>115</v>
      </c>
      <c r="AB770" t="s">
        <v>268</v>
      </c>
      <c r="AC770" t="s">
        <v>269</v>
      </c>
      <c r="AF770" t="s">
        <v>137</v>
      </c>
      <c r="AG770" s="1">
        <v>43840</v>
      </c>
      <c r="AH770" t="s">
        <v>125</v>
      </c>
      <c r="AI770" t="s">
        <v>92</v>
      </c>
      <c r="AJ770">
        <v>1278023</v>
      </c>
      <c r="AK770">
        <v>12365300</v>
      </c>
      <c r="AL770">
        <v>12900</v>
      </c>
    </row>
    <row r="771" spans="1:38" x14ac:dyDescent="0.25">
      <c r="A771" t="s">
        <v>148</v>
      </c>
      <c r="B771" t="s">
        <v>325</v>
      </c>
      <c r="C771" t="s">
        <v>71</v>
      </c>
      <c r="D771" s="1">
        <v>43282</v>
      </c>
      <c r="E771" s="1">
        <v>43646</v>
      </c>
      <c r="F771" t="s">
        <v>72</v>
      </c>
      <c r="G771">
        <v>3</v>
      </c>
      <c r="H771" t="s">
        <v>125</v>
      </c>
      <c r="I771" t="s">
        <v>43</v>
      </c>
      <c r="J771" t="s">
        <v>126</v>
      </c>
      <c r="K771" t="s">
        <v>44</v>
      </c>
      <c r="L771">
        <v>13560.92</v>
      </c>
      <c r="M771" s="1">
        <v>43282</v>
      </c>
      <c r="N771" t="s">
        <v>45</v>
      </c>
      <c r="O771" t="s">
        <v>46</v>
      </c>
      <c r="P771" t="s">
        <v>47</v>
      </c>
      <c r="Q771" s="1">
        <v>43852</v>
      </c>
      <c r="R771" t="s">
        <v>48</v>
      </c>
      <c r="S771" t="s">
        <v>271</v>
      </c>
      <c r="T771" t="s">
        <v>272</v>
      </c>
      <c r="U771" t="s">
        <v>125</v>
      </c>
      <c r="V771">
        <v>0</v>
      </c>
      <c r="W771">
        <v>50000</v>
      </c>
      <c r="X771" s="1">
        <v>43738</v>
      </c>
      <c r="Y771" t="s">
        <v>140</v>
      </c>
      <c r="Z771" t="s">
        <v>43</v>
      </c>
      <c r="AA771" t="s">
        <v>115</v>
      </c>
      <c r="AB771" t="s">
        <v>268</v>
      </c>
      <c r="AC771" t="s">
        <v>269</v>
      </c>
      <c r="AF771" t="s">
        <v>134</v>
      </c>
      <c r="AG771" s="1">
        <v>43843</v>
      </c>
      <c r="AH771" t="s">
        <v>125</v>
      </c>
      <c r="AI771" t="s">
        <v>92</v>
      </c>
      <c r="AJ771">
        <v>1278023</v>
      </c>
      <c r="AK771">
        <v>12365300</v>
      </c>
      <c r="AL771">
        <v>12900</v>
      </c>
    </row>
    <row r="772" spans="1:38" x14ac:dyDescent="0.25">
      <c r="A772" t="s">
        <v>148</v>
      </c>
      <c r="B772" t="s">
        <v>325</v>
      </c>
      <c r="C772" t="s">
        <v>71</v>
      </c>
      <c r="D772" s="1">
        <v>43282</v>
      </c>
      <c r="E772" s="1">
        <v>43646</v>
      </c>
      <c r="F772" t="s">
        <v>72</v>
      </c>
      <c r="G772">
        <v>3</v>
      </c>
      <c r="H772" t="s">
        <v>125</v>
      </c>
      <c r="I772" t="s">
        <v>43</v>
      </c>
      <c r="J772" t="s">
        <v>126</v>
      </c>
      <c r="K772" t="s">
        <v>44</v>
      </c>
      <c r="L772">
        <v>13560.92</v>
      </c>
      <c r="M772" s="1">
        <v>43282</v>
      </c>
      <c r="N772" t="s">
        <v>45</v>
      </c>
      <c r="O772" t="s">
        <v>46</v>
      </c>
      <c r="P772" t="s">
        <v>47</v>
      </c>
      <c r="Q772" s="1">
        <v>43852</v>
      </c>
      <c r="R772" t="s">
        <v>48</v>
      </c>
      <c r="S772" t="s">
        <v>271</v>
      </c>
      <c r="T772" t="s">
        <v>272</v>
      </c>
      <c r="U772" t="s">
        <v>125</v>
      </c>
      <c r="V772">
        <v>0</v>
      </c>
      <c r="W772">
        <v>50000</v>
      </c>
      <c r="X772" s="1">
        <v>43738</v>
      </c>
      <c r="Y772" t="s">
        <v>140</v>
      </c>
      <c r="Z772" t="s">
        <v>43</v>
      </c>
      <c r="AA772" t="s">
        <v>115</v>
      </c>
      <c r="AB772" t="s">
        <v>268</v>
      </c>
      <c r="AC772" t="s">
        <v>269</v>
      </c>
      <c r="AF772" t="s">
        <v>135</v>
      </c>
      <c r="AG772" s="1">
        <v>43843</v>
      </c>
      <c r="AH772" t="s">
        <v>125</v>
      </c>
      <c r="AI772" t="s">
        <v>92</v>
      </c>
      <c r="AJ772">
        <v>1278023</v>
      </c>
      <c r="AK772">
        <v>12365300</v>
      </c>
      <c r="AL772">
        <v>12900</v>
      </c>
    </row>
    <row r="773" spans="1:38" x14ac:dyDescent="0.25">
      <c r="A773" t="s">
        <v>148</v>
      </c>
      <c r="B773" t="s">
        <v>325</v>
      </c>
      <c r="C773" t="s">
        <v>71</v>
      </c>
      <c r="D773" s="1">
        <v>43282</v>
      </c>
      <c r="E773" s="1">
        <v>43646</v>
      </c>
      <c r="F773" t="s">
        <v>72</v>
      </c>
      <c r="G773">
        <v>3</v>
      </c>
      <c r="H773" t="s">
        <v>125</v>
      </c>
      <c r="I773" t="s">
        <v>43</v>
      </c>
      <c r="J773" t="s">
        <v>126</v>
      </c>
      <c r="K773" t="s">
        <v>44</v>
      </c>
      <c r="L773">
        <v>13560.92</v>
      </c>
      <c r="M773" s="1">
        <v>43282</v>
      </c>
      <c r="N773" t="s">
        <v>45</v>
      </c>
      <c r="O773" t="s">
        <v>46</v>
      </c>
      <c r="P773" t="s">
        <v>47</v>
      </c>
      <c r="Q773" s="1">
        <v>43852</v>
      </c>
      <c r="R773" t="s">
        <v>48</v>
      </c>
      <c r="S773" t="s">
        <v>271</v>
      </c>
      <c r="T773" t="s">
        <v>272</v>
      </c>
      <c r="U773" t="s">
        <v>125</v>
      </c>
      <c r="V773">
        <v>0</v>
      </c>
      <c r="W773">
        <v>50000</v>
      </c>
      <c r="X773" s="1">
        <v>43738</v>
      </c>
      <c r="Y773" t="s">
        <v>140</v>
      </c>
      <c r="Z773" t="s">
        <v>43</v>
      </c>
      <c r="AA773" t="s">
        <v>115</v>
      </c>
      <c r="AB773" t="s">
        <v>268</v>
      </c>
      <c r="AC773" t="s">
        <v>269</v>
      </c>
      <c r="AF773" t="s">
        <v>136</v>
      </c>
      <c r="AG773" s="1">
        <v>43839</v>
      </c>
      <c r="AH773" t="s">
        <v>125</v>
      </c>
      <c r="AI773" t="s">
        <v>92</v>
      </c>
      <c r="AJ773">
        <v>1278023</v>
      </c>
      <c r="AK773">
        <v>12365300</v>
      </c>
      <c r="AL773">
        <v>12900</v>
      </c>
    </row>
    <row r="774" spans="1:38" x14ac:dyDescent="0.25">
      <c r="A774" t="s">
        <v>148</v>
      </c>
      <c r="B774" t="s">
        <v>325</v>
      </c>
      <c r="C774" t="s">
        <v>71</v>
      </c>
      <c r="D774" s="1">
        <v>43282</v>
      </c>
      <c r="E774" s="1">
        <v>43646</v>
      </c>
      <c r="F774" t="s">
        <v>72</v>
      </c>
      <c r="G774">
        <v>3</v>
      </c>
      <c r="H774" t="s">
        <v>125</v>
      </c>
      <c r="I774" t="s">
        <v>43</v>
      </c>
      <c r="J774" t="s">
        <v>126</v>
      </c>
      <c r="K774" t="s">
        <v>44</v>
      </c>
      <c r="L774">
        <v>13560.92</v>
      </c>
      <c r="M774" s="1">
        <v>43282</v>
      </c>
      <c r="N774" t="s">
        <v>45</v>
      </c>
      <c r="O774" t="s">
        <v>46</v>
      </c>
      <c r="P774" t="s">
        <v>47</v>
      </c>
      <c r="Q774" s="1">
        <v>43852</v>
      </c>
      <c r="R774" t="s">
        <v>48</v>
      </c>
      <c r="S774" t="s">
        <v>271</v>
      </c>
      <c r="T774" t="s">
        <v>272</v>
      </c>
      <c r="U774" t="s">
        <v>125</v>
      </c>
      <c r="V774">
        <v>0</v>
      </c>
      <c r="W774">
        <v>50000</v>
      </c>
      <c r="X774" s="1">
        <v>43738</v>
      </c>
      <c r="Y774" t="s">
        <v>140</v>
      </c>
      <c r="Z774" t="s">
        <v>43</v>
      </c>
      <c r="AA774" t="s">
        <v>115</v>
      </c>
      <c r="AB774" t="s">
        <v>268</v>
      </c>
      <c r="AC774" t="s">
        <v>269</v>
      </c>
      <c r="AF774" t="s">
        <v>137</v>
      </c>
      <c r="AG774" s="1">
        <v>43840</v>
      </c>
      <c r="AH774" t="s">
        <v>125</v>
      </c>
      <c r="AI774" t="s">
        <v>92</v>
      </c>
      <c r="AJ774">
        <v>1278023</v>
      </c>
      <c r="AK774">
        <v>12365300</v>
      </c>
      <c r="AL774">
        <v>12900</v>
      </c>
    </row>
    <row r="775" spans="1:38" x14ac:dyDescent="0.25">
      <c r="A775" t="s">
        <v>150</v>
      </c>
      <c r="B775" t="s">
        <v>326</v>
      </c>
      <c r="C775" t="s">
        <v>71</v>
      </c>
      <c r="D775" s="1">
        <v>43282</v>
      </c>
      <c r="E775" s="1">
        <v>43646</v>
      </c>
      <c r="F775" t="s">
        <v>72</v>
      </c>
      <c r="G775">
        <v>3</v>
      </c>
      <c r="H775" t="s">
        <v>125</v>
      </c>
      <c r="I775" t="s">
        <v>43</v>
      </c>
      <c r="J775" t="s">
        <v>126</v>
      </c>
      <c r="K775" t="s">
        <v>44</v>
      </c>
      <c r="L775">
        <v>55052.69</v>
      </c>
      <c r="M775" s="1">
        <v>43282</v>
      </c>
      <c r="N775" t="s">
        <v>45</v>
      </c>
      <c r="O775" t="s">
        <v>46</v>
      </c>
      <c r="P775" t="s">
        <v>47</v>
      </c>
      <c r="Q775" s="1">
        <v>43852</v>
      </c>
      <c r="R775" t="s">
        <v>48</v>
      </c>
      <c r="S775" t="s">
        <v>266</v>
      </c>
      <c r="T775" t="s">
        <v>267</v>
      </c>
      <c r="U775" t="s">
        <v>125</v>
      </c>
      <c r="V775">
        <v>700000</v>
      </c>
      <c r="W775">
        <v>100000</v>
      </c>
      <c r="X775" s="1">
        <v>43830</v>
      </c>
      <c r="Y775" t="s">
        <v>51</v>
      </c>
      <c r="Z775" t="s">
        <v>43</v>
      </c>
      <c r="AA775" t="s">
        <v>115</v>
      </c>
      <c r="AB775" t="s">
        <v>268</v>
      </c>
      <c r="AC775" t="s">
        <v>269</v>
      </c>
      <c r="AF775" t="s">
        <v>134</v>
      </c>
      <c r="AG775" s="1">
        <v>43843</v>
      </c>
      <c r="AH775" t="s">
        <v>125</v>
      </c>
      <c r="AI775" t="s">
        <v>92</v>
      </c>
      <c r="AJ775">
        <v>1278023</v>
      </c>
      <c r="AK775">
        <v>12365300</v>
      </c>
      <c r="AL775">
        <v>12900</v>
      </c>
    </row>
    <row r="776" spans="1:38" x14ac:dyDescent="0.25">
      <c r="A776" t="s">
        <v>150</v>
      </c>
      <c r="B776" t="s">
        <v>326</v>
      </c>
      <c r="C776" t="s">
        <v>71</v>
      </c>
      <c r="D776" s="1">
        <v>43282</v>
      </c>
      <c r="E776" s="1">
        <v>43646</v>
      </c>
      <c r="F776" t="s">
        <v>72</v>
      </c>
      <c r="G776">
        <v>3</v>
      </c>
      <c r="H776" t="s">
        <v>125</v>
      </c>
      <c r="I776" t="s">
        <v>43</v>
      </c>
      <c r="J776" t="s">
        <v>126</v>
      </c>
      <c r="K776" t="s">
        <v>44</v>
      </c>
      <c r="L776">
        <v>55052.69</v>
      </c>
      <c r="M776" s="1">
        <v>43282</v>
      </c>
      <c r="N776" t="s">
        <v>45</v>
      </c>
      <c r="O776" t="s">
        <v>46</v>
      </c>
      <c r="P776" t="s">
        <v>47</v>
      </c>
      <c r="Q776" s="1">
        <v>43852</v>
      </c>
      <c r="R776" t="s">
        <v>48</v>
      </c>
      <c r="S776" t="s">
        <v>266</v>
      </c>
      <c r="T776" t="s">
        <v>267</v>
      </c>
      <c r="U776" t="s">
        <v>125</v>
      </c>
      <c r="V776">
        <v>700000</v>
      </c>
      <c r="W776">
        <v>100000</v>
      </c>
      <c r="X776" s="1">
        <v>43830</v>
      </c>
      <c r="Y776" t="s">
        <v>51</v>
      </c>
      <c r="Z776" t="s">
        <v>43</v>
      </c>
      <c r="AA776" t="s">
        <v>115</v>
      </c>
      <c r="AB776" t="s">
        <v>268</v>
      </c>
      <c r="AC776" t="s">
        <v>269</v>
      </c>
      <c r="AF776" t="s">
        <v>135</v>
      </c>
      <c r="AG776" s="1">
        <v>43843</v>
      </c>
      <c r="AH776" t="s">
        <v>125</v>
      </c>
      <c r="AI776" t="s">
        <v>92</v>
      </c>
      <c r="AJ776">
        <v>1278023</v>
      </c>
      <c r="AK776">
        <v>12365300</v>
      </c>
      <c r="AL776">
        <v>12900</v>
      </c>
    </row>
    <row r="777" spans="1:38" x14ac:dyDescent="0.25">
      <c r="A777" t="s">
        <v>150</v>
      </c>
      <c r="B777" t="s">
        <v>326</v>
      </c>
      <c r="C777" t="s">
        <v>71</v>
      </c>
      <c r="D777" s="1">
        <v>43282</v>
      </c>
      <c r="E777" s="1">
        <v>43646</v>
      </c>
      <c r="F777" t="s">
        <v>72</v>
      </c>
      <c r="G777">
        <v>3</v>
      </c>
      <c r="H777" t="s">
        <v>125</v>
      </c>
      <c r="I777" t="s">
        <v>43</v>
      </c>
      <c r="J777" t="s">
        <v>126</v>
      </c>
      <c r="K777" t="s">
        <v>44</v>
      </c>
      <c r="L777">
        <v>55052.69</v>
      </c>
      <c r="M777" s="1">
        <v>43282</v>
      </c>
      <c r="N777" t="s">
        <v>45</v>
      </c>
      <c r="O777" t="s">
        <v>46</v>
      </c>
      <c r="P777" t="s">
        <v>47</v>
      </c>
      <c r="Q777" s="1">
        <v>43852</v>
      </c>
      <c r="R777" t="s">
        <v>48</v>
      </c>
      <c r="S777" t="s">
        <v>266</v>
      </c>
      <c r="T777" t="s">
        <v>267</v>
      </c>
      <c r="U777" t="s">
        <v>125</v>
      </c>
      <c r="V777">
        <v>700000</v>
      </c>
      <c r="W777">
        <v>100000</v>
      </c>
      <c r="X777" s="1">
        <v>43830</v>
      </c>
      <c r="Y777" t="s">
        <v>51</v>
      </c>
      <c r="Z777" t="s">
        <v>43</v>
      </c>
      <c r="AA777" t="s">
        <v>115</v>
      </c>
      <c r="AB777" t="s">
        <v>268</v>
      </c>
      <c r="AC777" t="s">
        <v>269</v>
      </c>
      <c r="AF777" t="s">
        <v>136</v>
      </c>
      <c r="AG777" s="1">
        <v>43839</v>
      </c>
      <c r="AH777" t="s">
        <v>125</v>
      </c>
      <c r="AI777" t="s">
        <v>92</v>
      </c>
      <c r="AJ777">
        <v>1278023</v>
      </c>
      <c r="AK777">
        <v>12365300</v>
      </c>
      <c r="AL777">
        <v>12900</v>
      </c>
    </row>
    <row r="778" spans="1:38" x14ac:dyDescent="0.25">
      <c r="A778" t="s">
        <v>150</v>
      </c>
      <c r="B778" t="s">
        <v>326</v>
      </c>
      <c r="C778" t="s">
        <v>71</v>
      </c>
      <c r="D778" s="1">
        <v>43282</v>
      </c>
      <c r="E778" s="1">
        <v>43646</v>
      </c>
      <c r="F778" t="s">
        <v>72</v>
      </c>
      <c r="G778">
        <v>3</v>
      </c>
      <c r="H778" t="s">
        <v>125</v>
      </c>
      <c r="I778" t="s">
        <v>43</v>
      </c>
      <c r="J778" t="s">
        <v>126</v>
      </c>
      <c r="K778" t="s">
        <v>44</v>
      </c>
      <c r="L778">
        <v>55052.69</v>
      </c>
      <c r="M778" s="1">
        <v>43282</v>
      </c>
      <c r="N778" t="s">
        <v>45</v>
      </c>
      <c r="O778" t="s">
        <v>46</v>
      </c>
      <c r="P778" t="s">
        <v>47</v>
      </c>
      <c r="Q778" s="1">
        <v>43852</v>
      </c>
      <c r="R778" t="s">
        <v>48</v>
      </c>
      <c r="S778" t="s">
        <v>266</v>
      </c>
      <c r="T778" t="s">
        <v>267</v>
      </c>
      <c r="U778" t="s">
        <v>125</v>
      </c>
      <c r="V778">
        <v>700000</v>
      </c>
      <c r="W778">
        <v>100000</v>
      </c>
      <c r="X778" s="1">
        <v>43830</v>
      </c>
      <c r="Y778" t="s">
        <v>51</v>
      </c>
      <c r="Z778" t="s">
        <v>43</v>
      </c>
      <c r="AA778" t="s">
        <v>115</v>
      </c>
      <c r="AB778" t="s">
        <v>268</v>
      </c>
      <c r="AC778" t="s">
        <v>269</v>
      </c>
      <c r="AF778" t="s">
        <v>137</v>
      </c>
      <c r="AG778" s="1">
        <v>43840</v>
      </c>
      <c r="AH778" t="s">
        <v>125</v>
      </c>
      <c r="AI778" t="s">
        <v>92</v>
      </c>
      <c r="AJ778">
        <v>1278023</v>
      </c>
      <c r="AK778">
        <v>12365300</v>
      </c>
      <c r="AL778">
        <v>12900</v>
      </c>
    </row>
    <row r="779" spans="1:38" x14ac:dyDescent="0.25">
      <c r="A779" t="s">
        <v>150</v>
      </c>
      <c r="B779" t="s">
        <v>326</v>
      </c>
      <c r="C779" t="s">
        <v>71</v>
      </c>
      <c r="D779" s="1">
        <v>43282</v>
      </c>
      <c r="E779" s="1">
        <v>43646</v>
      </c>
      <c r="F779" t="s">
        <v>72</v>
      </c>
      <c r="G779">
        <v>3</v>
      </c>
      <c r="H779" t="s">
        <v>125</v>
      </c>
      <c r="I779" t="s">
        <v>43</v>
      </c>
      <c r="J779" t="s">
        <v>126</v>
      </c>
      <c r="K779" t="s">
        <v>44</v>
      </c>
      <c r="L779">
        <v>55052.69</v>
      </c>
      <c r="M779" s="1">
        <v>43282</v>
      </c>
      <c r="N779" t="s">
        <v>45</v>
      </c>
      <c r="O779" t="s">
        <v>46</v>
      </c>
      <c r="P779" t="s">
        <v>47</v>
      </c>
      <c r="Q779" s="1">
        <v>43852</v>
      </c>
      <c r="R779" t="s">
        <v>48</v>
      </c>
      <c r="S779" t="s">
        <v>72</v>
      </c>
      <c r="T779" t="s">
        <v>270</v>
      </c>
      <c r="U779" t="s">
        <v>125</v>
      </c>
      <c r="V779">
        <v>0</v>
      </c>
      <c r="W779">
        <v>500000</v>
      </c>
      <c r="X779" s="1">
        <v>43739</v>
      </c>
      <c r="Y779" t="s">
        <v>131</v>
      </c>
      <c r="Z779" t="s">
        <v>43</v>
      </c>
      <c r="AA779" t="s">
        <v>115</v>
      </c>
      <c r="AB779" t="s">
        <v>268</v>
      </c>
      <c r="AC779" t="s">
        <v>269</v>
      </c>
      <c r="AF779" t="s">
        <v>134</v>
      </c>
      <c r="AG779" s="1">
        <v>43843</v>
      </c>
      <c r="AH779" t="s">
        <v>125</v>
      </c>
      <c r="AI779" t="s">
        <v>92</v>
      </c>
      <c r="AJ779">
        <v>1278023</v>
      </c>
      <c r="AK779">
        <v>12365300</v>
      </c>
      <c r="AL779">
        <v>12900</v>
      </c>
    </row>
    <row r="780" spans="1:38" x14ac:dyDescent="0.25">
      <c r="A780" t="s">
        <v>150</v>
      </c>
      <c r="B780" t="s">
        <v>326</v>
      </c>
      <c r="C780" t="s">
        <v>71</v>
      </c>
      <c r="D780" s="1">
        <v>43282</v>
      </c>
      <c r="E780" s="1">
        <v>43646</v>
      </c>
      <c r="F780" t="s">
        <v>72</v>
      </c>
      <c r="G780">
        <v>3</v>
      </c>
      <c r="H780" t="s">
        <v>125</v>
      </c>
      <c r="I780" t="s">
        <v>43</v>
      </c>
      <c r="J780" t="s">
        <v>126</v>
      </c>
      <c r="K780" t="s">
        <v>44</v>
      </c>
      <c r="L780">
        <v>55052.69</v>
      </c>
      <c r="M780" s="1">
        <v>43282</v>
      </c>
      <c r="N780" t="s">
        <v>45</v>
      </c>
      <c r="O780" t="s">
        <v>46</v>
      </c>
      <c r="P780" t="s">
        <v>47</v>
      </c>
      <c r="Q780" s="1">
        <v>43852</v>
      </c>
      <c r="R780" t="s">
        <v>48</v>
      </c>
      <c r="S780" t="s">
        <v>72</v>
      </c>
      <c r="T780" t="s">
        <v>270</v>
      </c>
      <c r="U780" t="s">
        <v>125</v>
      </c>
      <c r="V780">
        <v>0</v>
      </c>
      <c r="W780">
        <v>500000</v>
      </c>
      <c r="X780" s="1">
        <v>43739</v>
      </c>
      <c r="Y780" t="s">
        <v>131</v>
      </c>
      <c r="Z780" t="s">
        <v>43</v>
      </c>
      <c r="AA780" t="s">
        <v>115</v>
      </c>
      <c r="AB780" t="s">
        <v>268</v>
      </c>
      <c r="AC780" t="s">
        <v>269</v>
      </c>
      <c r="AF780" t="s">
        <v>135</v>
      </c>
      <c r="AG780" s="1">
        <v>43843</v>
      </c>
      <c r="AH780" t="s">
        <v>125</v>
      </c>
      <c r="AI780" t="s">
        <v>92</v>
      </c>
      <c r="AJ780">
        <v>1278023</v>
      </c>
      <c r="AK780">
        <v>12365300</v>
      </c>
      <c r="AL780">
        <v>12900</v>
      </c>
    </row>
    <row r="781" spans="1:38" x14ac:dyDescent="0.25">
      <c r="A781" t="s">
        <v>150</v>
      </c>
      <c r="B781" t="s">
        <v>326</v>
      </c>
      <c r="C781" t="s">
        <v>71</v>
      </c>
      <c r="D781" s="1">
        <v>43282</v>
      </c>
      <c r="E781" s="1">
        <v>43646</v>
      </c>
      <c r="F781" t="s">
        <v>72</v>
      </c>
      <c r="G781">
        <v>3</v>
      </c>
      <c r="H781" t="s">
        <v>125</v>
      </c>
      <c r="I781" t="s">
        <v>43</v>
      </c>
      <c r="J781" t="s">
        <v>126</v>
      </c>
      <c r="K781" t="s">
        <v>44</v>
      </c>
      <c r="L781">
        <v>55052.69</v>
      </c>
      <c r="M781" s="1">
        <v>43282</v>
      </c>
      <c r="N781" t="s">
        <v>45</v>
      </c>
      <c r="O781" t="s">
        <v>46</v>
      </c>
      <c r="P781" t="s">
        <v>47</v>
      </c>
      <c r="Q781" s="1">
        <v>43852</v>
      </c>
      <c r="R781" t="s">
        <v>48</v>
      </c>
      <c r="S781" t="s">
        <v>72</v>
      </c>
      <c r="T781" t="s">
        <v>270</v>
      </c>
      <c r="U781" t="s">
        <v>125</v>
      </c>
      <c r="V781">
        <v>0</v>
      </c>
      <c r="W781">
        <v>500000</v>
      </c>
      <c r="X781" s="1">
        <v>43739</v>
      </c>
      <c r="Y781" t="s">
        <v>131</v>
      </c>
      <c r="Z781" t="s">
        <v>43</v>
      </c>
      <c r="AA781" t="s">
        <v>115</v>
      </c>
      <c r="AB781" t="s">
        <v>268</v>
      </c>
      <c r="AC781" t="s">
        <v>269</v>
      </c>
      <c r="AF781" t="s">
        <v>136</v>
      </c>
      <c r="AG781" s="1">
        <v>43839</v>
      </c>
      <c r="AH781" t="s">
        <v>125</v>
      </c>
      <c r="AI781" t="s">
        <v>92</v>
      </c>
      <c r="AJ781">
        <v>1278023</v>
      </c>
      <c r="AK781">
        <v>12365300</v>
      </c>
      <c r="AL781">
        <v>12900</v>
      </c>
    </row>
    <row r="782" spans="1:38" x14ac:dyDescent="0.25">
      <c r="A782" t="s">
        <v>150</v>
      </c>
      <c r="B782" t="s">
        <v>326</v>
      </c>
      <c r="C782" t="s">
        <v>71</v>
      </c>
      <c r="D782" s="1">
        <v>43282</v>
      </c>
      <c r="E782" s="1">
        <v>43646</v>
      </c>
      <c r="F782" t="s">
        <v>72</v>
      </c>
      <c r="G782">
        <v>3</v>
      </c>
      <c r="H782" t="s">
        <v>125</v>
      </c>
      <c r="I782" t="s">
        <v>43</v>
      </c>
      <c r="J782" t="s">
        <v>126</v>
      </c>
      <c r="K782" t="s">
        <v>44</v>
      </c>
      <c r="L782">
        <v>55052.69</v>
      </c>
      <c r="M782" s="1">
        <v>43282</v>
      </c>
      <c r="N782" t="s">
        <v>45</v>
      </c>
      <c r="O782" t="s">
        <v>46</v>
      </c>
      <c r="P782" t="s">
        <v>47</v>
      </c>
      <c r="Q782" s="1">
        <v>43852</v>
      </c>
      <c r="R782" t="s">
        <v>48</v>
      </c>
      <c r="S782" t="s">
        <v>72</v>
      </c>
      <c r="T782" t="s">
        <v>270</v>
      </c>
      <c r="U782" t="s">
        <v>125</v>
      </c>
      <c r="V782">
        <v>0</v>
      </c>
      <c r="W782">
        <v>500000</v>
      </c>
      <c r="X782" s="1">
        <v>43739</v>
      </c>
      <c r="Y782" t="s">
        <v>131</v>
      </c>
      <c r="Z782" t="s">
        <v>43</v>
      </c>
      <c r="AA782" t="s">
        <v>115</v>
      </c>
      <c r="AB782" t="s">
        <v>268</v>
      </c>
      <c r="AC782" t="s">
        <v>269</v>
      </c>
      <c r="AF782" t="s">
        <v>137</v>
      </c>
      <c r="AG782" s="1">
        <v>43840</v>
      </c>
      <c r="AH782" t="s">
        <v>125</v>
      </c>
      <c r="AI782" t="s">
        <v>92</v>
      </c>
      <c r="AJ782">
        <v>1278023</v>
      </c>
      <c r="AK782">
        <v>12365300</v>
      </c>
      <c r="AL782">
        <v>12900</v>
      </c>
    </row>
    <row r="783" spans="1:38" x14ac:dyDescent="0.25">
      <c r="A783" t="s">
        <v>150</v>
      </c>
      <c r="B783" t="s">
        <v>326</v>
      </c>
      <c r="C783" t="s">
        <v>71</v>
      </c>
      <c r="D783" s="1">
        <v>43282</v>
      </c>
      <c r="E783" s="1">
        <v>43646</v>
      </c>
      <c r="F783" t="s">
        <v>72</v>
      </c>
      <c r="G783">
        <v>3</v>
      </c>
      <c r="H783" t="s">
        <v>125</v>
      </c>
      <c r="I783" t="s">
        <v>43</v>
      </c>
      <c r="J783" t="s">
        <v>126</v>
      </c>
      <c r="K783" t="s">
        <v>44</v>
      </c>
      <c r="L783">
        <v>55052.69</v>
      </c>
      <c r="M783" s="1">
        <v>43282</v>
      </c>
      <c r="N783" t="s">
        <v>45</v>
      </c>
      <c r="O783" t="s">
        <v>46</v>
      </c>
      <c r="P783" t="s">
        <v>47</v>
      </c>
      <c r="Q783" s="1">
        <v>43852</v>
      </c>
      <c r="R783" t="s">
        <v>48</v>
      </c>
      <c r="S783" t="s">
        <v>271</v>
      </c>
      <c r="T783" t="s">
        <v>272</v>
      </c>
      <c r="U783" t="s">
        <v>125</v>
      </c>
      <c r="V783">
        <v>0</v>
      </c>
      <c r="W783">
        <v>50000</v>
      </c>
      <c r="X783" s="1">
        <v>43738</v>
      </c>
      <c r="Y783" t="s">
        <v>140</v>
      </c>
      <c r="Z783" t="s">
        <v>43</v>
      </c>
      <c r="AA783" t="s">
        <v>115</v>
      </c>
      <c r="AB783" t="s">
        <v>268</v>
      </c>
      <c r="AC783" t="s">
        <v>269</v>
      </c>
      <c r="AF783" t="s">
        <v>134</v>
      </c>
      <c r="AG783" s="1">
        <v>43843</v>
      </c>
      <c r="AH783" t="s">
        <v>125</v>
      </c>
      <c r="AI783" t="s">
        <v>92</v>
      </c>
      <c r="AJ783">
        <v>1278023</v>
      </c>
      <c r="AK783">
        <v>12365300</v>
      </c>
      <c r="AL783">
        <v>12900</v>
      </c>
    </row>
    <row r="784" spans="1:38" x14ac:dyDescent="0.25">
      <c r="A784" t="s">
        <v>150</v>
      </c>
      <c r="B784" t="s">
        <v>326</v>
      </c>
      <c r="C784" t="s">
        <v>71</v>
      </c>
      <c r="D784" s="1">
        <v>43282</v>
      </c>
      <c r="E784" s="1">
        <v>43646</v>
      </c>
      <c r="F784" t="s">
        <v>72</v>
      </c>
      <c r="G784">
        <v>3</v>
      </c>
      <c r="H784" t="s">
        <v>125</v>
      </c>
      <c r="I784" t="s">
        <v>43</v>
      </c>
      <c r="J784" t="s">
        <v>126</v>
      </c>
      <c r="K784" t="s">
        <v>44</v>
      </c>
      <c r="L784">
        <v>55052.69</v>
      </c>
      <c r="M784" s="1">
        <v>43282</v>
      </c>
      <c r="N784" t="s">
        <v>45</v>
      </c>
      <c r="O784" t="s">
        <v>46</v>
      </c>
      <c r="P784" t="s">
        <v>47</v>
      </c>
      <c r="Q784" s="1">
        <v>43852</v>
      </c>
      <c r="R784" t="s">
        <v>48</v>
      </c>
      <c r="S784" t="s">
        <v>271</v>
      </c>
      <c r="T784" t="s">
        <v>272</v>
      </c>
      <c r="U784" t="s">
        <v>125</v>
      </c>
      <c r="V784">
        <v>0</v>
      </c>
      <c r="W784">
        <v>50000</v>
      </c>
      <c r="X784" s="1">
        <v>43738</v>
      </c>
      <c r="Y784" t="s">
        <v>140</v>
      </c>
      <c r="Z784" t="s">
        <v>43</v>
      </c>
      <c r="AA784" t="s">
        <v>115</v>
      </c>
      <c r="AB784" t="s">
        <v>268</v>
      </c>
      <c r="AC784" t="s">
        <v>269</v>
      </c>
      <c r="AF784" t="s">
        <v>135</v>
      </c>
      <c r="AG784" s="1">
        <v>43843</v>
      </c>
      <c r="AH784" t="s">
        <v>125</v>
      </c>
      <c r="AI784" t="s">
        <v>92</v>
      </c>
      <c r="AJ784">
        <v>1278023</v>
      </c>
      <c r="AK784">
        <v>12365300</v>
      </c>
      <c r="AL784">
        <v>12900</v>
      </c>
    </row>
    <row r="785" spans="1:38" x14ac:dyDescent="0.25">
      <c r="A785" t="s">
        <v>150</v>
      </c>
      <c r="B785" t="s">
        <v>326</v>
      </c>
      <c r="C785" t="s">
        <v>71</v>
      </c>
      <c r="D785" s="1">
        <v>43282</v>
      </c>
      <c r="E785" s="1">
        <v>43646</v>
      </c>
      <c r="F785" t="s">
        <v>72</v>
      </c>
      <c r="G785">
        <v>3</v>
      </c>
      <c r="H785" t="s">
        <v>125</v>
      </c>
      <c r="I785" t="s">
        <v>43</v>
      </c>
      <c r="J785" t="s">
        <v>126</v>
      </c>
      <c r="K785" t="s">
        <v>44</v>
      </c>
      <c r="L785">
        <v>55052.69</v>
      </c>
      <c r="M785" s="1">
        <v>43282</v>
      </c>
      <c r="N785" t="s">
        <v>45</v>
      </c>
      <c r="O785" t="s">
        <v>46</v>
      </c>
      <c r="P785" t="s">
        <v>47</v>
      </c>
      <c r="Q785" s="1">
        <v>43852</v>
      </c>
      <c r="R785" t="s">
        <v>48</v>
      </c>
      <c r="S785" t="s">
        <v>271</v>
      </c>
      <c r="T785" t="s">
        <v>272</v>
      </c>
      <c r="U785" t="s">
        <v>125</v>
      </c>
      <c r="V785">
        <v>0</v>
      </c>
      <c r="W785">
        <v>50000</v>
      </c>
      <c r="X785" s="1">
        <v>43738</v>
      </c>
      <c r="Y785" t="s">
        <v>140</v>
      </c>
      <c r="Z785" t="s">
        <v>43</v>
      </c>
      <c r="AA785" t="s">
        <v>115</v>
      </c>
      <c r="AB785" t="s">
        <v>268</v>
      </c>
      <c r="AC785" t="s">
        <v>269</v>
      </c>
      <c r="AF785" t="s">
        <v>136</v>
      </c>
      <c r="AG785" s="1">
        <v>43839</v>
      </c>
      <c r="AH785" t="s">
        <v>125</v>
      </c>
      <c r="AI785" t="s">
        <v>92</v>
      </c>
      <c r="AJ785">
        <v>1278023</v>
      </c>
      <c r="AK785">
        <v>12365300</v>
      </c>
      <c r="AL785">
        <v>12900</v>
      </c>
    </row>
    <row r="786" spans="1:38" x14ac:dyDescent="0.25">
      <c r="A786" t="s">
        <v>150</v>
      </c>
      <c r="B786" t="s">
        <v>326</v>
      </c>
      <c r="C786" t="s">
        <v>71</v>
      </c>
      <c r="D786" s="1">
        <v>43282</v>
      </c>
      <c r="E786" s="1">
        <v>43646</v>
      </c>
      <c r="F786" t="s">
        <v>72</v>
      </c>
      <c r="G786">
        <v>3</v>
      </c>
      <c r="H786" t="s">
        <v>125</v>
      </c>
      <c r="I786" t="s">
        <v>43</v>
      </c>
      <c r="J786" t="s">
        <v>126</v>
      </c>
      <c r="K786" t="s">
        <v>44</v>
      </c>
      <c r="L786">
        <v>55052.69</v>
      </c>
      <c r="M786" s="1">
        <v>43282</v>
      </c>
      <c r="N786" t="s">
        <v>45</v>
      </c>
      <c r="O786" t="s">
        <v>46</v>
      </c>
      <c r="P786" t="s">
        <v>47</v>
      </c>
      <c r="Q786" s="1">
        <v>43852</v>
      </c>
      <c r="R786" t="s">
        <v>48</v>
      </c>
      <c r="S786" t="s">
        <v>271</v>
      </c>
      <c r="T786" t="s">
        <v>272</v>
      </c>
      <c r="U786" t="s">
        <v>125</v>
      </c>
      <c r="V786">
        <v>0</v>
      </c>
      <c r="W786">
        <v>50000</v>
      </c>
      <c r="X786" s="1">
        <v>43738</v>
      </c>
      <c r="Y786" t="s">
        <v>140</v>
      </c>
      <c r="Z786" t="s">
        <v>43</v>
      </c>
      <c r="AA786" t="s">
        <v>115</v>
      </c>
      <c r="AB786" t="s">
        <v>268</v>
      </c>
      <c r="AC786" t="s">
        <v>269</v>
      </c>
      <c r="AF786" t="s">
        <v>137</v>
      </c>
      <c r="AG786" s="1">
        <v>43840</v>
      </c>
      <c r="AH786" t="s">
        <v>125</v>
      </c>
      <c r="AI786" t="s">
        <v>92</v>
      </c>
      <c r="AJ786">
        <v>1278023</v>
      </c>
      <c r="AK786">
        <v>12365300</v>
      </c>
      <c r="AL786">
        <v>12900</v>
      </c>
    </row>
    <row r="787" spans="1:38" x14ac:dyDescent="0.25">
      <c r="A787" t="s">
        <v>151</v>
      </c>
      <c r="B787" t="s">
        <v>327</v>
      </c>
      <c r="C787" t="s">
        <v>71</v>
      </c>
      <c r="D787" s="1">
        <v>43282</v>
      </c>
      <c r="E787" s="1">
        <v>43646</v>
      </c>
      <c r="F787" t="s">
        <v>72</v>
      </c>
      <c r="G787">
        <v>3</v>
      </c>
      <c r="H787" t="s">
        <v>125</v>
      </c>
      <c r="I787" t="s">
        <v>43</v>
      </c>
      <c r="J787" t="s">
        <v>126</v>
      </c>
      <c r="K787" t="s">
        <v>44</v>
      </c>
      <c r="L787">
        <v>14131.43</v>
      </c>
      <c r="M787" s="1">
        <v>43282</v>
      </c>
      <c r="N787" t="s">
        <v>45</v>
      </c>
      <c r="O787" t="s">
        <v>46</v>
      </c>
      <c r="P787" t="s">
        <v>47</v>
      </c>
      <c r="Q787" s="1">
        <v>43852</v>
      </c>
      <c r="R787" t="s">
        <v>48</v>
      </c>
      <c r="S787" t="s">
        <v>266</v>
      </c>
      <c r="T787" t="s">
        <v>267</v>
      </c>
      <c r="U787" t="s">
        <v>125</v>
      </c>
      <c r="V787">
        <v>700000</v>
      </c>
      <c r="W787">
        <v>100000</v>
      </c>
      <c r="X787" s="1">
        <v>43830</v>
      </c>
      <c r="Y787" t="s">
        <v>51</v>
      </c>
      <c r="Z787" t="s">
        <v>43</v>
      </c>
      <c r="AA787" t="s">
        <v>115</v>
      </c>
      <c r="AB787" t="s">
        <v>268</v>
      </c>
      <c r="AC787" t="s">
        <v>269</v>
      </c>
      <c r="AF787" t="s">
        <v>134</v>
      </c>
      <c r="AG787" s="1">
        <v>43843</v>
      </c>
      <c r="AH787" t="s">
        <v>125</v>
      </c>
      <c r="AI787" t="s">
        <v>92</v>
      </c>
      <c r="AJ787">
        <v>1278023</v>
      </c>
      <c r="AK787">
        <v>12365300</v>
      </c>
      <c r="AL787">
        <v>12900</v>
      </c>
    </row>
    <row r="788" spans="1:38" x14ac:dyDescent="0.25">
      <c r="A788" t="s">
        <v>151</v>
      </c>
      <c r="B788" t="s">
        <v>327</v>
      </c>
      <c r="C788" t="s">
        <v>71</v>
      </c>
      <c r="D788" s="1">
        <v>43282</v>
      </c>
      <c r="E788" s="1">
        <v>43646</v>
      </c>
      <c r="F788" t="s">
        <v>72</v>
      </c>
      <c r="G788">
        <v>3</v>
      </c>
      <c r="H788" t="s">
        <v>125</v>
      </c>
      <c r="I788" t="s">
        <v>43</v>
      </c>
      <c r="J788" t="s">
        <v>126</v>
      </c>
      <c r="K788" t="s">
        <v>44</v>
      </c>
      <c r="L788">
        <v>14131.43</v>
      </c>
      <c r="M788" s="1">
        <v>43282</v>
      </c>
      <c r="N788" t="s">
        <v>45</v>
      </c>
      <c r="O788" t="s">
        <v>46</v>
      </c>
      <c r="P788" t="s">
        <v>47</v>
      </c>
      <c r="Q788" s="1">
        <v>43852</v>
      </c>
      <c r="R788" t="s">
        <v>48</v>
      </c>
      <c r="S788" t="s">
        <v>266</v>
      </c>
      <c r="T788" t="s">
        <v>267</v>
      </c>
      <c r="U788" t="s">
        <v>125</v>
      </c>
      <c r="V788">
        <v>700000</v>
      </c>
      <c r="W788">
        <v>100000</v>
      </c>
      <c r="X788" s="1">
        <v>43830</v>
      </c>
      <c r="Y788" t="s">
        <v>51</v>
      </c>
      <c r="Z788" t="s">
        <v>43</v>
      </c>
      <c r="AA788" t="s">
        <v>115</v>
      </c>
      <c r="AB788" t="s">
        <v>268</v>
      </c>
      <c r="AC788" t="s">
        <v>269</v>
      </c>
      <c r="AF788" t="s">
        <v>135</v>
      </c>
      <c r="AG788" s="1">
        <v>43843</v>
      </c>
      <c r="AH788" t="s">
        <v>125</v>
      </c>
      <c r="AI788" t="s">
        <v>92</v>
      </c>
      <c r="AJ788">
        <v>1278023</v>
      </c>
      <c r="AK788">
        <v>12365300</v>
      </c>
      <c r="AL788">
        <v>12900</v>
      </c>
    </row>
    <row r="789" spans="1:38" x14ac:dyDescent="0.25">
      <c r="A789" t="s">
        <v>151</v>
      </c>
      <c r="B789" t="s">
        <v>327</v>
      </c>
      <c r="C789" t="s">
        <v>71</v>
      </c>
      <c r="D789" s="1">
        <v>43282</v>
      </c>
      <c r="E789" s="1">
        <v>43646</v>
      </c>
      <c r="F789" t="s">
        <v>72</v>
      </c>
      <c r="G789">
        <v>3</v>
      </c>
      <c r="H789" t="s">
        <v>125</v>
      </c>
      <c r="I789" t="s">
        <v>43</v>
      </c>
      <c r="J789" t="s">
        <v>126</v>
      </c>
      <c r="K789" t="s">
        <v>44</v>
      </c>
      <c r="L789">
        <v>14131.43</v>
      </c>
      <c r="M789" s="1">
        <v>43282</v>
      </c>
      <c r="N789" t="s">
        <v>45</v>
      </c>
      <c r="O789" t="s">
        <v>46</v>
      </c>
      <c r="P789" t="s">
        <v>47</v>
      </c>
      <c r="Q789" s="1">
        <v>43852</v>
      </c>
      <c r="R789" t="s">
        <v>48</v>
      </c>
      <c r="S789" t="s">
        <v>266</v>
      </c>
      <c r="T789" t="s">
        <v>267</v>
      </c>
      <c r="U789" t="s">
        <v>125</v>
      </c>
      <c r="V789">
        <v>700000</v>
      </c>
      <c r="W789">
        <v>100000</v>
      </c>
      <c r="X789" s="1">
        <v>43830</v>
      </c>
      <c r="Y789" t="s">
        <v>51</v>
      </c>
      <c r="Z789" t="s">
        <v>43</v>
      </c>
      <c r="AA789" t="s">
        <v>115</v>
      </c>
      <c r="AB789" t="s">
        <v>268</v>
      </c>
      <c r="AC789" t="s">
        <v>269</v>
      </c>
      <c r="AF789" t="s">
        <v>136</v>
      </c>
      <c r="AG789" s="1">
        <v>43839</v>
      </c>
      <c r="AH789" t="s">
        <v>125</v>
      </c>
      <c r="AI789" t="s">
        <v>92</v>
      </c>
      <c r="AJ789">
        <v>1278023</v>
      </c>
      <c r="AK789">
        <v>12365300</v>
      </c>
      <c r="AL789">
        <v>12900</v>
      </c>
    </row>
    <row r="790" spans="1:38" x14ac:dyDescent="0.25">
      <c r="A790" t="s">
        <v>151</v>
      </c>
      <c r="B790" t="s">
        <v>327</v>
      </c>
      <c r="C790" t="s">
        <v>71</v>
      </c>
      <c r="D790" s="1">
        <v>43282</v>
      </c>
      <c r="E790" s="1">
        <v>43646</v>
      </c>
      <c r="F790" t="s">
        <v>72</v>
      </c>
      <c r="G790">
        <v>3</v>
      </c>
      <c r="H790" t="s">
        <v>125</v>
      </c>
      <c r="I790" t="s">
        <v>43</v>
      </c>
      <c r="J790" t="s">
        <v>126</v>
      </c>
      <c r="K790" t="s">
        <v>44</v>
      </c>
      <c r="L790">
        <v>14131.43</v>
      </c>
      <c r="M790" s="1">
        <v>43282</v>
      </c>
      <c r="N790" t="s">
        <v>45</v>
      </c>
      <c r="O790" t="s">
        <v>46</v>
      </c>
      <c r="P790" t="s">
        <v>47</v>
      </c>
      <c r="Q790" s="1">
        <v>43852</v>
      </c>
      <c r="R790" t="s">
        <v>48</v>
      </c>
      <c r="S790" t="s">
        <v>266</v>
      </c>
      <c r="T790" t="s">
        <v>267</v>
      </c>
      <c r="U790" t="s">
        <v>125</v>
      </c>
      <c r="V790">
        <v>700000</v>
      </c>
      <c r="W790">
        <v>100000</v>
      </c>
      <c r="X790" s="1">
        <v>43830</v>
      </c>
      <c r="Y790" t="s">
        <v>51</v>
      </c>
      <c r="Z790" t="s">
        <v>43</v>
      </c>
      <c r="AA790" t="s">
        <v>115</v>
      </c>
      <c r="AB790" t="s">
        <v>268</v>
      </c>
      <c r="AC790" t="s">
        <v>269</v>
      </c>
      <c r="AF790" t="s">
        <v>137</v>
      </c>
      <c r="AG790" s="1">
        <v>43840</v>
      </c>
      <c r="AH790" t="s">
        <v>125</v>
      </c>
      <c r="AI790" t="s">
        <v>92</v>
      </c>
      <c r="AJ790">
        <v>1278023</v>
      </c>
      <c r="AK790">
        <v>12365300</v>
      </c>
      <c r="AL790">
        <v>12900</v>
      </c>
    </row>
    <row r="791" spans="1:38" x14ac:dyDescent="0.25">
      <c r="A791" t="s">
        <v>151</v>
      </c>
      <c r="B791" t="s">
        <v>327</v>
      </c>
      <c r="C791" t="s">
        <v>71</v>
      </c>
      <c r="D791" s="1">
        <v>43282</v>
      </c>
      <c r="E791" s="1">
        <v>43646</v>
      </c>
      <c r="F791" t="s">
        <v>72</v>
      </c>
      <c r="G791">
        <v>3</v>
      </c>
      <c r="H791" t="s">
        <v>125</v>
      </c>
      <c r="I791" t="s">
        <v>43</v>
      </c>
      <c r="J791" t="s">
        <v>126</v>
      </c>
      <c r="K791" t="s">
        <v>44</v>
      </c>
      <c r="L791">
        <v>14131.43</v>
      </c>
      <c r="M791" s="1">
        <v>43282</v>
      </c>
      <c r="N791" t="s">
        <v>45</v>
      </c>
      <c r="O791" t="s">
        <v>46</v>
      </c>
      <c r="P791" t="s">
        <v>47</v>
      </c>
      <c r="Q791" s="1">
        <v>43852</v>
      </c>
      <c r="R791" t="s">
        <v>48</v>
      </c>
      <c r="S791" t="s">
        <v>72</v>
      </c>
      <c r="T791" t="s">
        <v>270</v>
      </c>
      <c r="U791" t="s">
        <v>125</v>
      </c>
      <c r="V791">
        <v>0</v>
      </c>
      <c r="W791">
        <v>500000</v>
      </c>
      <c r="X791" s="1">
        <v>43739</v>
      </c>
      <c r="Y791" t="s">
        <v>131</v>
      </c>
      <c r="Z791" t="s">
        <v>43</v>
      </c>
      <c r="AA791" t="s">
        <v>115</v>
      </c>
      <c r="AB791" t="s">
        <v>268</v>
      </c>
      <c r="AC791" t="s">
        <v>269</v>
      </c>
      <c r="AF791" t="s">
        <v>134</v>
      </c>
      <c r="AG791" s="1">
        <v>43843</v>
      </c>
      <c r="AH791" t="s">
        <v>125</v>
      </c>
      <c r="AI791" t="s">
        <v>92</v>
      </c>
      <c r="AJ791">
        <v>1278023</v>
      </c>
      <c r="AK791">
        <v>12365300</v>
      </c>
      <c r="AL791">
        <v>12900</v>
      </c>
    </row>
    <row r="792" spans="1:38" x14ac:dyDescent="0.25">
      <c r="A792" t="s">
        <v>151</v>
      </c>
      <c r="B792" t="s">
        <v>327</v>
      </c>
      <c r="C792" t="s">
        <v>71</v>
      </c>
      <c r="D792" s="1">
        <v>43282</v>
      </c>
      <c r="E792" s="1">
        <v>43646</v>
      </c>
      <c r="F792" t="s">
        <v>72</v>
      </c>
      <c r="G792">
        <v>3</v>
      </c>
      <c r="H792" t="s">
        <v>125</v>
      </c>
      <c r="I792" t="s">
        <v>43</v>
      </c>
      <c r="J792" t="s">
        <v>126</v>
      </c>
      <c r="K792" t="s">
        <v>44</v>
      </c>
      <c r="L792">
        <v>14131.43</v>
      </c>
      <c r="M792" s="1">
        <v>43282</v>
      </c>
      <c r="N792" t="s">
        <v>45</v>
      </c>
      <c r="O792" t="s">
        <v>46</v>
      </c>
      <c r="P792" t="s">
        <v>47</v>
      </c>
      <c r="Q792" s="1">
        <v>43852</v>
      </c>
      <c r="R792" t="s">
        <v>48</v>
      </c>
      <c r="S792" t="s">
        <v>72</v>
      </c>
      <c r="T792" t="s">
        <v>270</v>
      </c>
      <c r="U792" t="s">
        <v>125</v>
      </c>
      <c r="V792">
        <v>0</v>
      </c>
      <c r="W792">
        <v>500000</v>
      </c>
      <c r="X792" s="1">
        <v>43739</v>
      </c>
      <c r="Y792" t="s">
        <v>131</v>
      </c>
      <c r="Z792" t="s">
        <v>43</v>
      </c>
      <c r="AA792" t="s">
        <v>115</v>
      </c>
      <c r="AB792" t="s">
        <v>268</v>
      </c>
      <c r="AC792" t="s">
        <v>269</v>
      </c>
      <c r="AF792" t="s">
        <v>135</v>
      </c>
      <c r="AG792" s="1">
        <v>43843</v>
      </c>
      <c r="AH792" t="s">
        <v>125</v>
      </c>
      <c r="AI792" t="s">
        <v>92</v>
      </c>
      <c r="AJ792">
        <v>1278023</v>
      </c>
      <c r="AK792">
        <v>12365300</v>
      </c>
      <c r="AL792">
        <v>12900</v>
      </c>
    </row>
    <row r="793" spans="1:38" x14ac:dyDescent="0.25">
      <c r="A793" t="s">
        <v>151</v>
      </c>
      <c r="B793" t="s">
        <v>327</v>
      </c>
      <c r="C793" t="s">
        <v>71</v>
      </c>
      <c r="D793" s="1">
        <v>43282</v>
      </c>
      <c r="E793" s="1">
        <v>43646</v>
      </c>
      <c r="F793" t="s">
        <v>72</v>
      </c>
      <c r="G793">
        <v>3</v>
      </c>
      <c r="H793" t="s">
        <v>125</v>
      </c>
      <c r="I793" t="s">
        <v>43</v>
      </c>
      <c r="J793" t="s">
        <v>126</v>
      </c>
      <c r="K793" t="s">
        <v>44</v>
      </c>
      <c r="L793">
        <v>14131.43</v>
      </c>
      <c r="M793" s="1">
        <v>43282</v>
      </c>
      <c r="N793" t="s">
        <v>45</v>
      </c>
      <c r="O793" t="s">
        <v>46</v>
      </c>
      <c r="P793" t="s">
        <v>47</v>
      </c>
      <c r="Q793" s="1">
        <v>43852</v>
      </c>
      <c r="R793" t="s">
        <v>48</v>
      </c>
      <c r="S793" t="s">
        <v>72</v>
      </c>
      <c r="T793" t="s">
        <v>270</v>
      </c>
      <c r="U793" t="s">
        <v>125</v>
      </c>
      <c r="V793">
        <v>0</v>
      </c>
      <c r="W793">
        <v>500000</v>
      </c>
      <c r="X793" s="1">
        <v>43739</v>
      </c>
      <c r="Y793" t="s">
        <v>131</v>
      </c>
      <c r="Z793" t="s">
        <v>43</v>
      </c>
      <c r="AA793" t="s">
        <v>115</v>
      </c>
      <c r="AB793" t="s">
        <v>268</v>
      </c>
      <c r="AC793" t="s">
        <v>269</v>
      </c>
      <c r="AF793" t="s">
        <v>136</v>
      </c>
      <c r="AG793" s="1">
        <v>43839</v>
      </c>
      <c r="AH793" t="s">
        <v>125</v>
      </c>
      <c r="AI793" t="s">
        <v>92</v>
      </c>
      <c r="AJ793">
        <v>1278023</v>
      </c>
      <c r="AK793">
        <v>12365300</v>
      </c>
      <c r="AL793">
        <v>12900</v>
      </c>
    </row>
    <row r="794" spans="1:38" x14ac:dyDescent="0.25">
      <c r="A794" t="s">
        <v>151</v>
      </c>
      <c r="B794" t="s">
        <v>327</v>
      </c>
      <c r="C794" t="s">
        <v>71</v>
      </c>
      <c r="D794" s="1">
        <v>43282</v>
      </c>
      <c r="E794" s="1">
        <v>43646</v>
      </c>
      <c r="F794" t="s">
        <v>72</v>
      </c>
      <c r="G794">
        <v>3</v>
      </c>
      <c r="H794" t="s">
        <v>125</v>
      </c>
      <c r="I794" t="s">
        <v>43</v>
      </c>
      <c r="J794" t="s">
        <v>126</v>
      </c>
      <c r="K794" t="s">
        <v>44</v>
      </c>
      <c r="L794">
        <v>14131.43</v>
      </c>
      <c r="M794" s="1">
        <v>43282</v>
      </c>
      <c r="N794" t="s">
        <v>45</v>
      </c>
      <c r="O794" t="s">
        <v>46</v>
      </c>
      <c r="P794" t="s">
        <v>47</v>
      </c>
      <c r="Q794" s="1">
        <v>43852</v>
      </c>
      <c r="R794" t="s">
        <v>48</v>
      </c>
      <c r="S794" t="s">
        <v>72</v>
      </c>
      <c r="T794" t="s">
        <v>270</v>
      </c>
      <c r="U794" t="s">
        <v>125</v>
      </c>
      <c r="V794">
        <v>0</v>
      </c>
      <c r="W794">
        <v>500000</v>
      </c>
      <c r="X794" s="1">
        <v>43739</v>
      </c>
      <c r="Y794" t="s">
        <v>131</v>
      </c>
      <c r="Z794" t="s">
        <v>43</v>
      </c>
      <c r="AA794" t="s">
        <v>115</v>
      </c>
      <c r="AB794" t="s">
        <v>268</v>
      </c>
      <c r="AC794" t="s">
        <v>269</v>
      </c>
      <c r="AF794" t="s">
        <v>137</v>
      </c>
      <c r="AG794" s="1">
        <v>43840</v>
      </c>
      <c r="AH794" t="s">
        <v>125</v>
      </c>
      <c r="AI794" t="s">
        <v>92</v>
      </c>
      <c r="AJ794">
        <v>1278023</v>
      </c>
      <c r="AK794">
        <v>12365300</v>
      </c>
      <c r="AL794">
        <v>12900</v>
      </c>
    </row>
    <row r="795" spans="1:38" x14ac:dyDescent="0.25">
      <c r="A795" t="s">
        <v>151</v>
      </c>
      <c r="B795" t="s">
        <v>327</v>
      </c>
      <c r="C795" t="s">
        <v>71</v>
      </c>
      <c r="D795" s="1">
        <v>43282</v>
      </c>
      <c r="E795" s="1">
        <v>43646</v>
      </c>
      <c r="F795" t="s">
        <v>72</v>
      </c>
      <c r="G795">
        <v>3</v>
      </c>
      <c r="H795" t="s">
        <v>125</v>
      </c>
      <c r="I795" t="s">
        <v>43</v>
      </c>
      <c r="J795" t="s">
        <v>126</v>
      </c>
      <c r="K795" t="s">
        <v>44</v>
      </c>
      <c r="L795">
        <v>14131.43</v>
      </c>
      <c r="M795" s="1">
        <v>43282</v>
      </c>
      <c r="N795" t="s">
        <v>45</v>
      </c>
      <c r="O795" t="s">
        <v>46</v>
      </c>
      <c r="P795" t="s">
        <v>47</v>
      </c>
      <c r="Q795" s="1">
        <v>43852</v>
      </c>
      <c r="R795" t="s">
        <v>48</v>
      </c>
      <c r="S795" t="s">
        <v>271</v>
      </c>
      <c r="T795" t="s">
        <v>272</v>
      </c>
      <c r="U795" t="s">
        <v>125</v>
      </c>
      <c r="V795">
        <v>0</v>
      </c>
      <c r="W795">
        <v>50000</v>
      </c>
      <c r="X795" s="1">
        <v>43738</v>
      </c>
      <c r="Y795" t="s">
        <v>140</v>
      </c>
      <c r="Z795" t="s">
        <v>43</v>
      </c>
      <c r="AA795" t="s">
        <v>115</v>
      </c>
      <c r="AB795" t="s">
        <v>268</v>
      </c>
      <c r="AC795" t="s">
        <v>269</v>
      </c>
      <c r="AF795" t="s">
        <v>134</v>
      </c>
      <c r="AG795" s="1">
        <v>43843</v>
      </c>
      <c r="AH795" t="s">
        <v>125</v>
      </c>
      <c r="AI795" t="s">
        <v>92</v>
      </c>
      <c r="AJ795">
        <v>1278023</v>
      </c>
      <c r="AK795">
        <v>12365300</v>
      </c>
      <c r="AL795">
        <v>12900</v>
      </c>
    </row>
    <row r="796" spans="1:38" x14ac:dyDescent="0.25">
      <c r="A796" t="s">
        <v>151</v>
      </c>
      <c r="B796" t="s">
        <v>327</v>
      </c>
      <c r="C796" t="s">
        <v>71</v>
      </c>
      <c r="D796" s="1">
        <v>43282</v>
      </c>
      <c r="E796" s="1">
        <v>43646</v>
      </c>
      <c r="F796" t="s">
        <v>72</v>
      </c>
      <c r="G796">
        <v>3</v>
      </c>
      <c r="H796" t="s">
        <v>125</v>
      </c>
      <c r="I796" t="s">
        <v>43</v>
      </c>
      <c r="J796" t="s">
        <v>126</v>
      </c>
      <c r="K796" t="s">
        <v>44</v>
      </c>
      <c r="L796">
        <v>14131.43</v>
      </c>
      <c r="M796" s="1">
        <v>43282</v>
      </c>
      <c r="N796" t="s">
        <v>45</v>
      </c>
      <c r="O796" t="s">
        <v>46</v>
      </c>
      <c r="P796" t="s">
        <v>47</v>
      </c>
      <c r="Q796" s="1">
        <v>43852</v>
      </c>
      <c r="R796" t="s">
        <v>48</v>
      </c>
      <c r="S796" t="s">
        <v>271</v>
      </c>
      <c r="T796" t="s">
        <v>272</v>
      </c>
      <c r="U796" t="s">
        <v>125</v>
      </c>
      <c r="V796">
        <v>0</v>
      </c>
      <c r="W796">
        <v>50000</v>
      </c>
      <c r="X796" s="1">
        <v>43738</v>
      </c>
      <c r="Y796" t="s">
        <v>140</v>
      </c>
      <c r="Z796" t="s">
        <v>43</v>
      </c>
      <c r="AA796" t="s">
        <v>115</v>
      </c>
      <c r="AB796" t="s">
        <v>268</v>
      </c>
      <c r="AC796" t="s">
        <v>269</v>
      </c>
      <c r="AF796" t="s">
        <v>135</v>
      </c>
      <c r="AG796" s="1">
        <v>43843</v>
      </c>
      <c r="AH796" t="s">
        <v>125</v>
      </c>
      <c r="AI796" t="s">
        <v>92</v>
      </c>
      <c r="AJ796">
        <v>1278023</v>
      </c>
      <c r="AK796">
        <v>12365300</v>
      </c>
      <c r="AL796">
        <v>12900</v>
      </c>
    </row>
    <row r="797" spans="1:38" x14ac:dyDescent="0.25">
      <c r="A797" t="s">
        <v>151</v>
      </c>
      <c r="B797" t="s">
        <v>327</v>
      </c>
      <c r="C797" t="s">
        <v>71</v>
      </c>
      <c r="D797" s="1">
        <v>43282</v>
      </c>
      <c r="E797" s="1">
        <v>43646</v>
      </c>
      <c r="F797" t="s">
        <v>72</v>
      </c>
      <c r="G797">
        <v>3</v>
      </c>
      <c r="H797" t="s">
        <v>125</v>
      </c>
      <c r="I797" t="s">
        <v>43</v>
      </c>
      <c r="J797" t="s">
        <v>126</v>
      </c>
      <c r="K797" t="s">
        <v>44</v>
      </c>
      <c r="L797">
        <v>14131.43</v>
      </c>
      <c r="M797" s="1">
        <v>43282</v>
      </c>
      <c r="N797" t="s">
        <v>45</v>
      </c>
      <c r="O797" t="s">
        <v>46</v>
      </c>
      <c r="P797" t="s">
        <v>47</v>
      </c>
      <c r="Q797" s="1">
        <v>43852</v>
      </c>
      <c r="R797" t="s">
        <v>48</v>
      </c>
      <c r="S797" t="s">
        <v>271</v>
      </c>
      <c r="T797" t="s">
        <v>272</v>
      </c>
      <c r="U797" t="s">
        <v>125</v>
      </c>
      <c r="V797">
        <v>0</v>
      </c>
      <c r="W797">
        <v>50000</v>
      </c>
      <c r="X797" s="1">
        <v>43738</v>
      </c>
      <c r="Y797" t="s">
        <v>140</v>
      </c>
      <c r="Z797" t="s">
        <v>43</v>
      </c>
      <c r="AA797" t="s">
        <v>115</v>
      </c>
      <c r="AB797" t="s">
        <v>268</v>
      </c>
      <c r="AC797" t="s">
        <v>269</v>
      </c>
      <c r="AF797" t="s">
        <v>136</v>
      </c>
      <c r="AG797" s="1">
        <v>43839</v>
      </c>
      <c r="AH797" t="s">
        <v>125</v>
      </c>
      <c r="AI797" t="s">
        <v>92</v>
      </c>
      <c r="AJ797">
        <v>1278023</v>
      </c>
      <c r="AK797">
        <v>12365300</v>
      </c>
      <c r="AL797">
        <v>12900</v>
      </c>
    </row>
    <row r="798" spans="1:38" x14ac:dyDescent="0.25">
      <c r="A798" t="s">
        <v>151</v>
      </c>
      <c r="B798" t="s">
        <v>327</v>
      </c>
      <c r="C798" t="s">
        <v>71</v>
      </c>
      <c r="D798" s="1">
        <v>43282</v>
      </c>
      <c r="E798" s="1">
        <v>43646</v>
      </c>
      <c r="F798" t="s">
        <v>72</v>
      </c>
      <c r="G798">
        <v>3</v>
      </c>
      <c r="H798" t="s">
        <v>125</v>
      </c>
      <c r="I798" t="s">
        <v>43</v>
      </c>
      <c r="J798" t="s">
        <v>126</v>
      </c>
      <c r="K798" t="s">
        <v>44</v>
      </c>
      <c r="L798">
        <v>14131.43</v>
      </c>
      <c r="M798" s="1">
        <v>43282</v>
      </c>
      <c r="N798" t="s">
        <v>45</v>
      </c>
      <c r="O798" t="s">
        <v>46</v>
      </c>
      <c r="P798" t="s">
        <v>47</v>
      </c>
      <c r="Q798" s="1">
        <v>43852</v>
      </c>
      <c r="R798" t="s">
        <v>48</v>
      </c>
      <c r="S798" t="s">
        <v>271</v>
      </c>
      <c r="T798" t="s">
        <v>272</v>
      </c>
      <c r="U798" t="s">
        <v>125</v>
      </c>
      <c r="V798">
        <v>0</v>
      </c>
      <c r="W798">
        <v>50000</v>
      </c>
      <c r="X798" s="1">
        <v>43738</v>
      </c>
      <c r="Y798" t="s">
        <v>140</v>
      </c>
      <c r="Z798" t="s">
        <v>43</v>
      </c>
      <c r="AA798" t="s">
        <v>115</v>
      </c>
      <c r="AB798" t="s">
        <v>268</v>
      </c>
      <c r="AC798" t="s">
        <v>269</v>
      </c>
      <c r="AF798" t="s">
        <v>137</v>
      </c>
      <c r="AG798" s="1">
        <v>43840</v>
      </c>
      <c r="AH798" t="s">
        <v>125</v>
      </c>
      <c r="AI798" t="s">
        <v>92</v>
      </c>
      <c r="AJ798">
        <v>1278023</v>
      </c>
      <c r="AK798">
        <v>12365300</v>
      </c>
      <c r="AL798">
        <v>12900</v>
      </c>
    </row>
    <row r="799" spans="1:38" x14ac:dyDescent="0.25">
      <c r="A799" t="s">
        <v>152</v>
      </c>
      <c r="B799" t="s">
        <v>328</v>
      </c>
      <c r="C799" t="s">
        <v>71</v>
      </c>
      <c r="D799" s="1">
        <v>43282</v>
      </c>
      <c r="E799" s="1">
        <v>43646</v>
      </c>
      <c r="F799" t="s">
        <v>76</v>
      </c>
      <c r="G799">
        <v>3</v>
      </c>
      <c r="H799" t="s">
        <v>125</v>
      </c>
      <c r="I799" t="s">
        <v>43</v>
      </c>
      <c r="J799" t="s">
        <v>126</v>
      </c>
      <c r="K799" t="s">
        <v>44</v>
      </c>
      <c r="L799">
        <v>3125</v>
      </c>
      <c r="M799" s="1">
        <v>43282</v>
      </c>
      <c r="N799" t="s">
        <v>45</v>
      </c>
      <c r="O799" t="s">
        <v>46</v>
      </c>
      <c r="P799" t="s">
        <v>47</v>
      </c>
      <c r="Q799" s="1">
        <v>43852</v>
      </c>
      <c r="R799" t="s">
        <v>48</v>
      </c>
    </row>
    <row r="800" spans="1:38" x14ac:dyDescent="0.25">
      <c r="A800" t="s">
        <v>153</v>
      </c>
      <c r="B800" t="s">
        <v>329</v>
      </c>
      <c r="C800" t="s">
        <v>71</v>
      </c>
      <c r="D800" s="1">
        <v>43282</v>
      </c>
      <c r="E800" s="1">
        <v>43646</v>
      </c>
      <c r="F800" t="s">
        <v>76</v>
      </c>
      <c r="G800">
        <v>3</v>
      </c>
      <c r="H800" t="s">
        <v>125</v>
      </c>
      <c r="I800" t="s">
        <v>43</v>
      </c>
      <c r="J800" t="s">
        <v>126</v>
      </c>
      <c r="K800" t="s">
        <v>44</v>
      </c>
      <c r="L800">
        <v>1125</v>
      </c>
      <c r="M800" s="1">
        <v>43282</v>
      </c>
      <c r="N800" t="s">
        <v>45</v>
      </c>
      <c r="O800" t="s">
        <v>46</v>
      </c>
      <c r="P800" t="s">
        <v>47</v>
      </c>
      <c r="Q800" s="1">
        <v>43852</v>
      </c>
      <c r="R800" t="s">
        <v>48</v>
      </c>
    </row>
    <row r="801" spans="1:38" x14ac:dyDescent="0.25">
      <c r="A801" t="s">
        <v>167</v>
      </c>
      <c r="B801" t="s">
        <v>330</v>
      </c>
      <c r="C801" t="s">
        <v>71</v>
      </c>
      <c r="D801" s="1">
        <v>43282</v>
      </c>
      <c r="E801" s="1">
        <v>43646</v>
      </c>
      <c r="F801" t="s">
        <v>76</v>
      </c>
      <c r="G801">
        <v>3</v>
      </c>
      <c r="H801" t="s">
        <v>125</v>
      </c>
      <c r="I801" t="s">
        <v>43</v>
      </c>
      <c r="J801" t="s">
        <v>126</v>
      </c>
      <c r="K801" t="s">
        <v>44</v>
      </c>
      <c r="L801">
        <v>4706.25</v>
      </c>
      <c r="M801" s="1">
        <v>43282</v>
      </c>
      <c r="N801" t="s">
        <v>45</v>
      </c>
      <c r="O801" t="s">
        <v>46</v>
      </c>
      <c r="P801" t="s">
        <v>47</v>
      </c>
      <c r="Q801" s="1">
        <v>43852</v>
      </c>
      <c r="R801" t="s">
        <v>48</v>
      </c>
    </row>
    <row r="802" spans="1:38" x14ac:dyDescent="0.25">
      <c r="A802" t="s">
        <v>169</v>
      </c>
      <c r="B802" t="s">
        <v>331</v>
      </c>
      <c r="C802" t="s">
        <v>40</v>
      </c>
      <c r="D802" s="1">
        <v>43647</v>
      </c>
      <c r="E802" s="1">
        <v>44012</v>
      </c>
      <c r="F802" t="s">
        <v>76</v>
      </c>
      <c r="G802">
        <v>3</v>
      </c>
      <c r="H802" t="s">
        <v>125</v>
      </c>
      <c r="I802" t="s">
        <v>43</v>
      </c>
      <c r="J802" t="s">
        <v>126</v>
      </c>
      <c r="K802" t="s">
        <v>44</v>
      </c>
      <c r="L802">
        <v>825</v>
      </c>
      <c r="M802" s="1">
        <v>43647</v>
      </c>
      <c r="N802" t="s">
        <v>45</v>
      </c>
      <c r="O802" t="s">
        <v>44</v>
      </c>
      <c r="P802" t="s">
        <v>47</v>
      </c>
      <c r="Q802" s="1">
        <v>43852</v>
      </c>
      <c r="R802" t="s">
        <v>48</v>
      </c>
    </row>
    <row r="803" spans="1:38" x14ac:dyDescent="0.25">
      <c r="A803" t="s">
        <v>170</v>
      </c>
      <c r="B803" t="s">
        <v>332</v>
      </c>
      <c r="C803" t="s">
        <v>40</v>
      </c>
      <c r="D803" s="1">
        <v>43647</v>
      </c>
      <c r="E803" s="1">
        <v>44012</v>
      </c>
      <c r="F803" t="s">
        <v>77</v>
      </c>
      <c r="G803">
        <v>3</v>
      </c>
      <c r="H803" t="s">
        <v>125</v>
      </c>
      <c r="I803" t="s">
        <v>43</v>
      </c>
      <c r="J803" t="s">
        <v>126</v>
      </c>
      <c r="K803" t="s">
        <v>44</v>
      </c>
      <c r="L803">
        <v>1896.63</v>
      </c>
      <c r="M803" s="1">
        <v>43647</v>
      </c>
      <c r="N803" t="s">
        <v>45</v>
      </c>
      <c r="O803" t="s">
        <v>44</v>
      </c>
      <c r="P803" t="s">
        <v>47</v>
      </c>
      <c r="Q803" s="1">
        <v>43852</v>
      </c>
      <c r="R803" t="s">
        <v>48</v>
      </c>
    </row>
    <row r="804" spans="1:38" x14ac:dyDescent="0.25">
      <c r="A804" t="s">
        <v>171</v>
      </c>
      <c r="B804" t="s">
        <v>333</v>
      </c>
      <c r="C804" t="s">
        <v>40</v>
      </c>
      <c r="D804" s="1">
        <v>43679</v>
      </c>
      <c r="E804" s="1">
        <v>44044</v>
      </c>
      <c r="F804" t="s">
        <v>77</v>
      </c>
      <c r="G804">
        <v>3</v>
      </c>
      <c r="H804" t="s">
        <v>125</v>
      </c>
      <c r="I804" t="s">
        <v>43</v>
      </c>
      <c r="J804" t="s">
        <v>126</v>
      </c>
      <c r="K804" t="s">
        <v>44</v>
      </c>
      <c r="L804">
        <v>19181.25</v>
      </c>
      <c r="M804" s="1">
        <v>43679</v>
      </c>
      <c r="N804" t="s">
        <v>45</v>
      </c>
      <c r="O804" t="s">
        <v>44</v>
      </c>
      <c r="P804" t="s">
        <v>47</v>
      </c>
      <c r="Q804" s="1">
        <v>43852</v>
      </c>
      <c r="R804" t="s">
        <v>48</v>
      </c>
    </row>
    <row r="805" spans="1:38" x14ac:dyDescent="0.25">
      <c r="A805" t="s">
        <v>173</v>
      </c>
      <c r="B805" t="s">
        <v>334</v>
      </c>
      <c r="C805" t="s">
        <v>40</v>
      </c>
      <c r="D805" s="1">
        <v>43647</v>
      </c>
      <c r="E805" s="1">
        <v>44012</v>
      </c>
      <c r="F805" t="s">
        <v>77</v>
      </c>
      <c r="G805">
        <v>3</v>
      </c>
      <c r="H805" t="s">
        <v>125</v>
      </c>
      <c r="I805" t="s">
        <v>43</v>
      </c>
      <c r="J805" t="s">
        <v>126</v>
      </c>
      <c r="K805" t="s">
        <v>44</v>
      </c>
      <c r="L805">
        <v>42500</v>
      </c>
      <c r="M805" s="1">
        <v>43647</v>
      </c>
      <c r="N805" t="s">
        <v>45</v>
      </c>
      <c r="O805" t="s">
        <v>44</v>
      </c>
      <c r="P805" t="s">
        <v>47</v>
      </c>
      <c r="Q805" s="1">
        <v>43852</v>
      </c>
      <c r="R805" t="s">
        <v>48</v>
      </c>
    </row>
    <row r="806" spans="1:38" x14ac:dyDescent="0.25">
      <c r="A806" t="s">
        <v>175</v>
      </c>
      <c r="B806" t="s">
        <v>335</v>
      </c>
      <c r="C806" t="s">
        <v>40</v>
      </c>
      <c r="D806" s="1">
        <v>43647</v>
      </c>
      <c r="E806" s="1">
        <v>44012</v>
      </c>
      <c r="F806" t="s">
        <v>72</v>
      </c>
      <c r="G806">
        <v>3</v>
      </c>
      <c r="H806" t="s">
        <v>125</v>
      </c>
      <c r="I806" t="s">
        <v>43</v>
      </c>
      <c r="J806" t="s">
        <v>126</v>
      </c>
      <c r="K806" t="s">
        <v>44</v>
      </c>
      <c r="L806">
        <v>10917.07</v>
      </c>
      <c r="M806" s="1">
        <v>43647</v>
      </c>
      <c r="N806" t="s">
        <v>45</v>
      </c>
      <c r="O806" t="s">
        <v>44</v>
      </c>
      <c r="P806" t="s">
        <v>47</v>
      </c>
      <c r="Q806" s="1">
        <v>43852</v>
      </c>
      <c r="R806" t="s">
        <v>48</v>
      </c>
      <c r="S806" t="s">
        <v>266</v>
      </c>
      <c r="T806" t="s">
        <v>267</v>
      </c>
      <c r="U806" t="s">
        <v>125</v>
      </c>
      <c r="V806">
        <v>700000</v>
      </c>
      <c r="W806">
        <v>100000</v>
      </c>
      <c r="X806" s="1">
        <v>43830</v>
      </c>
      <c r="Y806" t="s">
        <v>51</v>
      </c>
      <c r="Z806" t="s">
        <v>43</v>
      </c>
      <c r="AA806" t="s">
        <v>115</v>
      </c>
      <c r="AB806" t="s">
        <v>268</v>
      </c>
      <c r="AC806" t="s">
        <v>269</v>
      </c>
      <c r="AF806" t="s">
        <v>134</v>
      </c>
      <c r="AG806" s="1">
        <v>43843</v>
      </c>
      <c r="AH806" t="s">
        <v>125</v>
      </c>
      <c r="AI806" t="s">
        <v>92</v>
      </c>
      <c r="AJ806">
        <v>1278023</v>
      </c>
      <c r="AK806">
        <v>12365300</v>
      </c>
      <c r="AL806">
        <v>12900</v>
      </c>
    </row>
    <row r="807" spans="1:38" x14ac:dyDescent="0.25">
      <c r="A807" t="s">
        <v>175</v>
      </c>
      <c r="B807" t="s">
        <v>335</v>
      </c>
      <c r="C807" t="s">
        <v>40</v>
      </c>
      <c r="D807" s="1">
        <v>43647</v>
      </c>
      <c r="E807" s="1">
        <v>44012</v>
      </c>
      <c r="F807" t="s">
        <v>72</v>
      </c>
      <c r="G807">
        <v>3</v>
      </c>
      <c r="H807" t="s">
        <v>125</v>
      </c>
      <c r="I807" t="s">
        <v>43</v>
      </c>
      <c r="J807" t="s">
        <v>126</v>
      </c>
      <c r="K807" t="s">
        <v>44</v>
      </c>
      <c r="L807">
        <v>10917.07</v>
      </c>
      <c r="M807" s="1">
        <v>43647</v>
      </c>
      <c r="N807" t="s">
        <v>45</v>
      </c>
      <c r="O807" t="s">
        <v>44</v>
      </c>
      <c r="P807" t="s">
        <v>47</v>
      </c>
      <c r="Q807" s="1">
        <v>43852</v>
      </c>
      <c r="R807" t="s">
        <v>48</v>
      </c>
      <c r="S807" t="s">
        <v>266</v>
      </c>
      <c r="T807" t="s">
        <v>267</v>
      </c>
      <c r="U807" t="s">
        <v>125</v>
      </c>
      <c r="V807">
        <v>700000</v>
      </c>
      <c r="W807">
        <v>100000</v>
      </c>
      <c r="X807" s="1">
        <v>43830</v>
      </c>
      <c r="Y807" t="s">
        <v>51</v>
      </c>
      <c r="Z807" t="s">
        <v>43</v>
      </c>
      <c r="AA807" t="s">
        <v>115</v>
      </c>
      <c r="AB807" t="s">
        <v>268</v>
      </c>
      <c r="AC807" t="s">
        <v>269</v>
      </c>
      <c r="AF807" t="s">
        <v>135</v>
      </c>
      <c r="AG807" s="1">
        <v>43843</v>
      </c>
      <c r="AH807" t="s">
        <v>125</v>
      </c>
      <c r="AI807" t="s">
        <v>92</v>
      </c>
      <c r="AJ807">
        <v>1278023</v>
      </c>
      <c r="AK807">
        <v>12365300</v>
      </c>
      <c r="AL807">
        <v>12900</v>
      </c>
    </row>
    <row r="808" spans="1:38" x14ac:dyDescent="0.25">
      <c r="A808" t="s">
        <v>175</v>
      </c>
      <c r="B808" t="s">
        <v>335</v>
      </c>
      <c r="C808" t="s">
        <v>40</v>
      </c>
      <c r="D808" s="1">
        <v>43647</v>
      </c>
      <c r="E808" s="1">
        <v>44012</v>
      </c>
      <c r="F808" t="s">
        <v>72</v>
      </c>
      <c r="G808">
        <v>3</v>
      </c>
      <c r="H808" t="s">
        <v>125</v>
      </c>
      <c r="I808" t="s">
        <v>43</v>
      </c>
      <c r="J808" t="s">
        <v>126</v>
      </c>
      <c r="K808" t="s">
        <v>44</v>
      </c>
      <c r="L808">
        <v>10917.07</v>
      </c>
      <c r="M808" s="1">
        <v>43647</v>
      </c>
      <c r="N808" t="s">
        <v>45</v>
      </c>
      <c r="O808" t="s">
        <v>44</v>
      </c>
      <c r="P808" t="s">
        <v>47</v>
      </c>
      <c r="Q808" s="1">
        <v>43852</v>
      </c>
      <c r="R808" t="s">
        <v>48</v>
      </c>
      <c r="S808" t="s">
        <v>266</v>
      </c>
      <c r="T808" t="s">
        <v>267</v>
      </c>
      <c r="U808" t="s">
        <v>125</v>
      </c>
      <c r="V808">
        <v>700000</v>
      </c>
      <c r="W808">
        <v>100000</v>
      </c>
      <c r="X808" s="1">
        <v>43830</v>
      </c>
      <c r="Y808" t="s">
        <v>51</v>
      </c>
      <c r="Z808" t="s">
        <v>43</v>
      </c>
      <c r="AA808" t="s">
        <v>115</v>
      </c>
      <c r="AB808" t="s">
        <v>268</v>
      </c>
      <c r="AC808" t="s">
        <v>269</v>
      </c>
      <c r="AF808" t="s">
        <v>136</v>
      </c>
      <c r="AG808" s="1">
        <v>43839</v>
      </c>
      <c r="AH808" t="s">
        <v>125</v>
      </c>
      <c r="AI808" t="s">
        <v>92</v>
      </c>
      <c r="AJ808">
        <v>1278023</v>
      </c>
      <c r="AK808">
        <v>12365300</v>
      </c>
      <c r="AL808">
        <v>12900</v>
      </c>
    </row>
    <row r="809" spans="1:38" x14ac:dyDescent="0.25">
      <c r="A809" t="s">
        <v>175</v>
      </c>
      <c r="B809" t="s">
        <v>335</v>
      </c>
      <c r="C809" t="s">
        <v>40</v>
      </c>
      <c r="D809" s="1">
        <v>43647</v>
      </c>
      <c r="E809" s="1">
        <v>44012</v>
      </c>
      <c r="F809" t="s">
        <v>72</v>
      </c>
      <c r="G809">
        <v>3</v>
      </c>
      <c r="H809" t="s">
        <v>125</v>
      </c>
      <c r="I809" t="s">
        <v>43</v>
      </c>
      <c r="J809" t="s">
        <v>126</v>
      </c>
      <c r="K809" t="s">
        <v>44</v>
      </c>
      <c r="L809">
        <v>10917.07</v>
      </c>
      <c r="M809" s="1">
        <v>43647</v>
      </c>
      <c r="N809" t="s">
        <v>45</v>
      </c>
      <c r="O809" t="s">
        <v>44</v>
      </c>
      <c r="P809" t="s">
        <v>47</v>
      </c>
      <c r="Q809" s="1">
        <v>43852</v>
      </c>
      <c r="R809" t="s">
        <v>48</v>
      </c>
      <c r="S809" t="s">
        <v>266</v>
      </c>
      <c r="T809" t="s">
        <v>267</v>
      </c>
      <c r="U809" t="s">
        <v>125</v>
      </c>
      <c r="V809">
        <v>700000</v>
      </c>
      <c r="W809">
        <v>100000</v>
      </c>
      <c r="X809" s="1">
        <v>43830</v>
      </c>
      <c r="Y809" t="s">
        <v>51</v>
      </c>
      <c r="Z809" t="s">
        <v>43</v>
      </c>
      <c r="AA809" t="s">
        <v>115</v>
      </c>
      <c r="AB809" t="s">
        <v>268</v>
      </c>
      <c r="AC809" t="s">
        <v>269</v>
      </c>
      <c r="AF809" t="s">
        <v>137</v>
      </c>
      <c r="AG809" s="1">
        <v>43840</v>
      </c>
      <c r="AH809" t="s">
        <v>125</v>
      </c>
      <c r="AI809" t="s">
        <v>92</v>
      </c>
      <c r="AJ809">
        <v>1278023</v>
      </c>
      <c r="AK809">
        <v>12365300</v>
      </c>
      <c r="AL809">
        <v>12900</v>
      </c>
    </row>
    <row r="810" spans="1:38" x14ac:dyDescent="0.25">
      <c r="A810" t="s">
        <v>175</v>
      </c>
      <c r="B810" t="s">
        <v>335</v>
      </c>
      <c r="C810" t="s">
        <v>40</v>
      </c>
      <c r="D810" s="1">
        <v>43647</v>
      </c>
      <c r="E810" s="1">
        <v>44012</v>
      </c>
      <c r="F810" t="s">
        <v>72</v>
      </c>
      <c r="G810">
        <v>3</v>
      </c>
      <c r="H810" t="s">
        <v>125</v>
      </c>
      <c r="I810" t="s">
        <v>43</v>
      </c>
      <c r="J810" t="s">
        <v>126</v>
      </c>
      <c r="K810" t="s">
        <v>44</v>
      </c>
      <c r="L810">
        <v>10917.07</v>
      </c>
      <c r="M810" s="1">
        <v>43647</v>
      </c>
      <c r="N810" t="s">
        <v>45</v>
      </c>
      <c r="O810" t="s">
        <v>44</v>
      </c>
      <c r="P810" t="s">
        <v>47</v>
      </c>
      <c r="Q810" s="1">
        <v>43852</v>
      </c>
      <c r="R810" t="s">
        <v>48</v>
      </c>
      <c r="S810" t="s">
        <v>72</v>
      </c>
      <c r="T810" t="s">
        <v>270</v>
      </c>
      <c r="U810" t="s">
        <v>125</v>
      </c>
      <c r="V810">
        <v>0</v>
      </c>
      <c r="W810">
        <v>500000</v>
      </c>
      <c r="X810" s="1">
        <v>43739</v>
      </c>
      <c r="Y810" t="s">
        <v>131</v>
      </c>
      <c r="Z810" t="s">
        <v>43</v>
      </c>
      <c r="AA810" t="s">
        <v>115</v>
      </c>
      <c r="AB810" t="s">
        <v>268</v>
      </c>
      <c r="AC810" t="s">
        <v>269</v>
      </c>
      <c r="AF810" t="s">
        <v>134</v>
      </c>
      <c r="AG810" s="1">
        <v>43843</v>
      </c>
      <c r="AH810" t="s">
        <v>125</v>
      </c>
      <c r="AI810" t="s">
        <v>92</v>
      </c>
      <c r="AJ810">
        <v>1278023</v>
      </c>
      <c r="AK810">
        <v>12365300</v>
      </c>
      <c r="AL810">
        <v>12900</v>
      </c>
    </row>
    <row r="811" spans="1:38" x14ac:dyDescent="0.25">
      <c r="A811" t="s">
        <v>175</v>
      </c>
      <c r="B811" t="s">
        <v>335</v>
      </c>
      <c r="C811" t="s">
        <v>40</v>
      </c>
      <c r="D811" s="1">
        <v>43647</v>
      </c>
      <c r="E811" s="1">
        <v>44012</v>
      </c>
      <c r="F811" t="s">
        <v>72</v>
      </c>
      <c r="G811">
        <v>3</v>
      </c>
      <c r="H811" t="s">
        <v>125</v>
      </c>
      <c r="I811" t="s">
        <v>43</v>
      </c>
      <c r="J811" t="s">
        <v>126</v>
      </c>
      <c r="K811" t="s">
        <v>44</v>
      </c>
      <c r="L811">
        <v>10917.07</v>
      </c>
      <c r="M811" s="1">
        <v>43647</v>
      </c>
      <c r="N811" t="s">
        <v>45</v>
      </c>
      <c r="O811" t="s">
        <v>44</v>
      </c>
      <c r="P811" t="s">
        <v>47</v>
      </c>
      <c r="Q811" s="1">
        <v>43852</v>
      </c>
      <c r="R811" t="s">
        <v>48</v>
      </c>
      <c r="S811" t="s">
        <v>72</v>
      </c>
      <c r="T811" t="s">
        <v>270</v>
      </c>
      <c r="U811" t="s">
        <v>125</v>
      </c>
      <c r="V811">
        <v>0</v>
      </c>
      <c r="W811">
        <v>500000</v>
      </c>
      <c r="X811" s="1">
        <v>43739</v>
      </c>
      <c r="Y811" t="s">
        <v>131</v>
      </c>
      <c r="Z811" t="s">
        <v>43</v>
      </c>
      <c r="AA811" t="s">
        <v>115</v>
      </c>
      <c r="AB811" t="s">
        <v>268</v>
      </c>
      <c r="AC811" t="s">
        <v>269</v>
      </c>
      <c r="AF811" t="s">
        <v>135</v>
      </c>
      <c r="AG811" s="1">
        <v>43843</v>
      </c>
      <c r="AH811" t="s">
        <v>125</v>
      </c>
      <c r="AI811" t="s">
        <v>92</v>
      </c>
      <c r="AJ811">
        <v>1278023</v>
      </c>
      <c r="AK811">
        <v>12365300</v>
      </c>
      <c r="AL811">
        <v>12900</v>
      </c>
    </row>
    <row r="812" spans="1:38" x14ac:dyDescent="0.25">
      <c r="A812" t="s">
        <v>175</v>
      </c>
      <c r="B812" t="s">
        <v>335</v>
      </c>
      <c r="C812" t="s">
        <v>40</v>
      </c>
      <c r="D812" s="1">
        <v>43647</v>
      </c>
      <c r="E812" s="1">
        <v>44012</v>
      </c>
      <c r="F812" t="s">
        <v>72</v>
      </c>
      <c r="G812">
        <v>3</v>
      </c>
      <c r="H812" t="s">
        <v>125</v>
      </c>
      <c r="I812" t="s">
        <v>43</v>
      </c>
      <c r="J812" t="s">
        <v>126</v>
      </c>
      <c r="K812" t="s">
        <v>44</v>
      </c>
      <c r="L812">
        <v>10917.07</v>
      </c>
      <c r="M812" s="1">
        <v>43647</v>
      </c>
      <c r="N812" t="s">
        <v>45</v>
      </c>
      <c r="O812" t="s">
        <v>44</v>
      </c>
      <c r="P812" t="s">
        <v>47</v>
      </c>
      <c r="Q812" s="1">
        <v>43852</v>
      </c>
      <c r="R812" t="s">
        <v>48</v>
      </c>
      <c r="S812" t="s">
        <v>72</v>
      </c>
      <c r="T812" t="s">
        <v>270</v>
      </c>
      <c r="U812" t="s">
        <v>125</v>
      </c>
      <c r="V812">
        <v>0</v>
      </c>
      <c r="W812">
        <v>500000</v>
      </c>
      <c r="X812" s="1">
        <v>43739</v>
      </c>
      <c r="Y812" t="s">
        <v>131</v>
      </c>
      <c r="Z812" t="s">
        <v>43</v>
      </c>
      <c r="AA812" t="s">
        <v>115</v>
      </c>
      <c r="AB812" t="s">
        <v>268</v>
      </c>
      <c r="AC812" t="s">
        <v>269</v>
      </c>
      <c r="AF812" t="s">
        <v>136</v>
      </c>
      <c r="AG812" s="1">
        <v>43839</v>
      </c>
      <c r="AH812" t="s">
        <v>125</v>
      </c>
      <c r="AI812" t="s">
        <v>92</v>
      </c>
      <c r="AJ812">
        <v>1278023</v>
      </c>
      <c r="AK812">
        <v>12365300</v>
      </c>
      <c r="AL812">
        <v>12900</v>
      </c>
    </row>
    <row r="813" spans="1:38" x14ac:dyDescent="0.25">
      <c r="A813" t="s">
        <v>175</v>
      </c>
      <c r="B813" t="s">
        <v>335</v>
      </c>
      <c r="C813" t="s">
        <v>40</v>
      </c>
      <c r="D813" s="1">
        <v>43647</v>
      </c>
      <c r="E813" s="1">
        <v>44012</v>
      </c>
      <c r="F813" t="s">
        <v>72</v>
      </c>
      <c r="G813">
        <v>3</v>
      </c>
      <c r="H813" t="s">
        <v>125</v>
      </c>
      <c r="I813" t="s">
        <v>43</v>
      </c>
      <c r="J813" t="s">
        <v>126</v>
      </c>
      <c r="K813" t="s">
        <v>44</v>
      </c>
      <c r="L813">
        <v>10917.07</v>
      </c>
      <c r="M813" s="1">
        <v>43647</v>
      </c>
      <c r="N813" t="s">
        <v>45</v>
      </c>
      <c r="O813" t="s">
        <v>44</v>
      </c>
      <c r="P813" t="s">
        <v>47</v>
      </c>
      <c r="Q813" s="1">
        <v>43852</v>
      </c>
      <c r="R813" t="s">
        <v>48</v>
      </c>
      <c r="S813" t="s">
        <v>72</v>
      </c>
      <c r="T813" t="s">
        <v>270</v>
      </c>
      <c r="U813" t="s">
        <v>125</v>
      </c>
      <c r="V813">
        <v>0</v>
      </c>
      <c r="W813">
        <v>500000</v>
      </c>
      <c r="X813" s="1">
        <v>43739</v>
      </c>
      <c r="Y813" t="s">
        <v>131</v>
      </c>
      <c r="Z813" t="s">
        <v>43</v>
      </c>
      <c r="AA813" t="s">
        <v>115</v>
      </c>
      <c r="AB813" t="s">
        <v>268</v>
      </c>
      <c r="AC813" t="s">
        <v>269</v>
      </c>
      <c r="AF813" t="s">
        <v>137</v>
      </c>
      <c r="AG813" s="1">
        <v>43840</v>
      </c>
      <c r="AH813" t="s">
        <v>125</v>
      </c>
      <c r="AI813" t="s">
        <v>92</v>
      </c>
      <c r="AJ813">
        <v>1278023</v>
      </c>
      <c r="AK813">
        <v>12365300</v>
      </c>
      <c r="AL813">
        <v>12900</v>
      </c>
    </row>
    <row r="814" spans="1:38" x14ac:dyDescent="0.25">
      <c r="A814" t="s">
        <v>175</v>
      </c>
      <c r="B814" t="s">
        <v>335</v>
      </c>
      <c r="C814" t="s">
        <v>40</v>
      </c>
      <c r="D814" s="1">
        <v>43647</v>
      </c>
      <c r="E814" s="1">
        <v>44012</v>
      </c>
      <c r="F814" t="s">
        <v>72</v>
      </c>
      <c r="G814">
        <v>3</v>
      </c>
      <c r="H814" t="s">
        <v>125</v>
      </c>
      <c r="I814" t="s">
        <v>43</v>
      </c>
      <c r="J814" t="s">
        <v>126</v>
      </c>
      <c r="K814" t="s">
        <v>44</v>
      </c>
      <c r="L814">
        <v>10917.07</v>
      </c>
      <c r="M814" s="1">
        <v>43647</v>
      </c>
      <c r="N814" t="s">
        <v>45</v>
      </c>
      <c r="O814" t="s">
        <v>44</v>
      </c>
      <c r="P814" t="s">
        <v>47</v>
      </c>
      <c r="Q814" s="1">
        <v>43852</v>
      </c>
      <c r="R814" t="s">
        <v>48</v>
      </c>
      <c r="S814" t="s">
        <v>271</v>
      </c>
      <c r="T814" t="s">
        <v>272</v>
      </c>
      <c r="U814" t="s">
        <v>125</v>
      </c>
      <c r="V814">
        <v>0</v>
      </c>
      <c r="W814">
        <v>50000</v>
      </c>
      <c r="X814" s="1">
        <v>43738</v>
      </c>
      <c r="Y814" t="s">
        <v>140</v>
      </c>
      <c r="Z814" t="s">
        <v>43</v>
      </c>
      <c r="AA814" t="s">
        <v>115</v>
      </c>
      <c r="AB814" t="s">
        <v>268</v>
      </c>
      <c r="AC814" t="s">
        <v>269</v>
      </c>
      <c r="AF814" t="s">
        <v>134</v>
      </c>
      <c r="AG814" s="1">
        <v>43843</v>
      </c>
      <c r="AH814" t="s">
        <v>125</v>
      </c>
      <c r="AI814" t="s">
        <v>92</v>
      </c>
      <c r="AJ814">
        <v>1278023</v>
      </c>
      <c r="AK814">
        <v>12365300</v>
      </c>
      <c r="AL814">
        <v>12900</v>
      </c>
    </row>
    <row r="815" spans="1:38" x14ac:dyDescent="0.25">
      <c r="A815" t="s">
        <v>175</v>
      </c>
      <c r="B815" t="s">
        <v>335</v>
      </c>
      <c r="C815" t="s">
        <v>40</v>
      </c>
      <c r="D815" s="1">
        <v>43647</v>
      </c>
      <c r="E815" s="1">
        <v>44012</v>
      </c>
      <c r="F815" t="s">
        <v>72</v>
      </c>
      <c r="G815">
        <v>3</v>
      </c>
      <c r="H815" t="s">
        <v>125</v>
      </c>
      <c r="I815" t="s">
        <v>43</v>
      </c>
      <c r="J815" t="s">
        <v>126</v>
      </c>
      <c r="K815" t="s">
        <v>44</v>
      </c>
      <c r="L815">
        <v>10917.07</v>
      </c>
      <c r="M815" s="1">
        <v>43647</v>
      </c>
      <c r="N815" t="s">
        <v>45</v>
      </c>
      <c r="O815" t="s">
        <v>44</v>
      </c>
      <c r="P815" t="s">
        <v>47</v>
      </c>
      <c r="Q815" s="1">
        <v>43852</v>
      </c>
      <c r="R815" t="s">
        <v>48</v>
      </c>
      <c r="S815" t="s">
        <v>271</v>
      </c>
      <c r="T815" t="s">
        <v>272</v>
      </c>
      <c r="U815" t="s">
        <v>125</v>
      </c>
      <c r="V815">
        <v>0</v>
      </c>
      <c r="W815">
        <v>50000</v>
      </c>
      <c r="X815" s="1">
        <v>43738</v>
      </c>
      <c r="Y815" t="s">
        <v>140</v>
      </c>
      <c r="Z815" t="s">
        <v>43</v>
      </c>
      <c r="AA815" t="s">
        <v>115</v>
      </c>
      <c r="AB815" t="s">
        <v>268</v>
      </c>
      <c r="AC815" t="s">
        <v>269</v>
      </c>
      <c r="AF815" t="s">
        <v>135</v>
      </c>
      <c r="AG815" s="1">
        <v>43843</v>
      </c>
      <c r="AH815" t="s">
        <v>125</v>
      </c>
      <c r="AI815" t="s">
        <v>92</v>
      </c>
      <c r="AJ815">
        <v>1278023</v>
      </c>
      <c r="AK815">
        <v>12365300</v>
      </c>
      <c r="AL815">
        <v>12900</v>
      </c>
    </row>
    <row r="816" spans="1:38" x14ac:dyDescent="0.25">
      <c r="A816" t="s">
        <v>175</v>
      </c>
      <c r="B816" t="s">
        <v>335</v>
      </c>
      <c r="C816" t="s">
        <v>40</v>
      </c>
      <c r="D816" s="1">
        <v>43647</v>
      </c>
      <c r="E816" s="1">
        <v>44012</v>
      </c>
      <c r="F816" t="s">
        <v>72</v>
      </c>
      <c r="G816">
        <v>3</v>
      </c>
      <c r="H816" t="s">
        <v>125</v>
      </c>
      <c r="I816" t="s">
        <v>43</v>
      </c>
      <c r="J816" t="s">
        <v>126</v>
      </c>
      <c r="K816" t="s">
        <v>44</v>
      </c>
      <c r="L816">
        <v>10917.07</v>
      </c>
      <c r="M816" s="1">
        <v>43647</v>
      </c>
      <c r="N816" t="s">
        <v>45</v>
      </c>
      <c r="O816" t="s">
        <v>44</v>
      </c>
      <c r="P816" t="s">
        <v>47</v>
      </c>
      <c r="Q816" s="1">
        <v>43852</v>
      </c>
      <c r="R816" t="s">
        <v>48</v>
      </c>
      <c r="S816" t="s">
        <v>271</v>
      </c>
      <c r="T816" t="s">
        <v>272</v>
      </c>
      <c r="U816" t="s">
        <v>125</v>
      </c>
      <c r="V816">
        <v>0</v>
      </c>
      <c r="W816">
        <v>50000</v>
      </c>
      <c r="X816" s="1">
        <v>43738</v>
      </c>
      <c r="Y816" t="s">
        <v>140</v>
      </c>
      <c r="Z816" t="s">
        <v>43</v>
      </c>
      <c r="AA816" t="s">
        <v>115</v>
      </c>
      <c r="AB816" t="s">
        <v>268</v>
      </c>
      <c r="AC816" t="s">
        <v>269</v>
      </c>
      <c r="AF816" t="s">
        <v>136</v>
      </c>
      <c r="AG816" s="1">
        <v>43839</v>
      </c>
      <c r="AH816" t="s">
        <v>125</v>
      </c>
      <c r="AI816" t="s">
        <v>92</v>
      </c>
      <c r="AJ816">
        <v>1278023</v>
      </c>
      <c r="AK816">
        <v>12365300</v>
      </c>
      <c r="AL816">
        <v>12900</v>
      </c>
    </row>
    <row r="817" spans="1:38" x14ac:dyDescent="0.25">
      <c r="A817" t="s">
        <v>175</v>
      </c>
      <c r="B817" t="s">
        <v>335</v>
      </c>
      <c r="C817" t="s">
        <v>40</v>
      </c>
      <c r="D817" s="1">
        <v>43647</v>
      </c>
      <c r="E817" s="1">
        <v>44012</v>
      </c>
      <c r="F817" t="s">
        <v>72</v>
      </c>
      <c r="G817">
        <v>3</v>
      </c>
      <c r="H817" t="s">
        <v>125</v>
      </c>
      <c r="I817" t="s">
        <v>43</v>
      </c>
      <c r="J817" t="s">
        <v>126</v>
      </c>
      <c r="K817" t="s">
        <v>44</v>
      </c>
      <c r="L817">
        <v>10917.07</v>
      </c>
      <c r="M817" s="1">
        <v>43647</v>
      </c>
      <c r="N817" t="s">
        <v>45</v>
      </c>
      <c r="O817" t="s">
        <v>44</v>
      </c>
      <c r="P817" t="s">
        <v>47</v>
      </c>
      <c r="Q817" s="1">
        <v>43852</v>
      </c>
      <c r="R817" t="s">
        <v>48</v>
      </c>
      <c r="S817" t="s">
        <v>271</v>
      </c>
      <c r="T817" t="s">
        <v>272</v>
      </c>
      <c r="U817" t="s">
        <v>125</v>
      </c>
      <c r="V817">
        <v>0</v>
      </c>
      <c r="W817">
        <v>50000</v>
      </c>
      <c r="X817" s="1">
        <v>43738</v>
      </c>
      <c r="Y817" t="s">
        <v>140</v>
      </c>
      <c r="Z817" t="s">
        <v>43</v>
      </c>
      <c r="AA817" t="s">
        <v>115</v>
      </c>
      <c r="AB817" t="s">
        <v>268</v>
      </c>
      <c r="AC817" t="s">
        <v>269</v>
      </c>
      <c r="AF817" t="s">
        <v>137</v>
      </c>
      <c r="AG817" s="1">
        <v>43840</v>
      </c>
      <c r="AH817" t="s">
        <v>125</v>
      </c>
      <c r="AI817" t="s">
        <v>92</v>
      </c>
      <c r="AJ817">
        <v>1278023</v>
      </c>
      <c r="AK817">
        <v>12365300</v>
      </c>
      <c r="AL817">
        <v>12900</v>
      </c>
    </row>
    <row r="818" spans="1:38" x14ac:dyDescent="0.25">
      <c r="A818" t="s">
        <v>177</v>
      </c>
      <c r="B818" t="s">
        <v>336</v>
      </c>
      <c r="C818" t="s">
        <v>40</v>
      </c>
      <c r="D818" s="1">
        <v>43647</v>
      </c>
      <c r="E818" s="1">
        <v>44012</v>
      </c>
      <c r="F818" t="s">
        <v>72</v>
      </c>
      <c r="G818">
        <v>3</v>
      </c>
      <c r="H818" t="s">
        <v>125</v>
      </c>
      <c r="I818" t="s">
        <v>43</v>
      </c>
      <c r="J818" t="s">
        <v>126</v>
      </c>
      <c r="K818" t="s">
        <v>44</v>
      </c>
      <c r="L818">
        <v>60713.1</v>
      </c>
      <c r="M818" s="1">
        <v>43647</v>
      </c>
      <c r="N818" t="s">
        <v>45</v>
      </c>
      <c r="O818" t="s">
        <v>44</v>
      </c>
      <c r="P818" t="s">
        <v>47</v>
      </c>
      <c r="Q818" s="1">
        <v>43852</v>
      </c>
      <c r="R818" t="s">
        <v>48</v>
      </c>
      <c r="S818" t="s">
        <v>266</v>
      </c>
      <c r="T818" t="s">
        <v>267</v>
      </c>
      <c r="U818" t="s">
        <v>125</v>
      </c>
      <c r="V818">
        <v>700000</v>
      </c>
      <c r="W818">
        <v>100000</v>
      </c>
      <c r="X818" s="1">
        <v>43830</v>
      </c>
      <c r="Y818" t="s">
        <v>51</v>
      </c>
      <c r="Z818" t="s">
        <v>43</v>
      </c>
      <c r="AA818" t="s">
        <v>115</v>
      </c>
      <c r="AB818" t="s">
        <v>268</v>
      </c>
      <c r="AC818" t="s">
        <v>269</v>
      </c>
      <c r="AF818" t="s">
        <v>134</v>
      </c>
      <c r="AG818" s="1">
        <v>43843</v>
      </c>
      <c r="AH818" t="s">
        <v>125</v>
      </c>
      <c r="AI818" t="s">
        <v>92</v>
      </c>
      <c r="AJ818">
        <v>1278023</v>
      </c>
      <c r="AK818">
        <v>12365300</v>
      </c>
      <c r="AL818">
        <v>12900</v>
      </c>
    </row>
    <row r="819" spans="1:38" x14ac:dyDescent="0.25">
      <c r="A819" t="s">
        <v>177</v>
      </c>
      <c r="B819" t="s">
        <v>336</v>
      </c>
      <c r="C819" t="s">
        <v>40</v>
      </c>
      <c r="D819" s="1">
        <v>43647</v>
      </c>
      <c r="E819" s="1">
        <v>44012</v>
      </c>
      <c r="F819" t="s">
        <v>72</v>
      </c>
      <c r="G819">
        <v>3</v>
      </c>
      <c r="H819" t="s">
        <v>125</v>
      </c>
      <c r="I819" t="s">
        <v>43</v>
      </c>
      <c r="J819" t="s">
        <v>126</v>
      </c>
      <c r="K819" t="s">
        <v>44</v>
      </c>
      <c r="L819">
        <v>60713.1</v>
      </c>
      <c r="M819" s="1">
        <v>43647</v>
      </c>
      <c r="N819" t="s">
        <v>45</v>
      </c>
      <c r="O819" t="s">
        <v>44</v>
      </c>
      <c r="P819" t="s">
        <v>47</v>
      </c>
      <c r="Q819" s="1">
        <v>43852</v>
      </c>
      <c r="R819" t="s">
        <v>48</v>
      </c>
      <c r="S819" t="s">
        <v>266</v>
      </c>
      <c r="T819" t="s">
        <v>267</v>
      </c>
      <c r="U819" t="s">
        <v>125</v>
      </c>
      <c r="V819">
        <v>700000</v>
      </c>
      <c r="W819">
        <v>100000</v>
      </c>
      <c r="X819" s="1">
        <v>43830</v>
      </c>
      <c r="Y819" t="s">
        <v>51</v>
      </c>
      <c r="Z819" t="s">
        <v>43</v>
      </c>
      <c r="AA819" t="s">
        <v>115</v>
      </c>
      <c r="AB819" t="s">
        <v>268</v>
      </c>
      <c r="AC819" t="s">
        <v>269</v>
      </c>
      <c r="AF819" t="s">
        <v>135</v>
      </c>
      <c r="AG819" s="1">
        <v>43843</v>
      </c>
      <c r="AH819" t="s">
        <v>125</v>
      </c>
      <c r="AI819" t="s">
        <v>92</v>
      </c>
      <c r="AJ819">
        <v>1278023</v>
      </c>
      <c r="AK819">
        <v>12365300</v>
      </c>
      <c r="AL819">
        <v>12900</v>
      </c>
    </row>
    <row r="820" spans="1:38" x14ac:dyDescent="0.25">
      <c r="A820" t="s">
        <v>177</v>
      </c>
      <c r="B820" t="s">
        <v>336</v>
      </c>
      <c r="C820" t="s">
        <v>40</v>
      </c>
      <c r="D820" s="1">
        <v>43647</v>
      </c>
      <c r="E820" s="1">
        <v>44012</v>
      </c>
      <c r="F820" t="s">
        <v>72</v>
      </c>
      <c r="G820">
        <v>3</v>
      </c>
      <c r="H820" t="s">
        <v>125</v>
      </c>
      <c r="I820" t="s">
        <v>43</v>
      </c>
      <c r="J820" t="s">
        <v>126</v>
      </c>
      <c r="K820" t="s">
        <v>44</v>
      </c>
      <c r="L820">
        <v>60713.1</v>
      </c>
      <c r="M820" s="1">
        <v>43647</v>
      </c>
      <c r="N820" t="s">
        <v>45</v>
      </c>
      <c r="O820" t="s">
        <v>44</v>
      </c>
      <c r="P820" t="s">
        <v>47</v>
      </c>
      <c r="Q820" s="1">
        <v>43852</v>
      </c>
      <c r="R820" t="s">
        <v>48</v>
      </c>
      <c r="S820" t="s">
        <v>266</v>
      </c>
      <c r="T820" t="s">
        <v>267</v>
      </c>
      <c r="U820" t="s">
        <v>125</v>
      </c>
      <c r="V820">
        <v>700000</v>
      </c>
      <c r="W820">
        <v>100000</v>
      </c>
      <c r="X820" s="1">
        <v>43830</v>
      </c>
      <c r="Y820" t="s">
        <v>51</v>
      </c>
      <c r="Z820" t="s">
        <v>43</v>
      </c>
      <c r="AA820" t="s">
        <v>115</v>
      </c>
      <c r="AB820" t="s">
        <v>268</v>
      </c>
      <c r="AC820" t="s">
        <v>269</v>
      </c>
      <c r="AF820" t="s">
        <v>136</v>
      </c>
      <c r="AG820" s="1">
        <v>43839</v>
      </c>
      <c r="AH820" t="s">
        <v>125</v>
      </c>
      <c r="AI820" t="s">
        <v>92</v>
      </c>
      <c r="AJ820">
        <v>1278023</v>
      </c>
      <c r="AK820">
        <v>12365300</v>
      </c>
      <c r="AL820">
        <v>12900</v>
      </c>
    </row>
    <row r="821" spans="1:38" x14ac:dyDescent="0.25">
      <c r="A821" t="s">
        <v>177</v>
      </c>
      <c r="B821" t="s">
        <v>336</v>
      </c>
      <c r="C821" t="s">
        <v>40</v>
      </c>
      <c r="D821" s="1">
        <v>43647</v>
      </c>
      <c r="E821" s="1">
        <v>44012</v>
      </c>
      <c r="F821" t="s">
        <v>72</v>
      </c>
      <c r="G821">
        <v>3</v>
      </c>
      <c r="H821" t="s">
        <v>125</v>
      </c>
      <c r="I821" t="s">
        <v>43</v>
      </c>
      <c r="J821" t="s">
        <v>126</v>
      </c>
      <c r="K821" t="s">
        <v>44</v>
      </c>
      <c r="L821">
        <v>60713.1</v>
      </c>
      <c r="M821" s="1">
        <v>43647</v>
      </c>
      <c r="N821" t="s">
        <v>45</v>
      </c>
      <c r="O821" t="s">
        <v>44</v>
      </c>
      <c r="P821" t="s">
        <v>47</v>
      </c>
      <c r="Q821" s="1">
        <v>43852</v>
      </c>
      <c r="R821" t="s">
        <v>48</v>
      </c>
      <c r="S821" t="s">
        <v>266</v>
      </c>
      <c r="T821" t="s">
        <v>267</v>
      </c>
      <c r="U821" t="s">
        <v>125</v>
      </c>
      <c r="V821">
        <v>700000</v>
      </c>
      <c r="W821">
        <v>100000</v>
      </c>
      <c r="X821" s="1">
        <v>43830</v>
      </c>
      <c r="Y821" t="s">
        <v>51</v>
      </c>
      <c r="Z821" t="s">
        <v>43</v>
      </c>
      <c r="AA821" t="s">
        <v>115</v>
      </c>
      <c r="AB821" t="s">
        <v>268</v>
      </c>
      <c r="AC821" t="s">
        <v>269</v>
      </c>
      <c r="AF821" t="s">
        <v>137</v>
      </c>
      <c r="AG821" s="1">
        <v>43840</v>
      </c>
      <c r="AH821" t="s">
        <v>125</v>
      </c>
      <c r="AI821" t="s">
        <v>92</v>
      </c>
      <c r="AJ821">
        <v>1278023</v>
      </c>
      <c r="AK821">
        <v>12365300</v>
      </c>
      <c r="AL821">
        <v>12900</v>
      </c>
    </row>
    <row r="822" spans="1:38" x14ac:dyDescent="0.25">
      <c r="A822" t="s">
        <v>177</v>
      </c>
      <c r="B822" t="s">
        <v>336</v>
      </c>
      <c r="C822" t="s">
        <v>40</v>
      </c>
      <c r="D822" s="1">
        <v>43647</v>
      </c>
      <c r="E822" s="1">
        <v>44012</v>
      </c>
      <c r="F822" t="s">
        <v>72</v>
      </c>
      <c r="G822">
        <v>3</v>
      </c>
      <c r="H822" t="s">
        <v>125</v>
      </c>
      <c r="I822" t="s">
        <v>43</v>
      </c>
      <c r="J822" t="s">
        <v>126</v>
      </c>
      <c r="K822" t="s">
        <v>44</v>
      </c>
      <c r="L822">
        <v>60713.1</v>
      </c>
      <c r="M822" s="1">
        <v>43647</v>
      </c>
      <c r="N822" t="s">
        <v>45</v>
      </c>
      <c r="O822" t="s">
        <v>44</v>
      </c>
      <c r="P822" t="s">
        <v>47</v>
      </c>
      <c r="Q822" s="1">
        <v>43852</v>
      </c>
      <c r="R822" t="s">
        <v>48</v>
      </c>
      <c r="S822" t="s">
        <v>72</v>
      </c>
      <c r="T822" t="s">
        <v>270</v>
      </c>
      <c r="U822" t="s">
        <v>125</v>
      </c>
      <c r="V822">
        <v>0</v>
      </c>
      <c r="W822">
        <v>500000</v>
      </c>
      <c r="X822" s="1">
        <v>43739</v>
      </c>
      <c r="Y822" t="s">
        <v>131</v>
      </c>
      <c r="Z822" t="s">
        <v>43</v>
      </c>
      <c r="AA822" t="s">
        <v>115</v>
      </c>
      <c r="AB822" t="s">
        <v>268</v>
      </c>
      <c r="AC822" t="s">
        <v>269</v>
      </c>
      <c r="AF822" t="s">
        <v>134</v>
      </c>
      <c r="AG822" s="1">
        <v>43843</v>
      </c>
      <c r="AH822" t="s">
        <v>125</v>
      </c>
      <c r="AI822" t="s">
        <v>92</v>
      </c>
      <c r="AJ822">
        <v>1278023</v>
      </c>
      <c r="AK822">
        <v>12365300</v>
      </c>
      <c r="AL822">
        <v>12900</v>
      </c>
    </row>
    <row r="823" spans="1:38" x14ac:dyDescent="0.25">
      <c r="A823" t="s">
        <v>177</v>
      </c>
      <c r="B823" t="s">
        <v>336</v>
      </c>
      <c r="C823" t="s">
        <v>40</v>
      </c>
      <c r="D823" s="1">
        <v>43647</v>
      </c>
      <c r="E823" s="1">
        <v>44012</v>
      </c>
      <c r="F823" t="s">
        <v>72</v>
      </c>
      <c r="G823">
        <v>3</v>
      </c>
      <c r="H823" t="s">
        <v>125</v>
      </c>
      <c r="I823" t="s">
        <v>43</v>
      </c>
      <c r="J823" t="s">
        <v>126</v>
      </c>
      <c r="K823" t="s">
        <v>44</v>
      </c>
      <c r="L823">
        <v>60713.1</v>
      </c>
      <c r="M823" s="1">
        <v>43647</v>
      </c>
      <c r="N823" t="s">
        <v>45</v>
      </c>
      <c r="O823" t="s">
        <v>44</v>
      </c>
      <c r="P823" t="s">
        <v>47</v>
      </c>
      <c r="Q823" s="1">
        <v>43852</v>
      </c>
      <c r="R823" t="s">
        <v>48</v>
      </c>
      <c r="S823" t="s">
        <v>72</v>
      </c>
      <c r="T823" t="s">
        <v>270</v>
      </c>
      <c r="U823" t="s">
        <v>125</v>
      </c>
      <c r="V823">
        <v>0</v>
      </c>
      <c r="W823">
        <v>500000</v>
      </c>
      <c r="X823" s="1">
        <v>43739</v>
      </c>
      <c r="Y823" t="s">
        <v>131</v>
      </c>
      <c r="Z823" t="s">
        <v>43</v>
      </c>
      <c r="AA823" t="s">
        <v>115</v>
      </c>
      <c r="AB823" t="s">
        <v>268</v>
      </c>
      <c r="AC823" t="s">
        <v>269</v>
      </c>
      <c r="AF823" t="s">
        <v>135</v>
      </c>
      <c r="AG823" s="1">
        <v>43843</v>
      </c>
      <c r="AH823" t="s">
        <v>125</v>
      </c>
      <c r="AI823" t="s">
        <v>92</v>
      </c>
      <c r="AJ823">
        <v>1278023</v>
      </c>
      <c r="AK823">
        <v>12365300</v>
      </c>
      <c r="AL823">
        <v>12900</v>
      </c>
    </row>
    <row r="824" spans="1:38" x14ac:dyDescent="0.25">
      <c r="A824" t="s">
        <v>177</v>
      </c>
      <c r="B824" t="s">
        <v>336</v>
      </c>
      <c r="C824" t="s">
        <v>40</v>
      </c>
      <c r="D824" s="1">
        <v>43647</v>
      </c>
      <c r="E824" s="1">
        <v>44012</v>
      </c>
      <c r="F824" t="s">
        <v>72</v>
      </c>
      <c r="G824">
        <v>3</v>
      </c>
      <c r="H824" t="s">
        <v>125</v>
      </c>
      <c r="I824" t="s">
        <v>43</v>
      </c>
      <c r="J824" t="s">
        <v>126</v>
      </c>
      <c r="K824" t="s">
        <v>44</v>
      </c>
      <c r="L824">
        <v>60713.1</v>
      </c>
      <c r="M824" s="1">
        <v>43647</v>
      </c>
      <c r="N824" t="s">
        <v>45</v>
      </c>
      <c r="O824" t="s">
        <v>44</v>
      </c>
      <c r="P824" t="s">
        <v>47</v>
      </c>
      <c r="Q824" s="1">
        <v>43852</v>
      </c>
      <c r="R824" t="s">
        <v>48</v>
      </c>
      <c r="S824" t="s">
        <v>72</v>
      </c>
      <c r="T824" t="s">
        <v>270</v>
      </c>
      <c r="U824" t="s">
        <v>125</v>
      </c>
      <c r="V824">
        <v>0</v>
      </c>
      <c r="W824">
        <v>500000</v>
      </c>
      <c r="X824" s="1">
        <v>43739</v>
      </c>
      <c r="Y824" t="s">
        <v>131</v>
      </c>
      <c r="Z824" t="s">
        <v>43</v>
      </c>
      <c r="AA824" t="s">
        <v>115</v>
      </c>
      <c r="AB824" t="s">
        <v>268</v>
      </c>
      <c r="AC824" t="s">
        <v>269</v>
      </c>
      <c r="AF824" t="s">
        <v>136</v>
      </c>
      <c r="AG824" s="1">
        <v>43839</v>
      </c>
      <c r="AH824" t="s">
        <v>125</v>
      </c>
      <c r="AI824" t="s">
        <v>92</v>
      </c>
      <c r="AJ824">
        <v>1278023</v>
      </c>
      <c r="AK824">
        <v>12365300</v>
      </c>
      <c r="AL824">
        <v>12900</v>
      </c>
    </row>
    <row r="825" spans="1:38" x14ac:dyDescent="0.25">
      <c r="A825" t="s">
        <v>177</v>
      </c>
      <c r="B825" t="s">
        <v>336</v>
      </c>
      <c r="C825" t="s">
        <v>40</v>
      </c>
      <c r="D825" s="1">
        <v>43647</v>
      </c>
      <c r="E825" s="1">
        <v>44012</v>
      </c>
      <c r="F825" t="s">
        <v>72</v>
      </c>
      <c r="G825">
        <v>3</v>
      </c>
      <c r="H825" t="s">
        <v>125</v>
      </c>
      <c r="I825" t="s">
        <v>43</v>
      </c>
      <c r="J825" t="s">
        <v>126</v>
      </c>
      <c r="K825" t="s">
        <v>44</v>
      </c>
      <c r="L825">
        <v>60713.1</v>
      </c>
      <c r="M825" s="1">
        <v>43647</v>
      </c>
      <c r="N825" t="s">
        <v>45</v>
      </c>
      <c r="O825" t="s">
        <v>44</v>
      </c>
      <c r="P825" t="s">
        <v>47</v>
      </c>
      <c r="Q825" s="1">
        <v>43852</v>
      </c>
      <c r="R825" t="s">
        <v>48</v>
      </c>
      <c r="S825" t="s">
        <v>72</v>
      </c>
      <c r="T825" t="s">
        <v>270</v>
      </c>
      <c r="U825" t="s">
        <v>125</v>
      </c>
      <c r="V825">
        <v>0</v>
      </c>
      <c r="W825">
        <v>500000</v>
      </c>
      <c r="X825" s="1">
        <v>43739</v>
      </c>
      <c r="Y825" t="s">
        <v>131</v>
      </c>
      <c r="Z825" t="s">
        <v>43</v>
      </c>
      <c r="AA825" t="s">
        <v>115</v>
      </c>
      <c r="AB825" t="s">
        <v>268</v>
      </c>
      <c r="AC825" t="s">
        <v>269</v>
      </c>
      <c r="AF825" t="s">
        <v>137</v>
      </c>
      <c r="AG825" s="1">
        <v>43840</v>
      </c>
      <c r="AH825" t="s">
        <v>125</v>
      </c>
      <c r="AI825" t="s">
        <v>92</v>
      </c>
      <c r="AJ825">
        <v>1278023</v>
      </c>
      <c r="AK825">
        <v>12365300</v>
      </c>
      <c r="AL825">
        <v>12900</v>
      </c>
    </row>
    <row r="826" spans="1:38" x14ac:dyDescent="0.25">
      <c r="A826" t="s">
        <v>177</v>
      </c>
      <c r="B826" t="s">
        <v>336</v>
      </c>
      <c r="C826" t="s">
        <v>40</v>
      </c>
      <c r="D826" s="1">
        <v>43647</v>
      </c>
      <c r="E826" s="1">
        <v>44012</v>
      </c>
      <c r="F826" t="s">
        <v>72</v>
      </c>
      <c r="G826">
        <v>3</v>
      </c>
      <c r="H826" t="s">
        <v>125</v>
      </c>
      <c r="I826" t="s">
        <v>43</v>
      </c>
      <c r="J826" t="s">
        <v>126</v>
      </c>
      <c r="K826" t="s">
        <v>44</v>
      </c>
      <c r="L826">
        <v>60713.1</v>
      </c>
      <c r="M826" s="1">
        <v>43647</v>
      </c>
      <c r="N826" t="s">
        <v>45</v>
      </c>
      <c r="O826" t="s">
        <v>44</v>
      </c>
      <c r="P826" t="s">
        <v>47</v>
      </c>
      <c r="Q826" s="1">
        <v>43852</v>
      </c>
      <c r="R826" t="s">
        <v>48</v>
      </c>
      <c r="S826" t="s">
        <v>271</v>
      </c>
      <c r="T826" t="s">
        <v>272</v>
      </c>
      <c r="U826" t="s">
        <v>125</v>
      </c>
      <c r="V826">
        <v>0</v>
      </c>
      <c r="W826">
        <v>50000</v>
      </c>
      <c r="X826" s="1">
        <v>43738</v>
      </c>
      <c r="Y826" t="s">
        <v>140</v>
      </c>
      <c r="Z826" t="s">
        <v>43</v>
      </c>
      <c r="AA826" t="s">
        <v>115</v>
      </c>
      <c r="AB826" t="s">
        <v>268</v>
      </c>
      <c r="AC826" t="s">
        <v>269</v>
      </c>
      <c r="AF826" t="s">
        <v>134</v>
      </c>
      <c r="AG826" s="1">
        <v>43843</v>
      </c>
      <c r="AH826" t="s">
        <v>125</v>
      </c>
      <c r="AI826" t="s">
        <v>92</v>
      </c>
      <c r="AJ826">
        <v>1278023</v>
      </c>
      <c r="AK826">
        <v>12365300</v>
      </c>
      <c r="AL826">
        <v>12900</v>
      </c>
    </row>
    <row r="827" spans="1:38" x14ac:dyDescent="0.25">
      <c r="A827" t="s">
        <v>177</v>
      </c>
      <c r="B827" t="s">
        <v>336</v>
      </c>
      <c r="C827" t="s">
        <v>40</v>
      </c>
      <c r="D827" s="1">
        <v>43647</v>
      </c>
      <c r="E827" s="1">
        <v>44012</v>
      </c>
      <c r="F827" t="s">
        <v>72</v>
      </c>
      <c r="G827">
        <v>3</v>
      </c>
      <c r="H827" t="s">
        <v>125</v>
      </c>
      <c r="I827" t="s">
        <v>43</v>
      </c>
      <c r="J827" t="s">
        <v>126</v>
      </c>
      <c r="K827" t="s">
        <v>44</v>
      </c>
      <c r="L827">
        <v>60713.1</v>
      </c>
      <c r="M827" s="1">
        <v>43647</v>
      </c>
      <c r="N827" t="s">
        <v>45</v>
      </c>
      <c r="O827" t="s">
        <v>44</v>
      </c>
      <c r="P827" t="s">
        <v>47</v>
      </c>
      <c r="Q827" s="1">
        <v>43852</v>
      </c>
      <c r="R827" t="s">
        <v>48</v>
      </c>
      <c r="S827" t="s">
        <v>271</v>
      </c>
      <c r="T827" t="s">
        <v>272</v>
      </c>
      <c r="U827" t="s">
        <v>125</v>
      </c>
      <c r="V827">
        <v>0</v>
      </c>
      <c r="W827">
        <v>50000</v>
      </c>
      <c r="X827" s="1">
        <v>43738</v>
      </c>
      <c r="Y827" t="s">
        <v>140</v>
      </c>
      <c r="Z827" t="s">
        <v>43</v>
      </c>
      <c r="AA827" t="s">
        <v>115</v>
      </c>
      <c r="AB827" t="s">
        <v>268</v>
      </c>
      <c r="AC827" t="s">
        <v>269</v>
      </c>
      <c r="AF827" t="s">
        <v>135</v>
      </c>
      <c r="AG827" s="1">
        <v>43843</v>
      </c>
      <c r="AH827" t="s">
        <v>125</v>
      </c>
      <c r="AI827" t="s">
        <v>92</v>
      </c>
      <c r="AJ827">
        <v>1278023</v>
      </c>
      <c r="AK827">
        <v>12365300</v>
      </c>
      <c r="AL827">
        <v>12900</v>
      </c>
    </row>
    <row r="828" spans="1:38" x14ac:dyDescent="0.25">
      <c r="A828" t="s">
        <v>177</v>
      </c>
      <c r="B828" t="s">
        <v>336</v>
      </c>
      <c r="C828" t="s">
        <v>40</v>
      </c>
      <c r="D828" s="1">
        <v>43647</v>
      </c>
      <c r="E828" s="1">
        <v>44012</v>
      </c>
      <c r="F828" t="s">
        <v>72</v>
      </c>
      <c r="G828">
        <v>3</v>
      </c>
      <c r="H828" t="s">
        <v>125</v>
      </c>
      <c r="I828" t="s">
        <v>43</v>
      </c>
      <c r="J828" t="s">
        <v>126</v>
      </c>
      <c r="K828" t="s">
        <v>44</v>
      </c>
      <c r="L828">
        <v>60713.1</v>
      </c>
      <c r="M828" s="1">
        <v>43647</v>
      </c>
      <c r="N828" t="s">
        <v>45</v>
      </c>
      <c r="O828" t="s">
        <v>44</v>
      </c>
      <c r="P828" t="s">
        <v>47</v>
      </c>
      <c r="Q828" s="1">
        <v>43852</v>
      </c>
      <c r="R828" t="s">
        <v>48</v>
      </c>
      <c r="S828" t="s">
        <v>271</v>
      </c>
      <c r="T828" t="s">
        <v>272</v>
      </c>
      <c r="U828" t="s">
        <v>125</v>
      </c>
      <c r="V828">
        <v>0</v>
      </c>
      <c r="W828">
        <v>50000</v>
      </c>
      <c r="X828" s="1">
        <v>43738</v>
      </c>
      <c r="Y828" t="s">
        <v>140</v>
      </c>
      <c r="Z828" t="s">
        <v>43</v>
      </c>
      <c r="AA828" t="s">
        <v>115</v>
      </c>
      <c r="AB828" t="s">
        <v>268</v>
      </c>
      <c r="AC828" t="s">
        <v>269</v>
      </c>
      <c r="AF828" t="s">
        <v>136</v>
      </c>
      <c r="AG828" s="1">
        <v>43839</v>
      </c>
      <c r="AH828" t="s">
        <v>125</v>
      </c>
      <c r="AI828" t="s">
        <v>92</v>
      </c>
      <c r="AJ828">
        <v>1278023</v>
      </c>
      <c r="AK828">
        <v>12365300</v>
      </c>
      <c r="AL828">
        <v>12900</v>
      </c>
    </row>
    <row r="829" spans="1:38" x14ac:dyDescent="0.25">
      <c r="A829" t="s">
        <v>177</v>
      </c>
      <c r="B829" t="s">
        <v>336</v>
      </c>
      <c r="C829" t="s">
        <v>40</v>
      </c>
      <c r="D829" s="1">
        <v>43647</v>
      </c>
      <c r="E829" s="1">
        <v>44012</v>
      </c>
      <c r="F829" t="s">
        <v>72</v>
      </c>
      <c r="G829">
        <v>3</v>
      </c>
      <c r="H829" t="s">
        <v>125</v>
      </c>
      <c r="I829" t="s">
        <v>43</v>
      </c>
      <c r="J829" t="s">
        <v>126</v>
      </c>
      <c r="K829" t="s">
        <v>44</v>
      </c>
      <c r="L829">
        <v>60713.1</v>
      </c>
      <c r="M829" s="1">
        <v>43647</v>
      </c>
      <c r="N829" t="s">
        <v>45</v>
      </c>
      <c r="O829" t="s">
        <v>44</v>
      </c>
      <c r="P829" t="s">
        <v>47</v>
      </c>
      <c r="Q829" s="1">
        <v>43852</v>
      </c>
      <c r="R829" t="s">
        <v>48</v>
      </c>
      <c r="S829" t="s">
        <v>271</v>
      </c>
      <c r="T829" t="s">
        <v>272</v>
      </c>
      <c r="U829" t="s">
        <v>125</v>
      </c>
      <c r="V829">
        <v>0</v>
      </c>
      <c r="W829">
        <v>50000</v>
      </c>
      <c r="X829" s="1">
        <v>43738</v>
      </c>
      <c r="Y829" t="s">
        <v>140</v>
      </c>
      <c r="Z829" t="s">
        <v>43</v>
      </c>
      <c r="AA829" t="s">
        <v>115</v>
      </c>
      <c r="AB829" t="s">
        <v>268</v>
      </c>
      <c r="AC829" t="s">
        <v>269</v>
      </c>
      <c r="AF829" t="s">
        <v>137</v>
      </c>
      <c r="AG829" s="1">
        <v>43840</v>
      </c>
      <c r="AH829" t="s">
        <v>125</v>
      </c>
      <c r="AI829" t="s">
        <v>92</v>
      </c>
      <c r="AJ829">
        <v>1278023</v>
      </c>
      <c r="AK829">
        <v>12365300</v>
      </c>
      <c r="AL829">
        <v>12900</v>
      </c>
    </row>
    <row r="830" spans="1:38" x14ac:dyDescent="0.25">
      <c r="A830" t="s">
        <v>179</v>
      </c>
      <c r="B830" t="s">
        <v>337</v>
      </c>
      <c r="C830" t="s">
        <v>40</v>
      </c>
      <c r="D830" s="1">
        <v>43647</v>
      </c>
      <c r="E830" s="1">
        <v>44012</v>
      </c>
      <c r="F830" t="s">
        <v>72</v>
      </c>
      <c r="G830">
        <v>3</v>
      </c>
      <c r="H830" t="s">
        <v>125</v>
      </c>
      <c r="I830" t="s">
        <v>43</v>
      </c>
      <c r="J830" t="s">
        <v>126</v>
      </c>
      <c r="K830" t="s">
        <v>44</v>
      </c>
      <c r="L830">
        <v>12349.97</v>
      </c>
      <c r="M830" s="1">
        <v>43647</v>
      </c>
      <c r="N830" t="s">
        <v>45</v>
      </c>
      <c r="O830" t="s">
        <v>44</v>
      </c>
      <c r="P830" t="s">
        <v>47</v>
      </c>
      <c r="Q830" s="1">
        <v>43852</v>
      </c>
      <c r="R830" t="s">
        <v>48</v>
      </c>
      <c r="S830" t="s">
        <v>266</v>
      </c>
      <c r="T830" t="s">
        <v>267</v>
      </c>
      <c r="U830" t="s">
        <v>125</v>
      </c>
      <c r="V830">
        <v>700000</v>
      </c>
      <c r="W830">
        <v>100000</v>
      </c>
      <c r="X830" s="1">
        <v>43830</v>
      </c>
      <c r="Y830" t="s">
        <v>51</v>
      </c>
      <c r="Z830" t="s">
        <v>43</v>
      </c>
      <c r="AA830" t="s">
        <v>115</v>
      </c>
      <c r="AB830" t="s">
        <v>268</v>
      </c>
      <c r="AC830" t="s">
        <v>269</v>
      </c>
      <c r="AF830" t="s">
        <v>134</v>
      </c>
      <c r="AG830" s="1">
        <v>43843</v>
      </c>
      <c r="AH830" t="s">
        <v>125</v>
      </c>
      <c r="AI830" t="s">
        <v>92</v>
      </c>
      <c r="AJ830">
        <v>1278023</v>
      </c>
      <c r="AK830">
        <v>12365300</v>
      </c>
      <c r="AL830">
        <v>12900</v>
      </c>
    </row>
    <row r="831" spans="1:38" x14ac:dyDescent="0.25">
      <c r="A831" t="s">
        <v>179</v>
      </c>
      <c r="B831" t="s">
        <v>337</v>
      </c>
      <c r="C831" t="s">
        <v>40</v>
      </c>
      <c r="D831" s="1">
        <v>43647</v>
      </c>
      <c r="E831" s="1">
        <v>44012</v>
      </c>
      <c r="F831" t="s">
        <v>72</v>
      </c>
      <c r="G831">
        <v>3</v>
      </c>
      <c r="H831" t="s">
        <v>125</v>
      </c>
      <c r="I831" t="s">
        <v>43</v>
      </c>
      <c r="J831" t="s">
        <v>126</v>
      </c>
      <c r="K831" t="s">
        <v>44</v>
      </c>
      <c r="L831">
        <v>12349.97</v>
      </c>
      <c r="M831" s="1">
        <v>43647</v>
      </c>
      <c r="N831" t="s">
        <v>45</v>
      </c>
      <c r="O831" t="s">
        <v>44</v>
      </c>
      <c r="P831" t="s">
        <v>47</v>
      </c>
      <c r="Q831" s="1">
        <v>43852</v>
      </c>
      <c r="R831" t="s">
        <v>48</v>
      </c>
      <c r="S831" t="s">
        <v>266</v>
      </c>
      <c r="T831" t="s">
        <v>267</v>
      </c>
      <c r="U831" t="s">
        <v>125</v>
      </c>
      <c r="V831">
        <v>700000</v>
      </c>
      <c r="W831">
        <v>100000</v>
      </c>
      <c r="X831" s="1">
        <v>43830</v>
      </c>
      <c r="Y831" t="s">
        <v>51</v>
      </c>
      <c r="Z831" t="s">
        <v>43</v>
      </c>
      <c r="AA831" t="s">
        <v>115</v>
      </c>
      <c r="AB831" t="s">
        <v>268</v>
      </c>
      <c r="AC831" t="s">
        <v>269</v>
      </c>
      <c r="AF831" t="s">
        <v>135</v>
      </c>
      <c r="AG831" s="1">
        <v>43843</v>
      </c>
      <c r="AH831" t="s">
        <v>125</v>
      </c>
      <c r="AI831" t="s">
        <v>92</v>
      </c>
      <c r="AJ831">
        <v>1278023</v>
      </c>
      <c r="AK831">
        <v>12365300</v>
      </c>
      <c r="AL831">
        <v>12900</v>
      </c>
    </row>
    <row r="832" spans="1:38" x14ac:dyDescent="0.25">
      <c r="A832" t="s">
        <v>179</v>
      </c>
      <c r="B832" t="s">
        <v>337</v>
      </c>
      <c r="C832" t="s">
        <v>40</v>
      </c>
      <c r="D832" s="1">
        <v>43647</v>
      </c>
      <c r="E832" s="1">
        <v>44012</v>
      </c>
      <c r="F832" t="s">
        <v>72</v>
      </c>
      <c r="G832">
        <v>3</v>
      </c>
      <c r="H832" t="s">
        <v>125</v>
      </c>
      <c r="I832" t="s">
        <v>43</v>
      </c>
      <c r="J832" t="s">
        <v>126</v>
      </c>
      <c r="K832" t="s">
        <v>44</v>
      </c>
      <c r="L832">
        <v>12349.97</v>
      </c>
      <c r="M832" s="1">
        <v>43647</v>
      </c>
      <c r="N832" t="s">
        <v>45</v>
      </c>
      <c r="O832" t="s">
        <v>44</v>
      </c>
      <c r="P832" t="s">
        <v>47</v>
      </c>
      <c r="Q832" s="1">
        <v>43852</v>
      </c>
      <c r="R832" t="s">
        <v>48</v>
      </c>
      <c r="S832" t="s">
        <v>266</v>
      </c>
      <c r="T832" t="s">
        <v>267</v>
      </c>
      <c r="U832" t="s">
        <v>125</v>
      </c>
      <c r="V832">
        <v>700000</v>
      </c>
      <c r="W832">
        <v>100000</v>
      </c>
      <c r="X832" s="1">
        <v>43830</v>
      </c>
      <c r="Y832" t="s">
        <v>51</v>
      </c>
      <c r="Z832" t="s">
        <v>43</v>
      </c>
      <c r="AA832" t="s">
        <v>115</v>
      </c>
      <c r="AB832" t="s">
        <v>268</v>
      </c>
      <c r="AC832" t="s">
        <v>269</v>
      </c>
      <c r="AF832" t="s">
        <v>136</v>
      </c>
      <c r="AG832" s="1">
        <v>43839</v>
      </c>
      <c r="AH832" t="s">
        <v>125</v>
      </c>
      <c r="AI832" t="s">
        <v>92</v>
      </c>
      <c r="AJ832">
        <v>1278023</v>
      </c>
      <c r="AK832">
        <v>12365300</v>
      </c>
      <c r="AL832">
        <v>12900</v>
      </c>
    </row>
    <row r="833" spans="1:38" x14ac:dyDescent="0.25">
      <c r="A833" t="s">
        <v>179</v>
      </c>
      <c r="B833" t="s">
        <v>337</v>
      </c>
      <c r="C833" t="s">
        <v>40</v>
      </c>
      <c r="D833" s="1">
        <v>43647</v>
      </c>
      <c r="E833" s="1">
        <v>44012</v>
      </c>
      <c r="F833" t="s">
        <v>72</v>
      </c>
      <c r="G833">
        <v>3</v>
      </c>
      <c r="H833" t="s">
        <v>125</v>
      </c>
      <c r="I833" t="s">
        <v>43</v>
      </c>
      <c r="J833" t="s">
        <v>126</v>
      </c>
      <c r="K833" t="s">
        <v>44</v>
      </c>
      <c r="L833">
        <v>12349.97</v>
      </c>
      <c r="M833" s="1">
        <v>43647</v>
      </c>
      <c r="N833" t="s">
        <v>45</v>
      </c>
      <c r="O833" t="s">
        <v>44</v>
      </c>
      <c r="P833" t="s">
        <v>47</v>
      </c>
      <c r="Q833" s="1">
        <v>43852</v>
      </c>
      <c r="R833" t="s">
        <v>48</v>
      </c>
      <c r="S833" t="s">
        <v>266</v>
      </c>
      <c r="T833" t="s">
        <v>267</v>
      </c>
      <c r="U833" t="s">
        <v>125</v>
      </c>
      <c r="V833">
        <v>700000</v>
      </c>
      <c r="W833">
        <v>100000</v>
      </c>
      <c r="X833" s="1">
        <v>43830</v>
      </c>
      <c r="Y833" t="s">
        <v>51</v>
      </c>
      <c r="Z833" t="s">
        <v>43</v>
      </c>
      <c r="AA833" t="s">
        <v>115</v>
      </c>
      <c r="AB833" t="s">
        <v>268</v>
      </c>
      <c r="AC833" t="s">
        <v>269</v>
      </c>
      <c r="AF833" t="s">
        <v>137</v>
      </c>
      <c r="AG833" s="1">
        <v>43840</v>
      </c>
      <c r="AH833" t="s">
        <v>125</v>
      </c>
      <c r="AI833" t="s">
        <v>92</v>
      </c>
      <c r="AJ833">
        <v>1278023</v>
      </c>
      <c r="AK833">
        <v>12365300</v>
      </c>
      <c r="AL833">
        <v>12900</v>
      </c>
    </row>
    <row r="834" spans="1:38" x14ac:dyDescent="0.25">
      <c r="A834" t="s">
        <v>179</v>
      </c>
      <c r="B834" t="s">
        <v>337</v>
      </c>
      <c r="C834" t="s">
        <v>40</v>
      </c>
      <c r="D834" s="1">
        <v>43647</v>
      </c>
      <c r="E834" s="1">
        <v>44012</v>
      </c>
      <c r="F834" t="s">
        <v>72</v>
      </c>
      <c r="G834">
        <v>3</v>
      </c>
      <c r="H834" t="s">
        <v>125</v>
      </c>
      <c r="I834" t="s">
        <v>43</v>
      </c>
      <c r="J834" t="s">
        <v>126</v>
      </c>
      <c r="K834" t="s">
        <v>44</v>
      </c>
      <c r="L834">
        <v>12349.97</v>
      </c>
      <c r="M834" s="1">
        <v>43647</v>
      </c>
      <c r="N834" t="s">
        <v>45</v>
      </c>
      <c r="O834" t="s">
        <v>44</v>
      </c>
      <c r="P834" t="s">
        <v>47</v>
      </c>
      <c r="Q834" s="1">
        <v>43852</v>
      </c>
      <c r="R834" t="s">
        <v>48</v>
      </c>
      <c r="S834" t="s">
        <v>72</v>
      </c>
      <c r="T834" t="s">
        <v>270</v>
      </c>
      <c r="U834" t="s">
        <v>125</v>
      </c>
      <c r="V834">
        <v>0</v>
      </c>
      <c r="W834">
        <v>500000</v>
      </c>
      <c r="X834" s="1">
        <v>43739</v>
      </c>
      <c r="Y834" t="s">
        <v>131</v>
      </c>
      <c r="Z834" t="s">
        <v>43</v>
      </c>
      <c r="AA834" t="s">
        <v>115</v>
      </c>
      <c r="AB834" t="s">
        <v>268</v>
      </c>
      <c r="AC834" t="s">
        <v>269</v>
      </c>
      <c r="AF834" t="s">
        <v>134</v>
      </c>
      <c r="AG834" s="1">
        <v>43843</v>
      </c>
      <c r="AH834" t="s">
        <v>125</v>
      </c>
      <c r="AI834" t="s">
        <v>92</v>
      </c>
      <c r="AJ834">
        <v>1278023</v>
      </c>
      <c r="AK834">
        <v>12365300</v>
      </c>
      <c r="AL834">
        <v>12900</v>
      </c>
    </row>
    <row r="835" spans="1:38" x14ac:dyDescent="0.25">
      <c r="A835" t="s">
        <v>179</v>
      </c>
      <c r="B835" t="s">
        <v>337</v>
      </c>
      <c r="C835" t="s">
        <v>40</v>
      </c>
      <c r="D835" s="1">
        <v>43647</v>
      </c>
      <c r="E835" s="1">
        <v>44012</v>
      </c>
      <c r="F835" t="s">
        <v>72</v>
      </c>
      <c r="G835">
        <v>3</v>
      </c>
      <c r="H835" t="s">
        <v>125</v>
      </c>
      <c r="I835" t="s">
        <v>43</v>
      </c>
      <c r="J835" t="s">
        <v>126</v>
      </c>
      <c r="K835" t="s">
        <v>44</v>
      </c>
      <c r="L835">
        <v>12349.97</v>
      </c>
      <c r="M835" s="1">
        <v>43647</v>
      </c>
      <c r="N835" t="s">
        <v>45</v>
      </c>
      <c r="O835" t="s">
        <v>44</v>
      </c>
      <c r="P835" t="s">
        <v>47</v>
      </c>
      <c r="Q835" s="1">
        <v>43852</v>
      </c>
      <c r="R835" t="s">
        <v>48</v>
      </c>
      <c r="S835" t="s">
        <v>72</v>
      </c>
      <c r="T835" t="s">
        <v>270</v>
      </c>
      <c r="U835" t="s">
        <v>125</v>
      </c>
      <c r="V835">
        <v>0</v>
      </c>
      <c r="W835">
        <v>500000</v>
      </c>
      <c r="X835" s="1">
        <v>43739</v>
      </c>
      <c r="Y835" t="s">
        <v>131</v>
      </c>
      <c r="Z835" t="s">
        <v>43</v>
      </c>
      <c r="AA835" t="s">
        <v>115</v>
      </c>
      <c r="AB835" t="s">
        <v>268</v>
      </c>
      <c r="AC835" t="s">
        <v>269</v>
      </c>
      <c r="AF835" t="s">
        <v>135</v>
      </c>
      <c r="AG835" s="1">
        <v>43843</v>
      </c>
      <c r="AH835" t="s">
        <v>125</v>
      </c>
      <c r="AI835" t="s">
        <v>92</v>
      </c>
      <c r="AJ835">
        <v>1278023</v>
      </c>
      <c r="AK835">
        <v>12365300</v>
      </c>
      <c r="AL835">
        <v>12900</v>
      </c>
    </row>
    <row r="836" spans="1:38" x14ac:dyDescent="0.25">
      <c r="A836" t="s">
        <v>179</v>
      </c>
      <c r="B836" t="s">
        <v>337</v>
      </c>
      <c r="C836" t="s">
        <v>40</v>
      </c>
      <c r="D836" s="1">
        <v>43647</v>
      </c>
      <c r="E836" s="1">
        <v>44012</v>
      </c>
      <c r="F836" t="s">
        <v>72</v>
      </c>
      <c r="G836">
        <v>3</v>
      </c>
      <c r="H836" t="s">
        <v>125</v>
      </c>
      <c r="I836" t="s">
        <v>43</v>
      </c>
      <c r="J836" t="s">
        <v>126</v>
      </c>
      <c r="K836" t="s">
        <v>44</v>
      </c>
      <c r="L836">
        <v>12349.97</v>
      </c>
      <c r="M836" s="1">
        <v>43647</v>
      </c>
      <c r="N836" t="s">
        <v>45</v>
      </c>
      <c r="O836" t="s">
        <v>44</v>
      </c>
      <c r="P836" t="s">
        <v>47</v>
      </c>
      <c r="Q836" s="1">
        <v>43852</v>
      </c>
      <c r="R836" t="s">
        <v>48</v>
      </c>
      <c r="S836" t="s">
        <v>72</v>
      </c>
      <c r="T836" t="s">
        <v>270</v>
      </c>
      <c r="U836" t="s">
        <v>125</v>
      </c>
      <c r="V836">
        <v>0</v>
      </c>
      <c r="W836">
        <v>500000</v>
      </c>
      <c r="X836" s="1">
        <v>43739</v>
      </c>
      <c r="Y836" t="s">
        <v>131</v>
      </c>
      <c r="Z836" t="s">
        <v>43</v>
      </c>
      <c r="AA836" t="s">
        <v>115</v>
      </c>
      <c r="AB836" t="s">
        <v>268</v>
      </c>
      <c r="AC836" t="s">
        <v>269</v>
      </c>
      <c r="AF836" t="s">
        <v>136</v>
      </c>
      <c r="AG836" s="1">
        <v>43839</v>
      </c>
      <c r="AH836" t="s">
        <v>125</v>
      </c>
      <c r="AI836" t="s">
        <v>92</v>
      </c>
      <c r="AJ836">
        <v>1278023</v>
      </c>
      <c r="AK836">
        <v>12365300</v>
      </c>
      <c r="AL836">
        <v>12900</v>
      </c>
    </row>
    <row r="837" spans="1:38" x14ac:dyDescent="0.25">
      <c r="A837" t="s">
        <v>179</v>
      </c>
      <c r="B837" t="s">
        <v>337</v>
      </c>
      <c r="C837" t="s">
        <v>40</v>
      </c>
      <c r="D837" s="1">
        <v>43647</v>
      </c>
      <c r="E837" s="1">
        <v>44012</v>
      </c>
      <c r="F837" t="s">
        <v>72</v>
      </c>
      <c r="G837">
        <v>3</v>
      </c>
      <c r="H837" t="s">
        <v>125</v>
      </c>
      <c r="I837" t="s">
        <v>43</v>
      </c>
      <c r="J837" t="s">
        <v>126</v>
      </c>
      <c r="K837" t="s">
        <v>44</v>
      </c>
      <c r="L837">
        <v>12349.97</v>
      </c>
      <c r="M837" s="1">
        <v>43647</v>
      </c>
      <c r="N837" t="s">
        <v>45</v>
      </c>
      <c r="O837" t="s">
        <v>44</v>
      </c>
      <c r="P837" t="s">
        <v>47</v>
      </c>
      <c r="Q837" s="1">
        <v>43852</v>
      </c>
      <c r="R837" t="s">
        <v>48</v>
      </c>
      <c r="S837" t="s">
        <v>72</v>
      </c>
      <c r="T837" t="s">
        <v>270</v>
      </c>
      <c r="U837" t="s">
        <v>125</v>
      </c>
      <c r="V837">
        <v>0</v>
      </c>
      <c r="W837">
        <v>500000</v>
      </c>
      <c r="X837" s="1">
        <v>43739</v>
      </c>
      <c r="Y837" t="s">
        <v>131</v>
      </c>
      <c r="Z837" t="s">
        <v>43</v>
      </c>
      <c r="AA837" t="s">
        <v>115</v>
      </c>
      <c r="AB837" t="s">
        <v>268</v>
      </c>
      <c r="AC837" t="s">
        <v>269</v>
      </c>
      <c r="AF837" t="s">
        <v>137</v>
      </c>
      <c r="AG837" s="1">
        <v>43840</v>
      </c>
      <c r="AH837" t="s">
        <v>125</v>
      </c>
      <c r="AI837" t="s">
        <v>92</v>
      </c>
      <c r="AJ837">
        <v>1278023</v>
      </c>
      <c r="AK837">
        <v>12365300</v>
      </c>
      <c r="AL837">
        <v>12900</v>
      </c>
    </row>
    <row r="838" spans="1:38" x14ac:dyDescent="0.25">
      <c r="A838" t="s">
        <v>179</v>
      </c>
      <c r="B838" t="s">
        <v>337</v>
      </c>
      <c r="C838" t="s">
        <v>40</v>
      </c>
      <c r="D838" s="1">
        <v>43647</v>
      </c>
      <c r="E838" s="1">
        <v>44012</v>
      </c>
      <c r="F838" t="s">
        <v>72</v>
      </c>
      <c r="G838">
        <v>3</v>
      </c>
      <c r="H838" t="s">
        <v>125</v>
      </c>
      <c r="I838" t="s">
        <v>43</v>
      </c>
      <c r="J838" t="s">
        <v>126</v>
      </c>
      <c r="K838" t="s">
        <v>44</v>
      </c>
      <c r="L838">
        <v>12349.97</v>
      </c>
      <c r="M838" s="1">
        <v>43647</v>
      </c>
      <c r="N838" t="s">
        <v>45</v>
      </c>
      <c r="O838" t="s">
        <v>44</v>
      </c>
      <c r="P838" t="s">
        <v>47</v>
      </c>
      <c r="Q838" s="1">
        <v>43852</v>
      </c>
      <c r="R838" t="s">
        <v>48</v>
      </c>
      <c r="S838" t="s">
        <v>271</v>
      </c>
      <c r="T838" t="s">
        <v>272</v>
      </c>
      <c r="U838" t="s">
        <v>125</v>
      </c>
      <c r="V838">
        <v>0</v>
      </c>
      <c r="W838">
        <v>50000</v>
      </c>
      <c r="X838" s="1">
        <v>43738</v>
      </c>
      <c r="Y838" t="s">
        <v>140</v>
      </c>
      <c r="Z838" t="s">
        <v>43</v>
      </c>
      <c r="AA838" t="s">
        <v>115</v>
      </c>
      <c r="AB838" t="s">
        <v>268</v>
      </c>
      <c r="AC838" t="s">
        <v>269</v>
      </c>
      <c r="AF838" t="s">
        <v>134</v>
      </c>
      <c r="AG838" s="1">
        <v>43843</v>
      </c>
      <c r="AH838" t="s">
        <v>125</v>
      </c>
      <c r="AI838" t="s">
        <v>92</v>
      </c>
      <c r="AJ838">
        <v>1278023</v>
      </c>
      <c r="AK838">
        <v>12365300</v>
      </c>
      <c r="AL838">
        <v>12900</v>
      </c>
    </row>
    <row r="839" spans="1:38" x14ac:dyDescent="0.25">
      <c r="A839" t="s">
        <v>179</v>
      </c>
      <c r="B839" t="s">
        <v>337</v>
      </c>
      <c r="C839" t="s">
        <v>40</v>
      </c>
      <c r="D839" s="1">
        <v>43647</v>
      </c>
      <c r="E839" s="1">
        <v>44012</v>
      </c>
      <c r="F839" t="s">
        <v>72</v>
      </c>
      <c r="G839">
        <v>3</v>
      </c>
      <c r="H839" t="s">
        <v>125</v>
      </c>
      <c r="I839" t="s">
        <v>43</v>
      </c>
      <c r="J839" t="s">
        <v>126</v>
      </c>
      <c r="K839" t="s">
        <v>44</v>
      </c>
      <c r="L839">
        <v>12349.97</v>
      </c>
      <c r="M839" s="1">
        <v>43647</v>
      </c>
      <c r="N839" t="s">
        <v>45</v>
      </c>
      <c r="O839" t="s">
        <v>44</v>
      </c>
      <c r="P839" t="s">
        <v>47</v>
      </c>
      <c r="Q839" s="1">
        <v>43852</v>
      </c>
      <c r="R839" t="s">
        <v>48</v>
      </c>
      <c r="S839" t="s">
        <v>271</v>
      </c>
      <c r="T839" t="s">
        <v>272</v>
      </c>
      <c r="U839" t="s">
        <v>125</v>
      </c>
      <c r="V839">
        <v>0</v>
      </c>
      <c r="W839">
        <v>50000</v>
      </c>
      <c r="X839" s="1">
        <v>43738</v>
      </c>
      <c r="Y839" t="s">
        <v>140</v>
      </c>
      <c r="Z839" t="s">
        <v>43</v>
      </c>
      <c r="AA839" t="s">
        <v>115</v>
      </c>
      <c r="AB839" t="s">
        <v>268</v>
      </c>
      <c r="AC839" t="s">
        <v>269</v>
      </c>
      <c r="AF839" t="s">
        <v>135</v>
      </c>
      <c r="AG839" s="1">
        <v>43843</v>
      </c>
      <c r="AH839" t="s">
        <v>125</v>
      </c>
      <c r="AI839" t="s">
        <v>92</v>
      </c>
      <c r="AJ839">
        <v>1278023</v>
      </c>
      <c r="AK839">
        <v>12365300</v>
      </c>
      <c r="AL839">
        <v>12900</v>
      </c>
    </row>
    <row r="840" spans="1:38" x14ac:dyDescent="0.25">
      <c r="A840" t="s">
        <v>179</v>
      </c>
      <c r="B840" t="s">
        <v>337</v>
      </c>
      <c r="C840" t="s">
        <v>40</v>
      </c>
      <c r="D840" s="1">
        <v>43647</v>
      </c>
      <c r="E840" s="1">
        <v>44012</v>
      </c>
      <c r="F840" t="s">
        <v>72</v>
      </c>
      <c r="G840">
        <v>3</v>
      </c>
      <c r="H840" t="s">
        <v>125</v>
      </c>
      <c r="I840" t="s">
        <v>43</v>
      </c>
      <c r="J840" t="s">
        <v>126</v>
      </c>
      <c r="K840" t="s">
        <v>44</v>
      </c>
      <c r="L840">
        <v>12349.97</v>
      </c>
      <c r="M840" s="1">
        <v>43647</v>
      </c>
      <c r="N840" t="s">
        <v>45</v>
      </c>
      <c r="O840" t="s">
        <v>44</v>
      </c>
      <c r="P840" t="s">
        <v>47</v>
      </c>
      <c r="Q840" s="1">
        <v>43852</v>
      </c>
      <c r="R840" t="s">
        <v>48</v>
      </c>
      <c r="S840" t="s">
        <v>271</v>
      </c>
      <c r="T840" t="s">
        <v>272</v>
      </c>
      <c r="U840" t="s">
        <v>125</v>
      </c>
      <c r="V840">
        <v>0</v>
      </c>
      <c r="W840">
        <v>50000</v>
      </c>
      <c r="X840" s="1">
        <v>43738</v>
      </c>
      <c r="Y840" t="s">
        <v>140</v>
      </c>
      <c r="Z840" t="s">
        <v>43</v>
      </c>
      <c r="AA840" t="s">
        <v>115</v>
      </c>
      <c r="AB840" t="s">
        <v>268</v>
      </c>
      <c r="AC840" t="s">
        <v>269</v>
      </c>
      <c r="AF840" t="s">
        <v>136</v>
      </c>
      <c r="AG840" s="1">
        <v>43839</v>
      </c>
      <c r="AH840" t="s">
        <v>125</v>
      </c>
      <c r="AI840" t="s">
        <v>92</v>
      </c>
      <c r="AJ840">
        <v>1278023</v>
      </c>
      <c r="AK840">
        <v>12365300</v>
      </c>
      <c r="AL840">
        <v>12900</v>
      </c>
    </row>
    <row r="841" spans="1:38" x14ac:dyDescent="0.25">
      <c r="A841" t="s">
        <v>179</v>
      </c>
      <c r="B841" t="s">
        <v>337</v>
      </c>
      <c r="C841" t="s">
        <v>40</v>
      </c>
      <c r="D841" s="1">
        <v>43647</v>
      </c>
      <c r="E841" s="1">
        <v>44012</v>
      </c>
      <c r="F841" t="s">
        <v>72</v>
      </c>
      <c r="G841">
        <v>3</v>
      </c>
      <c r="H841" t="s">
        <v>125</v>
      </c>
      <c r="I841" t="s">
        <v>43</v>
      </c>
      <c r="J841" t="s">
        <v>126</v>
      </c>
      <c r="K841" t="s">
        <v>44</v>
      </c>
      <c r="L841">
        <v>12349.97</v>
      </c>
      <c r="M841" s="1">
        <v>43647</v>
      </c>
      <c r="N841" t="s">
        <v>45</v>
      </c>
      <c r="O841" t="s">
        <v>44</v>
      </c>
      <c r="P841" t="s">
        <v>47</v>
      </c>
      <c r="Q841" s="1">
        <v>43852</v>
      </c>
      <c r="R841" t="s">
        <v>48</v>
      </c>
      <c r="S841" t="s">
        <v>271</v>
      </c>
      <c r="T841" t="s">
        <v>272</v>
      </c>
      <c r="U841" t="s">
        <v>125</v>
      </c>
      <c r="V841">
        <v>0</v>
      </c>
      <c r="W841">
        <v>50000</v>
      </c>
      <c r="X841" s="1">
        <v>43738</v>
      </c>
      <c r="Y841" t="s">
        <v>140</v>
      </c>
      <c r="Z841" t="s">
        <v>43</v>
      </c>
      <c r="AA841" t="s">
        <v>115</v>
      </c>
      <c r="AB841" t="s">
        <v>268</v>
      </c>
      <c r="AC841" t="s">
        <v>269</v>
      </c>
      <c r="AF841" t="s">
        <v>137</v>
      </c>
      <c r="AG841" s="1">
        <v>43840</v>
      </c>
      <c r="AH841" t="s">
        <v>125</v>
      </c>
      <c r="AI841" t="s">
        <v>92</v>
      </c>
      <c r="AJ841">
        <v>1278023</v>
      </c>
      <c r="AK841">
        <v>12365300</v>
      </c>
      <c r="AL841">
        <v>12900</v>
      </c>
    </row>
    <row r="842" spans="1:38" x14ac:dyDescent="0.25">
      <c r="A842" t="s">
        <v>180</v>
      </c>
      <c r="B842" t="s">
        <v>338</v>
      </c>
      <c r="C842" t="s">
        <v>40</v>
      </c>
      <c r="D842" s="1">
        <v>43647</v>
      </c>
      <c r="E842" s="1">
        <v>44012</v>
      </c>
      <c r="F842" t="s">
        <v>76</v>
      </c>
      <c r="G842">
        <v>3</v>
      </c>
      <c r="H842" t="s">
        <v>125</v>
      </c>
      <c r="I842" t="s">
        <v>43</v>
      </c>
      <c r="J842" t="s">
        <v>126</v>
      </c>
      <c r="K842" t="s">
        <v>44</v>
      </c>
      <c r="L842">
        <v>3375</v>
      </c>
      <c r="M842" s="1">
        <v>43647</v>
      </c>
      <c r="N842" t="s">
        <v>45</v>
      </c>
      <c r="O842" t="s">
        <v>44</v>
      </c>
      <c r="P842" t="s">
        <v>47</v>
      </c>
      <c r="Q842" s="1">
        <v>43852</v>
      </c>
      <c r="R842" t="s">
        <v>48</v>
      </c>
    </row>
    <row r="843" spans="1:38" x14ac:dyDescent="0.25">
      <c r="A843" t="s">
        <v>181</v>
      </c>
      <c r="B843" t="s">
        <v>339</v>
      </c>
      <c r="C843" t="s">
        <v>40</v>
      </c>
      <c r="D843" s="1">
        <v>43647</v>
      </c>
      <c r="E843" s="1">
        <v>44012</v>
      </c>
      <c r="F843" t="s">
        <v>76</v>
      </c>
      <c r="G843">
        <v>3</v>
      </c>
      <c r="H843" t="s">
        <v>125</v>
      </c>
      <c r="I843" t="s">
        <v>43</v>
      </c>
      <c r="J843" t="s">
        <v>126</v>
      </c>
      <c r="K843" t="s">
        <v>44</v>
      </c>
      <c r="L843">
        <v>875</v>
      </c>
      <c r="M843" s="1">
        <v>43647</v>
      </c>
      <c r="N843" t="s">
        <v>45</v>
      </c>
      <c r="O843" t="s">
        <v>44</v>
      </c>
      <c r="P843" t="s">
        <v>47</v>
      </c>
      <c r="Q843" s="1">
        <v>43852</v>
      </c>
      <c r="R843" t="s">
        <v>48</v>
      </c>
    </row>
    <row r="844" spans="1:38" x14ac:dyDescent="0.25">
      <c r="A844" t="s">
        <v>183</v>
      </c>
      <c r="B844" t="s">
        <v>340</v>
      </c>
      <c r="C844" t="s">
        <v>40</v>
      </c>
      <c r="D844" s="1">
        <v>43647</v>
      </c>
      <c r="E844" s="1">
        <v>44012</v>
      </c>
      <c r="F844" t="s">
        <v>76</v>
      </c>
      <c r="G844">
        <v>3</v>
      </c>
      <c r="H844" t="s">
        <v>125</v>
      </c>
      <c r="I844" t="s">
        <v>43</v>
      </c>
      <c r="J844" t="s">
        <v>126</v>
      </c>
      <c r="K844" t="s">
        <v>44</v>
      </c>
      <c r="L844">
        <v>1556.25</v>
      </c>
      <c r="M844" s="1">
        <v>43647</v>
      </c>
      <c r="N844" t="s">
        <v>45</v>
      </c>
      <c r="O844" t="s">
        <v>44</v>
      </c>
      <c r="P844" t="s">
        <v>47</v>
      </c>
      <c r="Q844" s="1">
        <v>43852</v>
      </c>
      <c r="R844" t="s">
        <v>48</v>
      </c>
    </row>
    <row r="845" spans="1:38" x14ac:dyDescent="0.25">
      <c r="A845" t="s">
        <v>185</v>
      </c>
      <c r="B845">
        <v>301004728</v>
      </c>
      <c r="C845" t="s">
        <v>71</v>
      </c>
      <c r="D845" s="1">
        <v>43373</v>
      </c>
      <c r="E845" s="1">
        <v>43737</v>
      </c>
      <c r="F845" t="s">
        <v>77</v>
      </c>
      <c r="G845">
        <v>3</v>
      </c>
      <c r="H845" t="s">
        <v>125</v>
      </c>
      <c r="I845" t="s">
        <v>43</v>
      </c>
      <c r="J845" t="s">
        <v>126</v>
      </c>
      <c r="K845" t="s">
        <v>44</v>
      </c>
      <c r="L845">
        <v>186534.13</v>
      </c>
      <c r="M845" s="1">
        <v>43373</v>
      </c>
      <c r="N845" t="s">
        <v>45</v>
      </c>
      <c r="O845" t="s">
        <v>46</v>
      </c>
      <c r="P845" t="s">
        <v>47</v>
      </c>
      <c r="Q845" s="1">
        <v>43852</v>
      </c>
      <c r="R845" t="s">
        <v>48</v>
      </c>
    </row>
    <row r="846" spans="1:38" x14ac:dyDescent="0.25">
      <c r="A846" t="s">
        <v>186</v>
      </c>
      <c r="B846" t="s">
        <v>341</v>
      </c>
      <c r="C846" t="s">
        <v>40</v>
      </c>
      <c r="D846" s="1">
        <v>43738</v>
      </c>
      <c r="E846" s="1">
        <v>44103</v>
      </c>
      <c r="F846" t="s">
        <v>77</v>
      </c>
      <c r="G846">
        <v>3</v>
      </c>
      <c r="H846" t="s">
        <v>125</v>
      </c>
      <c r="I846" t="s">
        <v>43</v>
      </c>
      <c r="J846" t="s">
        <v>126</v>
      </c>
      <c r="K846" t="s">
        <v>44</v>
      </c>
      <c r="L846">
        <v>202350</v>
      </c>
      <c r="M846" s="1">
        <v>43738</v>
      </c>
      <c r="N846" t="s">
        <v>45</v>
      </c>
      <c r="O846" t="s">
        <v>44</v>
      </c>
      <c r="P846" t="s">
        <v>47</v>
      </c>
      <c r="Q846" s="1">
        <v>43852</v>
      </c>
      <c r="R846" t="s">
        <v>48</v>
      </c>
    </row>
    <row r="847" spans="1:38" x14ac:dyDescent="0.25">
      <c r="A847" t="s">
        <v>188</v>
      </c>
      <c r="B847">
        <v>600010004</v>
      </c>
      <c r="C847" t="s">
        <v>71</v>
      </c>
      <c r="D847" s="1">
        <v>43175</v>
      </c>
      <c r="E847" s="1">
        <v>43539</v>
      </c>
      <c r="F847" t="s">
        <v>76</v>
      </c>
      <c r="G847">
        <v>3</v>
      </c>
      <c r="H847" t="s">
        <v>125</v>
      </c>
      <c r="I847" t="s">
        <v>43</v>
      </c>
      <c r="J847" t="s">
        <v>126</v>
      </c>
      <c r="K847" t="s">
        <v>127</v>
      </c>
      <c r="L847">
        <v>750.63</v>
      </c>
      <c r="M847" s="1">
        <v>43175</v>
      </c>
      <c r="N847" t="s">
        <v>45</v>
      </c>
      <c r="O847" t="s">
        <v>46</v>
      </c>
      <c r="P847" t="s">
        <v>47</v>
      </c>
      <c r="Q847" s="1">
        <v>43852</v>
      </c>
      <c r="R847" t="s">
        <v>48</v>
      </c>
    </row>
    <row r="848" spans="1:38" x14ac:dyDescent="0.25">
      <c r="A848" t="s">
        <v>189</v>
      </c>
      <c r="B848" t="s">
        <v>342</v>
      </c>
      <c r="C848" t="s">
        <v>71</v>
      </c>
      <c r="D848" s="1">
        <v>43540</v>
      </c>
      <c r="E848" s="1">
        <v>43570</v>
      </c>
      <c r="F848" t="s">
        <v>76</v>
      </c>
      <c r="G848">
        <v>3</v>
      </c>
      <c r="H848" t="s">
        <v>125</v>
      </c>
      <c r="I848" t="s">
        <v>43</v>
      </c>
      <c r="J848" t="s">
        <v>126</v>
      </c>
      <c r="K848" t="s">
        <v>44</v>
      </c>
      <c r="L848">
        <v>63.75</v>
      </c>
      <c r="M848" s="1">
        <v>43540</v>
      </c>
      <c r="N848" t="s">
        <v>45</v>
      </c>
      <c r="O848" t="s">
        <v>44</v>
      </c>
      <c r="P848" t="s">
        <v>47</v>
      </c>
      <c r="Q848" s="1">
        <v>43852</v>
      </c>
      <c r="R848" t="s">
        <v>48</v>
      </c>
    </row>
    <row r="849" spans="1:38" x14ac:dyDescent="0.25">
      <c r="A849" t="s">
        <v>191</v>
      </c>
      <c r="B849" t="s">
        <v>343</v>
      </c>
      <c r="C849" t="s">
        <v>40</v>
      </c>
      <c r="D849" s="1">
        <v>43571</v>
      </c>
      <c r="E849" s="1">
        <v>43936</v>
      </c>
      <c r="F849" t="s">
        <v>76</v>
      </c>
      <c r="G849">
        <v>3</v>
      </c>
      <c r="H849" t="s">
        <v>125</v>
      </c>
      <c r="I849" t="s">
        <v>43</v>
      </c>
      <c r="J849" t="s">
        <v>126</v>
      </c>
      <c r="K849" t="s">
        <v>44</v>
      </c>
      <c r="L849">
        <v>1556.5</v>
      </c>
      <c r="M849" s="1">
        <v>43571</v>
      </c>
      <c r="N849" t="s">
        <v>45</v>
      </c>
      <c r="O849" t="s">
        <v>44</v>
      </c>
      <c r="P849" t="s">
        <v>47</v>
      </c>
      <c r="Q849" s="1">
        <v>43852</v>
      </c>
      <c r="R849" t="s">
        <v>48</v>
      </c>
    </row>
    <row r="850" spans="1:38" x14ac:dyDescent="0.25">
      <c r="A850" t="s">
        <v>193</v>
      </c>
      <c r="B850">
        <v>640002231</v>
      </c>
      <c r="C850" t="s">
        <v>71</v>
      </c>
      <c r="D850" s="1">
        <v>43192</v>
      </c>
      <c r="E850" s="1">
        <v>43556</v>
      </c>
      <c r="F850" t="s">
        <v>72</v>
      </c>
      <c r="G850">
        <v>3</v>
      </c>
      <c r="H850" t="s">
        <v>125</v>
      </c>
      <c r="I850" t="s">
        <v>43</v>
      </c>
      <c r="J850" t="s">
        <v>126</v>
      </c>
      <c r="K850" t="s">
        <v>44</v>
      </c>
      <c r="L850">
        <v>46087.63</v>
      </c>
      <c r="M850" s="1">
        <v>43192</v>
      </c>
      <c r="N850" t="s">
        <v>45</v>
      </c>
      <c r="O850" t="s">
        <v>46</v>
      </c>
      <c r="P850" t="s">
        <v>47</v>
      </c>
      <c r="Q850" s="1">
        <v>43852</v>
      </c>
      <c r="R850" t="s">
        <v>48</v>
      </c>
      <c r="S850" t="s">
        <v>266</v>
      </c>
      <c r="T850" t="s">
        <v>267</v>
      </c>
      <c r="U850" t="s">
        <v>125</v>
      </c>
      <c r="V850">
        <v>700000</v>
      </c>
      <c r="W850">
        <v>100000</v>
      </c>
      <c r="X850" s="1">
        <v>43830</v>
      </c>
      <c r="Y850" t="s">
        <v>51</v>
      </c>
      <c r="Z850" t="s">
        <v>43</v>
      </c>
      <c r="AA850" t="s">
        <v>115</v>
      </c>
      <c r="AB850" t="s">
        <v>268</v>
      </c>
      <c r="AC850" t="s">
        <v>269</v>
      </c>
      <c r="AF850" t="s">
        <v>134</v>
      </c>
      <c r="AG850" s="1">
        <v>43843</v>
      </c>
      <c r="AH850" t="s">
        <v>125</v>
      </c>
      <c r="AI850" t="s">
        <v>92</v>
      </c>
      <c r="AJ850">
        <v>1278023</v>
      </c>
      <c r="AK850">
        <v>12365300</v>
      </c>
      <c r="AL850">
        <v>12900</v>
      </c>
    </row>
    <row r="851" spans="1:38" x14ac:dyDescent="0.25">
      <c r="A851" t="s">
        <v>193</v>
      </c>
      <c r="B851">
        <v>640002231</v>
      </c>
      <c r="C851" t="s">
        <v>71</v>
      </c>
      <c r="D851" s="1">
        <v>43192</v>
      </c>
      <c r="E851" s="1">
        <v>43556</v>
      </c>
      <c r="F851" t="s">
        <v>72</v>
      </c>
      <c r="G851">
        <v>3</v>
      </c>
      <c r="H851" t="s">
        <v>125</v>
      </c>
      <c r="I851" t="s">
        <v>43</v>
      </c>
      <c r="J851" t="s">
        <v>126</v>
      </c>
      <c r="K851" t="s">
        <v>44</v>
      </c>
      <c r="L851">
        <v>46087.63</v>
      </c>
      <c r="M851" s="1">
        <v>43192</v>
      </c>
      <c r="N851" t="s">
        <v>45</v>
      </c>
      <c r="O851" t="s">
        <v>46</v>
      </c>
      <c r="P851" t="s">
        <v>47</v>
      </c>
      <c r="Q851" s="1">
        <v>43852</v>
      </c>
      <c r="R851" t="s">
        <v>48</v>
      </c>
      <c r="S851" t="s">
        <v>266</v>
      </c>
      <c r="T851" t="s">
        <v>267</v>
      </c>
      <c r="U851" t="s">
        <v>125</v>
      </c>
      <c r="V851">
        <v>700000</v>
      </c>
      <c r="W851">
        <v>100000</v>
      </c>
      <c r="X851" s="1">
        <v>43830</v>
      </c>
      <c r="Y851" t="s">
        <v>51</v>
      </c>
      <c r="Z851" t="s">
        <v>43</v>
      </c>
      <c r="AA851" t="s">
        <v>115</v>
      </c>
      <c r="AB851" t="s">
        <v>268</v>
      </c>
      <c r="AC851" t="s">
        <v>269</v>
      </c>
      <c r="AF851" t="s">
        <v>135</v>
      </c>
      <c r="AG851" s="1">
        <v>43843</v>
      </c>
      <c r="AH851" t="s">
        <v>125</v>
      </c>
      <c r="AI851" t="s">
        <v>92</v>
      </c>
      <c r="AJ851">
        <v>1278023</v>
      </c>
      <c r="AK851">
        <v>12365300</v>
      </c>
      <c r="AL851">
        <v>12900</v>
      </c>
    </row>
    <row r="852" spans="1:38" x14ac:dyDescent="0.25">
      <c r="A852" t="s">
        <v>193</v>
      </c>
      <c r="B852">
        <v>640002231</v>
      </c>
      <c r="C852" t="s">
        <v>71</v>
      </c>
      <c r="D852" s="1">
        <v>43192</v>
      </c>
      <c r="E852" s="1">
        <v>43556</v>
      </c>
      <c r="F852" t="s">
        <v>72</v>
      </c>
      <c r="G852">
        <v>3</v>
      </c>
      <c r="H852" t="s">
        <v>125</v>
      </c>
      <c r="I852" t="s">
        <v>43</v>
      </c>
      <c r="J852" t="s">
        <v>126</v>
      </c>
      <c r="K852" t="s">
        <v>44</v>
      </c>
      <c r="L852">
        <v>46087.63</v>
      </c>
      <c r="M852" s="1">
        <v>43192</v>
      </c>
      <c r="N852" t="s">
        <v>45</v>
      </c>
      <c r="O852" t="s">
        <v>46</v>
      </c>
      <c r="P852" t="s">
        <v>47</v>
      </c>
      <c r="Q852" s="1">
        <v>43852</v>
      </c>
      <c r="R852" t="s">
        <v>48</v>
      </c>
      <c r="S852" t="s">
        <v>266</v>
      </c>
      <c r="T852" t="s">
        <v>267</v>
      </c>
      <c r="U852" t="s">
        <v>125</v>
      </c>
      <c r="V852">
        <v>700000</v>
      </c>
      <c r="W852">
        <v>100000</v>
      </c>
      <c r="X852" s="1">
        <v>43830</v>
      </c>
      <c r="Y852" t="s">
        <v>51</v>
      </c>
      <c r="Z852" t="s">
        <v>43</v>
      </c>
      <c r="AA852" t="s">
        <v>115</v>
      </c>
      <c r="AB852" t="s">
        <v>268</v>
      </c>
      <c r="AC852" t="s">
        <v>269</v>
      </c>
      <c r="AF852" t="s">
        <v>136</v>
      </c>
      <c r="AG852" s="1">
        <v>43839</v>
      </c>
      <c r="AH852" t="s">
        <v>125</v>
      </c>
      <c r="AI852" t="s">
        <v>92</v>
      </c>
      <c r="AJ852">
        <v>1278023</v>
      </c>
      <c r="AK852">
        <v>12365300</v>
      </c>
      <c r="AL852">
        <v>12900</v>
      </c>
    </row>
    <row r="853" spans="1:38" x14ac:dyDescent="0.25">
      <c r="A853" t="s">
        <v>193</v>
      </c>
      <c r="B853">
        <v>640002231</v>
      </c>
      <c r="C853" t="s">
        <v>71</v>
      </c>
      <c r="D853" s="1">
        <v>43192</v>
      </c>
      <c r="E853" s="1">
        <v>43556</v>
      </c>
      <c r="F853" t="s">
        <v>72</v>
      </c>
      <c r="G853">
        <v>3</v>
      </c>
      <c r="H853" t="s">
        <v>125</v>
      </c>
      <c r="I853" t="s">
        <v>43</v>
      </c>
      <c r="J853" t="s">
        <v>126</v>
      </c>
      <c r="K853" t="s">
        <v>44</v>
      </c>
      <c r="L853">
        <v>46087.63</v>
      </c>
      <c r="M853" s="1">
        <v>43192</v>
      </c>
      <c r="N853" t="s">
        <v>45</v>
      </c>
      <c r="O853" t="s">
        <v>46</v>
      </c>
      <c r="P853" t="s">
        <v>47</v>
      </c>
      <c r="Q853" s="1">
        <v>43852</v>
      </c>
      <c r="R853" t="s">
        <v>48</v>
      </c>
      <c r="S853" t="s">
        <v>266</v>
      </c>
      <c r="T853" t="s">
        <v>267</v>
      </c>
      <c r="U853" t="s">
        <v>125</v>
      </c>
      <c r="V853">
        <v>700000</v>
      </c>
      <c r="W853">
        <v>100000</v>
      </c>
      <c r="X853" s="1">
        <v>43830</v>
      </c>
      <c r="Y853" t="s">
        <v>51</v>
      </c>
      <c r="Z853" t="s">
        <v>43</v>
      </c>
      <c r="AA853" t="s">
        <v>115</v>
      </c>
      <c r="AB853" t="s">
        <v>268</v>
      </c>
      <c r="AC853" t="s">
        <v>269</v>
      </c>
      <c r="AF853" t="s">
        <v>137</v>
      </c>
      <c r="AG853" s="1">
        <v>43840</v>
      </c>
      <c r="AH853" t="s">
        <v>125</v>
      </c>
      <c r="AI853" t="s">
        <v>92</v>
      </c>
      <c r="AJ853">
        <v>1278023</v>
      </c>
      <c r="AK853">
        <v>12365300</v>
      </c>
      <c r="AL853">
        <v>12900</v>
      </c>
    </row>
    <row r="854" spans="1:38" x14ac:dyDescent="0.25">
      <c r="A854" t="s">
        <v>193</v>
      </c>
      <c r="B854">
        <v>640002231</v>
      </c>
      <c r="C854" t="s">
        <v>71</v>
      </c>
      <c r="D854" s="1">
        <v>43192</v>
      </c>
      <c r="E854" s="1">
        <v>43556</v>
      </c>
      <c r="F854" t="s">
        <v>72</v>
      </c>
      <c r="G854">
        <v>3</v>
      </c>
      <c r="H854" t="s">
        <v>125</v>
      </c>
      <c r="I854" t="s">
        <v>43</v>
      </c>
      <c r="J854" t="s">
        <v>126</v>
      </c>
      <c r="K854" t="s">
        <v>44</v>
      </c>
      <c r="L854">
        <v>46087.63</v>
      </c>
      <c r="M854" s="1">
        <v>43192</v>
      </c>
      <c r="N854" t="s">
        <v>45</v>
      </c>
      <c r="O854" t="s">
        <v>46</v>
      </c>
      <c r="P854" t="s">
        <v>47</v>
      </c>
      <c r="Q854" s="1">
        <v>43852</v>
      </c>
      <c r="R854" t="s">
        <v>48</v>
      </c>
      <c r="S854" t="s">
        <v>72</v>
      </c>
      <c r="T854" t="s">
        <v>270</v>
      </c>
      <c r="U854" t="s">
        <v>125</v>
      </c>
      <c r="V854">
        <v>0</v>
      </c>
      <c r="W854">
        <v>500000</v>
      </c>
      <c r="X854" s="1">
        <v>43739</v>
      </c>
      <c r="Y854" t="s">
        <v>131</v>
      </c>
      <c r="Z854" t="s">
        <v>43</v>
      </c>
      <c r="AA854" t="s">
        <v>115</v>
      </c>
      <c r="AB854" t="s">
        <v>268</v>
      </c>
      <c r="AC854" t="s">
        <v>269</v>
      </c>
      <c r="AF854" t="s">
        <v>134</v>
      </c>
      <c r="AG854" s="1">
        <v>43843</v>
      </c>
      <c r="AH854" t="s">
        <v>125</v>
      </c>
      <c r="AI854" t="s">
        <v>92</v>
      </c>
      <c r="AJ854">
        <v>1278023</v>
      </c>
      <c r="AK854">
        <v>12365300</v>
      </c>
      <c r="AL854">
        <v>12900</v>
      </c>
    </row>
    <row r="855" spans="1:38" x14ac:dyDescent="0.25">
      <c r="A855" t="s">
        <v>193</v>
      </c>
      <c r="B855">
        <v>640002231</v>
      </c>
      <c r="C855" t="s">
        <v>71</v>
      </c>
      <c r="D855" s="1">
        <v>43192</v>
      </c>
      <c r="E855" s="1">
        <v>43556</v>
      </c>
      <c r="F855" t="s">
        <v>72</v>
      </c>
      <c r="G855">
        <v>3</v>
      </c>
      <c r="H855" t="s">
        <v>125</v>
      </c>
      <c r="I855" t="s">
        <v>43</v>
      </c>
      <c r="J855" t="s">
        <v>126</v>
      </c>
      <c r="K855" t="s">
        <v>44</v>
      </c>
      <c r="L855">
        <v>46087.63</v>
      </c>
      <c r="M855" s="1">
        <v>43192</v>
      </c>
      <c r="N855" t="s">
        <v>45</v>
      </c>
      <c r="O855" t="s">
        <v>46</v>
      </c>
      <c r="P855" t="s">
        <v>47</v>
      </c>
      <c r="Q855" s="1">
        <v>43852</v>
      </c>
      <c r="R855" t="s">
        <v>48</v>
      </c>
      <c r="S855" t="s">
        <v>72</v>
      </c>
      <c r="T855" t="s">
        <v>270</v>
      </c>
      <c r="U855" t="s">
        <v>125</v>
      </c>
      <c r="V855">
        <v>0</v>
      </c>
      <c r="W855">
        <v>500000</v>
      </c>
      <c r="X855" s="1">
        <v>43739</v>
      </c>
      <c r="Y855" t="s">
        <v>131</v>
      </c>
      <c r="Z855" t="s">
        <v>43</v>
      </c>
      <c r="AA855" t="s">
        <v>115</v>
      </c>
      <c r="AB855" t="s">
        <v>268</v>
      </c>
      <c r="AC855" t="s">
        <v>269</v>
      </c>
      <c r="AF855" t="s">
        <v>135</v>
      </c>
      <c r="AG855" s="1">
        <v>43843</v>
      </c>
      <c r="AH855" t="s">
        <v>125</v>
      </c>
      <c r="AI855" t="s">
        <v>92</v>
      </c>
      <c r="AJ855">
        <v>1278023</v>
      </c>
      <c r="AK855">
        <v>12365300</v>
      </c>
      <c r="AL855">
        <v>12900</v>
      </c>
    </row>
    <row r="856" spans="1:38" x14ac:dyDescent="0.25">
      <c r="A856" t="s">
        <v>193</v>
      </c>
      <c r="B856">
        <v>640002231</v>
      </c>
      <c r="C856" t="s">
        <v>71</v>
      </c>
      <c r="D856" s="1">
        <v>43192</v>
      </c>
      <c r="E856" s="1">
        <v>43556</v>
      </c>
      <c r="F856" t="s">
        <v>72</v>
      </c>
      <c r="G856">
        <v>3</v>
      </c>
      <c r="H856" t="s">
        <v>125</v>
      </c>
      <c r="I856" t="s">
        <v>43</v>
      </c>
      <c r="J856" t="s">
        <v>126</v>
      </c>
      <c r="K856" t="s">
        <v>44</v>
      </c>
      <c r="L856">
        <v>46087.63</v>
      </c>
      <c r="M856" s="1">
        <v>43192</v>
      </c>
      <c r="N856" t="s">
        <v>45</v>
      </c>
      <c r="O856" t="s">
        <v>46</v>
      </c>
      <c r="P856" t="s">
        <v>47</v>
      </c>
      <c r="Q856" s="1">
        <v>43852</v>
      </c>
      <c r="R856" t="s">
        <v>48</v>
      </c>
      <c r="S856" t="s">
        <v>72</v>
      </c>
      <c r="T856" t="s">
        <v>270</v>
      </c>
      <c r="U856" t="s">
        <v>125</v>
      </c>
      <c r="V856">
        <v>0</v>
      </c>
      <c r="W856">
        <v>500000</v>
      </c>
      <c r="X856" s="1">
        <v>43739</v>
      </c>
      <c r="Y856" t="s">
        <v>131</v>
      </c>
      <c r="Z856" t="s">
        <v>43</v>
      </c>
      <c r="AA856" t="s">
        <v>115</v>
      </c>
      <c r="AB856" t="s">
        <v>268</v>
      </c>
      <c r="AC856" t="s">
        <v>269</v>
      </c>
      <c r="AF856" t="s">
        <v>136</v>
      </c>
      <c r="AG856" s="1">
        <v>43839</v>
      </c>
      <c r="AH856" t="s">
        <v>125</v>
      </c>
      <c r="AI856" t="s">
        <v>92</v>
      </c>
      <c r="AJ856">
        <v>1278023</v>
      </c>
      <c r="AK856">
        <v>12365300</v>
      </c>
      <c r="AL856">
        <v>12900</v>
      </c>
    </row>
    <row r="857" spans="1:38" x14ac:dyDescent="0.25">
      <c r="A857" t="s">
        <v>193</v>
      </c>
      <c r="B857">
        <v>640002231</v>
      </c>
      <c r="C857" t="s">
        <v>71</v>
      </c>
      <c r="D857" s="1">
        <v>43192</v>
      </c>
      <c r="E857" s="1">
        <v>43556</v>
      </c>
      <c r="F857" t="s">
        <v>72</v>
      </c>
      <c r="G857">
        <v>3</v>
      </c>
      <c r="H857" t="s">
        <v>125</v>
      </c>
      <c r="I857" t="s">
        <v>43</v>
      </c>
      <c r="J857" t="s">
        <v>126</v>
      </c>
      <c r="K857" t="s">
        <v>44</v>
      </c>
      <c r="L857">
        <v>46087.63</v>
      </c>
      <c r="M857" s="1">
        <v>43192</v>
      </c>
      <c r="N857" t="s">
        <v>45</v>
      </c>
      <c r="O857" t="s">
        <v>46</v>
      </c>
      <c r="P857" t="s">
        <v>47</v>
      </c>
      <c r="Q857" s="1">
        <v>43852</v>
      </c>
      <c r="R857" t="s">
        <v>48</v>
      </c>
      <c r="S857" t="s">
        <v>72</v>
      </c>
      <c r="T857" t="s">
        <v>270</v>
      </c>
      <c r="U857" t="s">
        <v>125</v>
      </c>
      <c r="V857">
        <v>0</v>
      </c>
      <c r="W857">
        <v>500000</v>
      </c>
      <c r="X857" s="1">
        <v>43739</v>
      </c>
      <c r="Y857" t="s">
        <v>131</v>
      </c>
      <c r="Z857" t="s">
        <v>43</v>
      </c>
      <c r="AA857" t="s">
        <v>115</v>
      </c>
      <c r="AB857" t="s">
        <v>268</v>
      </c>
      <c r="AC857" t="s">
        <v>269</v>
      </c>
      <c r="AF857" t="s">
        <v>137</v>
      </c>
      <c r="AG857" s="1">
        <v>43840</v>
      </c>
      <c r="AH857" t="s">
        <v>125</v>
      </c>
      <c r="AI857" t="s">
        <v>92</v>
      </c>
      <c r="AJ857">
        <v>1278023</v>
      </c>
      <c r="AK857">
        <v>12365300</v>
      </c>
      <c r="AL857">
        <v>12900</v>
      </c>
    </row>
    <row r="858" spans="1:38" x14ac:dyDescent="0.25">
      <c r="A858" t="s">
        <v>193</v>
      </c>
      <c r="B858">
        <v>640002231</v>
      </c>
      <c r="C858" t="s">
        <v>71</v>
      </c>
      <c r="D858" s="1">
        <v>43192</v>
      </c>
      <c r="E858" s="1">
        <v>43556</v>
      </c>
      <c r="F858" t="s">
        <v>72</v>
      </c>
      <c r="G858">
        <v>3</v>
      </c>
      <c r="H858" t="s">
        <v>125</v>
      </c>
      <c r="I858" t="s">
        <v>43</v>
      </c>
      <c r="J858" t="s">
        <v>126</v>
      </c>
      <c r="K858" t="s">
        <v>44</v>
      </c>
      <c r="L858">
        <v>46087.63</v>
      </c>
      <c r="M858" s="1">
        <v>43192</v>
      </c>
      <c r="N858" t="s">
        <v>45</v>
      </c>
      <c r="O858" t="s">
        <v>46</v>
      </c>
      <c r="P858" t="s">
        <v>47</v>
      </c>
      <c r="Q858" s="1">
        <v>43852</v>
      </c>
      <c r="R858" t="s">
        <v>48</v>
      </c>
      <c r="S858" t="s">
        <v>271</v>
      </c>
      <c r="T858" t="s">
        <v>272</v>
      </c>
      <c r="U858" t="s">
        <v>125</v>
      </c>
      <c r="V858">
        <v>0</v>
      </c>
      <c r="W858">
        <v>50000</v>
      </c>
      <c r="X858" s="1">
        <v>43738</v>
      </c>
      <c r="Y858" t="s">
        <v>140</v>
      </c>
      <c r="Z858" t="s">
        <v>43</v>
      </c>
      <c r="AA858" t="s">
        <v>115</v>
      </c>
      <c r="AB858" t="s">
        <v>268</v>
      </c>
      <c r="AC858" t="s">
        <v>269</v>
      </c>
      <c r="AF858" t="s">
        <v>134</v>
      </c>
      <c r="AG858" s="1">
        <v>43843</v>
      </c>
      <c r="AH858" t="s">
        <v>125</v>
      </c>
      <c r="AI858" t="s">
        <v>92</v>
      </c>
      <c r="AJ858">
        <v>1278023</v>
      </c>
      <c r="AK858">
        <v>12365300</v>
      </c>
      <c r="AL858">
        <v>12900</v>
      </c>
    </row>
    <row r="859" spans="1:38" x14ac:dyDescent="0.25">
      <c r="A859" t="s">
        <v>193</v>
      </c>
      <c r="B859">
        <v>640002231</v>
      </c>
      <c r="C859" t="s">
        <v>71</v>
      </c>
      <c r="D859" s="1">
        <v>43192</v>
      </c>
      <c r="E859" s="1">
        <v>43556</v>
      </c>
      <c r="F859" t="s">
        <v>72</v>
      </c>
      <c r="G859">
        <v>3</v>
      </c>
      <c r="H859" t="s">
        <v>125</v>
      </c>
      <c r="I859" t="s">
        <v>43</v>
      </c>
      <c r="J859" t="s">
        <v>126</v>
      </c>
      <c r="K859" t="s">
        <v>44</v>
      </c>
      <c r="L859">
        <v>46087.63</v>
      </c>
      <c r="M859" s="1">
        <v>43192</v>
      </c>
      <c r="N859" t="s">
        <v>45</v>
      </c>
      <c r="O859" t="s">
        <v>46</v>
      </c>
      <c r="P859" t="s">
        <v>47</v>
      </c>
      <c r="Q859" s="1">
        <v>43852</v>
      </c>
      <c r="R859" t="s">
        <v>48</v>
      </c>
      <c r="S859" t="s">
        <v>271</v>
      </c>
      <c r="T859" t="s">
        <v>272</v>
      </c>
      <c r="U859" t="s">
        <v>125</v>
      </c>
      <c r="V859">
        <v>0</v>
      </c>
      <c r="W859">
        <v>50000</v>
      </c>
      <c r="X859" s="1">
        <v>43738</v>
      </c>
      <c r="Y859" t="s">
        <v>140</v>
      </c>
      <c r="Z859" t="s">
        <v>43</v>
      </c>
      <c r="AA859" t="s">
        <v>115</v>
      </c>
      <c r="AB859" t="s">
        <v>268</v>
      </c>
      <c r="AC859" t="s">
        <v>269</v>
      </c>
      <c r="AF859" t="s">
        <v>135</v>
      </c>
      <c r="AG859" s="1">
        <v>43843</v>
      </c>
      <c r="AH859" t="s">
        <v>125</v>
      </c>
      <c r="AI859" t="s">
        <v>92</v>
      </c>
      <c r="AJ859">
        <v>1278023</v>
      </c>
      <c r="AK859">
        <v>12365300</v>
      </c>
      <c r="AL859">
        <v>12900</v>
      </c>
    </row>
    <row r="860" spans="1:38" x14ac:dyDescent="0.25">
      <c r="A860" t="s">
        <v>193</v>
      </c>
      <c r="B860">
        <v>640002231</v>
      </c>
      <c r="C860" t="s">
        <v>71</v>
      </c>
      <c r="D860" s="1">
        <v>43192</v>
      </c>
      <c r="E860" s="1">
        <v>43556</v>
      </c>
      <c r="F860" t="s">
        <v>72</v>
      </c>
      <c r="G860">
        <v>3</v>
      </c>
      <c r="H860" t="s">
        <v>125</v>
      </c>
      <c r="I860" t="s">
        <v>43</v>
      </c>
      <c r="J860" t="s">
        <v>126</v>
      </c>
      <c r="K860" t="s">
        <v>44</v>
      </c>
      <c r="L860">
        <v>46087.63</v>
      </c>
      <c r="M860" s="1">
        <v>43192</v>
      </c>
      <c r="N860" t="s">
        <v>45</v>
      </c>
      <c r="O860" t="s">
        <v>46</v>
      </c>
      <c r="P860" t="s">
        <v>47</v>
      </c>
      <c r="Q860" s="1">
        <v>43852</v>
      </c>
      <c r="R860" t="s">
        <v>48</v>
      </c>
      <c r="S860" t="s">
        <v>271</v>
      </c>
      <c r="T860" t="s">
        <v>272</v>
      </c>
      <c r="U860" t="s">
        <v>125</v>
      </c>
      <c r="V860">
        <v>0</v>
      </c>
      <c r="W860">
        <v>50000</v>
      </c>
      <c r="X860" s="1">
        <v>43738</v>
      </c>
      <c r="Y860" t="s">
        <v>140</v>
      </c>
      <c r="Z860" t="s">
        <v>43</v>
      </c>
      <c r="AA860" t="s">
        <v>115</v>
      </c>
      <c r="AB860" t="s">
        <v>268</v>
      </c>
      <c r="AC860" t="s">
        <v>269</v>
      </c>
      <c r="AF860" t="s">
        <v>136</v>
      </c>
      <c r="AG860" s="1">
        <v>43839</v>
      </c>
      <c r="AH860" t="s">
        <v>125</v>
      </c>
      <c r="AI860" t="s">
        <v>92</v>
      </c>
      <c r="AJ860">
        <v>1278023</v>
      </c>
      <c r="AK860">
        <v>12365300</v>
      </c>
      <c r="AL860">
        <v>12900</v>
      </c>
    </row>
    <row r="861" spans="1:38" x14ac:dyDescent="0.25">
      <c r="A861" t="s">
        <v>193</v>
      </c>
      <c r="B861">
        <v>640002231</v>
      </c>
      <c r="C861" t="s">
        <v>71</v>
      </c>
      <c r="D861" s="1">
        <v>43192</v>
      </c>
      <c r="E861" s="1">
        <v>43556</v>
      </c>
      <c r="F861" t="s">
        <v>72</v>
      </c>
      <c r="G861">
        <v>3</v>
      </c>
      <c r="H861" t="s">
        <v>125</v>
      </c>
      <c r="I861" t="s">
        <v>43</v>
      </c>
      <c r="J861" t="s">
        <v>126</v>
      </c>
      <c r="K861" t="s">
        <v>44</v>
      </c>
      <c r="L861">
        <v>46087.63</v>
      </c>
      <c r="M861" s="1">
        <v>43192</v>
      </c>
      <c r="N861" t="s">
        <v>45</v>
      </c>
      <c r="O861" t="s">
        <v>46</v>
      </c>
      <c r="P861" t="s">
        <v>47</v>
      </c>
      <c r="Q861" s="1">
        <v>43852</v>
      </c>
      <c r="R861" t="s">
        <v>48</v>
      </c>
      <c r="S861" t="s">
        <v>271</v>
      </c>
      <c r="T861" t="s">
        <v>272</v>
      </c>
      <c r="U861" t="s">
        <v>125</v>
      </c>
      <c r="V861">
        <v>0</v>
      </c>
      <c r="W861">
        <v>50000</v>
      </c>
      <c r="X861" s="1">
        <v>43738</v>
      </c>
      <c r="Y861" t="s">
        <v>140</v>
      </c>
      <c r="Z861" t="s">
        <v>43</v>
      </c>
      <c r="AA861" t="s">
        <v>115</v>
      </c>
      <c r="AB861" t="s">
        <v>268</v>
      </c>
      <c r="AC861" t="s">
        <v>269</v>
      </c>
      <c r="AF861" t="s">
        <v>137</v>
      </c>
      <c r="AG861" s="1">
        <v>43840</v>
      </c>
      <c r="AH861" t="s">
        <v>125</v>
      </c>
      <c r="AI861" t="s">
        <v>92</v>
      </c>
      <c r="AJ861">
        <v>1278023</v>
      </c>
      <c r="AK861">
        <v>12365300</v>
      </c>
      <c r="AL861">
        <v>12900</v>
      </c>
    </row>
    <row r="862" spans="1:38" x14ac:dyDescent="0.25">
      <c r="A862" t="s">
        <v>195</v>
      </c>
      <c r="B862" t="s">
        <v>344</v>
      </c>
      <c r="C862" t="s">
        <v>71</v>
      </c>
      <c r="D862" s="1">
        <v>43557</v>
      </c>
      <c r="E862" s="1">
        <v>43571</v>
      </c>
      <c r="F862" t="s">
        <v>76</v>
      </c>
      <c r="G862">
        <v>3</v>
      </c>
      <c r="H862" t="s">
        <v>125</v>
      </c>
      <c r="I862" t="s">
        <v>43</v>
      </c>
      <c r="J862" t="s">
        <v>126</v>
      </c>
      <c r="K862" t="s">
        <v>44</v>
      </c>
      <c r="L862">
        <v>4362.38</v>
      </c>
      <c r="M862" s="1">
        <v>43557</v>
      </c>
      <c r="N862" t="s">
        <v>45</v>
      </c>
      <c r="O862" t="s">
        <v>44</v>
      </c>
      <c r="P862" t="s">
        <v>47</v>
      </c>
      <c r="Q862" s="1">
        <v>43852</v>
      </c>
      <c r="R862" t="s">
        <v>48</v>
      </c>
    </row>
    <row r="863" spans="1:38" x14ac:dyDescent="0.25">
      <c r="A863" t="s">
        <v>197</v>
      </c>
      <c r="B863" t="s">
        <v>345</v>
      </c>
      <c r="C863" t="s">
        <v>40</v>
      </c>
      <c r="D863" s="1">
        <v>43572</v>
      </c>
      <c r="E863" s="1">
        <v>43922</v>
      </c>
      <c r="F863" t="s">
        <v>76</v>
      </c>
      <c r="G863">
        <v>3</v>
      </c>
      <c r="H863" t="s">
        <v>125</v>
      </c>
      <c r="I863" t="s">
        <v>43</v>
      </c>
      <c r="J863" t="s">
        <v>126</v>
      </c>
      <c r="K863" t="s">
        <v>44</v>
      </c>
      <c r="L863">
        <v>65370</v>
      </c>
      <c r="M863" s="1">
        <v>43572</v>
      </c>
      <c r="N863" t="s">
        <v>45</v>
      </c>
      <c r="O863" t="s">
        <v>44</v>
      </c>
      <c r="P863" t="s">
        <v>47</v>
      </c>
      <c r="Q863" s="1">
        <v>43852</v>
      </c>
      <c r="R863" t="s">
        <v>48</v>
      </c>
    </row>
    <row r="864" spans="1:38" x14ac:dyDescent="0.25">
      <c r="A864" t="s">
        <v>198</v>
      </c>
      <c r="B864">
        <v>22515779</v>
      </c>
      <c r="C864" t="s">
        <v>40</v>
      </c>
      <c r="D864" s="1">
        <v>43738</v>
      </c>
      <c r="E864" s="1">
        <v>44103</v>
      </c>
      <c r="F864" t="s">
        <v>41</v>
      </c>
      <c r="G864">
        <v>3</v>
      </c>
      <c r="H864" t="s">
        <v>125</v>
      </c>
      <c r="I864" t="s">
        <v>43</v>
      </c>
      <c r="J864" t="s">
        <v>126</v>
      </c>
      <c r="K864" t="s">
        <v>127</v>
      </c>
      <c r="L864">
        <v>44259.67</v>
      </c>
      <c r="M864" s="1">
        <v>43738</v>
      </c>
      <c r="N864" t="s">
        <v>45</v>
      </c>
      <c r="O864" t="s">
        <v>46</v>
      </c>
      <c r="P864" t="s">
        <v>47</v>
      </c>
      <c r="Q864" s="1">
        <v>43852</v>
      </c>
      <c r="R864" t="s">
        <v>48</v>
      </c>
      <c r="S864" t="s">
        <v>41</v>
      </c>
      <c r="T864" t="s">
        <v>130</v>
      </c>
      <c r="U864" t="s">
        <v>125</v>
      </c>
      <c r="V864">
        <v>0</v>
      </c>
      <c r="W864">
        <v>100000</v>
      </c>
      <c r="X864" s="1">
        <v>43769</v>
      </c>
      <c r="Y864" t="s">
        <v>131</v>
      </c>
      <c r="Z864" t="s">
        <v>43</v>
      </c>
      <c r="AA864" t="s">
        <v>41</v>
      </c>
      <c r="AB864" t="s">
        <v>132</v>
      </c>
      <c r="AC864" t="s">
        <v>133</v>
      </c>
      <c r="AF864" t="s">
        <v>134</v>
      </c>
      <c r="AG864" s="1">
        <v>43843</v>
      </c>
      <c r="AH864" t="s">
        <v>125</v>
      </c>
      <c r="AI864" t="s">
        <v>92</v>
      </c>
      <c r="AJ864">
        <v>1278023</v>
      </c>
      <c r="AK864">
        <v>12365300</v>
      </c>
      <c r="AL864">
        <v>12900</v>
      </c>
    </row>
    <row r="865" spans="1:38" x14ac:dyDescent="0.25">
      <c r="A865" t="s">
        <v>198</v>
      </c>
      <c r="B865">
        <v>22515779</v>
      </c>
      <c r="C865" t="s">
        <v>40</v>
      </c>
      <c r="D865" s="1">
        <v>43738</v>
      </c>
      <c r="E865" s="1">
        <v>44103</v>
      </c>
      <c r="F865" t="s">
        <v>41</v>
      </c>
      <c r="G865">
        <v>3</v>
      </c>
      <c r="H865" t="s">
        <v>125</v>
      </c>
      <c r="I865" t="s">
        <v>43</v>
      </c>
      <c r="J865" t="s">
        <v>126</v>
      </c>
      <c r="K865" t="s">
        <v>127</v>
      </c>
      <c r="L865">
        <v>44259.67</v>
      </c>
      <c r="M865" s="1">
        <v>43738</v>
      </c>
      <c r="N865" t="s">
        <v>45</v>
      </c>
      <c r="O865" t="s">
        <v>46</v>
      </c>
      <c r="P865" t="s">
        <v>47</v>
      </c>
      <c r="Q865" s="1">
        <v>43852</v>
      </c>
      <c r="R865" t="s">
        <v>48</v>
      </c>
      <c r="S865" t="s">
        <v>41</v>
      </c>
      <c r="T865" t="s">
        <v>130</v>
      </c>
      <c r="U865" t="s">
        <v>125</v>
      </c>
      <c r="V865">
        <v>0</v>
      </c>
      <c r="W865">
        <v>100000</v>
      </c>
      <c r="X865" s="1">
        <v>43769</v>
      </c>
      <c r="Y865" t="s">
        <v>131</v>
      </c>
      <c r="Z865" t="s">
        <v>43</v>
      </c>
      <c r="AA865" t="s">
        <v>41</v>
      </c>
      <c r="AB865" t="s">
        <v>132</v>
      </c>
      <c r="AC865" t="s">
        <v>133</v>
      </c>
      <c r="AF865" t="s">
        <v>135</v>
      </c>
      <c r="AG865" s="1">
        <v>43843</v>
      </c>
      <c r="AH865" t="s">
        <v>125</v>
      </c>
      <c r="AI865" t="s">
        <v>92</v>
      </c>
      <c r="AJ865">
        <v>1278023</v>
      </c>
      <c r="AK865">
        <v>12365300</v>
      </c>
      <c r="AL865">
        <v>12900</v>
      </c>
    </row>
    <row r="866" spans="1:38" x14ac:dyDescent="0.25">
      <c r="A866" t="s">
        <v>198</v>
      </c>
      <c r="B866">
        <v>22515779</v>
      </c>
      <c r="C866" t="s">
        <v>40</v>
      </c>
      <c r="D866" s="1">
        <v>43738</v>
      </c>
      <c r="E866" s="1">
        <v>44103</v>
      </c>
      <c r="F866" t="s">
        <v>41</v>
      </c>
      <c r="G866">
        <v>3</v>
      </c>
      <c r="H866" t="s">
        <v>125</v>
      </c>
      <c r="I866" t="s">
        <v>43</v>
      </c>
      <c r="J866" t="s">
        <v>126</v>
      </c>
      <c r="K866" t="s">
        <v>127</v>
      </c>
      <c r="L866">
        <v>44259.67</v>
      </c>
      <c r="M866" s="1">
        <v>43738</v>
      </c>
      <c r="N866" t="s">
        <v>45</v>
      </c>
      <c r="O866" t="s">
        <v>46</v>
      </c>
      <c r="P866" t="s">
        <v>47</v>
      </c>
      <c r="Q866" s="1">
        <v>43852</v>
      </c>
      <c r="R866" t="s">
        <v>48</v>
      </c>
      <c r="S866" t="s">
        <v>41</v>
      </c>
      <c r="T866" t="s">
        <v>130</v>
      </c>
      <c r="U866" t="s">
        <v>125</v>
      </c>
      <c r="V866">
        <v>0</v>
      </c>
      <c r="W866">
        <v>100000</v>
      </c>
      <c r="X866" s="1">
        <v>43769</v>
      </c>
      <c r="Y866" t="s">
        <v>131</v>
      </c>
      <c r="Z866" t="s">
        <v>43</v>
      </c>
      <c r="AA866" t="s">
        <v>41</v>
      </c>
      <c r="AB866" t="s">
        <v>132</v>
      </c>
      <c r="AC866" t="s">
        <v>133</v>
      </c>
      <c r="AF866" t="s">
        <v>136</v>
      </c>
      <c r="AG866" s="1">
        <v>43839</v>
      </c>
      <c r="AH866" t="s">
        <v>125</v>
      </c>
      <c r="AI866" t="s">
        <v>92</v>
      </c>
      <c r="AJ866">
        <v>1278023</v>
      </c>
      <c r="AK866">
        <v>12365300</v>
      </c>
      <c r="AL866">
        <v>12900</v>
      </c>
    </row>
    <row r="867" spans="1:38" x14ac:dyDescent="0.25">
      <c r="A867" t="s">
        <v>198</v>
      </c>
      <c r="B867">
        <v>22515779</v>
      </c>
      <c r="C867" t="s">
        <v>40</v>
      </c>
      <c r="D867" s="1">
        <v>43738</v>
      </c>
      <c r="E867" s="1">
        <v>44103</v>
      </c>
      <c r="F867" t="s">
        <v>41</v>
      </c>
      <c r="G867">
        <v>3</v>
      </c>
      <c r="H867" t="s">
        <v>125</v>
      </c>
      <c r="I867" t="s">
        <v>43</v>
      </c>
      <c r="J867" t="s">
        <v>126</v>
      </c>
      <c r="K867" t="s">
        <v>127</v>
      </c>
      <c r="L867">
        <v>44259.67</v>
      </c>
      <c r="M867" s="1">
        <v>43738</v>
      </c>
      <c r="N867" t="s">
        <v>45</v>
      </c>
      <c r="O867" t="s">
        <v>46</v>
      </c>
      <c r="P867" t="s">
        <v>47</v>
      </c>
      <c r="Q867" s="1">
        <v>43852</v>
      </c>
      <c r="R867" t="s">
        <v>48</v>
      </c>
      <c r="S867" t="s">
        <v>41</v>
      </c>
      <c r="T867" t="s">
        <v>130</v>
      </c>
      <c r="U867" t="s">
        <v>125</v>
      </c>
      <c r="V867">
        <v>0</v>
      </c>
      <c r="W867">
        <v>100000</v>
      </c>
      <c r="X867" s="1">
        <v>43769</v>
      </c>
      <c r="Y867" t="s">
        <v>131</v>
      </c>
      <c r="Z867" t="s">
        <v>43</v>
      </c>
      <c r="AA867" t="s">
        <v>41</v>
      </c>
      <c r="AB867" t="s">
        <v>132</v>
      </c>
      <c r="AC867" t="s">
        <v>133</v>
      </c>
      <c r="AF867" t="s">
        <v>137</v>
      </c>
      <c r="AG867" s="1">
        <v>43840</v>
      </c>
      <c r="AH867" t="s">
        <v>125</v>
      </c>
      <c r="AI867" t="s">
        <v>92</v>
      </c>
      <c r="AJ867">
        <v>1278023</v>
      </c>
      <c r="AK867">
        <v>12365300</v>
      </c>
      <c r="AL867">
        <v>12900</v>
      </c>
    </row>
    <row r="868" spans="1:38" x14ac:dyDescent="0.25">
      <c r="A868" t="s">
        <v>198</v>
      </c>
      <c r="B868">
        <v>22515779</v>
      </c>
      <c r="C868" t="s">
        <v>40</v>
      </c>
      <c r="D868" s="1">
        <v>43738</v>
      </c>
      <c r="E868" s="1">
        <v>44103</v>
      </c>
      <c r="F868" t="s">
        <v>41</v>
      </c>
      <c r="G868">
        <v>3</v>
      </c>
      <c r="H868" t="s">
        <v>125</v>
      </c>
      <c r="I868" t="s">
        <v>43</v>
      </c>
      <c r="J868" t="s">
        <v>126</v>
      </c>
      <c r="K868" t="s">
        <v>127</v>
      </c>
      <c r="L868">
        <v>44259.67</v>
      </c>
      <c r="M868" s="1">
        <v>43738</v>
      </c>
      <c r="N868" t="s">
        <v>45</v>
      </c>
      <c r="O868" t="s">
        <v>46</v>
      </c>
      <c r="P868" t="s">
        <v>47</v>
      </c>
      <c r="Q868" s="1">
        <v>43852</v>
      </c>
      <c r="R868" t="s">
        <v>48</v>
      </c>
      <c r="S868" t="s">
        <v>138</v>
      </c>
      <c r="T868" t="s">
        <v>139</v>
      </c>
      <c r="U868" t="s">
        <v>125</v>
      </c>
      <c r="V868">
        <v>0</v>
      </c>
      <c r="W868">
        <v>10000</v>
      </c>
      <c r="X868" s="1">
        <v>43738</v>
      </c>
      <c r="Y868" t="s">
        <v>140</v>
      </c>
      <c r="Z868" t="s">
        <v>43</v>
      </c>
      <c r="AA868" t="s">
        <v>41</v>
      </c>
      <c r="AB868" t="s">
        <v>132</v>
      </c>
      <c r="AC868" t="s">
        <v>132</v>
      </c>
      <c r="AF868" t="s">
        <v>134</v>
      </c>
      <c r="AG868" s="1">
        <v>43843</v>
      </c>
      <c r="AH868" t="s">
        <v>125</v>
      </c>
      <c r="AI868" t="s">
        <v>92</v>
      </c>
      <c r="AJ868">
        <v>1278023</v>
      </c>
      <c r="AK868">
        <v>12365300</v>
      </c>
      <c r="AL868">
        <v>12900</v>
      </c>
    </row>
    <row r="869" spans="1:38" x14ac:dyDescent="0.25">
      <c r="A869" t="s">
        <v>198</v>
      </c>
      <c r="B869">
        <v>22515779</v>
      </c>
      <c r="C869" t="s">
        <v>40</v>
      </c>
      <c r="D869" s="1">
        <v>43738</v>
      </c>
      <c r="E869" s="1">
        <v>44103</v>
      </c>
      <c r="F869" t="s">
        <v>41</v>
      </c>
      <c r="G869">
        <v>3</v>
      </c>
      <c r="H869" t="s">
        <v>125</v>
      </c>
      <c r="I869" t="s">
        <v>43</v>
      </c>
      <c r="J869" t="s">
        <v>126</v>
      </c>
      <c r="K869" t="s">
        <v>127</v>
      </c>
      <c r="L869">
        <v>44259.67</v>
      </c>
      <c r="M869" s="1">
        <v>43738</v>
      </c>
      <c r="N869" t="s">
        <v>45</v>
      </c>
      <c r="O869" t="s">
        <v>46</v>
      </c>
      <c r="P869" t="s">
        <v>47</v>
      </c>
      <c r="Q869" s="1">
        <v>43852</v>
      </c>
      <c r="R869" t="s">
        <v>48</v>
      </c>
      <c r="S869" t="s">
        <v>138</v>
      </c>
      <c r="T869" t="s">
        <v>139</v>
      </c>
      <c r="U869" t="s">
        <v>125</v>
      </c>
      <c r="V869">
        <v>0</v>
      </c>
      <c r="W869">
        <v>10000</v>
      </c>
      <c r="X869" s="1">
        <v>43738</v>
      </c>
      <c r="Y869" t="s">
        <v>140</v>
      </c>
      <c r="Z869" t="s">
        <v>43</v>
      </c>
      <c r="AA869" t="s">
        <v>41</v>
      </c>
      <c r="AB869" t="s">
        <v>132</v>
      </c>
      <c r="AC869" t="s">
        <v>132</v>
      </c>
      <c r="AF869" t="s">
        <v>135</v>
      </c>
      <c r="AG869" s="1">
        <v>43843</v>
      </c>
      <c r="AH869" t="s">
        <v>125</v>
      </c>
      <c r="AI869" t="s">
        <v>92</v>
      </c>
      <c r="AJ869">
        <v>1278023</v>
      </c>
      <c r="AK869">
        <v>12365300</v>
      </c>
      <c r="AL869">
        <v>12900</v>
      </c>
    </row>
    <row r="870" spans="1:38" x14ac:dyDescent="0.25">
      <c r="A870" t="s">
        <v>198</v>
      </c>
      <c r="B870">
        <v>22515779</v>
      </c>
      <c r="C870" t="s">
        <v>40</v>
      </c>
      <c r="D870" s="1">
        <v>43738</v>
      </c>
      <c r="E870" s="1">
        <v>44103</v>
      </c>
      <c r="F870" t="s">
        <v>41</v>
      </c>
      <c r="G870">
        <v>3</v>
      </c>
      <c r="H870" t="s">
        <v>125</v>
      </c>
      <c r="I870" t="s">
        <v>43</v>
      </c>
      <c r="J870" t="s">
        <v>126</v>
      </c>
      <c r="K870" t="s">
        <v>127</v>
      </c>
      <c r="L870">
        <v>44259.67</v>
      </c>
      <c r="M870" s="1">
        <v>43738</v>
      </c>
      <c r="N870" t="s">
        <v>45</v>
      </c>
      <c r="O870" t="s">
        <v>46</v>
      </c>
      <c r="P870" t="s">
        <v>47</v>
      </c>
      <c r="Q870" s="1">
        <v>43852</v>
      </c>
      <c r="R870" t="s">
        <v>48</v>
      </c>
      <c r="S870" t="s">
        <v>138</v>
      </c>
      <c r="T870" t="s">
        <v>139</v>
      </c>
      <c r="U870" t="s">
        <v>125</v>
      </c>
      <c r="V870">
        <v>0</v>
      </c>
      <c r="W870">
        <v>10000</v>
      </c>
      <c r="X870" s="1">
        <v>43738</v>
      </c>
      <c r="Y870" t="s">
        <v>140</v>
      </c>
      <c r="Z870" t="s">
        <v>43</v>
      </c>
      <c r="AA870" t="s">
        <v>41</v>
      </c>
      <c r="AB870" t="s">
        <v>132</v>
      </c>
      <c r="AC870" t="s">
        <v>132</v>
      </c>
      <c r="AF870" t="s">
        <v>136</v>
      </c>
      <c r="AG870" s="1">
        <v>43839</v>
      </c>
      <c r="AH870" t="s">
        <v>125</v>
      </c>
      <c r="AI870" t="s">
        <v>92</v>
      </c>
      <c r="AJ870">
        <v>1278023</v>
      </c>
      <c r="AK870">
        <v>12365300</v>
      </c>
      <c r="AL870">
        <v>12900</v>
      </c>
    </row>
    <row r="871" spans="1:38" x14ac:dyDescent="0.25">
      <c r="A871" t="s">
        <v>198</v>
      </c>
      <c r="B871">
        <v>22515779</v>
      </c>
      <c r="C871" t="s">
        <v>40</v>
      </c>
      <c r="D871" s="1">
        <v>43738</v>
      </c>
      <c r="E871" s="1">
        <v>44103</v>
      </c>
      <c r="F871" t="s">
        <v>41</v>
      </c>
      <c r="G871">
        <v>3</v>
      </c>
      <c r="H871" t="s">
        <v>125</v>
      </c>
      <c r="I871" t="s">
        <v>43</v>
      </c>
      <c r="J871" t="s">
        <v>126</v>
      </c>
      <c r="K871" t="s">
        <v>127</v>
      </c>
      <c r="L871">
        <v>44259.67</v>
      </c>
      <c r="M871" s="1">
        <v>43738</v>
      </c>
      <c r="N871" t="s">
        <v>45</v>
      </c>
      <c r="O871" t="s">
        <v>46</v>
      </c>
      <c r="P871" t="s">
        <v>47</v>
      </c>
      <c r="Q871" s="1">
        <v>43852</v>
      </c>
      <c r="R871" t="s">
        <v>48</v>
      </c>
      <c r="S871" t="s">
        <v>138</v>
      </c>
      <c r="T871" t="s">
        <v>139</v>
      </c>
      <c r="U871" t="s">
        <v>125</v>
      </c>
      <c r="V871">
        <v>0</v>
      </c>
      <c r="W871">
        <v>10000</v>
      </c>
      <c r="X871" s="1">
        <v>43738</v>
      </c>
      <c r="Y871" t="s">
        <v>140</v>
      </c>
      <c r="Z871" t="s">
        <v>43</v>
      </c>
      <c r="AA871" t="s">
        <v>41</v>
      </c>
      <c r="AB871" t="s">
        <v>132</v>
      </c>
      <c r="AC871" t="s">
        <v>132</v>
      </c>
      <c r="AF871" t="s">
        <v>137</v>
      </c>
      <c r="AG871" s="1">
        <v>43840</v>
      </c>
      <c r="AH871" t="s">
        <v>125</v>
      </c>
      <c r="AI871" t="s">
        <v>92</v>
      </c>
      <c r="AJ871">
        <v>1278023</v>
      </c>
      <c r="AK871">
        <v>12365300</v>
      </c>
      <c r="AL871">
        <v>12900</v>
      </c>
    </row>
    <row r="872" spans="1:38" x14ac:dyDescent="0.25">
      <c r="A872" t="s">
        <v>200</v>
      </c>
      <c r="B872">
        <v>22531899</v>
      </c>
      <c r="C872" t="s">
        <v>40</v>
      </c>
      <c r="D872" s="1">
        <v>43765</v>
      </c>
      <c r="E872" s="1">
        <v>44130</v>
      </c>
      <c r="F872" t="s">
        <v>41</v>
      </c>
      <c r="G872">
        <v>3</v>
      </c>
      <c r="H872" t="s">
        <v>125</v>
      </c>
      <c r="I872" t="s">
        <v>43</v>
      </c>
      <c r="J872" t="s">
        <v>41</v>
      </c>
      <c r="K872" t="s">
        <v>44</v>
      </c>
      <c r="L872">
        <v>35112</v>
      </c>
      <c r="M872" s="1">
        <v>43765</v>
      </c>
      <c r="N872" t="s">
        <v>45</v>
      </c>
      <c r="O872" t="s">
        <v>44</v>
      </c>
      <c r="P872" t="s">
        <v>47</v>
      </c>
      <c r="Q872" s="1">
        <v>43852</v>
      </c>
      <c r="R872" t="s">
        <v>48</v>
      </c>
      <c r="S872" t="s">
        <v>41</v>
      </c>
      <c r="T872" t="s">
        <v>130</v>
      </c>
      <c r="U872" t="s">
        <v>125</v>
      </c>
      <c r="V872">
        <v>0</v>
      </c>
      <c r="W872">
        <v>100000</v>
      </c>
      <c r="X872" s="1">
        <v>43769</v>
      </c>
      <c r="Y872" t="s">
        <v>131</v>
      </c>
      <c r="Z872" t="s">
        <v>43</v>
      </c>
      <c r="AA872" t="s">
        <v>41</v>
      </c>
      <c r="AB872" t="s">
        <v>132</v>
      </c>
      <c r="AC872" t="s">
        <v>133</v>
      </c>
      <c r="AF872" t="s">
        <v>134</v>
      </c>
      <c r="AG872" s="1">
        <v>43843</v>
      </c>
      <c r="AH872" t="s">
        <v>125</v>
      </c>
      <c r="AI872" t="s">
        <v>92</v>
      </c>
      <c r="AJ872">
        <v>1278023</v>
      </c>
      <c r="AK872">
        <v>12365300</v>
      </c>
      <c r="AL872">
        <v>12900</v>
      </c>
    </row>
    <row r="873" spans="1:38" x14ac:dyDescent="0.25">
      <c r="A873" t="s">
        <v>200</v>
      </c>
      <c r="B873">
        <v>22531899</v>
      </c>
      <c r="C873" t="s">
        <v>40</v>
      </c>
      <c r="D873" s="1">
        <v>43765</v>
      </c>
      <c r="E873" s="1">
        <v>44130</v>
      </c>
      <c r="F873" t="s">
        <v>41</v>
      </c>
      <c r="G873">
        <v>3</v>
      </c>
      <c r="H873" t="s">
        <v>125</v>
      </c>
      <c r="I873" t="s">
        <v>43</v>
      </c>
      <c r="J873" t="s">
        <v>41</v>
      </c>
      <c r="K873" t="s">
        <v>44</v>
      </c>
      <c r="L873">
        <v>35112</v>
      </c>
      <c r="M873" s="1">
        <v>43765</v>
      </c>
      <c r="N873" t="s">
        <v>45</v>
      </c>
      <c r="O873" t="s">
        <v>44</v>
      </c>
      <c r="P873" t="s">
        <v>47</v>
      </c>
      <c r="Q873" s="1">
        <v>43852</v>
      </c>
      <c r="R873" t="s">
        <v>48</v>
      </c>
      <c r="S873" t="s">
        <v>41</v>
      </c>
      <c r="T873" t="s">
        <v>130</v>
      </c>
      <c r="U873" t="s">
        <v>125</v>
      </c>
      <c r="V873">
        <v>0</v>
      </c>
      <c r="W873">
        <v>100000</v>
      </c>
      <c r="X873" s="1">
        <v>43769</v>
      </c>
      <c r="Y873" t="s">
        <v>131</v>
      </c>
      <c r="Z873" t="s">
        <v>43</v>
      </c>
      <c r="AA873" t="s">
        <v>41</v>
      </c>
      <c r="AB873" t="s">
        <v>132</v>
      </c>
      <c r="AC873" t="s">
        <v>133</v>
      </c>
      <c r="AF873" t="s">
        <v>135</v>
      </c>
      <c r="AG873" s="1">
        <v>43843</v>
      </c>
      <c r="AH873" t="s">
        <v>125</v>
      </c>
      <c r="AI873" t="s">
        <v>92</v>
      </c>
      <c r="AJ873">
        <v>1278023</v>
      </c>
      <c r="AK873">
        <v>12365300</v>
      </c>
      <c r="AL873">
        <v>12900</v>
      </c>
    </row>
    <row r="874" spans="1:38" x14ac:dyDescent="0.25">
      <c r="A874" t="s">
        <v>200</v>
      </c>
      <c r="B874">
        <v>22531899</v>
      </c>
      <c r="C874" t="s">
        <v>40</v>
      </c>
      <c r="D874" s="1">
        <v>43765</v>
      </c>
      <c r="E874" s="1">
        <v>44130</v>
      </c>
      <c r="F874" t="s">
        <v>41</v>
      </c>
      <c r="G874">
        <v>3</v>
      </c>
      <c r="H874" t="s">
        <v>125</v>
      </c>
      <c r="I874" t="s">
        <v>43</v>
      </c>
      <c r="J874" t="s">
        <v>41</v>
      </c>
      <c r="K874" t="s">
        <v>44</v>
      </c>
      <c r="L874">
        <v>35112</v>
      </c>
      <c r="M874" s="1">
        <v>43765</v>
      </c>
      <c r="N874" t="s">
        <v>45</v>
      </c>
      <c r="O874" t="s">
        <v>44</v>
      </c>
      <c r="P874" t="s">
        <v>47</v>
      </c>
      <c r="Q874" s="1">
        <v>43852</v>
      </c>
      <c r="R874" t="s">
        <v>48</v>
      </c>
      <c r="S874" t="s">
        <v>41</v>
      </c>
      <c r="T874" t="s">
        <v>130</v>
      </c>
      <c r="U874" t="s">
        <v>125</v>
      </c>
      <c r="V874">
        <v>0</v>
      </c>
      <c r="W874">
        <v>100000</v>
      </c>
      <c r="X874" s="1">
        <v>43769</v>
      </c>
      <c r="Y874" t="s">
        <v>131</v>
      </c>
      <c r="Z874" t="s">
        <v>43</v>
      </c>
      <c r="AA874" t="s">
        <v>41</v>
      </c>
      <c r="AB874" t="s">
        <v>132</v>
      </c>
      <c r="AC874" t="s">
        <v>133</v>
      </c>
      <c r="AF874" t="s">
        <v>136</v>
      </c>
      <c r="AG874" s="1">
        <v>43839</v>
      </c>
      <c r="AH874" t="s">
        <v>125</v>
      </c>
      <c r="AI874" t="s">
        <v>92</v>
      </c>
      <c r="AJ874">
        <v>1278023</v>
      </c>
      <c r="AK874">
        <v>12365300</v>
      </c>
      <c r="AL874">
        <v>12900</v>
      </c>
    </row>
    <row r="875" spans="1:38" x14ac:dyDescent="0.25">
      <c r="A875" t="s">
        <v>200</v>
      </c>
      <c r="B875">
        <v>22531899</v>
      </c>
      <c r="C875" t="s">
        <v>40</v>
      </c>
      <c r="D875" s="1">
        <v>43765</v>
      </c>
      <c r="E875" s="1">
        <v>44130</v>
      </c>
      <c r="F875" t="s">
        <v>41</v>
      </c>
      <c r="G875">
        <v>3</v>
      </c>
      <c r="H875" t="s">
        <v>125</v>
      </c>
      <c r="I875" t="s">
        <v>43</v>
      </c>
      <c r="J875" t="s">
        <v>41</v>
      </c>
      <c r="K875" t="s">
        <v>44</v>
      </c>
      <c r="L875">
        <v>35112</v>
      </c>
      <c r="M875" s="1">
        <v>43765</v>
      </c>
      <c r="N875" t="s">
        <v>45</v>
      </c>
      <c r="O875" t="s">
        <v>44</v>
      </c>
      <c r="P875" t="s">
        <v>47</v>
      </c>
      <c r="Q875" s="1">
        <v>43852</v>
      </c>
      <c r="R875" t="s">
        <v>48</v>
      </c>
      <c r="S875" t="s">
        <v>41</v>
      </c>
      <c r="T875" t="s">
        <v>130</v>
      </c>
      <c r="U875" t="s">
        <v>125</v>
      </c>
      <c r="V875">
        <v>0</v>
      </c>
      <c r="W875">
        <v>100000</v>
      </c>
      <c r="X875" s="1">
        <v>43769</v>
      </c>
      <c r="Y875" t="s">
        <v>131</v>
      </c>
      <c r="Z875" t="s">
        <v>43</v>
      </c>
      <c r="AA875" t="s">
        <v>41</v>
      </c>
      <c r="AB875" t="s">
        <v>132</v>
      </c>
      <c r="AC875" t="s">
        <v>133</v>
      </c>
      <c r="AF875" t="s">
        <v>137</v>
      </c>
      <c r="AG875" s="1">
        <v>43840</v>
      </c>
      <c r="AH875" t="s">
        <v>125</v>
      </c>
      <c r="AI875" t="s">
        <v>92</v>
      </c>
      <c r="AJ875">
        <v>1278023</v>
      </c>
      <c r="AK875">
        <v>12365300</v>
      </c>
      <c r="AL875">
        <v>12900</v>
      </c>
    </row>
    <row r="876" spans="1:38" x14ac:dyDescent="0.25">
      <c r="A876" t="s">
        <v>200</v>
      </c>
      <c r="B876">
        <v>22531899</v>
      </c>
      <c r="C876" t="s">
        <v>40</v>
      </c>
      <c r="D876" s="1">
        <v>43765</v>
      </c>
      <c r="E876" s="1">
        <v>44130</v>
      </c>
      <c r="F876" t="s">
        <v>41</v>
      </c>
      <c r="G876">
        <v>3</v>
      </c>
      <c r="H876" t="s">
        <v>125</v>
      </c>
      <c r="I876" t="s">
        <v>43</v>
      </c>
      <c r="J876" t="s">
        <v>41</v>
      </c>
      <c r="K876" t="s">
        <v>44</v>
      </c>
      <c r="L876">
        <v>35112</v>
      </c>
      <c r="M876" s="1">
        <v>43765</v>
      </c>
      <c r="N876" t="s">
        <v>45</v>
      </c>
      <c r="O876" t="s">
        <v>44</v>
      </c>
      <c r="P876" t="s">
        <v>47</v>
      </c>
      <c r="Q876" s="1">
        <v>43852</v>
      </c>
      <c r="R876" t="s">
        <v>48</v>
      </c>
      <c r="S876" t="s">
        <v>138</v>
      </c>
      <c r="T876" t="s">
        <v>139</v>
      </c>
      <c r="U876" t="s">
        <v>125</v>
      </c>
      <c r="V876">
        <v>0</v>
      </c>
      <c r="W876">
        <v>10000</v>
      </c>
      <c r="X876" s="1">
        <v>43738</v>
      </c>
      <c r="Y876" t="s">
        <v>140</v>
      </c>
      <c r="Z876" t="s">
        <v>43</v>
      </c>
      <c r="AA876" t="s">
        <v>41</v>
      </c>
      <c r="AB876" t="s">
        <v>132</v>
      </c>
      <c r="AC876" t="s">
        <v>132</v>
      </c>
      <c r="AF876" t="s">
        <v>134</v>
      </c>
      <c r="AG876" s="1">
        <v>43843</v>
      </c>
      <c r="AH876" t="s">
        <v>125</v>
      </c>
      <c r="AI876" t="s">
        <v>92</v>
      </c>
      <c r="AJ876">
        <v>1278023</v>
      </c>
      <c r="AK876">
        <v>12365300</v>
      </c>
      <c r="AL876">
        <v>12900</v>
      </c>
    </row>
    <row r="877" spans="1:38" x14ac:dyDescent="0.25">
      <c r="A877" t="s">
        <v>200</v>
      </c>
      <c r="B877">
        <v>22531899</v>
      </c>
      <c r="C877" t="s">
        <v>40</v>
      </c>
      <c r="D877" s="1">
        <v>43765</v>
      </c>
      <c r="E877" s="1">
        <v>44130</v>
      </c>
      <c r="F877" t="s">
        <v>41</v>
      </c>
      <c r="G877">
        <v>3</v>
      </c>
      <c r="H877" t="s">
        <v>125</v>
      </c>
      <c r="I877" t="s">
        <v>43</v>
      </c>
      <c r="J877" t="s">
        <v>41</v>
      </c>
      <c r="K877" t="s">
        <v>44</v>
      </c>
      <c r="L877">
        <v>35112</v>
      </c>
      <c r="M877" s="1">
        <v>43765</v>
      </c>
      <c r="N877" t="s">
        <v>45</v>
      </c>
      <c r="O877" t="s">
        <v>44</v>
      </c>
      <c r="P877" t="s">
        <v>47</v>
      </c>
      <c r="Q877" s="1">
        <v>43852</v>
      </c>
      <c r="R877" t="s">
        <v>48</v>
      </c>
      <c r="S877" t="s">
        <v>138</v>
      </c>
      <c r="T877" t="s">
        <v>139</v>
      </c>
      <c r="U877" t="s">
        <v>125</v>
      </c>
      <c r="V877">
        <v>0</v>
      </c>
      <c r="W877">
        <v>10000</v>
      </c>
      <c r="X877" s="1">
        <v>43738</v>
      </c>
      <c r="Y877" t="s">
        <v>140</v>
      </c>
      <c r="Z877" t="s">
        <v>43</v>
      </c>
      <c r="AA877" t="s">
        <v>41</v>
      </c>
      <c r="AB877" t="s">
        <v>132</v>
      </c>
      <c r="AC877" t="s">
        <v>132</v>
      </c>
      <c r="AF877" t="s">
        <v>135</v>
      </c>
      <c r="AG877" s="1">
        <v>43843</v>
      </c>
      <c r="AH877" t="s">
        <v>125</v>
      </c>
      <c r="AI877" t="s">
        <v>92</v>
      </c>
      <c r="AJ877">
        <v>1278023</v>
      </c>
      <c r="AK877">
        <v>12365300</v>
      </c>
      <c r="AL877">
        <v>12900</v>
      </c>
    </row>
    <row r="878" spans="1:38" x14ac:dyDescent="0.25">
      <c r="A878" t="s">
        <v>200</v>
      </c>
      <c r="B878">
        <v>22531899</v>
      </c>
      <c r="C878" t="s">
        <v>40</v>
      </c>
      <c r="D878" s="1">
        <v>43765</v>
      </c>
      <c r="E878" s="1">
        <v>44130</v>
      </c>
      <c r="F878" t="s">
        <v>41</v>
      </c>
      <c r="G878">
        <v>3</v>
      </c>
      <c r="H878" t="s">
        <v>125</v>
      </c>
      <c r="I878" t="s">
        <v>43</v>
      </c>
      <c r="J878" t="s">
        <v>41</v>
      </c>
      <c r="K878" t="s">
        <v>44</v>
      </c>
      <c r="L878">
        <v>35112</v>
      </c>
      <c r="M878" s="1">
        <v>43765</v>
      </c>
      <c r="N878" t="s">
        <v>45</v>
      </c>
      <c r="O878" t="s">
        <v>44</v>
      </c>
      <c r="P878" t="s">
        <v>47</v>
      </c>
      <c r="Q878" s="1">
        <v>43852</v>
      </c>
      <c r="R878" t="s">
        <v>48</v>
      </c>
      <c r="S878" t="s">
        <v>138</v>
      </c>
      <c r="T878" t="s">
        <v>139</v>
      </c>
      <c r="U878" t="s">
        <v>125</v>
      </c>
      <c r="V878">
        <v>0</v>
      </c>
      <c r="W878">
        <v>10000</v>
      </c>
      <c r="X878" s="1">
        <v>43738</v>
      </c>
      <c r="Y878" t="s">
        <v>140</v>
      </c>
      <c r="Z878" t="s">
        <v>43</v>
      </c>
      <c r="AA878" t="s">
        <v>41</v>
      </c>
      <c r="AB878" t="s">
        <v>132</v>
      </c>
      <c r="AC878" t="s">
        <v>132</v>
      </c>
      <c r="AF878" t="s">
        <v>136</v>
      </c>
      <c r="AG878" s="1">
        <v>43839</v>
      </c>
      <c r="AH878" t="s">
        <v>125</v>
      </c>
      <c r="AI878" t="s">
        <v>92</v>
      </c>
      <c r="AJ878">
        <v>1278023</v>
      </c>
      <c r="AK878">
        <v>12365300</v>
      </c>
      <c r="AL878">
        <v>12900</v>
      </c>
    </row>
    <row r="879" spans="1:38" x14ac:dyDescent="0.25">
      <c r="A879" t="s">
        <v>200</v>
      </c>
      <c r="B879">
        <v>22531899</v>
      </c>
      <c r="C879" t="s">
        <v>40</v>
      </c>
      <c r="D879" s="1">
        <v>43765</v>
      </c>
      <c r="E879" s="1">
        <v>44130</v>
      </c>
      <c r="F879" t="s">
        <v>41</v>
      </c>
      <c r="G879">
        <v>3</v>
      </c>
      <c r="H879" t="s">
        <v>125</v>
      </c>
      <c r="I879" t="s">
        <v>43</v>
      </c>
      <c r="J879" t="s">
        <v>41</v>
      </c>
      <c r="K879" t="s">
        <v>44</v>
      </c>
      <c r="L879">
        <v>35112</v>
      </c>
      <c r="M879" s="1">
        <v>43765</v>
      </c>
      <c r="N879" t="s">
        <v>45</v>
      </c>
      <c r="O879" t="s">
        <v>44</v>
      </c>
      <c r="P879" t="s">
        <v>47</v>
      </c>
      <c r="Q879" s="1">
        <v>43852</v>
      </c>
      <c r="R879" t="s">
        <v>48</v>
      </c>
      <c r="S879" t="s">
        <v>138</v>
      </c>
      <c r="T879" t="s">
        <v>139</v>
      </c>
      <c r="U879" t="s">
        <v>125</v>
      </c>
      <c r="V879">
        <v>0</v>
      </c>
      <c r="W879">
        <v>10000</v>
      </c>
      <c r="X879" s="1">
        <v>43738</v>
      </c>
      <c r="Y879" t="s">
        <v>140</v>
      </c>
      <c r="Z879" t="s">
        <v>43</v>
      </c>
      <c r="AA879" t="s">
        <v>41</v>
      </c>
      <c r="AB879" t="s">
        <v>132</v>
      </c>
      <c r="AC879" t="s">
        <v>132</v>
      </c>
      <c r="AF879" t="s">
        <v>137</v>
      </c>
      <c r="AG879" s="1">
        <v>43840</v>
      </c>
      <c r="AH879" t="s">
        <v>125</v>
      </c>
      <c r="AI879" t="s">
        <v>92</v>
      </c>
      <c r="AJ879">
        <v>1278023</v>
      </c>
      <c r="AK879">
        <v>12365300</v>
      </c>
      <c r="AL879">
        <v>12900</v>
      </c>
    </row>
    <row r="880" spans="1:38" x14ac:dyDescent="0.25">
      <c r="A880" t="s">
        <v>202</v>
      </c>
      <c r="B880">
        <v>22531899</v>
      </c>
      <c r="C880" t="s">
        <v>40</v>
      </c>
      <c r="D880" s="1">
        <v>43765</v>
      </c>
      <c r="E880" s="1">
        <v>44130</v>
      </c>
      <c r="F880" t="s">
        <v>41</v>
      </c>
      <c r="G880">
        <v>3</v>
      </c>
      <c r="H880" t="s">
        <v>125</v>
      </c>
      <c r="I880" t="s">
        <v>43</v>
      </c>
      <c r="J880" t="s">
        <v>41</v>
      </c>
      <c r="K880" t="s">
        <v>44</v>
      </c>
      <c r="L880">
        <v>15048</v>
      </c>
      <c r="M880" s="1">
        <v>43765</v>
      </c>
      <c r="N880" t="s">
        <v>45</v>
      </c>
      <c r="O880" t="s">
        <v>44</v>
      </c>
      <c r="P880" t="s">
        <v>47</v>
      </c>
      <c r="Q880" s="1">
        <v>43852</v>
      </c>
      <c r="R880" t="s">
        <v>48</v>
      </c>
      <c r="S880" t="s">
        <v>41</v>
      </c>
      <c r="T880" t="s">
        <v>130</v>
      </c>
      <c r="U880" t="s">
        <v>125</v>
      </c>
      <c r="V880">
        <v>0</v>
      </c>
      <c r="W880">
        <v>100000</v>
      </c>
      <c r="X880" s="1">
        <v>43769</v>
      </c>
      <c r="Y880" t="s">
        <v>131</v>
      </c>
      <c r="Z880" t="s">
        <v>43</v>
      </c>
      <c r="AA880" t="s">
        <v>41</v>
      </c>
      <c r="AB880" t="s">
        <v>132</v>
      </c>
      <c r="AC880" t="s">
        <v>133</v>
      </c>
      <c r="AF880" t="s">
        <v>134</v>
      </c>
      <c r="AG880" s="1">
        <v>43843</v>
      </c>
      <c r="AH880" t="s">
        <v>125</v>
      </c>
      <c r="AI880" t="s">
        <v>92</v>
      </c>
      <c r="AJ880">
        <v>1278023</v>
      </c>
      <c r="AK880">
        <v>12365300</v>
      </c>
      <c r="AL880">
        <v>12900</v>
      </c>
    </row>
    <row r="881" spans="1:38" x14ac:dyDescent="0.25">
      <c r="A881" t="s">
        <v>202</v>
      </c>
      <c r="B881">
        <v>22531899</v>
      </c>
      <c r="C881" t="s">
        <v>40</v>
      </c>
      <c r="D881" s="1">
        <v>43765</v>
      </c>
      <c r="E881" s="1">
        <v>44130</v>
      </c>
      <c r="F881" t="s">
        <v>41</v>
      </c>
      <c r="G881">
        <v>3</v>
      </c>
      <c r="H881" t="s">
        <v>125</v>
      </c>
      <c r="I881" t="s">
        <v>43</v>
      </c>
      <c r="J881" t="s">
        <v>41</v>
      </c>
      <c r="K881" t="s">
        <v>44</v>
      </c>
      <c r="L881">
        <v>15048</v>
      </c>
      <c r="M881" s="1">
        <v>43765</v>
      </c>
      <c r="N881" t="s">
        <v>45</v>
      </c>
      <c r="O881" t="s">
        <v>44</v>
      </c>
      <c r="P881" t="s">
        <v>47</v>
      </c>
      <c r="Q881" s="1">
        <v>43852</v>
      </c>
      <c r="R881" t="s">
        <v>48</v>
      </c>
      <c r="S881" t="s">
        <v>41</v>
      </c>
      <c r="T881" t="s">
        <v>130</v>
      </c>
      <c r="U881" t="s">
        <v>125</v>
      </c>
      <c r="V881">
        <v>0</v>
      </c>
      <c r="W881">
        <v>100000</v>
      </c>
      <c r="X881" s="1">
        <v>43769</v>
      </c>
      <c r="Y881" t="s">
        <v>131</v>
      </c>
      <c r="Z881" t="s">
        <v>43</v>
      </c>
      <c r="AA881" t="s">
        <v>41</v>
      </c>
      <c r="AB881" t="s">
        <v>132</v>
      </c>
      <c r="AC881" t="s">
        <v>133</v>
      </c>
      <c r="AF881" t="s">
        <v>135</v>
      </c>
      <c r="AG881" s="1">
        <v>43843</v>
      </c>
      <c r="AH881" t="s">
        <v>125</v>
      </c>
      <c r="AI881" t="s">
        <v>92</v>
      </c>
      <c r="AJ881">
        <v>1278023</v>
      </c>
      <c r="AK881">
        <v>12365300</v>
      </c>
      <c r="AL881">
        <v>12900</v>
      </c>
    </row>
    <row r="882" spans="1:38" x14ac:dyDescent="0.25">
      <c r="A882" t="s">
        <v>202</v>
      </c>
      <c r="B882">
        <v>22531899</v>
      </c>
      <c r="C882" t="s">
        <v>40</v>
      </c>
      <c r="D882" s="1">
        <v>43765</v>
      </c>
      <c r="E882" s="1">
        <v>44130</v>
      </c>
      <c r="F882" t="s">
        <v>41</v>
      </c>
      <c r="G882">
        <v>3</v>
      </c>
      <c r="H882" t="s">
        <v>125</v>
      </c>
      <c r="I882" t="s">
        <v>43</v>
      </c>
      <c r="J882" t="s">
        <v>41</v>
      </c>
      <c r="K882" t="s">
        <v>44</v>
      </c>
      <c r="L882">
        <v>15048</v>
      </c>
      <c r="M882" s="1">
        <v>43765</v>
      </c>
      <c r="N882" t="s">
        <v>45</v>
      </c>
      <c r="O882" t="s">
        <v>44</v>
      </c>
      <c r="P882" t="s">
        <v>47</v>
      </c>
      <c r="Q882" s="1">
        <v>43852</v>
      </c>
      <c r="R882" t="s">
        <v>48</v>
      </c>
      <c r="S882" t="s">
        <v>41</v>
      </c>
      <c r="T882" t="s">
        <v>130</v>
      </c>
      <c r="U882" t="s">
        <v>125</v>
      </c>
      <c r="V882">
        <v>0</v>
      </c>
      <c r="W882">
        <v>100000</v>
      </c>
      <c r="X882" s="1">
        <v>43769</v>
      </c>
      <c r="Y882" t="s">
        <v>131</v>
      </c>
      <c r="Z882" t="s">
        <v>43</v>
      </c>
      <c r="AA882" t="s">
        <v>41</v>
      </c>
      <c r="AB882" t="s">
        <v>132</v>
      </c>
      <c r="AC882" t="s">
        <v>133</v>
      </c>
      <c r="AF882" t="s">
        <v>136</v>
      </c>
      <c r="AG882" s="1">
        <v>43839</v>
      </c>
      <c r="AH882" t="s">
        <v>125</v>
      </c>
      <c r="AI882" t="s">
        <v>92</v>
      </c>
      <c r="AJ882">
        <v>1278023</v>
      </c>
      <c r="AK882">
        <v>12365300</v>
      </c>
      <c r="AL882">
        <v>12900</v>
      </c>
    </row>
    <row r="883" spans="1:38" x14ac:dyDescent="0.25">
      <c r="A883" t="s">
        <v>202</v>
      </c>
      <c r="B883">
        <v>22531899</v>
      </c>
      <c r="C883" t="s">
        <v>40</v>
      </c>
      <c r="D883" s="1">
        <v>43765</v>
      </c>
      <c r="E883" s="1">
        <v>44130</v>
      </c>
      <c r="F883" t="s">
        <v>41</v>
      </c>
      <c r="G883">
        <v>3</v>
      </c>
      <c r="H883" t="s">
        <v>125</v>
      </c>
      <c r="I883" t="s">
        <v>43</v>
      </c>
      <c r="J883" t="s">
        <v>41</v>
      </c>
      <c r="K883" t="s">
        <v>44</v>
      </c>
      <c r="L883">
        <v>15048</v>
      </c>
      <c r="M883" s="1">
        <v>43765</v>
      </c>
      <c r="N883" t="s">
        <v>45</v>
      </c>
      <c r="O883" t="s">
        <v>44</v>
      </c>
      <c r="P883" t="s">
        <v>47</v>
      </c>
      <c r="Q883" s="1">
        <v>43852</v>
      </c>
      <c r="R883" t="s">
        <v>48</v>
      </c>
      <c r="S883" t="s">
        <v>41</v>
      </c>
      <c r="T883" t="s">
        <v>130</v>
      </c>
      <c r="U883" t="s">
        <v>125</v>
      </c>
      <c r="V883">
        <v>0</v>
      </c>
      <c r="W883">
        <v>100000</v>
      </c>
      <c r="X883" s="1">
        <v>43769</v>
      </c>
      <c r="Y883" t="s">
        <v>131</v>
      </c>
      <c r="Z883" t="s">
        <v>43</v>
      </c>
      <c r="AA883" t="s">
        <v>41</v>
      </c>
      <c r="AB883" t="s">
        <v>132</v>
      </c>
      <c r="AC883" t="s">
        <v>133</v>
      </c>
      <c r="AF883" t="s">
        <v>137</v>
      </c>
      <c r="AG883" s="1">
        <v>43840</v>
      </c>
      <c r="AH883" t="s">
        <v>125</v>
      </c>
      <c r="AI883" t="s">
        <v>92</v>
      </c>
      <c r="AJ883">
        <v>1278023</v>
      </c>
      <c r="AK883">
        <v>12365300</v>
      </c>
      <c r="AL883">
        <v>12900</v>
      </c>
    </row>
    <row r="884" spans="1:38" x14ac:dyDescent="0.25">
      <c r="A884" t="s">
        <v>202</v>
      </c>
      <c r="B884">
        <v>22531899</v>
      </c>
      <c r="C884" t="s">
        <v>40</v>
      </c>
      <c r="D884" s="1">
        <v>43765</v>
      </c>
      <c r="E884" s="1">
        <v>44130</v>
      </c>
      <c r="F884" t="s">
        <v>41</v>
      </c>
      <c r="G884">
        <v>3</v>
      </c>
      <c r="H884" t="s">
        <v>125</v>
      </c>
      <c r="I884" t="s">
        <v>43</v>
      </c>
      <c r="J884" t="s">
        <v>41</v>
      </c>
      <c r="K884" t="s">
        <v>44</v>
      </c>
      <c r="L884">
        <v>15048</v>
      </c>
      <c r="M884" s="1">
        <v>43765</v>
      </c>
      <c r="N884" t="s">
        <v>45</v>
      </c>
      <c r="O884" t="s">
        <v>44</v>
      </c>
      <c r="P884" t="s">
        <v>47</v>
      </c>
      <c r="Q884" s="1">
        <v>43852</v>
      </c>
      <c r="R884" t="s">
        <v>48</v>
      </c>
      <c r="S884" t="s">
        <v>138</v>
      </c>
      <c r="T884" t="s">
        <v>139</v>
      </c>
      <c r="U884" t="s">
        <v>125</v>
      </c>
      <c r="V884">
        <v>0</v>
      </c>
      <c r="W884">
        <v>10000</v>
      </c>
      <c r="X884" s="1">
        <v>43738</v>
      </c>
      <c r="Y884" t="s">
        <v>140</v>
      </c>
      <c r="Z884" t="s">
        <v>43</v>
      </c>
      <c r="AA884" t="s">
        <v>41</v>
      </c>
      <c r="AB884" t="s">
        <v>132</v>
      </c>
      <c r="AC884" t="s">
        <v>132</v>
      </c>
      <c r="AF884" t="s">
        <v>134</v>
      </c>
      <c r="AG884" s="1">
        <v>43843</v>
      </c>
      <c r="AH884" t="s">
        <v>125</v>
      </c>
      <c r="AI884" t="s">
        <v>92</v>
      </c>
      <c r="AJ884">
        <v>1278023</v>
      </c>
      <c r="AK884">
        <v>12365300</v>
      </c>
      <c r="AL884">
        <v>12900</v>
      </c>
    </row>
    <row r="885" spans="1:38" x14ac:dyDescent="0.25">
      <c r="A885" t="s">
        <v>202</v>
      </c>
      <c r="B885">
        <v>22531899</v>
      </c>
      <c r="C885" t="s">
        <v>40</v>
      </c>
      <c r="D885" s="1">
        <v>43765</v>
      </c>
      <c r="E885" s="1">
        <v>44130</v>
      </c>
      <c r="F885" t="s">
        <v>41</v>
      </c>
      <c r="G885">
        <v>3</v>
      </c>
      <c r="H885" t="s">
        <v>125</v>
      </c>
      <c r="I885" t="s">
        <v>43</v>
      </c>
      <c r="J885" t="s">
        <v>41</v>
      </c>
      <c r="K885" t="s">
        <v>44</v>
      </c>
      <c r="L885">
        <v>15048</v>
      </c>
      <c r="M885" s="1">
        <v>43765</v>
      </c>
      <c r="N885" t="s">
        <v>45</v>
      </c>
      <c r="O885" t="s">
        <v>44</v>
      </c>
      <c r="P885" t="s">
        <v>47</v>
      </c>
      <c r="Q885" s="1">
        <v>43852</v>
      </c>
      <c r="R885" t="s">
        <v>48</v>
      </c>
      <c r="S885" t="s">
        <v>138</v>
      </c>
      <c r="T885" t="s">
        <v>139</v>
      </c>
      <c r="U885" t="s">
        <v>125</v>
      </c>
      <c r="V885">
        <v>0</v>
      </c>
      <c r="W885">
        <v>10000</v>
      </c>
      <c r="X885" s="1">
        <v>43738</v>
      </c>
      <c r="Y885" t="s">
        <v>140</v>
      </c>
      <c r="Z885" t="s">
        <v>43</v>
      </c>
      <c r="AA885" t="s">
        <v>41</v>
      </c>
      <c r="AB885" t="s">
        <v>132</v>
      </c>
      <c r="AC885" t="s">
        <v>132</v>
      </c>
      <c r="AF885" t="s">
        <v>135</v>
      </c>
      <c r="AG885" s="1">
        <v>43843</v>
      </c>
      <c r="AH885" t="s">
        <v>125</v>
      </c>
      <c r="AI885" t="s">
        <v>92</v>
      </c>
      <c r="AJ885">
        <v>1278023</v>
      </c>
      <c r="AK885">
        <v>12365300</v>
      </c>
      <c r="AL885">
        <v>12900</v>
      </c>
    </row>
    <row r="886" spans="1:38" x14ac:dyDescent="0.25">
      <c r="A886" t="s">
        <v>202</v>
      </c>
      <c r="B886">
        <v>22531899</v>
      </c>
      <c r="C886" t="s">
        <v>40</v>
      </c>
      <c r="D886" s="1">
        <v>43765</v>
      </c>
      <c r="E886" s="1">
        <v>44130</v>
      </c>
      <c r="F886" t="s">
        <v>41</v>
      </c>
      <c r="G886">
        <v>3</v>
      </c>
      <c r="H886" t="s">
        <v>125</v>
      </c>
      <c r="I886" t="s">
        <v>43</v>
      </c>
      <c r="J886" t="s">
        <v>41</v>
      </c>
      <c r="K886" t="s">
        <v>44</v>
      </c>
      <c r="L886">
        <v>15048</v>
      </c>
      <c r="M886" s="1">
        <v>43765</v>
      </c>
      <c r="N886" t="s">
        <v>45</v>
      </c>
      <c r="O886" t="s">
        <v>44</v>
      </c>
      <c r="P886" t="s">
        <v>47</v>
      </c>
      <c r="Q886" s="1">
        <v>43852</v>
      </c>
      <c r="R886" t="s">
        <v>48</v>
      </c>
      <c r="S886" t="s">
        <v>138</v>
      </c>
      <c r="T886" t="s">
        <v>139</v>
      </c>
      <c r="U886" t="s">
        <v>125</v>
      </c>
      <c r="V886">
        <v>0</v>
      </c>
      <c r="W886">
        <v>10000</v>
      </c>
      <c r="X886" s="1">
        <v>43738</v>
      </c>
      <c r="Y886" t="s">
        <v>140</v>
      </c>
      <c r="Z886" t="s">
        <v>43</v>
      </c>
      <c r="AA886" t="s">
        <v>41</v>
      </c>
      <c r="AB886" t="s">
        <v>132</v>
      </c>
      <c r="AC886" t="s">
        <v>132</v>
      </c>
      <c r="AF886" t="s">
        <v>136</v>
      </c>
      <c r="AG886" s="1">
        <v>43839</v>
      </c>
      <c r="AH886" t="s">
        <v>125</v>
      </c>
      <c r="AI886" t="s">
        <v>92</v>
      </c>
      <c r="AJ886">
        <v>1278023</v>
      </c>
      <c r="AK886">
        <v>12365300</v>
      </c>
      <c r="AL886">
        <v>12900</v>
      </c>
    </row>
    <row r="887" spans="1:38" x14ac:dyDescent="0.25">
      <c r="A887" t="s">
        <v>202</v>
      </c>
      <c r="B887">
        <v>22531899</v>
      </c>
      <c r="C887" t="s">
        <v>40</v>
      </c>
      <c r="D887" s="1">
        <v>43765</v>
      </c>
      <c r="E887" s="1">
        <v>44130</v>
      </c>
      <c r="F887" t="s">
        <v>41</v>
      </c>
      <c r="G887">
        <v>3</v>
      </c>
      <c r="H887" t="s">
        <v>125</v>
      </c>
      <c r="I887" t="s">
        <v>43</v>
      </c>
      <c r="J887" t="s">
        <v>41</v>
      </c>
      <c r="K887" t="s">
        <v>44</v>
      </c>
      <c r="L887">
        <v>15048</v>
      </c>
      <c r="M887" s="1">
        <v>43765</v>
      </c>
      <c r="N887" t="s">
        <v>45</v>
      </c>
      <c r="O887" t="s">
        <v>44</v>
      </c>
      <c r="P887" t="s">
        <v>47</v>
      </c>
      <c r="Q887" s="1">
        <v>43852</v>
      </c>
      <c r="R887" t="s">
        <v>48</v>
      </c>
      <c r="S887" t="s">
        <v>138</v>
      </c>
      <c r="T887" t="s">
        <v>139</v>
      </c>
      <c r="U887" t="s">
        <v>125</v>
      </c>
      <c r="V887">
        <v>0</v>
      </c>
      <c r="W887">
        <v>10000</v>
      </c>
      <c r="X887" s="1">
        <v>43738</v>
      </c>
      <c r="Y887" t="s">
        <v>140</v>
      </c>
      <c r="Z887" t="s">
        <v>43</v>
      </c>
      <c r="AA887" t="s">
        <v>41</v>
      </c>
      <c r="AB887" t="s">
        <v>132</v>
      </c>
      <c r="AC887" t="s">
        <v>132</v>
      </c>
      <c r="AF887" t="s">
        <v>137</v>
      </c>
      <c r="AG887" s="1">
        <v>43840</v>
      </c>
      <c r="AH887" t="s">
        <v>125</v>
      </c>
      <c r="AI887" t="s">
        <v>92</v>
      </c>
      <c r="AJ887">
        <v>1278023</v>
      </c>
      <c r="AK887">
        <v>12365300</v>
      </c>
      <c r="AL887">
        <v>12900</v>
      </c>
    </row>
    <row r="888" spans="1:38" x14ac:dyDescent="0.25">
      <c r="A888" t="s">
        <v>203</v>
      </c>
      <c r="B888">
        <v>32099602</v>
      </c>
      <c r="C888" t="s">
        <v>71</v>
      </c>
      <c r="D888" s="1">
        <v>43123</v>
      </c>
      <c r="E888" s="1">
        <v>43487</v>
      </c>
      <c r="F888" t="s">
        <v>306</v>
      </c>
      <c r="G888">
        <v>12</v>
      </c>
      <c r="H888" t="s">
        <v>155</v>
      </c>
      <c r="I888" t="s">
        <v>43</v>
      </c>
      <c r="J888" t="s">
        <v>126</v>
      </c>
      <c r="K888" t="s">
        <v>44</v>
      </c>
      <c r="L888">
        <v>1072.3399999999999</v>
      </c>
      <c r="M888" s="1">
        <v>43123</v>
      </c>
      <c r="N888" t="s">
        <v>45</v>
      </c>
      <c r="O888" t="s">
        <v>46</v>
      </c>
      <c r="P888" t="s">
        <v>47</v>
      </c>
      <c r="Q888" s="1">
        <v>43852</v>
      </c>
      <c r="R888" t="s">
        <v>48</v>
      </c>
      <c r="S888" t="s">
        <v>346</v>
      </c>
      <c r="T888" t="s">
        <v>347</v>
      </c>
      <c r="U888" t="s">
        <v>155</v>
      </c>
      <c r="V888">
        <v>500000</v>
      </c>
      <c r="W888">
        <v>50000</v>
      </c>
      <c r="X888" s="1">
        <v>43830</v>
      </c>
      <c r="Y888" t="s">
        <v>51</v>
      </c>
      <c r="Z888" t="s">
        <v>43</v>
      </c>
      <c r="AA888" t="s">
        <v>73</v>
      </c>
      <c r="AB888" t="s">
        <v>306</v>
      </c>
      <c r="AC888" t="s">
        <v>348</v>
      </c>
      <c r="AF888" t="s">
        <v>160</v>
      </c>
      <c r="AG888" s="1">
        <v>43851</v>
      </c>
    </row>
    <row r="889" spans="1:38" x14ac:dyDescent="0.25">
      <c r="A889" t="s">
        <v>203</v>
      </c>
      <c r="B889">
        <v>32099602</v>
      </c>
      <c r="C889" t="s">
        <v>71</v>
      </c>
      <c r="D889" s="1">
        <v>43123</v>
      </c>
      <c r="E889" s="1">
        <v>43487</v>
      </c>
      <c r="F889" t="s">
        <v>306</v>
      </c>
      <c r="G889">
        <v>12</v>
      </c>
      <c r="H889" t="s">
        <v>155</v>
      </c>
      <c r="I889" t="s">
        <v>43</v>
      </c>
      <c r="J889" t="s">
        <v>126</v>
      </c>
      <c r="K889" t="s">
        <v>44</v>
      </c>
      <c r="L889">
        <v>1072.3399999999999</v>
      </c>
      <c r="M889" s="1">
        <v>43123</v>
      </c>
      <c r="N889" t="s">
        <v>45</v>
      </c>
      <c r="O889" t="s">
        <v>46</v>
      </c>
      <c r="P889" t="s">
        <v>47</v>
      </c>
      <c r="Q889" s="1">
        <v>43852</v>
      </c>
      <c r="R889" t="s">
        <v>48</v>
      </c>
      <c r="S889" t="s">
        <v>346</v>
      </c>
      <c r="T889" t="s">
        <v>347</v>
      </c>
      <c r="U889" t="s">
        <v>155</v>
      </c>
      <c r="V889">
        <v>500000</v>
      </c>
      <c r="W889">
        <v>50000</v>
      </c>
      <c r="X889" s="1">
        <v>43830</v>
      </c>
      <c r="Y889" t="s">
        <v>51</v>
      </c>
      <c r="Z889" t="s">
        <v>43</v>
      </c>
      <c r="AA889" t="s">
        <v>73</v>
      </c>
      <c r="AB889" t="s">
        <v>306</v>
      </c>
      <c r="AC889" t="s">
        <v>348</v>
      </c>
      <c r="AF889" t="s">
        <v>161</v>
      </c>
      <c r="AG889" s="1">
        <v>43851</v>
      </c>
    </row>
    <row r="890" spans="1:38" x14ac:dyDescent="0.25">
      <c r="A890" t="s">
        <v>203</v>
      </c>
      <c r="B890">
        <v>32099602</v>
      </c>
      <c r="C890" t="s">
        <v>71</v>
      </c>
      <c r="D890" s="1">
        <v>43123</v>
      </c>
      <c r="E890" s="1">
        <v>43487</v>
      </c>
      <c r="F890" t="s">
        <v>306</v>
      </c>
      <c r="G890">
        <v>12</v>
      </c>
      <c r="H890" t="s">
        <v>155</v>
      </c>
      <c r="I890" t="s">
        <v>43</v>
      </c>
      <c r="J890" t="s">
        <v>126</v>
      </c>
      <c r="K890" t="s">
        <v>44</v>
      </c>
      <c r="L890">
        <v>1072.3399999999999</v>
      </c>
      <c r="M890" s="1">
        <v>43123</v>
      </c>
      <c r="N890" t="s">
        <v>45</v>
      </c>
      <c r="O890" t="s">
        <v>46</v>
      </c>
      <c r="P890" t="s">
        <v>47</v>
      </c>
      <c r="Q890" s="1">
        <v>43852</v>
      </c>
      <c r="R890" t="s">
        <v>48</v>
      </c>
      <c r="S890" t="s">
        <v>346</v>
      </c>
      <c r="T890" t="s">
        <v>347</v>
      </c>
      <c r="U890" t="s">
        <v>155</v>
      </c>
      <c r="V890">
        <v>500000</v>
      </c>
      <c r="W890">
        <v>50000</v>
      </c>
      <c r="X890" s="1">
        <v>43830</v>
      </c>
      <c r="Y890" t="s">
        <v>51</v>
      </c>
      <c r="Z890" t="s">
        <v>43</v>
      </c>
      <c r="AA890" t="s">
        <v>73</v>
      </c>
      <c r="AB890" t="s">
        <v>306</v>
      </c>
      <c r="AC890" t="s">
        <v>348</v>
      </c>
      <c r="AF890" t="s">
        <v>162</v>
      </c>
      <c r="AG890" s="1">
        <v>43851</v>
      </c>
    </row>
    <row r="891" spans="1:38" x14ac:dyDescent="0.25">
      <c r="A891" t="s">
        <v>203</v>
      </c>
      <c r="B891">
        <v>32099602</v>
      </c>
      <c r="C891" t="s">
        <v>71</v>
      </c>
      <c r="D891" s="1">
        <v>43123</v>
      </c>
      <c r="E891" s="1">
        <v>43487</v>
      </c>
      <c r="F891" t="s">
        <v>306</v>
      </c>
      <c r="G891">
        <v>12</v>
      </c>
      <c r="H891" t="s">
        <v>155</v>
      </c>
      <c r="I891" t="s">
        <v>43</v>
      </c>
      <c r="J891" t="s">
        <v>126</v>
      </c>
      <c r="K891" t="s">
        <v>44</v>
      </c>
      <c r="L891">
        <v>1072.3399999999999</v>
      </c>
      <c r="M891" s="1">
        <v>43123</v>
      </c>
      <c r="N891" t="s">
        <v>45</v>
      </c>
      <c r="O891" t="s">
        <v>46</v>
      </c>
      <c r="P891" t="s">
        <v>47</v>
      </c>
      <c r="Q891" s="1">
        <v>43852</v>
      </c>
      <c r="R891" t="s">
        <v>48</v>
      </c>
      <c r="S891" t="s">
        <v>346</v>
      </c>
      <c r="T891" t="s">
        <v>347</v>
      </c>
      <c r="U891" t="s">
        <v>155</v>
      </c>
      <c r="V891">
        <v>500000</v>
      </c>
      <c r="W891">
        <v>50000</v>
      </c>
      <c r="X891" s="1">
        <v>43830</v>
      </c>
      <c r="Y891" t="s">
        <v>51</v>
      </c>
      <c r="Z891" t="s">
        <v>43</v>
      </c>
      <c r="AA891" t="s">
        <v>73</v>
      </c>
      <c r="AB891" t="s">
        <v>306</v>
      </c>
      <c r="AC891" t="s">
        <v>348</v>
      </c>
      <c r="AF891" t="s">
        <v>163</v>
      </c>
      <c r="AG891" s="1">
        <v>43852</v>
      </c>
    </row>
    <row r="892" spans="1:38" x14ac:dyDescent="0.25">
      <c r="A892" t="s">
        <v>203</v>
      </c>
      <c r="B892">
        <v>32099602</v>
      </c>
      <c r="C892" t="s">
        <v>71</v>
      </c>
      <c r="D892" s="1">
        <v>43123</v>
      </c>
      <c r="E892" s="1">
        <v>43487</v>
      </c>
      <c r="F892" t="s">
        <v>306</v>
      </c>
      <c r="G892">
        <v>12</v>
      </c>
      <c r="H892" t="s">
        <v>155</v>
      </c>
      <c r="I892" t="s">
        <v>43</v>
      </c>
      <c r="J892" t="s">
        <v>126</v>
      </c>
      <c r="K892" t="s">
        <v>44</v>
      </c>
      <c r="L892">
        <v>1072.3399999999999</v>
      </c>
      <c r="M892" s="1">
        <v>43123</v>
      </c>
      <c r="N892" t="s">
        <v>45</v>
      </c>
      <c r="O892" t="s">
        <v>46</v>
      </c>
      <c r="P892" t="s">
        <v>47</v>
      </c>
      <c r="Q892" s="1">
        <v>43852</v>
      </c>
      <c r="R892" t="s">
        <v>48</v>
      </c>
      <c r="S892" t="s">
        <v>349</v>
      </c>
      <c r="T892" t="s">
        <v>350</v>
      </c>
      <c r="U892" t="s">
        <v>155</v>
      </c>
      <c r="V892">
        <v>1000000</v>
      </c>
      <c r="W892">
        <v>100000</v>
      </c>
      <c r="X892" s="1">
        <v>43738</v>
      </c>
      <c r="Y892" t="s">
        <v>51</v>
      </c>
      <c r="Z892" t="s">
        <v>43</v>
      </c>
      <c r="AA892" t="s">
        <v>73</v>
      </c>
      <c r="AB892" t="s">
        <v>306</v>
      </c>
      <c r="AC892" t="s">
        <v>348</v>
      </c>
      <c r="AF892" t="s">
        <v>160</v>
      </c>
      <c r="AG892" s="1">
        <v>43851</v>
      </c>
    </row>
    <row r="893" spans="1:38" x14ac:dyDescent="0.25">
      <c r="A893" t="s">
        <v>203</v>
      </c>
      <c r="B893">
        <v>32099602</v>
      </c>
      <c r="C893" t="s">
        <v>71</v>
      </c>
      <c r="D893" s="1">
        <v>43123</v>
      </c>
      <c r="E893" s="1">
        <v>43487</v>
      </c>
      <c r="F893" t="s">
        <v>306</v>
      </c>
      <c r="G893">
        <v>12</v>
      </c>
      <c r="H893" t="s">
        <v>155</v>
      </c>
      <c r="I893" t="s">
        <v>43</v>
      </c>
      <c r="J893" t="s">
        <v>126</v>
      </c>
      <c r="K893" t="s">
        <v>44</v>
      </c>
      <c r="L893">
        <v>1072.3399999999999</v>
      </c>
      <c r="M893" s="1">
        <v>43123</v>
      </c>
      <c r="N893" t="s">
        <v>45</v>
      </c>
      <c r="O893" t="s">
        <v>46</v>
      </c>
      <c r="P893" t="s">
        <v>47</v>
      </c>
      <c r="Q893" s="1">
        <v>43852</v>
      </c>
      <c r="R893" t="s">
        <v>48</v>
      </c>
      <c r="S893" t="s">
        <v>349</v>
      </c>
      <c r="T893" t="s">
        <v>350</v>
      </c>
      <c r="U893" t="s">
        <v>155</v>
      </c>
      <c r="V893">
        <v>1000000</v>
      </c>
      <c r="W893">
        <v>100000</v>
      </c>
      <c r="X893" s="1">
        <v>43738</v>
      </c>
      <c r="Y893" t="s">
        <v>51</v>
      </c>
      <c r="Z893" t="s">
        <v>43</v>
      </c>
      <c r="AA893" t="s">
        <v>73</v>
      </c>
      <c r="AB893" t="s">
        <v>306</v>
      </c>
      <c r="AC893" t="s">
        <v>348</v>
      </c>
      <c r="AF893" t="s">
        <v>161</v>
      </c>
      <c r="AG893" s="1">
        <v>43851</v>
      </c>
    </row>
    <row r="894" spans="1:38" x14ac:dyDescent="0.25">
      <c r="A894" t="s">
        <v>203</v>
      </c>
      <c r="B894">
        <v>32099602</v>
      </c>
      <c r="C894" t="s">
        <v>71</v>
      </c>
      <c r="D894" s="1">
        <v>43123</v>
      </c>
      <c r="E894" s="1">
        <v>43487</v>
      </c>
      <c r="F894" t="s">
        <v>306</v>
      </c>
      <c r="G894">
        <v>12</v>
      </c>
      <c r="H894" t="s">
        <v>155</v>
      </c>
      <c r="I894" t="s">
        <v>43</v>
      </c>
      <c r="J894" t="s">
        <v>126</v>
      </c>
      <c r="K894" t="s">
        <v>44</v>
      </c>
      <c r="L894">
        <v>1072.3399999999999</v>
      </c>
      <c r="M894" s="1">
        <v>43123</v>
      </c>
      <c r="N894" t="s">
        <v>45</v>
      </c>
      <c r="O894" t="s">
        <v>46</v>
      </c>
      <c r="P894" t="s">
        <v>47</v>
      </c>
      <c r="Q894" s="1">
        <v>43852</v>
      </c>
      <c r="R894" t="s">
        <v>48</v>
      </c>
      <c r="S894" t="s">
        <v>349</v>
      </c>
      <c r="T894" t="s">
        <v>350</v>
      </c>
      <c r="U894" t="s">
        <v>155</v>
      </c>
      <c r="V894">
        <v>1000000</v>
      </c>
      <c r="W894">
        <v>100000</v>
      </c>
      <c r="X894" s="1">
        <v>43738</v>
      </c>
      <c r="Y894" t="s">
        <v>51</v>
      </c>
      <c r="Z894" t="s">
        <v>43</v>
      </c>
      <c r="AA894" t="s">
        <v>73</v>
      </c>
      <c r="AB894" t="s">
        <v>306</v>
      </c>
      <c r="AC894" t="s">
        <v>348</v>
      </c>
      <c r="AF894" t="s">
        <v>162</v>
      </c>
      <c r="AG894" s="1">
        <v>43851</v>
      </c>
    </row>
    <row r="895" spans="1:38" x14ac:dyDescent="0.25">
      <c r="A895" t="s">
        <v>203</v>
      </c>
      <c r="B895">
        <v>32099602</v>
      </c>
      <c r="C895" t="s">
        <v>71</v>
      </c>
      <c r="D895" s="1">
        <v>43123</v>
      </c>
      <c r="E895" s="1">
        <v>43487</v>
      </c>
      <c r="F895" t="s">
        <v>306</v>
      </c>
      <c r="G895">
        <v>12</v>
      </c>
      <c r="H895" t="s">
        <v>155</v>
      </c>
      <c r="I895" t="s">
        <v>43</v>
      </c>
      <c r="J895" t="s">
        <v>126</v>
      </c>
      <c r="K895" t="s">
        <v>44</v>
      </c>
      <c r="L895">
        <v>1072.3399999999999</v>
      </c>
      <c r="M895" s="1">
        <v>43123</v>
      </c>
      <c r="N895" t="s">
        <v>45</v>
      </c>
      <c r="O895" t="s">
        <v>46</v>
      </c>
      <c r="P895" t="s">
        <v>47</v>
      </c>
      <c r="Q895" s="1">
        <v>43852</v>
      </c>
      <c r="R895" t="s">
        <v>48</v>
      </c>
      <c r="S895" t="s">
        <v>349</v>
      </c>
      <c r="T895" t="s">
        <v>350</v>
      </c>
      <c r="U895" t="s">
        <v>155</v>
      </c>
      <c r="V895">
        <v>1000000</v>
      </c>
      <c r="W895">
        <v>100000</v>
      </c>
      <c r="X895" s="1">
        <v>43738</v>
      </c>
      <c r="Y895" t="s">
        <v>51</v>
      </c>
      <c r="Z895" t="s">
        <v>43</v>
      </c>
      <c r="AA895" t="s">
        <v>73</v>
      </c>
      <c r="AB895" t="s">
        <v>306</v>
      </c>
      <c r="AC895" t="s">
        <v>348</v>
      </c>
      <c r="AF895" t="s">
        <v>163</v>
      </c>
      <c r="AG895" s="1">
        <v>43852</v>
      </c>
    </row>
    <row r="896" spans="1:38" x14ac:dyDescent="0.25">
      <c r="A896" t="s">
        <v>205</v>
      </c>
      <c r="B896" t="s">
        <v>351</v>
      </c>
      <c r="C896" t="s">
        <v>40</v>
      </c>
      <c r="D896" s="1">
        <v>43488</v>
      </c>
      <c r="E896" s="1">
        <v>43852</v>
      </c>
      <c r="F896" t="s">
        <v>306</v>
      </c>
      <c r="G896">
        <v>3</v>
      </c>
      <c r="H896" t="s">
        <v>125</v>
      </c>
      <c r="I896" t="s">
        <v>43</v>
      </c>
      <c r="J896" t="s">
        <v>126</v>
      </c>
      <c r="K896" t="s">
        <v>44</v>
      </c>
      <c r="L896">
        <v>1111.77</v>
      </c>
      <c r="M896" s="1">
        <v>43488</v>
      </c>
      <c r="N896" t="s">
        <v>45</v>
      </c>
      <c r="O896" t="s">
        <v>44</v>
      </c>
      <c r="P896" t="s">
        <v>47</v>
      </c>
      <c r="Q896" s="1">
        <v>43852</v>
      </c>
      <c r="R896" t="s">
        <v>48</v>
      </c>
    </row>
    <row r="897" spans="1:38" x14ac:dyDescent="0.25">
      <c r="A897" t="s">
        <v>209</v>
      </c>
      <c r="B897" s="2">
        <v>3.2134000000000001E+23</v>
      </c>
      <c r="C897" t="s">
        <v>71</v>
      </c>
      <c r="D897" s="1">
        <v>43312</v>
      </c>
      <c r="E897" s="1">
        <v>43676</v>
      </c>
      <c r="F897" t="s">
        <v>306</v>
      </c>
      <c r="G897">
        <v>3</v>
      </c>
      <c r="H897" t="s">
        <v>125</v>
      </c>
      <c r="I897" t="s">
        <v>43</v>
      </c>
      <c r="J897" t="s">
        <v>126</v>
      </c>
      <c r="K897" t="s">
        <v>127</v>
      </c>
      <c r="L897">
        <v>27057.200000000001</v>
      </c>
      <c r="M897" s="1">
        <v>43312</v>
      </c>
      <c r="N897" t="s">
        <v>45</v>
      </c>
      <c r="O897" t="s">
        <v>46</v>
      </c>
      <c r="P897" t="s">
        <v>47</v>
      </c>
      <c r="Q897" s="1">
        <v>43852</v>
      </c>
      <c r="R897" t="s">
        <v>48</v>
      </c>
    </row>
    <row r="898" spans="1:38" x14ac:dyDescent="0.25">
      <c r="A898" t="s">
        <v>211</v>
      </c>
      <c r="B898" s="2">
        <v>3.2134000000000001E+23</v>
      </c>
      <c r="C898" t="s">
        <v>40</v>
      </c>
      <c r="D898" s="1">
        <v>43677</v>
      </c>
      <c r="E898" s="1">
        <v>44042</v>
      </c>
      <c r="F898" t="s">
        <v>306</v>
      </c>
      <c r="G898">
        <v>3</v>
      </c>
      <c r="H898" t="s">
        <v>125</v>
      </c>
      <c r="I898" t="s">
        <v>43</v>
      </c>
      <c r="J898" t="s">
        <v>126</v>
      </c>
      <c r="K898" t="s">
        <v>127</v>
      </c>
      <c r="L898">
        <v>87500</v>
      </c>
      <c r="M898" s="1">
        <v>43677</v>
      </c>
      <c r="N898" t="s">
        <v>45</v>
      </c>
      <c r="O898" t="s">
        <v>44</v>
      </c>
      <c r="P898" t="s">
        <v>47</v>
      </c>
      <c r="Q898" s="1">
        <v>43852</v>
      </c>
      <c r="R898" t="s">
        <v>48</v>
      </c>
    </row>
    <row r="899" spans="1:38" x14ac:dyDescent="0.25">
      <c r="A899" t="s">
        <v>213</v>
      </c>
      <c r="B899" t="s">
        <v>352</v>
      </c>
      <c r="C899" t="s">
        <v>71</v>
      </c>
      <c r="D899" s="1">
        <v>43431</v>
      </c>
      <c r="E899" s="1">
        <v>43795</v>
      </c>
      <c r="F899" t="s">
        <v>84</v>
      </c>
      <c r="G899">
        <v>10</v>
      </c>
      <c r="H899" t="s">
        <v>85</v>
      </c>
      <c r="I899" t="s">
        <v>43</v>
      </c>
      <c r="J899" t="s">
        <v>86</v>
      </c>
      <c r="K899" t="s">
        <v>44</v>
      </c>
      <c r="L899">
        <v>7647.1</v>
      </c>
      <c r="M899" s="1">
        <v>43431</v>
      </c>
      <c r="N899" t="s">
        <v>45</v>
      </c>
      <c r="O899" t="s">
        <v>46</v>
      </c>
      <c r="P899" t="s">
        <v>47</v>
      </c>
      <c r="Q899" s="1">
        <v>43852</v>
      </c>
      <c r="R899" t="s">
        <v>48</v>
      </c>
      <c r="S899" t="s">
        <v>87</v>
      </c>
      <c r="T899" t="s">
        <v>88</v>
      </c>
      <c r="U899" t="s">
        <v>85</v>
      </c>
      <c r="V899">
        <v>1400000</v>
      </c>
      <c r="W899">
        <v>100000</v>
      </c>
      <c r="X899" s="1">
        <v>43808</v>
      </c>
      <c r="Y899" t="s">
        <v>51</v>
      </c>
      <c r="Z899" t="s">
        <v>43</v>
      </c>
      <c r="AA899" t="s">
        <v>86</v>
      </c>
      <c r="AB899" t="s">
        <v>89</v>
      </c>
      <c r="AC899" t="s">
        <v>90</v>
      </c>
      <c r="AF899" t="s">
        <v>91</v>
      </c>
      <c r="AG899" s="1">
        <v>43852</v>
      </c>
      <c r="AH899" t="s">
        <v>85</v>
      </c>
      <c r="AI899" t="s">
        <v>92</v>
      </c>
      <c r="AJ899">
        <v>19888</v>
      </c>
      <c r="AK899">
        <v>128777</v>
      </c>
      <c r="AL899">
        <v>198882</v>
      </c>
    </row>
    <row r="900" spans="1:38" x14ac:dyDescent="0.25">
      <c r="A900" t="s">
        <v>213</v>
      </c>
      <c r="B900" t="s">
        <v>352</v>
      </c>
      <c r="C900" t="s">
        <v>71</v>
      </c>
      <c r="D900" s="1">
        <v>43431</v>
      </c>
      <c r="E900" s="1">
        <v>43795</v>
      </c>
      <c r="F900" t="s">
        <v>84</v>
      </c>
      <c r="G900">
        <v>10</v>
      </c>
      <c r="H900" t="s">
        <v>85</v>
      </c>
      <c r="I900" t="s">
        <v>43</v>
      </c>
      <c r="J900" t="s">
        <v>86</v>
      </c>
      <c r="K900" t="s">
        <v>44</v>
      </c>
      <c r="L900">
        <v>7647.1</v>
      </c>
      <c r="M900" s="1">
        <v>43431</v>
      </c>
      <c r="N900" t="s">
        <v>45</v>
      </c>
      <c r="O900" t="s">
        <v>46</v>
      </c>
      <c r="P900" t="s">
        <v>47</v>
      </c>
      <c r="Q900" s="1">
        <v>43852</v>
      </c>
      <c r="R900" t="s">
        <v>48</v>
      </c>
      <c r="S900" t="s">
        <v>87</v>
      </c>
      <c r="T900" t="s">
        <v>88</v>
      </c>
      <c r="U900" t="s">
        <v>85</v>
      </c>
      <c r="V900">
        <v>1400000</v>
      </c>
      <c r="W900">
        <v>100000</v>
      </c>
      <c r="X900" s="1">
        <v>43808</v>
      </c>
      <c r="Y900" t="s">
        <v>51</v>
      </c>
      <c r="Z900" t="s">
        <v>43</v>
      </c>
      <c r="AA900" t="s">
        <v>86</v>
      </c>
      <c r="AB900" t="s">
        <v>89</v>
      </c>
      <c r="AC900" t="s">
        <v>90</v>
      </c>
      <c r="AF900" t="s">
        <v>93</v>
      </c>
      <c r="AG900" s="1">
        <v>43843</v>
      </c>
      <c r="AH900" t="s">
        <v>85</v>
      </c>
      <c r="AI900" t="s">
        <v>92</v>
      </c>
      <c r="AJ900">
        <v>19888</v>
      </c>
      <c r="AK900">
        <v>128777</v>
      </c>
      <c r="AL900">
        <v>198882</v>
      </c>
    </row>
    <row r="901" spans="1:38" x14ac:dyDescent="0.25">
      <c r="A901" t="s">
        <v>213</v>
      </c>
      <c r="B901" t="s">
        <v>352</v>
      </c>
      <c r="C901" t="s">
        <v>71</v>
      </c>
      <c r="D901" s="1">
        <v>43431</v>
      </c>
      <c r="E901" s="1">
        <v>43795</v>
      </c>
      <c r="F901" t="s">
        <v>84</v>
      </c>
      <c r="G901">
        <v>10</v>
      </c>
      <c r="H901" t="s">
        <v>85</v>
      </c>
      <c r="I901" t="s">
        <v>43</v>
      </c>
      <c r="J901" t="s">
        <v>86</v>
      </c>
      <c r="K901" t="s">
        <v>44</v>
      </c>
      <c r="L901">
        <v>7647.1</v>
      </c>
      <c r="M901" s="1">
        <v>43431</v>
      </c>
      <c r="N901" t="s">
        <v>45</v>
      </c>
      <c r="O901" t="s">
        <v>46</v>
      </c>
      <c r="P901" t="s">
        <v>47</v>
      </c>
      <c r="Q901" s="1">
        <v>43852</v>
      </c>
      <c r="R901" t="s">
        <v>48</v>
      </c>
      <c r="S901" t="s">
        <v>94</v>
      </c>
      <c r="T901" t="s">
        <v>95</v>
      </c>
      <c r="U901" t="s">
        <v>85</v>
      </c>
      <c r="V901">
        <v>4500000</v>
      </c>
      <c r="W901">
        <v>300000</v>
      </c>
      <c r="X901" s="1">
        <v>43767</v>
      </c>
      <c r="Y901" t="s">
        <v>51</v>
      </c>
      <c r="Z901" t="s">
        <v>43</v>
      </c>
      <c r="AA901" t="s">
        <v>86</v>
      </c>
      <c r="AB901" t="s">
        <v>89</v>
      </c>
      <c r="AC901" t="s">
        <v>90</v>
      </c>
      <c r="AF901" t="s">
        <v>91</v>
      </c>
      <c r="AG901" s="1">
        <v>43852</v>
      </c>
      <c r="AH901" t="s">
        <v>85</v>
      </c>
      <c r="AI901" t="s">
        <v>92</v>
      </c>
      <c r="AJ901">
        <v>19888</v>
      </c>
      <c r="AK901">
        <v>128777</v>
      </c>
      <c r="AL901">
        <v>198882</v>
      </c>
    </row>
    <row r="902" spans="1:38" x14ac:dyDescent="0.25">
      <c r="A902" t="s">
        <v>213</v>
      </c>
      <c r="B902" t="s">
        <v>352</v>
      </c>
      <c r="C902" t="s">
        <v>71</v>
      </c>
      <c r="D902" s="1">
        <v>43431</v>
      </c>
      <c r="E902" s="1">
        <v>43795</v>
      </c>
      <c r="F902" t="s">
        <v>84</v>
      </c>
      <c r="G902">
        <v>10</v>
      </c>
      <c r="H902" t="s">
        <v>85</v>
      </c>
      <c r="I902" t="s">
        <v>43</v>
      </c>
      <c r="J902" t="s">
        <v>86</v>
      </c>
      <c r="K902" t="s">
        <v>44</v>
      </c>
      <c r="L902">
        <v>7647.1</v>
      </c>
      <c r="M902" s="1">
        <v>43431</v>
      </c>
      <c r="N902" t="s">
        <v>45</v>
      </c>
      <c r="O902" t="s">
        <v>46</v>
      </c>
      <c r="P902" t="s">
        <v>47</v>
      </c>
      <c r="Q902" s="1">
        <v>43852</v>
      </c>
      <c r="R902" t="s">
        <v>48</v>
      </c>
      <c r="S902" t="s">
        <v>94</v>
      </c>
      <c r="T902" t="s">
        <v>95</v>
      </c>
      <c r="U902" t="s">
        <v>85</v>
      </c>
      <c r="V902">
        <v>4500000</v>
      </c>
      <c r="W902">
        <v>300000</v>
      </c>
      <c r="X902" s="1">
        <v>43767</v>
      </c>
      <c r="Y902" t="s">
        <v>51</v>
      </c>
      <c r="Z902" t="s">
        <v>43</v>
      </c>
      <c r="AA902" t="s">
        <v>86</v>
      </c>
      <c r="AB902" t="s">
        <v>89</v>
      </c>
      <c r="AC902" t="s">
        <v>90</v>
      </c>
      <c r="AF902" t="s">
        <v>93</v>
      </c>
      <c r="AG902" s="1">
        <v>43843</v>
      </c>
      <c r="AH902" t="s">
        <v>85</v>
      </c>
      <c r="AI902" t="s">
        <v>92</v>
      </c>
      <c r="AJ902">
        <v>19888</v>
      </c>
      <c r="AK902">
        <v>128777</v>
      </c>
      <c r="AL902">
        <v>198882</v>
      </c>
    </row>
    <row r="903" spans="1:38" x14ac:dyDescent="0.25">
      <c r="A903" t="s">
        <v>213</v>
      </c>
      <c r="B903" t="s">
        <v>352</v>
      </c>
      <c r="C903" t="s">
        <v>71</v>
      </c>
      <c r="D903" s="1">
        <v>43431</v>
      </c>
      <c r="E903" s="1">
        <v>43795</v>
      </c>
      <c r="F903" t="s">
        <v>84</v>
      </c>
      <c r="G903">
        <v>10</v>
      </c>
      <c r="H903" t="s">
        <v>85</v>
      </c>
      <c r="I903" t="s">
        <v>43</v>
      </c>
      <c r="J903" t="s">
        <v>86</v>
      </c>
      <c r="K903" t="s">
        <v>44</v>
      </c>
      <c r="L903">
        <v>7647.1</v>
      </c>
      <c r="M903" s="1">
        <v>43431</v>
      </c>
      <c r="N903" t="s">
        <v>45</v>
      </c>
      <c r="O903" t="s">
        <v>46</v>
      </c>
      <c r="P903" t="s">
        <v>47</v>
      </c>
      <c r="Q903" s="1">
        <v>43852</v>
      </c>
      <c r="R903" t="s">
        <v>48</v>
      </c>
      <c r="S903" t="s">
        <v>96</v>
      </c>
      <c r="T903" t="s">
        <v>97</v>
      </c>
      <c r="U903" t="s">
        <v>85</v>
      </c>
      <c r="V903">
        <v>600000</v>
      </c>
      <c r="W903">
        <v>100000</v>
      </c>
      <c r="X903" s="1">
        <v>43799</v>
      </c>
      <c r="Y903" t="s">
        <v>51</v>
      </c>
      <c r="Z903" t="s">
        <v>43</v>
      </c>
      <c r="AA903" t="s">
        <v>98</v>
      </c>
      <c r="AB903" t="s">
        <v>89</v>
      </c>
      <c r="AC903" t="s">
        <v>90</v>
      </c>
      <c r="AF903" t="s">
        <v>91</v>
      </c>
      <c r="AG903" s="1">
        <v>43852</v>
      </c>
      <c r="AH903" t="s">
        <v>85</v>
      </c>
      <c r="AI903" t="s">
        <v>92</v>
      </c>
      <c r="AJ903">
        <v>19888</v>
      </c>
      <c r="AK903">
        <v>128777</v>
      </c>
      <c r="AL903">
        <v>198882</v>
      </c>
    </row>
    <row r="904" spans="1:38" x14ac:dyDescent="0.25">
      <c r="A904" t="s">
        <v>213</v>
      </c>
      <c r="B904" t="s">
        <v>352</v>
      </c>
      <c r="C904" t="s">
        <v>71</v>
      </c>
      <c r="D904" s="1">
        <v>43431</v>
      </c>
      <c r="E904" s="1">
        <v>43795</v>
      </c>
      <c r="F904" t="s">
        <v>84</v>
      </c>
      <c r="G904">
        <v>10</v>
      </c>
      <c r="H904" t="s">
        <v>85</v>
      </c>
      <c r="I904" t="s">
        <v>43</v>
      </c>
      <c r="J904" t="s">
        <v>86</v>
      </c>
      <c r="K904" t="s">
        <v>44</v>
      </c>
      <c r="L904">
        <v>7647.1</v>
      </c>
      <c r="M904" s="1">
        <v>43431</v>
      </c>
      <c r="N904" t="s">
        <v>45</v>
      </c>
      <c r="O904" t="s">
        <v>46</v>
      </c>
      <c r="P904" t="s">
        <v>47</v>
      </c>
      <c r="Q904" s="1">
        <v>43852</v>
      </c>
      <c r="R904" t="s">
        <v>48</v>
      </c>
      <c r="S904" t="s">
        <v>96</v>
      </c>
      <c r="T904" t="s">
        <v>97</v>
      </c>
      <c r="U904" t="s">
        <v>85</v>
      </c>
      <c r="V904">
        <v>600000</v>
      </c>
      <c r="W904">
        <v>100000</v>
      </c>
      <c r="X904" s="1">
        <v>43799</v>
      </c>
      <c r="Y904" t="s">
        <v>51</v>
      </c>
      <c r="Z904" t="s">
        <v>43</v>
      </c>
      <c r="AA904" t="s">
        <v>98</v>
      </c>
      <c r="AB904" t="s">
        <v>89</v>
      </c>
      <c r="AC904" t="s">
        <v>90</v>
      </c>
      <c r="AF904" t="s">
        <v>93</v>
      </c>
      <c r="AG904" s="1">
        <v>43843</v>
      </c>
      <c r="AH904" t="s">
        <v>85</v>
      </c>
      <c r="AI904" t="s">
        <v>92</v>
      </c>
      <c r="AJ904">
        <v>19888</v>
      </c>
      <c r="AK904">
        <v>128777</v>
      </c>
      <c r="AL904">
        <v>198882</v>
      </c>
    </row>
    <row r="905" spans="1:38" x14ac:dyDescent="0.25">
      <c r="A905" t="s">
        <v>213</v>
      </c>
      <c r="B905" t="s">
        <v>352</v>
      </c>
      <c r="C905" t="s">
        <v>71</v>
      </c>
      <c r="D905" s="1">
        <v>43431</v>
      </c>
      <c r="E905" s="1">
        <v>43795</v>
      </c>
      <c r="F905" t="s">
        <v>84</v>
      </c>
      <c r="G905">
        <v>10</v>
      </c>
      <c r="H905" t="s">
        <v>85</v>
      </c>
      <c r="I905" t="s">
        <v>43</v>
      </c>
      <c r="J905" t="s">
        <v>86</v>
      </c>
      <c r="K905" t="s">
        <v>44</v>
      </c>
      <c r="L905">
        <v>7647.1</v>
      </c>
      <c r="M905" s="1">
        <v>43431</v>
      </c>
      <c r="N905" t="s">
        <v>45</v>
      </c>
      <c r="O905" t="s">
        <v>46</v>
      </c>
      <c r="P905" t="s">
        <v>47</v>
      </c>
      <c r="Q905" s="1">
        <v>43852</v>
      </c>
      <c r="R905" t="s">
        <v>48</v>
      </c>
      <c r="S905" t="s">
        <v>99</v>
      </c>
      <c r="T905" t="s">
        <v>100</v>
      </c>
      <c r="U905" t="s">
        <v>85</v>
      </c>
      <c r="V905">
        <v>210000</v>
      </c>
      <c r="W905">
        <v>35000</v>
      </c>
      <c r="X905" s="1">
        <v>43799</v>
      </c>
      <c r="Y905" t="s">
        <v>51</v>
      </c>
      <c r="Z905" t="s">
        <v>43</v>
      </c>
      <c r="AA905" t="s">
        <v>98</v>
      </c>
      <c r="AB905" t="s">
        <v>89</v>
      </c>
      <c r="AC905" t="s">
        <v>101</v>
      </c>
      <c r="AF905" t="s">
        <v>91</v>
      </c>
      <c r="AG905" s="1">
        <v>43852</v>
      </c>
      <c r="AH905" t="s">
        <v>85</v>
      </c>
      <c r="AI905" t="s">
        <v>92</v>
      </c>
      <c r="AJ905">
        <v>19888</v>
      </c>
      <c r="AK905">
        <v>128777</v>
      </c>
      <c r="AL905">
        <v>198882</v>
      </c>
    </row>
    <row r="906" spans="1:38" x14ac:dyDescent="0.25">
      <c r="A906" t="s">
        <v>213</v>
      </c>
      <c r="B906" t="s">
        <v>352</v>
      </c>
      <c r="C906" t="s">
        <v>71</v>
      </c>
      <c r="D906" s="1">
        <v>43431</v>
      </c>
      <c r="E906" s="1">
        <v>43795</v>
      </c>
      <c r="F906" t="s">
        <v>84</v>
      </c>
      <c r="G906">
        <v>10</v>
      </c>
      <c r="H906" t="s">
        <v>85</v>
      </c>
      <c r="I906" t="s">
        <v>43</v>
      </c>
      <c r="J906" t="s">
        <v>86</v>
      </c>
      <c r="K906" t="s">
        <v>44</v>
      </c>
      <c r="L906">
        <v>7647.1</v>
      </c>
      <c r="M906" s="1">
        <v>43431</v>
      </c>
      <c r="N906" t="s">
        <v>45</v>
      </c>
      <c r="O906" t="s">
        <v>46</v>
      </c>
      <c r="P906" t="s">
        <v>47</v>
      </c>
      <c r="Q906" s="1">
        <v>43852</v>
      </c>
      <c r="R906" t="s">
        <v>48</v>
      </c>
      <c r="S906" t="s">
        <v>99</v>
      </c>
      <c r="T906" t="s">
        <v>100</v>
      </c>
      <c r="U906" t="s">
        <v>85</v>
      </c>
      <c r="V906">
        <v>210000</v>
      </c>
      <c r="W906">
        <v>35000</v>
      </c>
      <c r="X906" s="1">
        <v>43799</v>
      </c>
      <c r="Y906" t="s">
        <v>51</v>
      </c>
      <c r="Z906" t="s">
        <v>43</v>
      </c>
      <c r="AA906" t="s">
        <v>98</v>
      </c>
      <c r="AB906" t="s">
        <v>89</v>
      </c>
      <c r="AC906" t="s">
        <v>101</v>
      </c>
      <c r="AF906" t="s">
        <v>93</v>
      </c>
      <c r="AG906" s="1">
        <v>43843</v>
      </c>
      <c r="AH906" t="s">
        <v>85</v>
      </c>
      <c r="AI906" t="s">
        <v>92</v>
      </c>
      <c r="AJ906">
        <v>19888</v>
      </c>
      <c r="AK906">
        <v>128777</v>
      </c>
      <c r="AL906">
        <v>198882</v>
      </c>
    </row>
    <row r="907" spans="1:38" x14ac:dyDescent="0.25">
      <c r="A907" t="s">
        <v>213</v>
      </c>
      <c r="B907" t="s">
        <v>352</v>
      </c>
      <c r="C907" t="s">
        <v>71</v>
      </c>
      <c r="D907" s="1">
        <v>43431</v>
      </c>
      <c r="E907" s="1">
        <v>43795</v>
      </c>
      <c r="F907" t="s">
        <v>84</v>
      </c>
      <c r="G907">
        <v>10</v>
      </c>
      <c r="H907" t="s">
        <v>85</v>
      </c>
      <c r="I907" t="s">
        <v>43</v>
      </c>
      <c r="J907" t="s">
        <v>86</v>
      </c>
      <c r="K907" t="s">
        <v>44</v>
      </c>
      <c r="L907">
        <v>7647.1</v>
      </c>
      <c r="M907" s="1">
        <v>43431</v>
      </c>
      <c r="N907" t="s">
        <v>45</v>
      </c>
      <c r="O907" t="s">
        <v>46</v>
      </c>
      <c r="P907" t="s">
        <v>47</v>
      </c>
      <c r="Q907" s="1">
        <v>43852</v>
      </c>
      <c r="R907" t="s">
        <v>48</v>
      </c>
      <c r="S907" t="s">
        <v>102</v>
      </c>
      <c r="T907" t="s">
        <v>103</v>
      </c>
      <c r="U907" t="s">
        <v>85</v>
      </c>
      <c r="V907">
        <v>5000000</v>
      </c>
      <c r="W907">
        <v>250000</v>
      </c>
      <c r="X907" s="1">
        <v>43799</v>
      </c>
      <c r="Y907" t="s">
        <v>51</v>
      </c>
      <c r="Z907" t="s">
        <v>43</v>
      </c>
      <c r="AA907" t="s">
        <v>86</v>
      </c>
      <c r="AB907" t="s">
        <v>89</v>
      </c>
      <c r="AC907" t="s">
        <v>90</v>
      </c>
      <c r="AF907" t="s">
        <v>91</v>
      </c>
      <c r="AG907" s="1">
        <v>43852</v>
      </c>
      <c r="AH907" t="s">
        <v>85</v>
      </c>
      <c r="AI907" t="s">
        <v>92</v>
      </c>
      <c r="AJ907">
        <v>19888</v>
      </c>
      <c r="AK907">
        <v>128777</v>
      </c>
      <c r="AL907">
        <v>198882</v>
      </c>
    </row>
    <row r="908" spans="1:38" x14ac:dyDescent="0.25">
      <c r="A908" t="s">
        <v>213</v>
      </c>
      <c r="B908" t="s">
        <v>352</v>
      </c>
      <c r="C908" t="s">
        <v>71</v>
      </c>
      <c r="D908" s="1">
        <v>43431</v>
      </c>
      <c r="E908" s="1">
        <v>43795</v>
      </c>
      <c r="F908" t="s">
        <v>84</v>
      </c>
      <c r="G908">
        <v>10</v>
      </c>
      <c r="H908" t="s">
        <v>85</v>
      </c>
      <c r="I908" t="s">
        <v>43</v>
      </c>
      <c r="J908" t="s">
        <v>86</v>
      </c>
      <c r="K908" t="s">
        <v>44</v>
      </c>
      <c r="L908">
        <v>7647.1</v>
      </c>
      <c r="M908" s="1">
        <v>43431</v>
      </c>
      <c r="N908" t="s">
        <v>45</v>
      </c>
      <c r="O908" t="s">
        <v>46</v>
      </c>
      <c r="P908" t="s">
        <v>47</v>
      </c>
      <c r="Q908" s="1">
        <v>43852</v>
      </c>
      <c r="R908" t="s">
        <v>48</v>
      </c>
      <c r="S908" t="s">
        <v>102</v>
      </c>
      <c r="T908" t="s">
        <v>103</v>
      </c>
      <c r="U908" t="s">
        <v>85</v>
      </c>
      <c r="V908">
        <v>5000000</v>
      </c>
      <c r="W908">
        <v>250000</v>
      </c>
      <c r="X908" s="1">
        <v>43799</v>
      </c>
      <c r="Y908" t="s">
        <v>51</v>
      </c>
      <c r="Z908" t="s">
        <v>43</v>
      </c>
      <c r="AA908" t="s">
        <v>86</v>
      </c>
      <c r="AB908" t="s">
        <v>89</v>
      </c>
      <c r="AC908" t="s">
        <v>90</v>
      </c>
      <c r="AF908" t="s">
        <v>93</v>
      </c>
      <c r="AG908" s="1">
        <v>43843</v>
      </c>
      <c r="AH908" t="s">
        <v>85</v>
      </c>
      <c r="AI908" t="s">
        <v>92</v>
      </c>
      <c r="AJ908">
        <v>19888</v>
      </c>
      <c r="AK908">
        <v>128777</v>
      </c>
      <c r="AL908">
        <v>198882</v>
      </c>
    </row>
    <row r="909" spans="1:38" x14ac:dyDescent="0.25">
      <c r="A909" t="s">
        <v>215</v>
      </c>
      <c r="B909" t="s">
        <v>353</v>
      </c>
      <c r="C909" t="s">
        <v>40</v>
      </c>
      <c r="D909" s="1">
        <v>43796</v>
      </c>
      <c r="E909" s="1">
        <v>44161</v>
      </c>
      <c r="F909" t="s">
        <v>84</v>
      </c>
      <c r="G909">
        <v>10</v>
      </c>
      <c r="H909" t="s">
        <v>85</v>
      </c>
      <c r="I909" t="s">
        <v>43</v>
      </c>
      <c r="J909" t="s">
        <v>86</v>
      </c>
      <c r="K909" t="s">
        <v>44</v>
      </c>
      <c r="L909">
        <v>12491.85</v>
      </c>
      <c r="M909" s="1">
        <v>43796</v>
      </c>
      <c r="N909" t="s">
        <v>45</v>
      </c>
      <c r="O909" t="s">
        <v>44</v>
      </c>
      <c r="P909" t="s">
        <v>47</v>
      </c>
      <c r="Q909" s="1">
        <v>43852</v>
      </c>
      <c r="R909" t="s">
        <v>48</v>
      </c>
      <c r="S909" t="s">
        <v>87</v>
      </c>
      <c r="T909" t="s">
        <v>88</v>
      </c>
      <c r="U909" t="s">
        <v>85</v>
      </c>
      <c r="V909">
        <v>1400000</v>
      </c>
      <c r="W909">
        <v>100000</v>
      </c>
      <c r="X909" s="1">
        <v>43808</v>
      </c>
      <c r="Y909" t="s">
        <v>51</v>
      </c>
      <c r="Z909" t="s">
        <v>43</v>
      </c>
      <c r="AA909" t="s">
        <v>86</v>
      </c>
      <c r="AB909" t="s">
        <v>89</v>
      </c>
      <c r="AC909" t="s">
        <v>90</v>
      </c>
      <c r="AF909" t="s">
        <v>91</v>
      </c>
      <c r="AG909" s="1">
        <v>43852</v>
      </c>
      <c r="AH909" t="s">
        <v>85</v>
      </c>
      <c r="AI909" t="s">
        <v>92</v>
      </c>
      <c r="AJ909">
        <v>19888</v>
      </c>
      <c r="AK909">
        <v>128777</v>
      </c>
      <c r="AL909">
        <v>198882</v>
      </c>
    </row>
    <row r="910" spans="1:38" x14ac:dyDescent="0.25">
      <c r="A910" t="s">
        <v>215</v>
      </c>
      <c r="B910" t="s">
        <v>353</v>
      </c>
      <c r="C910" t="s">
        <v>40</v>
      </c>
      <c r="D910" s="1">
        <v>43796</v>
      </c>
      <c r="E910" s="1">
        <v>44161</v>
      </c>
      <c r="F910" t="s">
        <v>84</v>
      </c>
      <c r="G910">
        <v>10</v>
      </c>
      <c r="H910" t="s">
        <v>85</v>
      </c>
      <c r="I910" t="s">
        <v>43</v>
      </c>
      <c r="J910" t="s">
        <v>86</v>
      </c>
      <c r="K910" t="s">
        <v>44</v>
      </c>
      <c r="L910">
        <v>12491.85</v>
      </c>
      <c r="M910" s="1">
        <v>43796</v>
      </c>
      <c r="N910" t="s">
        <v>45</v>
      </c>
      <c r="O910" t="s">
        <v>44</v>
      </c>
      <c r="P910" t="s">
        <v>47</v>
      </c>
      <c r="Q910" s="1">
        <v>43852</v>
      </c>
      <c r="R910" t="s">
        <v>48</v>
      </c>
      <c r="S910" t="s">
        <v>87</v>
      </c>
      <c r="T910" t="s">
        <v>88</v>
      </c>
      <c r="U910" t="s">
        <v>85</v>
      </c>
      <c r="V910">
        <v>1400000</v>
      </c>
      <c r="W910">
        <v>100000</v>
      </c>
      <c r="X910" s="1">
        <v>43808</v>
      </c>
      <c r="Y910" t="s">
        <v>51</v>
      </c>
      <c r="Z910" t="s">
        <v>43</v>
      </c>
      <c r="AA910" t="s">
        <v>86</v>
      </c>
      <c r="AB910" t="s">
        <v>89</v>
      </c>
      <c r="AC910" t="s">
        <v>90</v>
      </c>
      <c r="AF910" t="s">
        <v>93</v>
      </c>
      <c r="AG910" s="1">
        <v>43843</v>
      </c>
      <c r="AH910" t="s">
        <v>85</v>
      </c>
      <c r="AI910" t="s">
        <v>92</v>
      </c>
      <c r="AJ910">
        <v>19888</v>
      </c>
      <c r="AK910">
        <v>128777</v>
      </c>
      <c r="AL910">
        <v>198882</v>
      </c>
    </row>
    <row r="911" spans="1:38" x14ac:dyDescent="0.25">
      <c r="A911" t="s">
        <v>215</v>
      </c>
      <c r="B911" t="s">
        <v>353</v>
      </c>
      <c r="C911" t="s">
        <v>40</v>
      </c>
      <c r="D911" s="1">
        <v>43796</v>
      </c>
      <c r="E911" s="1">
        <v>44161</v>
      </c>
      <c r="F911" t="s">
        <v>84</v>
      </c>
      <c r="G911">
        <v>10</v>
      </c>
      <c r="H911" t="s">
        <v>85</v>
      </c>
      <c r="I911" t="s">
        <v>43</v>
      </c>
      <c r="J911" t="s">
        <v>86</v>
      </c>
      <c r="K911" t="s">
        <v>44</v>
      </c>
      <c r="L911">
        <v>12491.85</v>
      </c>
      <c r="M911" s="1">
        <v>43796</v>
      </c>
      <c r="N911" t="s">
        <v>45</v>
      </c>
      <c r="O911" t="s">
        <v>44</v>
      </c>
      <c r="P911" t="s">
        <v>47</v>
      </c>
      <c r="Q911" s="1">
        <v>43852</v>
      </c>
      <c r="R911" t="s">
        <v>48</v>
      </c>
      <c r="S911" t="s">
        <v>94</v>
      </c>
      <c r="T911" t="s">
        <v>95</v>
      </c>
      <c r="U911" t="s">
        <v>85</v>
      </c>
      <c r="V911">
        <v>4500000</v>
      </c>
      <c r="W911">
        <v>300000</v>
      </c>
      <c r="X911" s="1">
        <v>43767</v>
      </c>
      <c r="Y911" t="s">
        <v>51</v>
      </c>
      <c r="Z911" t="s">
        <v>43</v>
      </c>
      <c r="AA911" t="s">
        <v>86</v>
      </c>
      <c r="AB911" t="s">
        <v>89</v>
      </c>
      <c r="AC911" t="s">
        <v>90</v>
      </c>
      <c r="AF911" t="s">
        <v>91</v>
      </c>
      <c r="AG911" s="1">
        <v>43852</v>
      </c>
      <c r="AH911" t="s">
        <v>85</v>
      </c>
      <c r="AI911" t="s">
        <v>92</v>
      </c>
      <c r="AJ911">
        <v>19888</v>
      </c>
      <c r="AK911">
        <v>128777</v>
      </c>
      <c r="AL911">
        <v>198882</v>
      </c>
    </row>
    <row r="912" spans="1:38" x14ac:dyDescent="0.25">
      <c r="A912" t="s">
        <v>215</v>
      </c>
      <c r="B912" t="s">
        <v>353</v>
      </c>
      <c r="C912" t="s">
        <v>40</v>
      </c>
      <c r="D912" s="1">
        <v>43796</v>
      </c>
      <c r="E912" s="1">
        <v>44161</v>
      </c>
      <c r="F912" t="s">
        <v>84</v>
      </c>
      <c r="G912">
        <v>10</v>
      </c>
      <c r="H912" t="s">
        <v>85</v>
      </c>
      <c r="I912" t="s">
        <v>43</v>
      </c>
      <c r="J912" t="s">
        <v>86</v>
      </c>
      <c r="K912" t="s">
        <v>44</v>
      </c>
      <c r="L912">
        <v>12491.85</v>
      </c>
      <c r="M912" s="1">
        <v>43796</v>
      </c>
      <c r="N912" t="s">
        <v>45</v>
      </c>
      <c r="O912" t="s">
        <v>44</v>
      </c>
      <c r="P912" t="s">
        <v>47</v>
      </c>
      <c r="Q912" s="1">
        <v>43852</v>
      </c>
      <c r="R912" t="s">
        <v>48</v>
      </c>
      <c r="S912" t="s">
        <v>94</v>
      </c>
      <c r="T912" t="s">
        <v>95</v>
      </c>
      <c r="U912" t="s">
        <v>85</v>
      </c>
      <c r="V912">
        <v>4500000</v>
      </c>
      <c r="W912">
        <v>300000</v>
      </c>
      <c r="X912" s="1">
        <v>43767</v>
      </c>
      <c r="Y912" t="s">
        <v>51</v>
      </c>
      <c r="Z912" t="s">
        <v>43</v>
      </c>
      <c r="AA912" t="s">
        <v>86</v>
      </c>
      <c r="AB912" t="s">
        <v>89</v>
      </c>
      <c r="AC912" t="s">
        <v>90</v>
      </c>
      <c r="AF912" t="s">
        <v>93</v>
      </c>
      <c r="AG912" s="1">
        <v>43843</v>
      </c>
      <c r="AH912" t="s">
        <v>85</v>
      </c>
      <c r="AI912" t="s">
        <v>92</v>
      </c>
      <c r="AJ912">
        <v>19888</v>
      </c>
      <c r="AK912">
        <v>128777</v>
      </c>
      <c r="AL912">
        <v>198882</v>
      </c>
    </row>
    <row r="913" spans="1:38" x14ac:dyDescent="0.25">
      <c r="A913" t="s">
        <v>215</v>
      </c>
      <c r="B913" t="s">
        <v>353</v>
      </c>
      <c r="C913" t="s">
        <v>40</v>
      </c>
      <c r="D913" s="1">
        <v>43796</v>
      </c>
      <c r="E913" s="1">
        <v>44161</v>
      </c>
      <c r="F913" t="s">
        <v>84</v>
      </c>
      <c r="G913">
        <v>10</v>
      </c>
      <c r="H913" t="s">
        <v>85</v>
      </c>
      <c r="I913" t="s">
        <v>43</v>
      </c>
      <c r="J913" t="s">
        <v>86</v>
      </c>
      <c r="K913" t="s">
        <v>44</v>
      </c>
      <c r="L913">
        <v>12491.85</v>
      </c>
      <c r="M913" s="1">
        <v>43796</v>
      </c>
      <c r="N913" t="s">
        <v>45</v>
      </c>
      <c r="O913" t="s">
        <v>44</v>
      </c>
      <c r="P913" t="s">
        <v>47</v>
      </c>
      <c r="Q913" s="1">
        <v>43852</v>
      </c>
      <c r="R913" t="s">
        <v>48</v>
      </c>
      <c r="S913" t="s">
        <v>96</v>
      </c>
      <c r="T913" t="s">
        <v>97</v>
      </c>
      <c r="U913" t="s">
        <v>85</v>
      </c>
      <c r="V913">
        <v>600000</v>
      </c>
      <c r="W913">
        <v>100000</v>
      </c>
      <c r="X913" s="1">
        <v>43799</v>
      </c>
      <c r="Y913" t="s">
        <v>51</v>
      </c>
      <c r="Z913" t="s">
        <v>43</v>
      </c>
      <c r="AA913" t="s">
        <v>98</v>
      </c>
      <c r="AB913" t="s">
        <v>89</v>
      </c>
      <c r="AC913" t="s">
        <v>90</v>
      </c>
      <c r="AF913" t="s">
        <v>91</v>
      </c>
      <c r="AG913" s="1">
        <v>43852</v>
      </c>
      <c r="AH913" t="s">
        <v>85</v>
      </c>
      <c r="AI913" t="s">
        <v>92</v>
      </c>
      <c r="AJ913">
        <v>19888</v>
      </c>
      <c r="AK913">
        <v>128777</v>
      </c>
      <c r="AL913">
        <v>198882</v>
      </c>
    </row>
    <row r="914" spans="1:38" x14ac:dyDescent="0.25">
      <c r="A914" t="s">
        <v>215</v>
      </c>
      <c r="B914" t="s">
        <v>353</v>
      </c>
      <c r="C914" t="s">
        <v>40</v>
      </c>
      <c r="D914" s="1">
        <v>43796</v>
      </c>
      <c r="E914" s="1">
        <v>44161</v>
      </c>
      <c r="F914" t="s">
        <v>84</v>
      </c>
      <c r="G914">
        <v>10</v>
      </c>
      <c r="H914" t="s">
        <v>85</v>
      </c>
      <c r="I914" t="s">
        <v>43</v>
      </c>
      <c r="J914" t="s">
        <v>86</v>
      </c>
      <c r="K914" t="s">
        <v>44</v>
      </c>
      <c r="L914">
        <v>12491.85</v>
      </c>
      <c r="M914" s="1">
        <v>43796</v>
      </c>
      <c r="N914" t="s">
        <v>45</v>
      </c>
      <c r="O914" t="s">
        <v>44</v>
      </c>
      <c r="P914" t="s">
        <v>47</v>
      </c>
      <c r="Q914" s="1">
        <v>43852</v>
      </c>
      <c r="R914" t="s">
        <v>48</v>
      </c>
      <c r="S914" t="s">
        <v>96</v>
      </c>
      <c r="T914" t="s">
        <v>97</v>
      </c>
      <c r="U914" t="s">
        <v>85</v>
      </c>
      <c r="V914">
        <v>600000</v>
      </c>
      <c r="W914">
        <v>100000</v>
      </c>
      <c r="X914" s="1">
        <v>43799</v>
      </c>
      <c r="Y914" t="s">
        <v>51</v>
      </c>
      <c r="Z914" t="s">
        <v>43</v>
      </c>
      <c r="AA914" t="s">
        <v>98</v>
      </c>
      <c r="AB914" t="s">
        <v>89</v>
      </c>
      <c r="AC914" t="s">
        <v>90</v>
      </c>
      <c r="AF914" t="s">
        <v>93</v>
      </c>
      <c r="AG914" s="1">
        <v>43843</v>
      </c>
      <c r="AH914" t="s">
        <v>85</v>
      </c>
      <c r="AI914" t="s">
        <v>92</v>
      </c>
      <c r="AJ914">
        <v>19888</v>
      </c>
      <c r="AK914">
        <v>128777</v>
      </c>
      <c r="AL914">
        <v>198882</v>
      </c>
    </row>
    <row r="915" spans="1:38" x14ac:dyDescent="0.25">
      <c r="A915" t="s">
        <v>215</v>
      </c>
      <c r="B915" t="s">
        <v>353</v>
      </c>
      <c r="C915" t="s">
        <v>40</v>
      </c>
      <c r="D915" s="1">
        <v>43796</v>
      </c>
      <c r="E915" s="1">
        <v>44161</v>
      </c>
      <c r="F915" t="s">
        <v>84</v>
      </c>
      <c r="G915">
        <v>10</v>
      </c>
      <c r="H915" t="s">
        <v>85</v>
      </c>
      <c r="I915" t="s">
        <v>43</v>
      </c>
      <c r="J915" t="s">
        <v>86</v>
      </c>
      <c r="K915" t="s">
        <v>44</v>
      </c>
      <c r="L915">
        <v>12491.85</v>
      </c>
      <c r="M915" s="1">
        <v>43796</v>
      </c>
      <c r="N915" t="s">
        <v>45</v>
      </c>
      <c r="O915" t="s">
        <v>44</v>
      </c>
      <c r="P915" t="s">
        <v>47</v>
      </c>
      <c r="Q915" s="1">
        <v>43852</v>
      </c>
      <c r="R915" t="s">
        <v>48</v>
      </c>
      <c r="S915" t="s">
        <v>99</v>
      </c>
      <c r="T915" t="s">
        <v>100</v>
      </c>
      <c r="U915" t="s">
        <v>85</v>
      </c>
      <c r="V915">
        <v>210000</v>
      </c>
      <c r="W915">
        <v>35000</v>
      </c>
      <c r="X915" s="1">
        <v>43799</v>
      </c>
      <c r="Y915" t="s">
        <v>51</v>
      </c>
      <c r="Z915" t="s">
        <v>43</v>
      </c>
      <c r="AA915" t="s">
        <v>98</v>
      </c>
      <c r="AB915" t="s">
        <v>89</v>
      </c>
      <c r="AC915" t="s">
        <v>101</v>
      </c>
      <c r="AF915" t="s">
        <v>91</v>
      </c>
      <c r="AG915" s="1">
        <v>43852</v>
      </c>
      <c r="AH915" t="s">
        <v>85</v>
      </c>
      <c r="AI915" t="s">
        <v>92</v>
      </c>
      <c r="AJ915">
        <v>19888</v>
      </c>
      <c r="AK915">
        <v>128777</v>
      </c>
      <c r="AL915">
        <v>198882</v>
      </c>
    </row>
    <row r="916" spans="1:38" x14ac:dyDescent="0.25">
      <c r="A916" t="s">
        <v>215</v>
      </c>
      <c r="B916" t="s">
        <v>353</v>
      </c>
      <c r="C916" t="s">
        <v>40</v>
      </c>
      <c r="D916" s="1">
        <v>43796</v>
      </c>
      <c r="E916" s="1">
        <v>44161</v>
      </c>
      <c r="F916" t="s">
        <v>84</v>
      </c>
      <c r="G916">
        <v>10</v>
      </c>
      <c r="H916" t="s">
        <v>85</v>
      </c>
      <c r="I916" t="s">
        <v>43</v>
      </c>
      <c r="J916" t="s">
        <v>86</v>
      </c>
      <c r="K916" t="s">
        <v>44</v>
      </c>
      <c r="L916">
        <v>12491.85</v>
      </c>
      <c r="M916" s="1">
        <v>43796</v>
      </c>
      <c r="N916" t="s">
        <v>45</v>
      </c>
      <c r="O916" t="s">
        <v>44</v>
      </c>
      <c r="P916" t="s">
        <v>47</v>
      </c>
      <c r="Q916" s="1">
        <v>43852</v>
      </c>
      <c r="R916" t="s">
        <v>48</v>
      </c>
      <c r="S916" t="s">
        <v>99</v>
      </c>
      <c r="T916" t="s">
        <v>100</v>
      </c>
      <c r="U916" t="s">
        <v>85</v>
      </c>
      <c r="V916">
        <v>210000</v>
      </c>
      <c r="W916">
        <v>35000</v>
      </c>
      <c r="X916" s="1">
        <v>43799</v>
      </c>
      <c r="Y916" t="s">
        <v>51</v>
      </c>
      <c r="Z916" t="s">
        <v>43</v>
      </c>
      <c r="AA916" t="s">
        <v>98</v>
      </c>
      <c r="AB916" t="s">
        <v>89</v>
      </c>
      <c r="AC916" t="s">
        <v>101</v>
      </c>
      <c r="AF916" t="s">
        <v>93</v>
      </c>
      <c r="AG916" s="1">
        <v>43843</v>
      </c>
      <c r="AH916" t="s">
        <v>85</v>
      </c>
      <c r="AI916" t="s">
        <v>92</v>
      </c>
      <c r="AJ916">
        <v>19888</v>
      </c>
      <c r="AK916">
        <v>128777</v>
      </c>
      <c r="AL916">
        <v>198882</v>
      </c>
    </row>
    <row r="917" spans="1:38" x14ac:dyDescent="0.25">
      <c r="A917" t="s">
        <v>215</v>
      </c>
      <c r="B917" t="s">
        <v>353</v>
      </c>
      <c r="C917" t="s">
        <v>40</v>
      </c>
      <c r="D917" s="1">
        <v>43796</v>
      </c>
      <c r="E917" s="1">
        <v>44161</v>
      </c>
      <c r="F917" t="s">
        <v>84</v>
      </c>
      <c r="G917">
        <v>10</v>
      </c>
      <c r="H917" t="s">
        <v>85</v>
      </c>
      <c r="I917" t="s">
        <v>43</v>
      </c>
      <c r="J917" t="s">
        <v>86</v>
      </c>
      <c r="K917" t="s">
        <v>44</v>
      </c>
      <c r="L917">
        <v>12491.85</v>
      </c>
      <c r="M917" s="1">
        <v>43796</v>
      </c>
      <c r="N917" t="s">
        <v>45</v>
      </c>
      <c r="O917" t="s">
        <v>44</v>
      </c>
      <c r="P917" t="s">
        <v>47</v>
      </c>
      <c r="Q917" s="1">
        <v>43852</v>
      </c>
      <c r="R917" t="s">
        <v>48</v>
      </c>
      <c r="S917" t="s">
        <v>102</v>
      </c>
      <c r="T917" t="s">
        <v>103</v>
      </c>
      <c r="U917" t="s">
        <v>85</v>
      </c>
      <c r="V917">
        <v>5000000</v>
      </c>
      <c r="W917">
        <v>250000</v>
      </c>
      <c r="X917" s="1">
        <v>43799</v>
      </c>
      <c r="Y917" t="s">
        <v>51</v>
      </c>
      <c r="Z917" t="s">
        <v>43</v>
      </c>
      <c r="AA917" t="s">
        <v>86</v>
      </c>
      <c r="AB917" t="s">
        <v>89</v>
      </c>
      <c r="AC917" t="s">
        <v>90</v>
      </c>
      <c r="AF917" t="s">
        <v>91</v>
      </c>
      <c r="AG917" s="1">
        <v>43852</v>
      </c>
      <c r="AH917" t="s">
        <v>85</v>
      </c>
      <c r="AI917" t="s">
        <v>92</v>
      </c>
      <c r="AJ917">
        <v>19888</v>
      </c>
      <c r="AK917">
        <v>128777</v>
      </c>
      <c r="AL917">
        <v>198882</v>
      </c>
    </row>
    <row r="918" spans="1:38" x14ac:dyDescent="0.25">
      <c r="A918" t="s">
        <v>215</v>
      </c>
      <c r="B918" t="s">
        <v>353</v>
      </c>
      <c r="C918" t="s">
        <v>40</v>
      </c>
      <c r="D918" s="1">
        <v>43796</v>
      </c>
      <c r="E918" s="1">
        <v>44161</v>
      </c>
      <c r="F918" t="s">
        <v>84</v>
      </c>
      <c r="G918">
        <v>10</v>
      </c>
      <c r="H918" t="s">
        <v>85</v>
      </c>
      <c r="I918" t="s">
        <v>43</v>
      </c>
      <c r="J918" t="s">
        <v>86</v>
      </c>
      <c r="K918" t="s">
        <v>44</v>
      </c>
      <c r="L918">
        <v>12491.85</v>
      </c>
      <c r="M918" s="1">
        <v>43796</v>
      </c>
      <c r="N918" t="s">
        <v>45</v>
      </c>
      <c r="O918" t="s">
        <v>44</v>
      </c>
      <c r="P918" t="s">
        <v>47</v>
      </c>
      <c r="Q918" s="1">
        <v>43852</v>
      </c>
      <c r="R918" t="s">
        <v>48</v>
      </c>
      <c r="S918" t="s">
        <v>102</v>
      </c>
      <c r="T918" t="s">
        <v>103</v>
      </c>
      <c r="U918" t="s">
        <v>85</v>
      </c>
      <c r="V918">
        <v>5000000</v>
      </c>
      <c r="W918">
        <v>250000</v>
      </c>
      <c r="X918" s="1">
        <v>43799</v>
      </c>
      <c r="Y918" t="s">
        <v>51</v>
      </c>
      <c r="Z918" t="s">
        <v>43</v>
      </c>
      <c r="AA918" t="s">
        <v>86</v>
      </c>
      <c r="AB918" t="s">
        <v>89</v>
      </c>
      <c r="AC918" t="s">
        <v>90</v>
      </c>
      <c r="AF918" t="s">
        <v>93</v>
      </c>
      <c r="AG918" s="1">
        <v>43843</v>
      </c>
      <c r="AH918" t="s">
        <v>85</v>
      </c>
      <c r="AI918" t="s">
        <v>92</v>
      </c>
      <c r="AJ918">
        <v>19888</v>
      </c>
      <c r="AK918">
        <v>128777</v>
      </c>
      <c r="AL918">
        <v>198882</v>
      </c>
    </row>
    <row r="919" spans="1:38" x14ac:dyDescent="0.25">
      <c r="A919" t="s">
        <v>217</v>
      </c>
      <c r="B919" t="s">
        <v>354</v>
      </c>
      <c r="C919" t="s">
        <v>71</v>
      </c>
      <c r="D919" s="1">
        <v>43431</v>
      </c>
      <c r="E919" s="1">
        <v>43795</v>
      </c>
      <c r="F919" t="s">
        <v>84</v>
      </c>
      <c r="G919">
        <v>10</v>
      </c>
      <c r="H919" t="s">
        <v>85</v>
      </c>
      <c r="I919" t="s">
        <v>43</v>
      </c>
      <c r="J919" t="s">
        <v>86</v>
      </c>
      <c r="K919" t="s">
        <v>44</v>
      </c>
      <c r="L919">
        <v>30620.9</v>
      </c>
      <c r="M919" s="1">
        <v>43431</v>
      </c>
      <c r="N919" t="s">
        <v>45</v>
      </c>
      <c r="O919" t="s">
        <v>46</v>
      </c>
      <c r="P919" t="s">
        <v>47</v>
      </c>
      <c r="Q919" s="1">
        <v>43852</v>
      </c>
      <c r="R919" t="s">
        <v>48</v>
      </c>
      <c r="S919" t="s">
        <v>87</v>
      </c>
      <c r="T919" t="s">
        <v>88</v>
      </c>
      <c r="U919" t="s">
        <v>85</v>
      </c>
      <c r="V919">
        <v>1400000</v>
      </c>
      <c r="W919">
        <v>100000</v>
      </c>
      <c r="X919" s="1">
        <v>43808</v>
      </c>
      <c r="Y919" t="s">
        <v>51</v>
      </c>
      <c r="Z919" t="s">
        <v>43</v>
      </c>
      <c r="AA919" t="s">
        <v>86</v>
      </c>
      <c r="AB919" t="s">
        <v>89</v>
      </c>
      <c r="AC919" t="s">
        <v>90</v>
      </c>
      <c r="AF919" t="s">
        <v>91</v>
      </c>
      <c r="AG919" s="1">
        <v>43852</v>
      </c>
      <c r="AH919" t="s">
        <v>85</v>
      </c>
      <c r="AI919" t="s">
        <v>92</v>
      </c>
      <c r="AJ919">
        <v>19888</v>
      </c>
      <c r="AK919">
        <v>128777</v>
      </c>
      <c r="AL919">
        <v>198882</v>
      </c>
    </row>
    <row r="920" spans="1:38" x14ac:dyDescent="0.25">
      <c r="A920" t="s">
        <v>217</v>
      </c>
      <c r="B920" t="s">
        <v>354</v>
      </c>
      <c r="C920" t="s">
        <v>71</v>
      </c>
      <c r="D920" s="1">
        <v>43431</v>
      </c>
      <c r="E920" s="1">
        <v>43795</v>
      </c>
      <c r="F920" t="s">
        <v>84</v>
      </c>
      <c r="G920">
        <v>10</v>
      </c>
      <c r="H920" t="s">
        <v>85</v>
      </c>
      <c r="I920" t="s">
        <v>43</v>
      </c>
      <c r="J920" t="s">
        <v>86</v>
      </c>
      <c r="K920" t="s">
        <v>44</v>
      </c>
      <c r="L920">
        <v>30620.9</v>
      </c>
      <c r="M920" s="1">
        <v>43431</v>
      </c>
      <c r="N920" t="s">
        <v>45</v>
      </c>
      <c r="O920" t="s">
        <v>46</v>
      </c>
      <c r="P920" t="s">
        <v>47</v>
      </c>
      <c r="Q920" s="1">
        <v>43852</v>
      </c>
      <c r="R920" t="s">
        <v>48</v>
      </c>
      <c r="S920" t="s">
        <v>87</v>
      </c>
      <c r="T920" t="s">
        <v>88</v>
      </c>
      <c r="U920" t="s">
        <v>85</v>
      </c>
      <c r="V920">
        <v>1400000</v>
      </c>
      <c r="W920">
        <v>100000</v>
      </c>
      <c r="X920" s="1">
        <v>43808</v>
      </c>
      <c r="Y920" t="s">
        <v>51</v>
      </c>
      <c r="Z920" t="s">
        <v>43</v>
      </c>
      <c r="AA920" t="s">
        <v>86</v>
      </c>
      <c r="AB920" t="s">
        <v>89</v>
      </c>
      <c r="AC920" t="s">
        <v>90</v>
      </c>
      <c r="AF920" t="s">
        <v>93</v>
      </c>
      <c r="AG920" s="1">
        <v>43843</v>
      </c>
      <c r="AH920" t="s">
        <v>85</v>
      </c>
      <c r="AI920" t="s">
        <v>92</v>
      </c>
      <c r="AJ920">
        <v>19888</v>
      </c>
      <c r="AK920">
        <v>128777</v>
      </c>
      <c r="AL920">
        <v>198882</v>
      </c>
    </row>
    <row r="921" spans="1:38" x14ac:dyDescent="0.25">
      <c r="A921" t="s">
        <v>217</v>
      </c>
      <c r="B921" t="s">
        <v>354</v>
      </c>
      <c r="C921" t="s">
        <v>71</v>
      </c>
      <c r="D921" s="1">
        <v>43431</v>
      </c>
      <c r="E921" s="1">
        <v>43795</v>
      </c>
      <c r="F921" t="s">
        <v>84</v>
      </c>
      <c r="G921">
        <v>10</v>
      </c>
      <c r="H921" t="s">
        <v>85</v>
      </c>
      <c r="I921" t="s">
        <v>43</v>
      </c>
      <c r="J921" t="s">
        <v>86</v>
      </c>
      <c r="K921" t="s">
        <v>44</v>
      </c>
      <c r="L921">
        <v>30620.9</v>
      </c>
      <c r="M921" s="1">
        <v>43431</v>
      </c>
      <c r="N921" t="s">
        <v>45</v>
      </c>
      <c r="O921" t="s">
        <v>46</v>
      </c>
      <c r="P921" t="s">
        <v>47</v>
      </c>
      <c r="Q921" s="1">
        <v>43852</v>
      </c>
      <c r="R921" t="s">
        <v>48</v>
      </c>
      <c r="S921" t="s">
        <v>94</v>
      </c>
      <c r="T921" t="s">
        <v>95</v>
      </c>
      <c r="U921" t="s">
        <v>85</v>
      </c>
      <c r="V921">
        <v>4500000</v>
      </c>
      <c r="W921">
        <v>300000</v>
      </c>
      <c r="X921" s="1">
        <v>43767</v>
      </c>
      <c r="Y921" t="s">
        <v>51</v>
      </c>
      <c r="Z921" t="s">
        <v>43</v>
      </c>
      <c r="AA921" t="s">
        <v>86</v>
      </c>
      <c r="AB921" t="s">
        <v>89</v>
      </c>
      <c r="AC921" t="s">
        <v>90</v>
      </c>
      <c r="AF921" t="s">
        <v>91</v>
      </c>
      <c r="AG921" s="1">
        <v>43852</v>
      </c>
      <c r="AH921" t="s">
        <v>85</v>
      </c>
      <c r="AI921" t="s">
        <v>92</v>
      </c>
      <c r="AJ921">
        <v>19888</v>
      </c>
      <c r="AK921">
        <v>128777</v>
      </c>
      <c r="AL921">
        <v>198882</v>
      </c>
    </row>
    <row r="922" spans="1:38" x14ac:dyDescent="0.25">
      <c r="A922" t="s">
        <v>217</v>
      </c>
      <c r="B922" t="s">
        <v>354</v>
      </c>
      <c r="C922" t="s">
        <v>71</v>
      </c>
      <c r="D922" s="1">
        <v>43431</v>
      </c>
      <c r="E922" s="1">
        <v>43795</v>
      </c>
      <c r="F922" t="s">
        <v>84</v>
      </c>
      <c r="G922">
        <v>10</v>
      </c>
      <c r="H922" t="s">
        <v>85</v>
      </c>
      <c r="I922" t="s">
        <v>43</v>
      </c>
      <c r="J922" t="s">
        <v>86</v>
      </c>
      <c r="K922" t="s">
        <v>44</v>
      </c>
      <c r="L922">
        <v>30620.9</v>
      </c>
      <c r="M922" s="1">
        <v>43431</v>
      </c>
      <c r="N922" t="s">
        <v>45</v>
      </c>
      <c r="O922" t="s">
        <v>46</v>
      </c>
      <c r="P922" t="s">
        <v>47</v>
      </c>
      <c r="Q922" s="1">
        <v>43852</v>
      </c>
      <c r="R922" t="s">
        <v>48</v>
      </c>
      <c r="S922" t="s">
        <v>94</v>
      </c>
      <c r="T922" t="s">
        <v>95</v>
      </c>
      <c r="U922" t="s">
        <v>85</v>
      </c>
      <c r="V922">
        <v>4500000</v>
      </c>
      <c r="W922">
        <v>300000</v>
      </c>
      <c r="X922" s="1">
        <v>43767</v>
      </c>
      <c r="Y922" t="s">
        <v>51</v>
      </c>
      <c r="Z922" t="s">
        <v>43</v>
      </c>
      <c r="AA922" t="s">
        <v>86</v>
      </c>
      <c r="AB922" t="s">
        <v>89</v>
      </c>
      <c r="AC922" t="s">
        <v>90</v>
      </c>
      <c r="AF922" t="s">
        <v>93</v>
      </c>
      <c r="AG922" s="1">
        <v>43843</v>
      </c>
      <c r="AH922" t="s">
        <v>85</v>
      </c>
      <c r="AI922" t="s">
        <v>92</v>
      </c>
      <c r="AJ922">
        <v>19888</v>
      </c>
      <c r="AK922">
        <v>128777</v>
      </c>
      <c r="AL922">
        <v>198882</v>
      </c>
    </row>
    <row r="923" spans="1:38" x14ac:dyDescent="0.25">
      <c r="A923" t="s">
        <v>217</v>
      </c>
      <c r="B923" t="s">
        <v>354</v>
      </c>
      <c r="C923" t="s">
        <v>71</v>
      </c>
      <c r="D923" s="1">
        <v>43431</v>
      </c>
      <c r="E923" s="1">
        <v>43795</v>
      </c>
      <c r="F923" t="s">
        <v>84</v>
      </c>
      <c r="G923">
        <v>10</v>
      </c>
      <c r="H923" t="s">
        <v>85</v>
      </c>
      <c r="I923" t="s">
        <v>43</v>
      </c>
      <c r="J923" t="s">
        <v>86</v>
      </c>
      <c r="K923" t="s">
        <v>44</v>
      </c>
      <c r="L923">
        <v>30620.9</v>
      </c>
      <c r="M923" s="1">
        <v>43431</v>
      </c>
      <c r="N923" t="s">
        <v>45</v>
      </c>
      <c r="O923" t="s">
        <v>46</v>
      </c>
      <c r="P923" t="s">
        <v>47</v>
      </c>
      <c r="Q923" s="1">
        <v>43852</v>
      </c>
      <c r="R923" t="s">
        <v>48</v>
      </c>
      <c r="S923" t="s">
        <v>96</v>
      </c>
      <c r="T923" t="s">
        <v>97</v>
      </c>
      <c r="U923" t="s">
        <v>85</v>
      </c>
      <c r="V923">
        <v>600000</v>
      </c>
      <c r="W923">
        <v>100000</v>
      </c>
      <c r="X923" s="1">
        <v>43799</v>
      </c>
      <c r="Y923" t="s">
        <v>51</v>
      </c>
      <c r="Z923" t="s">
        <v>43</v>
      </c>
      <c r="AA923" t="s">
        <v>98</v>
      </c>
      <c r="AB923" t="s">
        <v>89</v>
      </c>
      <c r="AC923" t="s">
        <v>90</v>
      </c>
      <c r="AF923" t="s">
        <v>91</v>
      </c>
      <c r="AG923" s="1">
        <v>43852</v>
      </c>
      <c r="AH923" t="s">
        <v>85</v>
      </c>
      <c r="AI923" t="s">
        <v>92</v>
      </c>
      <c r="AJ923">
        <v>19888</v>
      </c>
      <c r="AK923">
        <v>128777</v>
      </c>
      <c r="AL923">
        <v>198882</v>
      </c>
    </row>
    <row r="924" spans="1:38" x14ac:dyDescent="0.25">
      <c r="A924" t="s">
        <v>217</v>
      </c>
      <c r="B924" t="s">
        <v>354</v>
      </c>
      <c r="C924" t="s">
        <v>71</v>
      </c>
      <c r="D924" s="1">
        <v>43431</v>
      </c>
      <c r="E924" s="1">
        <v>43795</v>
      </c>
      <c r="F924" t="s">
        <v>84</v>
      </c>
      <c r="G924">
        <v>10</v>
      </c>
      <c r="H924" t="s">
        <v>85</v>
      </c>
      <c r="I924" t="s">
        <v>43</v>
      </c>
      <c r="J924" t="s">
        <v>86</v>
      </c>
      <c r="K924" t="s">
        <v>44</v>
      </c>
      <c r="L924">
        <v>30620.9</v>
      </c>
      <c r="M924" s="1">
        <v>43431</v>
      </c>
      <c r="N924" t="s">
        <v>45</v>
      </c>
      <c r="O924" t="s">
        <v>46</v>
      </c>
      <c r="P924" t="s">
        <v>47</v>
      </c>
      <c r="Q924" s="1">
        <v>43852</v>
      </c>
      <c r="R924" t="s">
        <v>48</v>
      </c>
      <c r="S924" t="s">
        <v>96</v>
      </c>
      <c r="T924" t="s">
        <v>97</v>
      </c>
      <c r="U924" t="s">
        <v>85</v>
      </c>
      <c r="V924">
        <v>600000</v>
      </c>
      <c r="W924">
        <v>100000</v>
      </c>
      <c r="X924" s="1">
        <v>43799</v>
      </c>
      <c r="Y924" t="s">
        <v>51</v>
      </c>
      <c r="Z924" t="s">
        <v>43</v>
      </c>
      <c r="AA924" t="s">
        <v>98</v>
      </c>
      <c r="AB924" t="s">
        <v>89</v>
      </c>
      <c r="AC924" t="s">
        <v>90</v>
      </c>
      <c r="AF924" t="s">
        <v>93</v>
      </c>
      <c r="AG924" s="1">
        <v>43843</v>
      </c>
      <c r="AH924" t="s">
        <v>85</v>
      </c>
      <c r="AI924" t="s">
        <v>92</v>
      </c>
      <c r="AJ924">
        <v>19888</v>
      </c>
      <c r="AK924">
        <v>128777</v>
      </c>
      <c r="AL924">
        <v>198882</v>
      </c>
    </row>
    <row r="925" spans="1:38" x14ac:dyDescent="0.25">
      <c r="A925" t="s">
        <v>217</v>
      </c>
      <c r="B925" t="s">
        <v>354</v>
      </c>
      <c r="C925" t="s">
        <v>71</v>
      </c>
      <c r="D925" s="1">
        <v>43431</v>
      </c>
      <c r="E925" s="1">
        <v>43795</v>
      </c>
      <c r="F925" t="s">
        <v>84</v>
      </c>
      <c r="G925">
        <v>10</v>
      </c>
      <c r="H925" t="s">
        <v>85</v>
      </c>
      <c r="I925" t="s">
        <v>43</v>
      </c>
      <c r="J925" t="s">
        <v>86</v>
      </c>
      <c r="K925" t="s">
        <v>44</v>
      </c>
      <c r="L925">
        <v>30620.9</v>
      </c>
      <c r="M925" s="1">
        <v>43431</v>
      </c>
      <c r="N925" t="s">
        <v>45</v>
      </c>
      <c r="O925" t="s">
        <v>46</v>
      </c>
      <c r="P925" t="s">
        <v>47</v>
      </c>
      <c r="Q925" s="1">
        <v>43852</v>
      </c>
      <c r="R925" t="s">
        <v>48</v>
      </c>
      <c r="S925" t="s">
        <v>99</v>
      </c>
      <c r="T925" t="s">
        <v>100</v>
      </c>
      <c r="U925" t="s">
        <v>85</v>
      </c>
      <c r="V925">
        <v>210000</v>
      </c>
      <c r="W925">
        <v>35000</v>
      </c>
      <c r="X925" s="1">
        <v>43799</v>
      </c>
      <c r="Y925" t="s">
        <v>51</v>
      </c>
      <c r="Z925" t="s">
        <v>43</v>
      </c>
      <c r="AA925" t="s">
        <v>98</v>
      </c>
      <c r="AB925" t="s">
        <v>89</v>
      </c>
      <c r="AC925" t="s">
        <v>101</v>
      </c>
      <c r="AF925" t="s">
        <v>91</v>
      </c>
      <c r="AG925" s="1">
        <v>43852</v>
      </c>
      <c r="AH925" t="s">
        <v>85</v>
      </c>
      <c r="AI925" t="s">
        <v>92</v>
      </c>
      <c r="AJ925">
        <v>19888</v>
      </c>
      <c r="AK925">
        <v>128777</v>
      </c>
      <c r="AL925">
        <v>198882</v>
      </c>
    </row>
    <row r="926" spans="1:38" x14ac:dyDescent="0.25">
      <c r="A926" t="s">
        <v>217</v>
      </c>
      <c r="B926" t="s">
        <v>354</v>
      </c>
      <c r="C926" t="s">
        <v>71</v>
      </c>
      <c r="D926" s="1">
        <v>43431</v>
      </c>
      <c r="E926" s="1">
        <v>43795</v>
      </c>
      <c r="F926" t="s">
        <v>84</v>
      </c>
      <c r="G926">
        <v>10</v>
      </c>
      <c r="H926" t="s">
        <v>85</v>
      </c>
      <c r="I926" t="s">
        <v>43</v>
      </c>
      <c r="J926" t="s">
        <v>86</v>
      </c>
      <c r="K926" t="s">
        <v>44</v>
      </c>
      <c r="L926">
        <v>30620.9</v>
      </c>
      <c r="M926" s="1">
        <v>43431</v>
      </c>
      <c r="N926" t="s">
        <v>45</v>
      </c>
      <c r="O926" t="s">
        <v>46</v>
      </c>
      <c r="P926" t="s">
        <v>47</v>
      </c>
      <c r="Q926" s="1">
        <v>43852</v>
      </c>
      <c r="R926" t="s">
        <v>48</v>
      </c>
      <c r="S926" t="s">
        <v>99</v>
      </c>
      <c r="T926" t="s">
        <v>100</v>
      </c>
      <c r="U926" t="s">
        <v>85</v>
      </c>
      <c r="V926">
        <v>210000</v>
      </c>
      <c r="W926">
        <v>35000</v>
      </c>
      <c r="X926" s="1">
        <v>43799</v>
      </c>
      <c r="Y926" t="s">
        <v>51</v>
      </c>
      <c r="Z926" t="s">
        <v>43</v>
      </c>
      <c r="AA926" t="s">
        <v>98</v>
      </c>
      <c r="AB926" t="s">
        <v>89</v>
      </c>
      <c r="AC926" t="s">
        <v>101</v>
      </c>
      <c r="AF926" t="s">
        <v>93</v>
      </c>
      <c r="AG926" s="1">
        <v>43843</v>
      </c>
      <c r="AH926" t="s">
        <v>85</v>
      </c>
      <c r="AI926" t="s">
        <v>92</v>
      </c>
      <c r="AJ926">
        <v>19888</v>
      </c>
      <c r="AK926">
        <v>128777</v>
      </c>
      <c r="AL926">
        <v>198882</v>
      </c>
    </row>
    <row r="927" spans="1:38" x14ac:dyDescent="0.25">
      <c r="A927" t="s">
        <v>217</v>
      </c>
      <c r="B927" t="s">
        <v>354</v>
      </c>
      <c r="C927" t="s">
        <v>71</v>
      </c>
      <c r="D927" s="1">
        <v>43431</v>
      </c>
      <c r="E927" s="1">
        <v>43795</v>
      </c>
      <c r="F927" t="s">
        <v>84</v>
      </c>
      <c r="G927">
        <v>10</v>
      </c>
      <c r="H927" t="s">
        <v>85</v>
      </c>
      <c r="I927" t="s">
        <v>43</v>
      </c>
      <c r="J927" t="s">
        <v>86</v>
      </c>
      <c r="K927" t="s">
        <v>44</v>
      </c>
      <c r="L927">
        <v>30620.9</v>
      </c>
      <c r="M927" s="1">
        <v>43431</v>
      </c>
      <c r="N927" t="s">
        <v>45</v>
      </c>
      <c r="O927" t="s">
        <v>46</v>
      </c>
      <c r="P927" t="s">
        <v>47</v>
      </c>
      <c r="Q927" s="1">
        <v>43852</v>
      </c>
      <c r="R927" t="s">
        <v>48</v>
      </c>
      <c r="S927" t="s">
        <v>102</v>
      </c>
      <c r="T927" t="s">
        <v>103</v>
      </c>
      <c r="U927" t="s">
        <v>85</v>
      </c>
      <c r="V927">
        <v>5000000</v>
      </c>
      <c r="W927">
        <v>250000</v>
      </c>
      <c r="X927" s="1">
        <v>43799</v>
      </c>
      <c r="Y927" t="s">
        <v>51</v>
      </c>
      <c r="Z927" t="s">
        <v>43</v>
      </c>
      <c r="AA927" t="s">
        <v>86</v>
      </c>
      <c r="AB927" t="s">
        <v>89</v>
      </c>
      <c r="AC927" t="s">
        <v>90</v>
      </c>
      <c r="AF927" t="s">
        <v>91</v>
      </c>
      <c r="AG927" s="1">
        <v>43852</v>
      </c>
      <c r="AH927" t="s">
        <v>85</v>
      </c>
      <c r="AI927" t="s">
        <v>92</v>
      </c>
      <c r="AJ927">
        <v>19888</v>
      </c>
      <c r="AK927">
        <v>128777</v>
      </c>
      <c r="AL927">
        <v>198882</v>
      </c>
    </row>
    <row r="928" spans="1:38" x14ac:dyDescent="0.25">
      <c r="A928" t="s">
        <v>217</v>
      </c>
      <c r="B928" t="s">
        <v>354</v>
      </c>
      <c r="C928" t="s">
        <v>71</v>
      </c>
      <c r="D928" s="1">
        <v>43431</v>
      </c>
      <c r="E928" s="1">
        <v>43795</v>
      </c>
      <c r="F928" t="s">
        <v>84</v>
      </c>
      <c r="G928">
        <v>10</v>
      </c>
      <c r="H928" t="s">
        <v>85</v>
      </c>
      <c r="I928" t="s">
        <v>43</v>
      </c>
      <c r="J928" t="s">
        <v>86</v>
      </c>
      <c r="K928" t="s">
        <v>44</v>
      </c>
      <c r="L928">
        <v>30620.9</v>
      </c>
      <c r="M928" s="1">
        <v>43431</v>
      </c>
      <c r="N928" t="s">
        <v>45</v>
      </c>
      <c r="O928" t="s">
        <v>46</v>
      </c>
      <c r="P928" t="s">
        <v>47</v>
      </c>
      <c r="Q928" s="1">
        <v>43852</v>
      </c>
      <c r="R928" t="s">
        <v>48</v>
      </c>
      <c r="S928" t="s">
        <v>102</v>
      </c>
      <c r="T928" t="s">
        <v>103</v>
      </c>
      <c r="U928" t="s">
        <v>85</v>
      </c>
      <c r="V928">
        <v>5000000</v>
      </c>
      <c r="W928">
        <v>250000</v>
      </c>
      <c r="X928" s="1">
        <v>43799</v>
      </c>
      <c r="Y928" t="s">
        <v>51</v>
      </c>
      <c r="Z928" t="s">
        <v>43</v>
      </c>
      <c r="AA928" t="s">
        <v>86</v>
      </c>
      <c r="AB928" t="s">
        <v>89</v>
      </c>
      <c r="AC928" t="s">
        <v>90</v>
      </c>
      <c r="AF928" t="s">
        <v>93</v>
      </c>
      <c r="AG928" s="1">
        <v>43843</v>
      </c>
      <c r="AH928" t="s">
        <v>85</v>
      </c>
      <c r="AI928" t="s">
        <v>92</v>
      </c>
      <c r="AJ928">
        <v>19888</v>
      </c>
      <c r="AK928">
        <v>128777</v>
      </c>
      <c r="AL928">
        <v>198882</v>
      </c>
    </row>
    <row r="929" spans="1:38" x14ac:dyDescent="0.25">
      <c r="A929" t="s">
        <v>220</v>
      </c>
      <c r="B929" t="s">
        <v>355</v>
      </c>
      <c r="C929" t="s">
        <v>40</v>
      </c>
      <c r="D929" s="1">
        <v>43796</v>
      </c>
      <c r="E929" s="1">
        <v>44161</v>
      </c>
      <c r="F929" t="s">
        <v>84</v>
      </c>
      <c r="G929">
        <v>10</v>
      </c>
      <c r="H929" t="s">
        <v>85</v>
      </c>
      <c r="I929" t="s">
        <v>43</v>
      </c>
      <c r="J929" t="s">
        <v>86</v>
      </c>
      <c r="K929" t="s">
        <v>44</v>
      </c>
      <c r="L929">
        <v>61342.1</v>
      </c>
      <c r="M929" s="1">
        <v>43796</v>
      </c>
      <c r="N929" t="s">
        <v>45</v>
      </c>
      <c r="O929" t="s">
        <v>44</v>
      </c>
      <c r="P929" t="s">
        <v>47</v>
      </c>
      <c r="Q929" s="1">
        <v>43852</v>
      </c>
      <c r="R929" t="s">
        <v>48</v>
      </c>
      <c r="S929" t="s">
        <v>87</v>
      </c>
      <c r="T929" t="s">
        <v>88</v>
      </c>
      <c r="U929" t="s">
        <v>85</v>
      </c>
      <c r="V929">
        <v>1400000</v>
      </c>
      <c r="W929">
        <v>100000</v>
      </c>
      <c r="X929" s="1">
        <v>43808</v>
      </c>
      <c r="Y929" t="s">
        <v>51</v>
      </c>
      <c r="Z929" t="s">
        <v>43</v>
      </c>
      <c r="AA929" t="s">
        <v>86</v>
      </c>
      <c r="AB929" t="s">
        <v>89</v>
      </c>
      <c r="AC929" t="s">
        <v>90</v>
      </c>
      <c r="AF929" t="s">
        <v>91</v>
      </c>
      <c r="AG929" s="1">
        <v>43852</v>
      </c>
      <c r="AH929" t="s">
        <v>85</v>
      </c>
      <c r="AI929" t="s">
        <v>92</v>
      </c>
      <c r="AJ929">
        <v>19888</v>
      </c>
      <c r="AK929">
        <v>128777</v>
      </c>
      <c r="AL929">
        <v>198882</v>
      </c>
    </row>
    <row r="930" spans="1:38" x14ac:dyDescent="0.25">
      <c r="A930" t="s">
        <v>220</v>
      </c>
      <c r="B930" t="s">
        <v>355</v>
      </c>
      <c r="C930" t="s">
        <v>40</v>
      </c>
      <c r="D930" s="1">
        <v>43796</v>
      </c>
      <c r="E930" s="1">
        <v>44161</v>
      </c>
      <c r="F930" t="s">
        <v>84</v>
      </c>
      <c r="G930">
        <v>10</v>
      </c>
      <c r="H930" t="s">
        <v>85</v>
      </c>
      <c r="I930" t="s">
        <v>43</v>
      </c>
      <c r="J930" t="s">
        <v>86</v>
      </c>
      <c r="K930" t="s">
        <v>44</v>
      </c>
      <c r="L930">
        <v>61342.1</v>
      </c>
      <c r="M930" s="1">
        <v>43796</v>
      </c>
      <c r="N930" t="s">
        <v>45</v>
      </c>
      <c r="O930" t="s">
        <v>44</v>
      </c>
      <c r="P930" t="s">
        <v>47</v>
      </c>
      <c r="Q930" s="1">
        <v>43852</v>
      </c>
      <c r="R930" t="s">
        <v>48</v>
      </c>
      <c r="S930" t="s">
        <v>87</v>
      </c>
      <c r="T930" t="s">
        <v>88</v>
      </c>
      <c r="U930" t="s">
        <v>85</v>
      </c>
      <c r="V930">
        <v>1400000</v>
      </c>
      <c r="W930">
        <v>100000</v>
      </c>
      <c r="X930" s="1">
        <v>43808</v>
      </c>
      <c r="Y930" t="s">
        <v>51</v>
      </c>
      <c r="Z930" t="s">
        <v>43</v>
      </c>
      <c r="AA930" t="s">
        <v>86</v>
      </c>
      <c r="AB930" t="s">
        <v>89</v>
      </c>
      <c r="AC930" t="s">
        <v>90</v>
      </c>
      <c r="AF930" t="s">
        <v>93</v>
      </c>
      <c r="AG930" s="1">
        <v>43843</v>
      </c>
      <c r="AH930" t="s">
        <v>85</v>
      </c>
      <c r="AI930" t="s">
        <v>92</v>
      </c>
      <c r="AJ930">
        <v>19888</v>
      </c>
      <c r="AK930">
        <v>128777</v>
      </c>
      <c r="AL930">
        <v>198882</v>
      </c>
    </row>
    <row r="931" spans="1:38" x14ac:dyDescent="0.25">
      <c r="A931" t="s">
        <v>220</v>
      </c>
      <c r="B931" t="s">
        <v>355</v>
      </c>
      <c r="C931" t="s">
        <v>40</v>
      </c>
      <c r="D931" s="1">
        <v>43796</v>
      </c>
      <c r="E931" s="1">
        <v>44161</v>
      </c>
      <c r="F931" t="s">
        <v>84</v>
      </c>
      <c r="G931">
        <v>10</v>
      </c>
      <c r="H931" t="s">
        <v>85</v>
      </c>
      <c r="I931" t="s">
        <v>43</v>
      </c>
      <c r="J931" t="s">
        <v>86</v>
      </c>
      <c r="K931" t="s">
        <v>44</v>
      </c>
      <c r="L931">
        <v>61342.1</v>
      </c>
      <c r="M931" s="1">
        <v>43796</v>
      </c>
      <c r="N931" t="s">
        <v>45</v>
      </c>
      <c r="O931" t="s">
        <v>44</v>
      </c>
      <c r="P931" t="s">
        <v>47</v>
      </c>
      <c r="Q931" s="1">
        <v>43852</v>
      </c>
      <c r="R931" t="s">
        <v>48</v>
      </c>
      <c r="S931" t="s">
        <v>94</v>
      </c>
      <c r="T931" t="s">
        <v>95</v>
      </c>
      <c r="U931" t="s">
        <v>85</v>
      </c>
      <c r="V931">
        <v>4500000</v>
      </c>
      <c r="W931">
        <v>300000</v>
      </c>
      <c r="X931" s="1">
        <v>43767</v>
      </c>
      <c r="Y931" t="s">
        <v>51</v>
      </c>
      <c r="Z931" t="s">
        <v>43</v>
      </c>
      <c r="AA931" t="s">
        <v>86</v>
      </c>
      <c r="AB931" t="s">
        <v>89</v>
      </c>
      <c r="AC931" t="s">
        <v>90</v>
      </c>
      <c r="AF931" t="s">
        <v>91</v>
      </c>
      <c r="AG931" s="1">
        <v>43852</v>
      </c>
      <c r="AH931" t="s">
        <v>85</v>
      </c>
      <c r="AI931" t="s">
        <v>92</v>
      </c>
      <c r="AJ931">
        <v>19888</v>
      </c>
      <c r="AK931">
        <v>128777</v>
      </c>
      <c r="AL931">
        <v>198882</v>
      </c>
    </row>
    <row r="932" spans="1:38" x14ac:dyDescent="0.25">
      <c r="A932" t="s">
        <v>220</v>
      </c>
      <c r="B932" t="s">
        <v>355</v>
      </c>
      <c r="C932" t="s">
        <v>40</v>
      </c>
      <c r="D932" s="1">
        <v>43796</v>
      </c>
      <c r="E932" s="1">
        <v>44161</v>
      </c>
      <c r="F932" t="s">
        <v>84</v>
      </c>
      <c r="G932">
        <v>10</v>
      </c>
      <c r="H932" t="s">
        <v>85</v>
      </c>
      <c r="I932" t="s">
        <v>43</v>
      </c>
      <c r="J932" t="s">
        <v>86</v>
      </c>
      <c r="K932" t="s">
        <v>44</v>
      </c>
      <c r="L932">
        <v>61342.1</v>
      </c>
      <c r="M932" s="1">
        <v>43796</v>
      </c>
      <c r="N932" t="s">
        <v>45</v>
      </c>
      <c r="O932" t="s">
        <v>44</v>
      </c>
      <c r="P932" t="s">
        <v>47</v>
      </c>
      <c r="Q932" s="1">
        <v>43852</v>
      </c>
      <c r="R932" t="s">
        <v>48</v>
      </c>
      <c r="S932" t="s">
        <v>94</v>
      </c>
      <c r="T932" t="s">
        <v>95</v>
      </c>
      <c r="U932" t="s">
        <v>85</v>
      </c>
      <c r="V932">
        <v>4500000</v>
      </c>
      <c r="W932">
        <v>300000</v>
      </c>
      <c r="X932" s="1">
        <v>43767</v>
      </c>
      <c r="Y932" t="s">
        <v>51</v>
      </c>
      <c r="Z932" t="s">
        <v>43</v>
      </c>
      <c r="AA932" t="s">
        <v>86</v>
      </c>
      <c r="AB932" t="s">
        <v>89</v>
      </c>
      <c r="AC932" t="s">
        <v>90</v>
      </c>
      <c r="AF932" t="s">
        <v>93</v>
      </c>
      <c r="AG932" s="1">
        <v>43843</v>
      </c>
      <c r="AH932" t="s">
        <v>85</v>
      </c>
      <c r="AI932" t="s">
        <v>92</v>
      </c>
      <c r="AJ932">
        <v>19888</v>
      </c>
      <c r="AK932">
        <v>128777</v>
      </c>
      <c r="AL932">
        <v>198882</v>
      </c>
    </row>
    <row r="933" spans="1:38" x14ac:dyDescent="0.25">
      <c r="A933" t="s">
        <v>220</v>
      </c>
      <c r="B933" t="s">
        <v>355</v>
      </c>
      <c r="C933" t="s">
        <v>40</v>
      </c>
      <c r="D933" s="1">
        <v>43796</v>
      </c>
      <c r="E933" s="1">
        <v>44161</v>
      </c>
      <c r="F933" t="s">
        <v>84</v>
      </c>
      <c r="G933">
        <v>10</v>
      </c>
      <c r="H933" t="s">
        <v>85</v>
      </c>
      <c r="I933" t="s">
        <v>43</v>
      </c>
      <c r="J933" t="s">
        <v>86</v>
      </c>
      <c r="K933" t="s">
        <v>44</v>
      </c>
      <c r="L933">
        <v>61342.1</v>
      </c>
      <c r="M933" s="1">
        <v>43796</v>
      </c>
      <c r="N933" t="s">
        <v>45</v>
      </c>
      <c r="O933" t="s">
        <v>44</v>
      </c>
      <c r="P933" t="s">
        <v>47</v>
      </c>
      <c r="Q933" s="1">
        <v>43852</v>
      </c>
      <c r="R933" t="s">
        <v>48</v>
      </c>
      <c r="S933" t="s">
        <v>96</v>
      </c>
      <c r="T933" t="s">
        <v>97</v>
      </c>
      <c r="U933" t="s">
        <v>85</v>
      </c>
      <c r="V933">
        <v>600000</v>
      </c>
      <c r="W933">
        <v>100000</v>
      </c>
      <c r="X933" s="1">
        <v>43799</v>
      </c>
      <c r="Y933" t="s">
        <v>51</v>
      </c>
      <c r="Z933" t="s">
        <v>43</v>
      </c>
      <c r="AA933" t="s">
        <v>98</v>
      </c>
      <c r="AB933" t="s">
        <v>89</v>
      </c>
      <c r="AC933" t="s">
        <v>90</v>
      </c>
      <c r="AF933" t="s">
        <v>91</v>
      </c>
      <c r="AG933" s="1">
        <v>43852</v>
      </c>
      <c r="AH933" t="s">
        <v>85</v>
      </c>
      <c r="AI933" t="s">
        <v>92</v>
      </c>
      <c r="AJ933">
        <v>19888</v>
      </c>
      <c r="AK933">
        <v>128777</v>
      </c>
      <c r="AL933">
        <v>198882</v>
      </c>
    </row>
    <row r="934" spans="1:38" x14ac:dyDescent="0.25">
      <c r="A934" t="s">
        <v>220</v>
      </c>
      <c r="B934" t="s">
        <v>355</v>
      </c>
      <c r="C934" t="s">
        <v>40</v>
      </c>
      <c r="D934" s="1">
        <v>43796</v>
      </c>
      <c r="E934" s="1">
        <v>44161</v>
      </c>
      <c r="F934" t="s">
        <v>84</v>
      </c>
      <c r="G934">
        <v>10</v>
      </c>
      <c r="H934" t="s">
        <v>85</v>
      </c>
      <c r="I934" t="s">
        <v>43</v>
      </c>
      <c r="J934" t="s">
        <v>86</v>
      </c>
      <c r="K934" t="s">
        <v>44</v>
      </c>
      <c r="L934">
        <v>61342.1</v>
      </c>
      <c r="M934" s="1">
        <v>43796</v>
      </c>
      <c r="N934" t="s">
        <v>45</v>
      </c>
      <c r="O934" t="s">
        <v>44</v>
      </c>
      <c r="P934" t="s">
        <v>47</v>
      </c>
      <c r="Q934" s="1">
        <v>43852</v>
      </c>
      <c r="R934" t="s">
        <v>48</v>
      </c>
      <c r="S934" t="s">
        <v>96</v>
      </c>
      <c r="T934" t="s">
        <v>97</v>
      </c>
      <c r="U934" t="s">
        <v>85</v>
      </c>
      <c r="V934">
        <v>600000</v>
      </c>
      <c r="W934">
        <v>100000</v>
      </c>
      <c r="X934" s="1">
        <v>43799</v>
      </c>
      <c r="Y934" t="s">
        <v>51</v>
      </c>
      <c r="Z934" t="s">
        <v>43</v>
      </c>
      <c r="AA934" t="s">
        <v>98</v>
      </c>
      <c r="AB934" t="s">
        <v>89</v>
      </c>
      <c r="AC934" t="s">
        <v>90</v>
      </c>
      <c r="AF934" t="s">
        <v>93</v>
      </c>
      <c r="AG934" s="1">
        <v>43843</v>
      </c>
      <c r="AH934" t="s">
        <v>85</v>
      </c>
      <c r="AI934" t="s">
        <v>92</v>
      </c>
      <c r="AJ934">
        <v>19888</v>
      </c>
      <c r="AK934">
        <v>128777</v>
      </c>
      <c r="AL934">
        <v>198882</v>
      </c>
    </row>
    <row r="935" spans="1:38" x14ac:dyDescent="0.25">
      <c r="A935" t="s">
        <v>220</v>
      </c>
      <c r="B935" t="s">
        <v>355</v>
      </c>
      <c r="C935" t="s">
        <v>40</v>
      </c>
      <c r="D935" s="1">
        <v>43796</v>
      </c>
      <c r="E935" s="1">
        <v>44161</v>
      </c>
      <c r="F935" t="s">
        <v>84</v>
      </c>
      <c r="G935">
        <v>10</v>
      </c>
      <c r="H935" t="s">
        <v>85</v>
      </c>
      <c r="I935" t="s">
        <v>43</v>
      </c>
      <c r="J935" t="s">
        <v>86</v>
      </c>
      <c r="K935" t="s">
        <v>44</v>
      </c>
      <c r="L935">
        <v>61342.1</v>
      </c>
      <c r="M935" s="1">
        <v>43796</v>
      </c>
      <c r="N935" t="s">
        <v>45</v>
      </c>
      <c r="O935" t="s">
        <v>44</v>
      </c>
      <c r="P935" t="s">
        <v>47</v>
      </c>
      <c r="Q935" s="1">
        <v>43852</v>
      </c>
      <c r="R935" t="s">
        <v>48</v>
      </c>
      <c r="S935" t="s">
        <v>99</v>
      </c>
      <c r="T935" t="s">
        <v>100</v>
      </c>
      <c r="U935" t="s">
        <v>85</v>
      </c>
      <c r="V935">
        <v>210000</v>
      </c>
      <c r="W935">
        <v>35000</v>
      </c>
      <c r="X935" s="1">
        <v>43799</v>
      </c>
      <c r="Y935" t="s">
        <v>51</v>
      </c>
      <c r="Z935" t="s">
        <v>43</v>
      </c>
      <c r="AA935" t="s">
        <v>98</v>
      </c>
      <c r="AB935" t="s">
        <v>89</v>
      </c>
      <c r="AC935" t="s">
        <v>101</v>
      </c>
      <c r="AF935" t="s">
        <v>91</v>
      </c>
      <c r="AG935" s="1">
        <v>43852</v>
      </c>
      <c r="AH935" t="s">
        <v>85</v>
      </c>
      <c r="AI935" t="s">
        <v>92</v>
      </c>
      <c r="AJ935">
        <v>19888</v>
      </c>
      <c r="AK935">
        <v>128777</v>
      </c>
      <c r="AL935">
        <v>198882</v>
      </c>
    </row>
    <row r="936" spans="1:38" x14ac:dyDescent="0.25">
      <c r="A936" t="s">
        <v>220</v>
      </c>
      <c r="B936" t="s">
        <v>355</v>
      </c>
      <c r="C936" t="s">
        <v>40</v>
      </c>
      <c r="D936" s="1">
        <v>43796</v>
      </c>
      <c r="E936" s="1">
        <v>44161</v>
      </c>
      <c r="F936" t="s">
        <v>84</v>
      </c>
      <c r="G936">
        <v>10</v>
      </c>
      <c r="H936" t="s">
        <v>85</v>
      </c>
      <c r="I936" t="s">
        <v>43</v>
      </c>
      <c r="J936" t="s">
        <v>86</v>
      </c>
      <c r="K936" t="s">
        <v>44</v>
      </c>
      <c r="L936">
        <v>61342.1</v>
      </c>
      <c r="M936" s="1">
        <v>43796</v>
      </c>
      <c r="N936" t="s">
        <v>45</v>
      </c>
      <c r="O936" t="s">
        <v>44</v>
      </c>
      <c r="P936" t="s">
        <v>47</v>
      </c>
      <c r="Q936" s="1">
        <v>43852</v>
      </c>
      <c r="R936" t="s">
        <v>48</v>
      </c>
      <c r="S936" t="s">
        <v>99</v>
      </c>
      <c r="T936" t="s">
        <v>100</v>
      </c>
      <c r="U936" t="s">
        <v>85</v>
      </c>
      <c r="V936">
        <v>210000</v>
      </c>
      <c r="W936">
        <v>35000</v>
      </c>
      <c r="X936" s="1">
        <v>43799</v>
      </c>
      <c r="Y936" t="s">
        <v>51</v>
      </c>
      <c r="Z936" t="s">
        <v>43</v>
      </c>
      <c r="AA936" t="s">
        <v>98</v>
      </c>
      <c r="AB936" t="s">
        <v>89</v>
      </c>
      <c r="AC936" t="s">
        <v>101</v>
      </c>
      <c r="AF936" t="s">
        <v>93</v>
      </c>
      <c r="AG936" s="1">
        <v>43843</v>
      </c>
      <c r="AH936" t="s">
        <v>85</v>
      </c>
      <c r="AI936" t="s">
        <v>92</v>
      </c>
      <c r="AJ936">
        <v>19888</v>
      </c>
      <c r="AK936">
        <v>128777</v>
      </c>
      <c r="AL936">
        <v>198882</v>
      </c>
    </row>
    <row r="937" spans="1:38" x14ac:dyDescent="0.25">
      <c r="A937" t="s">
        <v>220</v>
      </c>
      <c r="B937" t="s">
        <v>355</v>
      </c>
      <c r="C937" t="s">
        <v>40</v>
      </c>
      <c r="D937" s="1">
        <v>43796</v>
      </c>
      <c r="E937" s="1">
        <v>44161</v>
      </c>
      <c r="F937" t="s">
        <v>84</v>
      </c>
      <c r="G937">
        <v>10</v>
      </c>
      <c r="H937" t="s">
        <v>85</v>
      </c>
      <c r="I937" t="s">
        <v>43</v>
      </c>
      <c r="J937" t="s">
        <v>86</v>
      </c>
      <c r="K937" t="s">
        <v>44</v>
      </c>
      <c r="L937">
        <v>61342.1</v>
      </c>
      <c r="M937" s="1">
        <v>43796</v>
      </c>
      <c r="N937" t="s">
        <v>45</v>
      </c>
      <c r="O937" t="s">
        <v>44</v>
      </c>
      <c r="P937" t="s">
        <v>47</v>
      </c>
      <c r="Q937" s="1">
        <v>43852</v>
      </c>
      <c r="R937" t="s">
        <v>48</v>
      </c>
      <c r="S937" t="s">
        <v>102</v>
      </c>
      <c r="T937" t="s">
        <v>103</v>
      </c>
      <c r="U937" t="s">
        <v>85</v>
      </c>
      <c r="V937">
        <v>5000000</v>
      </c>
      <c r="W937">
        <v>250000</v>
      </c>
      <c r="X937" s="1">
        <v>43799</v>
      </c>
      <c r="Y937" t="s">
        <v>51</v>
      </c>
      <c r="Z937" t="s">
        <v>43</v>
      </c>
      <c r="AA937" t="s">
        <v>86</v>
      </c>
      <c r="AB937" t="s">
        <v>89</v>
      </c>
      <c r="AC937" t="s">
        <v>90</v>
      </c>
      <c r="AF937" t="s">
        <v>91</v>
      </c>
      <c r="AG937" s="1">
        <v>43852</v>
      </c>
      <c r="AH937" t="s">
        <v>85</v>
      </c>
      <c r="AI937" t="s">
        <v>92</v>
      </c>
      <c r="AJ937">
        <v>19888</v>
      </c>
      <c r="AK937">
        <v>128777</v>
      </c>
      <c r="AL937">
        <v>198882</v>
      </c>
    </row>
    <row r="938" spans="1:38" x14ac:dyDescent="0.25">
      <c r="A938" t="s">
        <v>220</v>
      </c>
      <c r="B938" t="s">
        <v>355</v>
      </c>
      <c r="C938" t="s">
        <v>40</v>
      </c>
      <c r="D938" s="1">
        <v>43796</v>
      </c>
      <c r="E938" s="1">
        <v>44161</v>
      </c>
      <c r="F938" t="s">
        <v>84</v>
      </c>
      <c r="G938">
        <v>10</v>
      </c>
      <c r="H938" t="s">
        <v>85</v>
      </c>
      <c r="I938" t="s">
        <v>43</v>
      </c>
      <c r="J938" t="s">
        <v>86</v>
      </c>
      <c r="K938" t="s">
        <v>44</v>
      </c>
      <c r="L938">
        <v>61342.1</v>
      </c>
      <c r="M938" s="1">
        <v>43796</v>
      </c>
      <c r="N938" t="s">
        <v>45</v>
      </c>
      <c r="O938" t="s">
        <v>44</v>
      </c>
      <c r="P938" t="s">
        <v>47</v>
      </c>
      <c r="Q938" s="1">
        <v>43852</v>
      </c>
      <c r="R938" t="s">
        <v>48</v>
      </c>
      <c r="S938" t="s">
        <v>102</v>
      </c>
      <c r="T938" t="s">
        <v>103</v>
      </c>
      <c r="U938" t="s">
        <v>85</v>
      </c>
      <c r="V938">
        <v>5000000</v>
      </c>
      <c r="W938">
        <v>250000</v>
      </c>
      <c r="X938" s="1">
        <v>43799</v>
      </c>
      <c r="Y938" t="s">
        <v>51</v>
      </c>
      <c r="Z938" t="s">
        <v>43</v>
      </c>
      <c r="AA938" t="s">
        <v>86</v>
      </c>
      <c r="AB938" t="s">
        <v>89</v>
      </c>
      <c r="AC938" t="s">
        <v>90</v>
      </c>
      <c r="AF938" t="s">
        <v>93</v>
      </c>
      <c r="AG938" s="1">
        <v>43843</v>
      </c>
      <c r="AH938" t="s">
        <v>85</v>
      </c>
      <c r="AI938" t="s">
        <v>92</v>
      </c>
      <c r="AJ938">
        <v>19888</v>
      </c>
      <c r="AK938">
        <v>128777</v>
      </c>
      <c r="AL938">
        <v>198882</v>
      </c>
    </row>
    <row r="939" spans="1:38" x14ac:dyDescent="0.25">
      <c r="A939" t="s">
        <v>221</v>
      </c>
      <c r="B939" t="s">
        <v>356</v>
      </c>
      <c r="C939" t="s">
        <v>40</v>
      </c>
      <c r="D939" s="1">
        <v>43203</v>
      </c>
      <c r="E939" s="1">
        <v>43567</v>
      </c>
      <c r="F939" t="s">
        <v>76</v>
      </c>
      <c r="G939">
        <v>3</v>
      </c>
      <c r="H939" t="s">
        <v>125</v>
      </c>
      <c r="I939" t="s">
        <v>43</v>
      </c>
      <c r="J939" t="s">
        <v>126</v>
      </c>
      <c r="K939" t="s">
        <v>44</v>
      </c>
      <c r="L939">
        <v>3125</v>
      </c>
      <c r="M939" s="1">
        <v>43203</v>
      </c>
      <c r="N939" t="s">
        <v>45</v>
      </c>
      <c r="O939" t="s">
        <v>46</v>
      </c>
      <c r="P939" t="s">
        <v>47</v>
      </c>
      <c r="Q939" s="1">
        <v>43852</v>
      </c>
      <c r="R939" t="s">
        <v>48</v>
      </c>
    </row>
    <row r="940" spans="1:38" x14ac:dyDescent="0.25">
      <c r="A940" t="s">
        <v>224</v>
      </c>
      <c r="B940" t="s">
        <v>357</v>
      </c>
      <c r="C940" t="s">
        <v>40</v>
      </c>
      <c r="D940" s="1">
        <v>43035</v>
      </c>
      <c r="E940" s="1">
        <v>43399</v>
      </c>
      <c r="F940" t="s">
        <v>41</v>
      </c>
      <c r="G940">
        <v>3</v>
      </c>
      <c r="H940" t="s">
        <v>125</v>
      </c>
      <c r="I940" t="s">
        <v>43</v>
      </c>
      <c r="J940" t="s">
        <v>126</v>
      </c>
      <c r="K940" t="s">
        <v>44</v>
      </c>
      <c r="L940">
        <v>62714.03</v>
      </c>
      <c r="M940" s="1">
        <v>43035</v>
      </c>
      <c r="N940" t="s">
        <v>45</v>
      </c>
      <c r="O940" t="s">
        <v>46</v>
      </c>
      <c r="P940" t="s">
        <v>47</v>
      </c>
      <c r="Q940" s="1">
        <v>43852</v>
      </c>
      <c r="R940" t="s">
        <v>48</v>
      </c>
      <c r="S940" t="s">
        <v>41</v>
      </c>
      <c r="T940" t="s">
        <v>130</v>
      </c>
      <c r="U940" t="s">
        <v>125</v>
      </c>
      <c r="V940">
        <v>0</v>
      </c>
      <c r="W940">
        <v>100000</v>
      </c>
      <c r="X940" s="1">
        <v>43769</v>
      </c>
      <c r="Y940" t="s">
        <v>131</v>
      </c>
      <c r="Z940" t="s">
        <v>43</v>
      </c>
      <c r="AA940" t="s">
        <v>41</v>
      </c>
      <c r="AB940" t="s">
        <v>132</v>
      </c>
      <c r="AC940" t="s">
        <v>133</v>
      </c>
      <c r="AF940" t="s">
        <v>134</v>
      </c>
      <c r="AG940" s="1">
        <v>43843</v>
      </c>
      <c r="AH940" t="s">
        <v>125</v>
      </c>
      <c r="AI940" t="s">
        <v>92</v>
      </c>
      <c r="AJ940">
        <v>1278023</v>
      </c>
      <c r="AK940">
        <v>12365300</v>
      </c>
      <c r="AL940">
        <v>12900</v>
      </c>
    </row>
    <row r="941" spans="1:38" x14ac:dyDescent="0.25">
      <c r="A941" t="s">
        <v>224</v>
      </c>
      <c r="B941" t="s">
        <v>357</v>
      </c>
      <c r="C941" t="s">
        <v>40</v>
      </c>
      <c r="D941" s="1">
        <v>43035</v>
      </c>
      <c r="E941" s="1">
        <v>43399</v>
      </c>
      <c r="F941" t="s">
        <v>41</v>
      </c>
      <c r="G941">
        <v>3</v>
      </c>
      <c r="H941" t="s">
        <v>125</v>
      </c>
      <c r="I941" t="s">
        <v>43</v>
      </c>
      <c r="J941" t="s">
        <v>126</v>
      </c>
      <c r="K941" t="s">
        <v>44</v>
      </c>
      <c r="L941">
        <v>62714.03</v>
      </c>
      <c r="M941" s="1">
        <v>43035</v>
      </c>
      <c r="N941" t="s">
        <v>45</v>
      </c>
      <c r="O941" t="s">
        <v>46</v>
      </c>
      <c r="P941" t="s">
        <v>47</v>
      </c>
      <c r="Q941" s="1">
        <v>43852</v>
      </c>
      <c r="R941" t="s">
        <v>48</v>
      </c>
      <c r="S941" t="s">
        <v>41</v>
      </c>
      <c r="T941" t="s">
        <v>130</v>
      </c>
      <c r="U941" t="s">
        <v>125</v>
      </c>
      <c r="V941">
        <v>0</v>
      </c>
      <c r="W941">
        <v>100000</v>
      </c>
      <c r="X941" s="1">
        <v>43769</v>
      </c>
      <c r="Y941" t="s">
        <v>131</v>
      </c>
      <c r="Z941" t="s">
        <v>43</v>
      </c>
      <c r="AA941" t="s">
        <v>41</v>
      </c>
      <c r="AB941" t="s">
        <v>132</v>
      </c>
      <c r="AC941" t="s">
        <v>133</v>
      </c>
      <c r="AF941" t="s">
        <v>135</v>
      </c>
      <c r="AG941" s="1">
        <v>43843</v>
      </c>
      <c r="AH941" t="s">
        <v>125</v>
      </c>
      <c r="AI941" t="s">
        <v>92</v>
      </c>
      <c r="AJ941">
        <v>1278023</v>
      </c>
      <c r="AK941">
        <v>12365300</v>
      </c>
      <c r="AL941">
        <v>12900</v>
      </c>
    </row>
    <row r="942" spans="1:38" x14ac:dyDescent="0.25">
      <c r="A942" t="s">
        <v>224</v>
      </c>
      <c r="B942" t="s">
        <v>357</v>
      </c>
      <c r="C942" t="s">
        <v>40</v>
      </c>
      <c r="D942" s="1">
        <v>43035</v>
      </c>
      <c r="E942" s="1">
        <v>43399</v>
      </c>
      <c r="F942" t="s">
        <v>41</v>
      </c>
      <c r="G942">
        <v>3</v>
      </c>
      <c r="H942" t="s">
        <v>125</v>
      </c>
      <c r="I942" t="s">
        <v>43</v>
      </c>
      <c r="J942" t="s">
        <v>126</v>
      </c>
      <c r="K942" t="s">
        <v>44</v>
      </c>
      <c r="L942">
        <v>62714.03</v>
      </c>
      <c r="M942" s="1">
        <v>43035</v>
      </c>
      <c r="N942" t="s">
        <v>45</v>
      </c>
      <c r="O942" t="s">
        <v>46</v>
      </c>
      <c r="P942" t="s">
        <v>47</v>
      </c>
      <c r="Q942" s="1">
        <v>43852</v>
      </c>
      <c r="R942" t="s">
        <v>48</v>
      </c>
      <c r="S942" t="s">
        <v>41</v>
      </c>
      <c r="T942" t="s">
        <v>130</v>
      </c>
      <c r="U942" t="s">
        <v>125</v>
      </c>
      <c r="V942">
        <v>0</v>
      </c>
      <c r="W942">
        <v>100000</v>
      </c>
      <c r="X942" s="1">
        <v>43769</v>
      </c>
      <c r="Y942" t="s">
        <v>131</v>
      </c>
      <c r="Z942" t="s">
        <v>43</v>
      </c>
      <c r="AA942" t="s">
        <v>41</v>
      </c>
      <c r="AB942" t="s">
        <v>132</v>
      </c>
      <c r="AC942" t="s">
        <v>133</v>
      </c>
      <c r="AF942" t="s">
        <v>136</v>
      </c>
      <c r="AG942" s="1">
        <v>43839</v>
      </c>
      <c r="AH942" t="s">
        <v>125</v>
      </c>
      <c r="AI942" t="s">
        <v>92</v>
      </c>
      <c r="AJ942">
        <v>1278023</v>
      </c>
      <c r="AK942">
        <v>12365300</v>
      </c>
      <c r="AL942">
        <v>12900</v>
      </c>
    </row>
    <row r="943" spans="1:38" x14ac:dyDescent="0.25">
      <c r="A943" t="s">
        <v>224</v>
      </c>
      <c r="B943" t="s">
        <v>357</v>
      </c>
      <c r="C943" t="s">
        <v>40</v>
      </c>
      <c r="D943" s="1">
        <v>43035</v>
      </c>
      <c r="E943" s="1">
        <v>43399</v>
      </c>
      <c r="F943" t="s">
        <v>41</v>
      </c>
      <c r="G943">
        <v>3</v>
      </c>
      <c r="H943" t="s">
        <v>125</v>
      </c>
      <c r="I943" t="s">
        <v>43</v>
      </c>
      <c r="J943" t="s">
        <v>126</v>
      </c>
      <c r="K943" t="s">
        <v>44</v>
      </c>
      <c r="L943">
        <v>62714.03</v>
      </c>
      <c r="M943" s="1">
        <v>43035</v>
      </c>
      <c r="N943" t="s">
        <v>45</v>
      </c>
      <c r="O943" t="s">
        <v>46</v>
      </c>
      <c r="P943" t="s">
        <v>47</v>
      </c>
      <c r="Q943" s="1">
        <v>43852</v>
      </c>
      <c r="R943" t="s">
        <v>48</v>
      </c>
      <c r="S943" t="s">
        <v>41</v>
      </c>
      <c r="T943" t="s">
        <v>130</v>
      </c>
      <c r="U943" t="s">
        <v>125</v>
      </c>
      <c r="V943">
        <v>0</v>
      </c>
      <c r="W943">
        <v>100000</v>
      </c>
      <c r="X943" s="1">
        <v>43769</v>
      </c>
      <c r="Y943" t="s">
        <v>131</v>
      </c>
      <c r="Z943" t="s">
        <v>43</v>
      </c>
      <c r="AA943" t="s">
        <v>41</v>
      </c>
      <c r="AB943" t="s">
        <v>132</v>
      </c>
      <c r="AC943" t="s">
        <v>133</v>
      </c>
      <c r="AF943" t="s">
        <v>137</v>
      </c>
      <c r="AG943" s="1">
        <v>43840</v>
      </c>
      <c r="AH943" t="s">
        <v>125</v>
      </c>
      <c r="AI943" t="s">
        <v>92</v>
      </c>
      <c r="AJ943">
        <v>1278023</v>
      </c>
      <c r="AK943">
        <v>12365300</v>
      </c>
      <c r="AL943">
        <v>12900</v>
      </c>
    </row>
    <row r="944" spans="1:38" x14ac:dyDescent="0.25">
      <c r="A944" t="s">
        <v>224</v>
      </c>
      <c r="B944" t="s">
        <v>357</v>
      </c>
      <c r="C944" t="s">
        <v>40</v>
      </c>
      <c r="D944" s="1">
        <v>43035</v>
      </c>
      <c r="E944" s="1">
        <v>43399</v>
      </c>
      <c r="F944" t="s">
        <v>41</v>
      </c>
      <c r="G944">
        <v>3</v>
      </c>
      <c r="H944" t="s">
        <v>125</v>
      </c>
      <c r="I944" t="s">
        <v>43</v>
      </c>
      <c r="J944" t="s">
        <v>126</v>
      </c>
      <c r="K944" t="s">
        <v>44</v>
      </c>
      <c r="L944">
        <v>62714.03</v>
      </c>
      <c r="M944" s="1">
        <v>43035</v>
      </c>
      <c r="N944" t="s">
        <v>45</v>
      </c>
      <c r="O944" t="s">
        <v>46</v>
      </c>
      <c r="P944" t="s">
        <v>47</v>
      </c>
      <c r="Q944" s="1">
        <v>43852</v>
      </c>
      <c r="R944" t="s">
        <v>48</v>
      </c>
      <c r="S944" t="s">
        <v>138</v>
      </c>
      <c r="T944" t="s">
        <v>139</v>
      </c>
      <c r="U944" t="s">
        <v>125</v>
      </c>
      <c r="V944">
        <v>0</v>
      </c>
      <c r="W944">
        <v>10000</v>
      </c>
      <c r="X944" s="1">
        <v>43738</v>
      </c>
      <c r="Y944" t="s">
        <v>140</v>
      </c>
      <c r="Z944" t="s">
        <v>43</v>
      </c>
      <c r="AA944" t="s">
        <v>41</v>
      </c>
      <c r="AB944" t="s">
        <v>132</v>
      </c>
      <c r="AC944" t="s">
        <v>132</v>
      </c>
      <c r="AF944" t="s">
        <v>134</v>
      </c>
      <c r="AG944" s="1">
        <v>43843</v>
      </c>
      <c r="AH944" t="s">
        <v>125</v>
      </c>
      <c r="AI944" t="s">
        <v>92</v>
      </c>
      <c r="AJ944">
        <v>1278023</v>
      </c>
      <c r="AK944">
        <v>12365300</v>
      </c>
      <c r="AL944">
        <v>12900</v>
      </c>
    </row>
    <row r="945" spans="1:38" x14ac:dyDescent="0.25">
      <c r="A945" t="s">
        <v>224</v>
      </c>
      <c r="B945" t="s">
        <v>357</v>
      </c>
      <c r="C945" t="s">
        <v>40</v>
      </c>
      <c r="D945" s="1">
        <v>43035</v>
      </c>
      <c r="E945" s="1">
        <v>43399</v>
      </c>
      <c r="F945" t="s">
        <v>41</v>
      </c>
      <c r="G945">
        <v>3</v>
      </c>
      <c r="H945" t="s">
        <v>125</v>
      </c>
      <c r="I945" t="s">
        <v>43</v>
      </c>
      <c r="J945" t="s">
        <v>126</v>
      </c>
      <c r="K945" t="s">
        <v>44</v>
      </c>
      <c r="L945">
        <v>62714.03</v>
      </c>
      <c r="M945" s="1">
        <v>43035</v>
      </c>
      <c r="N945" t="s">
        <v>45</v>
      </c>
      <c r="O945" t="s">
        <v>46</v>
      </c>
      <c r="P945" t="s">
        <v>47</v>
      </c>
      <c r="Q945" s="1">
        <v>43852</v>
      </c>
      <c r="R945" t="s">
        <v>48</v>
      </c>
      <c r="S945" t="s">
        <v>138</v>
      </c>
      <c r="T945" t="s">
        <v>139</v>
      </c>
      <c r="U945" t="s">
        <v>125</v>
      </c>
      <c r="V945">
        <v>0</v>
      </c>
      <c r="W945">
        <v>10000</v>
      </c>
      <c r="X945" s="1">
        <v>43738</v>
      </c>
      <c r="Y945" t="s">
        <v>140</v>
      </c>
      <c r="Z945" t="s">
        <v>43</v>
      </c>
      <c r="AA945" t="s">
        <v>41</v>
      </c>
      <c r="AB945" t="s">
        <v>132</v>
      </c>
      <c r="AC945" t="s">
        <v>132</v>
      </c>
      <c r="AF945" t="s">
        <v>135</v>
      </c>
      <c r="AG945" s="1">
        <v>43843</v>
      </c>
      <c r="AH945" t="s">
        <v>125</v>
      </c>
      <c r="AI945" t="s">
        <v>92</v>
      </c>
      <c r="AJ945">
        <v>1278023</v>
      </c>
      <c r="AK945">
        <v>12365300</v>
      </c>
      <c r="AL945">
        <v>12900</v>
      </c>
    </row>
    <row r="946" spans="1:38" x14ac:dyDescent="0.25">
      <c r="A946" t="s">
        <v>224</v>
      </c>
      <c r="B946" t="s">
        <v>357</v>
      </c>
      <c r="C946" t="s">
        <v>40</v>
      </c>
      <c r="D946" s="1">
        <v>43035</v>
      </c>
      <c r="E946" s="1">
        <v>43399</v>
      </c>
      <c r="F946" t="s">
        <v>41</v>
      </c>
      <c r="G946">
        <v>3</v>
      </c>
      <c r="H946" t="s">
        <v>125</v>
      </c>
      <c r="I946" t="s">
        <v>43</v>
      </c>
      <c r="J946" t="s">
        <v>126</v>
      </c>
      <c r="K946" t="s">
        <v>44</v>
      </c>
      <c r="L946">
        <v>62714.03</v>
      </c>
      <c r="M946" s="1">
        <v>43035</v>
      </c>
      <c r="N946" t="s">
        <v>45</v>
      </c>
      <c r="O946" t="s">
        <v>46</v>
      </c>
      <c r="P946" t="s">
        <v>47</v>
      </c>
      <c r="Q946" s="1">
        <v>43852</v>
      </c>
      <c r="R946" t="s">
        <v>48</v>
      </c>
      <c r="S946" t="s">
        <v>138</v>
      </c>
      <c r="T946" t="s">
        <v>139</v>
      </c>
      <c r="U946" t="s">
        <v>125</v>
      </c>
      <c r="V946">
        <v>0</v>
      </c>
      <c r="W946">
        <v>10000</v>
      </c>
      <c r="X946" s="1">
        <v>43738</v>
      </c>
      <c r="Y946" t="s">
        <v>140</v>
      </c>
      <c r="Z946" t="s">
        <v>43</v>
      </c>
      <c r="AA946" t="s">
        <v>41</v>
      </c>
      <c r="AB946" t="s">
        <v>132</v>
      </c>
      <c r="AC946" t="s">
        <v>132</v>
      </c>
      <c r="AF946" t="s">
        <v>136</v>
      </c>
      <c r="AG946" s="1">
        <v>43839</v>
      </c>
      <c r="AH946" t="s">
        <v>125</v>
      </c>
      <c r="AI946" t="s">
        <v>92</v>
      </c>
      <c r="AJ946">
        <v>1278023</v>
      </c>
      <c r="AK946">
        <v>12365300</v>
      </c>
      <c r="AL946">
        <v>12900</v>
      </c>
    </row>
    <row r="947" spans="1:38" x14ac:dyDescent="0.25">
      <c r="A947" t="s">
        <v>224</v>
      </c>
      <c r="B947" t="s">
        <v>357</v>
      </c>
      <c r="C947" t="s">
        <v>40</v>
      </c>
      <c r="D947" s="1">
        <v>43035</v>
      </c>
      <c r="E947" s="1">
        <v>43399</v>
      </c>
      <c r="F947" t="s">
        <v>41</v>
      </c>
      <c r="G947">
        <v>3</v>
      </c>
      <c r="H947" t="s">
        <v>125</v>
      </c>
      <c r="I947" t="s">
        <v>43</v>
      </c>
      <c r="J947" t="s">
        <v>126</v>
      </c>
      <c r="K947" t="s">
        <v>44</v>
      </c>
      <c r="L947">
        <v>62714.03</v>
      </c>
      <c r="M947" s="1">
        <v>43035</v>
      </c>
      <c r="N947" t="s">
        <v>45</v>
      </c>
      <c r="O947" t="s">
        <v>46</v>
      </c>
      <c r="P947" t="s">
        <v>47</v>
      </c>
      <c r="Q947" s="1">
        <v>43852</v>
      </c>
      <c r="R947" t="s">
        <v>48</v>
      </c>
      <c r="S947" t="s">
        <v>138</v>
      </c>
      <c r="T947" t="s">
        <v>139</v>
      </c>
      <c r="U947" t="s">
        <v>125</v>
      </c>
      <c r="V947">
        <v>0</v>
      </c>
      <c r="W947">
        <v>10000</v>
      </c>
      <c r="X947" s="1">
        <v>43738</v>
      </c>
      <c r="Y947" t="s">
        <v>140</v>
      </c>
      <c r="Z947" t="s">
        <v>43</v>
      </c>
      <c r="AA947" t="s">
        <v>41</v>
      </c>
      <c r="AB947" t="s">
        <v>132</v>
      </c>
      <c r="AC947" t="s">
        <v>132</v>
      </c>
      <c r="AF947" t="s">
        <v>137</v>
      </c>
      <c r="AG947" s="1">
        <v>43840</v>
      </c>
      <c r="AH947" t="s">
        <v>125</v>
      </c>
      <c r="AI947" t="s">
        <v>92</v>
      </c>
      <c r="AJ947">
        <v>1278023</v>
      </c>
      <c r="AK947">
        <v>12365300</v>
      </c>
      <c r="AL947">
        <v>12900</v>
      </c>
    </row>
    <row r="948" spans="1:38" x14ac:dyDescent="0.25">
      <c r="A948" t="s">
        <v>226</v>
      </c>
      <c r="B948" t="s">
        <v>358</v>
      </c>
      <c r="C948" t="s">
        <v>71</v>
      </c>
      <c r="D948" s="1">
        <v>43400</v>
      </c>
      <c r="E948" s="1">
        <v>43764</v>
      </c>
      <c r="F948" t="s">
        <v>41</v>
      </c>
      <c r="G948">
        <v>3</v>
      </c>
      <c r="H948" t="s">
        <v>125</v>
      </c>
      <c r="I948" t="s">
        <v>43</v>
      </c>
      <c r="J948" t="s">
        <v>126</v>
      </c>
      <c r="K948" t="s">
        <v>44</v>
      </c>
      <c r="L948">
        <v>85800</v>
      </c>
      <c r="M948" s="1">
        <v>43400</v>
      </c>
      <c r="N948" t="s">
        <v>45</v>
      </c>
      <c r="O948" t="s">
        <v>106</v>
      </c>
      <c r="P948" t="s">
        <v>47</v>
      </c>
      <c r="Q948" s="1">
        <v>43852</v>
      </c>
      <c r="R948" t="s">
        <v>48</v>
      </c>
      <c r="S948" t="s">
        <v>41</v>
      </c>
      <c r="T948" t="s">
        <v>130</v>
      </c>
      <c r="U948" t="s">
        <v>125</v>
      </c>
      <c r="V948">
        <v>0</v>
      </c>
      <c r="W948">
        <v>100000</v>
      </c>
      <c r="X948" s="1">
        <v>43769</v>
      </c>
      <c r="Y948" t="s">
        <v>131</v>
      </c>
      <c r="Z948" t="s">
        <v>43</v>
      </c>
      <c r="AA948" t="s">
        <v>41</v>
      </c>
      <c r="AB948" t="s">
        <v>132</v>
      </c>
      <c r="AC948" t="s">
        <v>133</v>
      </c>
      <c r="AF948" t="s">
        <v>134</v>
      </c>
      <c r="AG948" s="1">
        <v>43843</v>
      </c>
      <c r="AH948" t="s">
        <v>125</v>
      </c>
      <c r="AI948" t="s">
        <v>92</v>
      </c>
      <c r="AJ948">
        <v>1278023</v>
      </c>
      <c r="AK948">
        <v>12365300</v>
      </c>
      <c r="AL948">
        <v>12900</v>
      </c>
    </row>
    <row r="949" spans="1:38" x14ac:dyDescent="0.25">
      <c r="A949" t="s">
        <v>226</v>
      </c>
      <c r="B949" t="s">
        <v>358</v>
      </c>
      <c r="C949" t="s">
        <v>71</v>
      </c>
      <c r="D949" s="1">
        <v>43400</v>
      </c>
      <c r="E949" s="1">
        <v>43764</v>
      </c>
      <c r="F949" t="s">
        <v>41</v>
      </c>
      <c r="G949">
        <v>3</v>
      </c>
      <c r="H949" t="s">
        <v>125</v>
      </c>
      <c r="I949" t="s">
        <v>43</v>
      </c>
      <c r="J949" t="s">
        <v>126</v>
      </c>
      <c r="K949" t="s">
        <v>44</v>
      </c>
      <c r="L949">
        <v>85800</v>
      </c>
      <c r="M949" s="1">
        <v>43400</v>
      </c>
      <c r="N949" t="s">
        <v>45</v>
      </c>
      <c r="O949" t="s">
        <v>106</v>
      </c>
      <c r="P949" t="s">
        <v>47</v>
      </c>
      <c r="Q949" s="1">
        <v>43852</v>
      </c>
      <c r="R949" t="s">
        <v>48</v>
      </c>
      <c r="S949" t="s">
        <v>41</v>
      </c>
      <c r="T949" t="s">
        <v>130</v>
      </c>
      <c r="U949" t="s">
        <v>125</v>
      </c>
      <c r="V949">
        <v>0</v>
      </c>
      <c r="W949">
        <v>100000</v>
      </c>
      <c r="X949" s="1">
        <v>43769</v>
      </c>
      <c r="Y949" t="s">
        <v>131</v>
      </c>
      <c r="Z949" t="s">
        <v>43</v>
      </c>
      <c r="AA949" t="s">
        <v>41</v>
      </c>
      <c r="AB949" t="s">
        <v>132</v>
      </c>
      <c r="AC949" t="s">
        <v>133</v>
      </c>
      <c r="AF949" t="s">
        <v>135</v>
      </c>
      <c r="AG949" s="1">
        <v>43843</v>
      </c>
      <c r="AH949" t="s">
        <v>125</v>
      </c>
      <c r="AI949" t="s">
        <v>92</v>
      </c>
      <c r="AJ949">
        <v>1278023</v>
      </c>
      <c r="AK949">
        <v>12365300</v>
      </c>
      <c r="AL949">
        <v>12900</v>
      </c>
    </row>
    <row r="950" spans="1:38" x14ac:dyDescent="0.25">
      <c r="A950" t="s">
        <v>226</v>
      </c>
      <c r="B950" t="s">
        <v>358</v>
      </c>
      <c r="C950" t="s">
        <v>71</v>
      </c>
      <c r="D950" s="1">
        <v>43400</v>
      </c>
      <c r="E950" s="1">
        <v>43764</v>
      </c>
      <c r="F950" t="s">
        <v>41</v>
      </c>
      <c r="G950">
        <v>3</v>
      </c>
      <c r="H950" t="s">
        <v>125</v>
      </c>
      <c r="I950" t="s">
        <v>43</v>
      </c>
      <c r="J950" t="s">
        <v>126</v>
      </c>
      <c r="K950" t="s">
        <v>44</v>
      </c>
      <c r="L950">
        <v>85800</v>
      </c>
      <c r="M950" s="1">
        <v>43400</v>
      </c>
      <c r="N950" t="s">
        <v>45</v>
      </c>
      <c r="O950" t="s">
        <v>106</v>
      </c>
      <c r="P950" t="s">
        <v>47</v>
      </c>
      <c r="Q950" s="1">
        <v>43852</v>
      </c>
      <c r="R950" t="s">
        <v>48</v>
      </c>
      <c r="S950" t="s">
        <v>41</v>
      </c>
      <c r="T950" t="s">
        <v>130</v>
      </c>
      <c r="U950" t="s">
        <v>125</v>
      </c>
      <c r="V950">
        <v>0</v>
      </c>
      <c r="W950">
        <v>100000</v>
      </c>
      <c r="X950" s="1">
        <v>43769</v>
      </c>
      <c r="Y950" t="s">
        <v>131</v>
      </c>
      <c r="Z950" t="s">
        <v>43</v>
      </c>
      <c r="AA950" t="s">
        <v>41</v>
      </c>
      <c r="AB950" t="s">
        <v>132</v>
      </c>
      <c r="AC950" t="s">
        <v>133</v>
      </c>
      <c r="AF950" t="s">
        <v>136</v>
      </c>
      <c r="AG950" s="1">
        <v>43839</v>
      </c>
      <c r="AH950" t="s">
        <v>125</v>
      </c>
      <c r="AI950" t="s">
        <v>92</v>
      </c>
      <c r="AJ950">
        <v>1278023</v>
      </c>
      <c r="AK950">
        <v>12365300</v>
      </c>
      <c r="AL950">
        <v>12900</v>
      </c>
    </row>
    <row r="951" spans="1:38" x14ac:dyDescent="0.25">
      <c r="A951" t="s">
        <v>226</v>
      </c>
      <c r="B951" t="s">
        <v>358</v>
      </c>
      <c r="C951" t="s">
        <v>71</v>
      </c>
      <c r="D951" s="1">
        <v>43400</v>
      </c>
      <c r="E951" s="1">
        <v>43764</v>
      </c>
      <c r="F951" t="s">
        <v>41</v>
      </c>
      <c r="G951">
        <v>3</v>
      </c>
      <c r="H951" t="s">
        <v>125</v>
      </c>
      <c r="I951" t="s">
        <v>43</v>
      </c>
      <c r="J951" t="s">
        <v>126</v>
      </c>
      <c r="K951" t="s">
        <v>44</v>
      </c>
      <c r="L951">
        <v>85800</v>
      </c>
      <c r="M951" s="1">
        <v>43400</v>
      </c>
      <c r="N951" t="s">
        <v>45</v>
      </c>
      <c r="O951" t="s">
        <v>106</v>
      </c>
      <c r="P951" t="s">
        <v>47</v>
      </c>
      <c r="Q951" s="1">
        <v>43852</v>
      </c>
      <c r="R951" t="s">
        <v>48</v>
      </c>
      <c r="S951" t="s">
        <v>41</v>
      </c>
      <c r="T951" t="s">
        <v>130</v>
      </c>
      <c r="U951" t="s">
        <v>125</v>
      </c>
      <c r="V951">
        <v>0</v>
      </c>
      <c r="W951">
        <v>100000</v>
      </c>
      <c r="X951" s="1">
        <v>43769</v>
      </c>
      <c r="Y951" t="s">
        <v>131</v>
      </c>
      <c r="Z951" t="s">
        <v>43</v>
      </c>
      <c r="AA951" t="s">
        <v>41</v>
      </c>
      <c r="AB951" t="s">
        <v>132</v>
      </c>
      <c r="AC951" t="s">
        <v>133</v>
      </c>
      <c r="AF951" t="s">
        <v>137</v>
      </c>
      <c r="AG951" s="1">
        <v>43840</v>
      </c>
      <c r="AH951" t="s">
        <v>125</v>
      </c>
      <c r="AI951" t="s">
        <v>92</v>
      </c>
      <c r="AJ951">
        <v>1278023</v>
      </c>
      <c r="AK951">
        <v>12365300</v>
      </c>
      <c r="AL951">
        <v>12900</v>
      </c>
    </row>
    <row r="952" spans="1:38" x14ac:dyDescent="0.25">
      <c r="A952" t="s">
        <v>226</v>
      </c>
      <c r="B952" t="s">
        <v>358</v>
      </c>
      <c r="C952" t="s">
        <v>71</v>
      </c>
      <c r="D952" s="1">
        <v>43400</v>
      </c>
      <c r="E952" s="1">
        <v>43764</v>
      </c>
      <c r="F952" t="s">
        <v>41</v>
      </c>
      <c r="G952">
        <v>3</v>
      </c>
      <c r="H952" t="s">
        <v>125</v>
      </c>
      <c r="I952" t="s">
        <v>43</v>
      </c>
      <c r="J952" t="s">
        <v>126</v>
      </c>
      <c r="K952" t="s">
        <v>44</v>
      </c>
      <c r="L952">
        <v>85800</v>
      </c>
      <c r="M952" s="1">
        <v>43400</v>
      </c>
      <c r="N952" t="s">
        <v>45</v>
      </c>
      <c r="O952" t="s">
        <v>106</v>
      </c>
      <c r="P952" t="s">
        <v>47</v>
      </c>
      <c r="Q952" s="1">
        <v>43852</v>
      </c>
      <c r="R952" t="s">
        <v>48</v>
      </c>
      <c r="S952" t="s">
        <v>138</v>
      </c>
      <c r="T952" t="s">
        <v>139</v>
      </c>
      <c r="U952" t="s">
        <v>125</v>
      </c>
      <c r="V952">
        <v>0</v>
      </c>
      <c r="W952">
        <v>10000</v>
      </c>
      <c r="X952" s="1">
        <v>43738</v>
      </c>
      <c r="Y952" t="s">
        <v>140</v>
      </c>
      <c r="Z952" t="s">
        <v>43</v>
      </c>
      <c r="AA952" t="s">
        <v>41</v>
      </c>
      <c r="AB952" t="s">
        <v>132</v>
      </c>
      <c r="AC952" t="s">
        <v>132</v>
      </c>
      <c r="AF952" t="s">
        <v>134</v>
      </c>
      <c r="AG952" s="1">
        <v>43843</v>
      </c>
      <c r="AH952" t="s">
        <v>125</v>
      </c>
      <c r="AI952" t="s">
        <v>92</v>
      </c>
      <c r="AJ952">
        <v>1278023</v>
      </c>
      <c r="AK952">
        <v>12365300</v>
      </c>
      <c r="AL952">
        <v>12900</v>
      </c>
    </row>
    <row r="953" spans="1:38" x14ac:dyDescent="0.25">
      <c r="A953" t="s">
        <v>226</v>
      </c>
      <c r="B953" t="s">
        <v>358</v>
      </c>
      <c r="C953" t="s">
        <v>71</v>
      </c>
      <c r="D953" s="1">
        <v>43400</v>
      </c>
      <c r="E953" s="1">
        <v>43764</v>
      </c>
      <c r="F953" t="s">
        <v>41</v>
      </c>
      <c r="G953">
        <v>3</v>
      </c>
      <c r="H953" t="s">
        <v>125</v>
      </c>
      <c r="I953" t="s">
        <v>43</v>
      </c>
      <c r="J953" t="s">
        <v>126</v>
      </c>
      <c r="K953" t="s">
        <v>44</v>
      </c>
      <c r="L953">
        <v>85800</v>
      </c>
      <c r="M953" s="1">
        <v>43400</v>
      </c>
      <c r="N953" t="s">
        <v>45</v>
      </c>
      <c r="O953" t="s">
        <v>106</v>
      </c>
      <c r="P953" t="s">
        <v>47</v>
      </c>
      <c r="Q953" s="1">
        <v>43852</v>
      </c>
      <c r="R953" t="s">
        <v>48</v>
      </c>
      <c r="S953" t="s">
        <v>138</v>
      </c>
      <c r="T953" t="s">
        <v>139</v>
      </c>
      <c r="U953" t="s">
        <v>125</v>
      </c>
      <c r="V953">
        <v>0</v>
      </c>
      <c r="W953">
        <v>10000</v>
      </c>
      <c r="X953" s="1">
        <v>43738</v>
      </c>
      <c r="Y953" t="s">
        <v>140</v>
      </c>
      <c r="Z953" t="s">
        <v>43</v>
      </c>
      <c r="AA953" t="s">
        <v>41</v>
      </c>
      <c r="AB953" t="s">
        <v>132</v>
      </c>
      <c r="AC953" t="s">
        <v>132</v>
      </c>
      <c r="AF953" t="s">
        <v>135</v>
      </c>
      <c r="AG953" s="1">
        <v>43843</v>
      </c>
      <c r="AH953" t="s">
        <v>125</v>
      </c>
      <c r="AI953" t="s">
        <v>92</v>
      </c>
      <c r="AJ953">
        <v>1278023</v>
      </c>
      <c r="AK953">
        <v>12365300</v>
      </c>
      <c r="AL953">
        <v>12900</v>
      </c>
    </row>
    <row r="954" spans="1:38" x14ac:dyDescent="0.25">
      <c r="A954" t="s">
        <v>226</v>
      </c>
      <c r="B954" t="s">
        <v>358</v>
      </c>
      <c r="C954" t="s">
        <v>71</v>
      </c>
      <c r="D954" s="1">
        <v>43400</v>
      </c>
      <c r="E954" s="1">
        <v>43764</v>
      </c>
      <c r="F954" t="s">
        <v>41</v>
      </c>
      <c r="G954">
        <v>3</v>
      </c>
      <c r="H954" t="s">
        <v>125</v>
      </c>
      <c r="I954" t="s">
        <v>43</v>
      </c>
      <c r="J954" t="s">
        <v>126</v>
      </c>
      <c r="K954" t="s">
        <v>44</v>
      </c>
      <c r="L954">
        <v>85800</v>
      </c>
      <c r="M954" s="1">
        <v>43400</v>
      </c>
      <c r="N954" t="s">
        <v>45</v>
      </c>
      <c r="O954" t="s">
        <v>106</v>
      </c>
      <c r="P954" t="s">
        <v>47</v>
      </c>
      <c r="Q954" s="1">
        <v>43852</v>
      </c>
      <c r="R954" t="s">
        <v>48</v>
      </c>
      <c r="S954" t="s">
        <v>138</v>
      </c>
      <c r="T954" t="s">
        <v>139</v>
      </c>
      <c r="U954" t="s">
        <v>125</v>
      </c>
      <c r="V954">
        <v>0</v>
      </c>
      <c r="W954">
        <v>10000</v>
      </c>
      <c r="X954" s="1">
        <v>43738</v>
      </c>
      <c r="Y954" t="s">
        <v>140</v>
      </c>
      <c r="Z954" t="s">
        <v>43</v>
      </c>
      <c r="AA954" t="s">
        <v>41</v>
      </c>
      <c r="AB954" t="s">
        <v>132</v>
      </c>
      <c r="AC954" t="s">
        <v>132</v>
      </c>
      <c r="AF954" t="s">
        <v>136</v>
      </c>
      <c r="AG954" s="1">
        <v>43839</v>
      </c>
      <c r="AH954" t="s">
        <v>125</v>
      </c>
      <c r="AI954" t="s">
        <v>92</v>
      </c>
      <c r="AJ954">
        <v>1278023</v>
      </c>
      <c r="AK954">
        <v>12365300</v>
      </c>
      <c r="AL954">
        <v>12900</v>
      </c>
    </row>
    <row r="955" spans="1:38" x14ac:dyDescent="0.25">
      <c r="A955" t="s">
        <v>226</v>
      </c>
      <c r="B955" t="s">
        <v>358</v>
      </c>
      <c r="C955" t="s">
        <v>71</v>
      </c>
      <c r="D955" s="1">
        <v>43400</v>
      </c>
      <c r="E955" s="1">
        <v>43764</v>
      </c>
      <c r="F955" t="s">
        <v>41</v>
      </c>
      <c r="G955">
        <v>3</v>
      </c>
      <c r="H955" t="s">
        <v>125</v>
      </c>
      <c r="I955" t="s">
        <v>43</v>
      </c>
      <c r="J955" t="s">
        <v>126</v>
      </c>
      <c r="K955" t="s">
        <v>44</v>
      </c>
      <c r="L955">
        <v>85800</v>
      </c>
      <c r="M955" s="1">
        <v>43400</v>
      </c>
      <c r="N955" t="s">
        <v>45</v>
      </c>
      <c r="O955" t="s">
        <v>106</v>
      </c>
      <c r="P955" t="s">
        <v>47</v>
      </c>
      <c r="Q955" s="1">
        <v>43852</v>
      </c>
      <c r="R955" t="s">
        <v>48</v>
      </c>
      <c r="S955" t="s">
        <v>138</v>
      </c>
      <c r="T955" t="s">
        <v>139</v>
      </c>
      <c r="U955" t="s">
        <v>125</v>
      </c>
      <c r="V955">
        <v>0</v>
      </c>
      <c r="W955">
        <v>10000</v>
      </c>
      <c r="X955" s="1">
        <v>43738</v>
      </c>
      <c r="Y955" t="s">
        <v>140</v>
      </c>
      <c r="Z955" t="s">
        <v>43</v>
      </c>
      <c r="AA955" t="s">
        <v>41</v>
      </c>
      <c r="AB955" t="s">
        <v>132</v>
      </c>
      <c r="AC955" t="s">
        <v>132</v>
      </c>
      <c r="AF955" t="s">
        <v>137</v>
      </c>
      <c r="AG955" s="1">
        <v>43840</v>
      </c>
      <c r="AH955" t="s">
        <v>125</v>
      </c>
      <c r="AI955" t="s">
        <v>92</v>
      </c>
      <c r="AJ955">
        <v>1278023</v>
      </c>
      <c r="AK955">
        <v>12365300</v>
      </c>
      <c r="AL955">
        <v>12900</v>
      </c>
    </row>
    <row r="956" spans="1:38" x14ac:dyDescent="0.25">
      <c r="A956" t="s">
        <v>228</v>
      </c>
      <c r="B956" t="s">
        <v>358</v>
      </c>
      <c r="C956" t="s">
        <v>71</v>
      </c>
      <c r="D956" s="1">
        <v>43400</v>
      </c>
      <c r="E956" s="1">
        <v>43764</v>
      </c>
      <c r="F956" t="s">
        <v>41</v>
      </c>
      <c r="G956">
        <v>3</v>
      </c>
      <c r="H956" t="s">
        <v>125</v>
      </c>
      <c r="I956" t="s">
        <v>43</v>
      </c>
      <c r="J956" t="s">
        <v>126</v>
      </c>
      <c r="K956" t="s">
        <v>44</v>
      </c>
      <c r="L956">
        <v>21450</v>
      </c>
      <c r="M956" s="1">
        <v>43400</v>
      </c>
      <c r="N956" t="s">
        <v>45</v>
      </c>
      <c r="O956" t="s">
        <v>106</v>
      </c>
      <c r="P956" t="s">
        <v>47</v>
      </c>
      <c r="Q956" s="1">
        <v>43852</v>
      </c>
      <c r="R956" t="s">
        <v>48</v>
      </c>
      <c r="S956" t="s">
        <v>41</v>
      </c>
      <c r="T956" t="s">
        <v>130</v>
      </c>
      <c r="U956" t="s">
        <v>125</v>
      </c>
      <c r="V956">
        <v>0</v>
      </c>
      <c r="W956">
        <v>100000</v>
      </c>
      <c r="X956" s="1">
        <v>43769</v>
      </c>
      <c r="Y956" t="s">
        <v>131</v>
      </c>
      <c r="Z956" t="s">
        <v>43</v>
      </c>
      <c r="AA956" t="s">
        <v>41</v>
      </c>
      <c r="AB956" t="s">
        <v>132</v>
      </c>
      <c r="AC956" t="s">
        <v>133</v>
      </c>
      <c r="AF956" t="s">
        <v>134</v>
      </c>
      <c r="AG956" s="1">
        <v>43843</v>
      </c>
      <c r="AH956" t="s">
        <v>125</v>
      </c>
      <c r="AI956" t="s">
        <v>92</v>
      </c>
      <c r="AJ956">
        <v>1278023</v>
      </c>
      <c r="AK956">
        <v>12365300</v>
      </c>
      <c r="AL956">
        <v>12900</v>
      </c>
    </row>
    <row r="957" spans="1:38" x14ac:dyDescent="0.25">
      <c r="A957" t="s">
        <v>228</v>
      </c>
      <c r="B957" t="s">
        <v>358</v>
      </c>
      <c r="C957" t="s">
        <v>71</v>
      </c>
      <c r="D957" s="1">
        <v>43400</v>
      </c>
      <c r="E957" s="1">
        <v>43764</v>
      </c>
      <c r="F957" t="s">
        <v>41</v>
      </c>
      <c r="G957">
        <v>3</v>
      </c>
      <c r="H957" t="s">
        <v>125</v>
      </c>
      <c r="I957" t="s">
        <v>43</v>
      </c>
      <c r="J957" t="s">
        <v>126</v>
      </c>
      <c r="K957" t="s">
        <v>44</v>
      </c>
      <c r="L957">
        <v>21450</v>
      </c>
      <c r="M957" s="1">
        <v>43400</v>
      </c>
      <c r="N957" t="s">
        <v>45</v>
      </c>
      <c r="O957" t="s">
        <v>106</v>
      </c>
      <c r="P957" t="s">
        <v>47</v>
      </c>
      <c r="Q957" s="1">
        <v>43852</v>
      </c>
      <c r="R957" t="s">
        <v>48</v>
      </c>
      <c r="S957" t="s">
        <v>41</v>
      </c>
      <c r="T957" t="s">
        <v>130</v>
      </c>
      <c r="U957" t="s">
        <v>125</v>
      </c>
      <c r="V957">
        <v>0</v>
      </c>
      <c r="W957">
        <v>100000</v>
      </c>
      <c r="X957" s="1">
        <v>43769</v>
      </c>
      <c r="Y957" t="s">
        <v>131</v>
      </c>
      <c r="Z957" t="s">
        <v>43</v>
      </c>
      <c r="AA957" t="s">
        <v>41</v>
      </c>
      <c r="AB957" t="s">
        <v>132</v>
      </c>
      <c r="AC957" t="s">
        <v>133</v>
      </c>
      <c r="AF957" t="s">
        <v>135</v>
      </c>
      <c r="AG957" s="1">
        <v>43843</v>
      </c>
      <c r="AH957" t="s">
        <v>125</v>
      </c>
      <c r="AI957" t="s">
        <v>92</v>
      </c>
      <c r="AJ957">
        <v>1278023</v>
      </c>
      <c r="AK957">
        <v>12365300</v>
      </c>
      <c r="AL957">
        <v>12900</v>
      </c>
    </row>
    <row r="958" spans="1:38" x14ac:dyDescent="0.25">
      <c r="A958" t="s">
        <v>228</v>
      </c>
      <c r="B958" t="s">
        <v>358</v>
      </c>
      <c r="C958" t="s">
        <v>71</v>
      </c>
      <c r="D958" s="1">
        <v>43400</v>
      </c>
      <c r="E958" s="1">
        <v>43764</v>
      </c>
      <c r="F958" t="s">
        <v>41</v>
      </c>
      <c r="G958">
        <v>3</v>
      </c>
      <c r="H958" t="s">
        <v>125</v>
      </c>
      <c r="I958" t="s">
        <v>43</v>
      </c>
      <c r="J958" t="s">
        <v>126</v>
      </c>
      <c r="K958" t="s">
        <v>44</v>
      </c>
      <c r="L958">
        <v>21450</v>
      </c>
      <c r="M958" s="1">
        <v>43400</v>
      </c>
      <c r="N958" t="s">
        <v>45</v>
      </c>
      <c r="O958" t="s">
        <v>106</v>
      </c>
      <c r="P958" t="s">
        <v>47</v>
      </c>
      <c r="Q958" s="1">
        <v>43852</v>
      </c>
      <c r="R958" t="s">
        <v>48</v>
      </c>
      <c r="S958" t="s">
        <v>41</v>
      </c>
      <c r="T958" t="s">
        <v>130</v>
      </c>
      <c r="U958" t="s">
        <v>125</v>
      </c>
      <c r="V958">
        <v>0</v>
      </c>
      <c r="W958">
        <v>100000</v>
      </c>
      <c r="X958" s="1">
        <v>43769</v>
      </c>
      <c r="Y958" t="s">
        <v>131</v>
      </c>
      <c r="Z958" t="s">
        <v>43</v>
      </c>
      <c r="AA958" t="s">
        <v>41</v>
      </c>
      <c r="AB958" t="s">
        <v>132</v>
      </c>
      <c r="AC958" t="s">
        <v>133</v>
      </c>
      <c r="AF958" t="s">
        <v>136</v>
      </c>
      <c r="AG958" s="1">
        <v>43839</v>
      </c>
      <c r="AH958" t="s">
        <v>125</v>
      </c>
      <c r="AI958" t="s">
        <v>92</v>
      </c>
      <c r="AJ958">
        <v>1278023</v>
      </c>
      <c r="AK958">
        <v>12365300</v>
      </c>
      <c r="AL958">
        <v>12900</v>
      </c>
    </row>
    <row r="959" spans="1:38" x14ac:dyDescent="0.25">
      <c r="A959" t="s">
        <v>228</v>
      </c>
      <c r="B959" t="s">
        <v>358</v>
      </c>
      <c r="C959" t="s">
        <v>71</v>
      </c>
      <c r="D959" s="1">
        <v>43400</v>
      </c>
      <c r="E959" s="1">
        <v>43764</v>
      </c>
      <c r="F959" t="s">
        <v>41</v>
      </c>
      <c r="G959">
        <v>3</v>
      </c>
      <c r="H959" t="s">
        <v>125</v>
      </c>
      <c r="I959" t="s">
        <v>43</v>
      </c>
      <c r="J959" t="s">
        <v>126</v>
      </c>
      <c r="K959" t="s">
        <v>44</v>
      </c>
      <c r="L959">
        <v>21450</v>
      </c>
      <c r="M959" s="1">
        <v>43400</v>
      </c>
      <c r="N959" t="s">
        <v>45</v>
      </c>
      <c r="O959" t="s">
        <v>106</v>
      </c>
      <c r="P959" t="s">
        <v>47</v>
      </c>
      <c r="Q959" s="1">
        <v>43852</v>
      </c>
      <c r="R959" t="s">
        <v>48</v>
      </c>
      <c r="S959" t="s">
        <v>41</v>
      </c>
      <c r="T959" t="s">
        <v>130</v>
      </c>
      <c r="U959" t="s">
        <v>125</v>
      </c>
      <c r="V959">
        <v>0</v>
      </c>
      <c r="W959">
        <v>100000</v>
      </c>
      <c r="X959" s="1">
        <v>43769</v>
      </c>
      <c r="Y959" t="s">
        <v>131</v>
      </c>
      <c r="Z959" t="s">
        <v>43</v>
      </c>
      <c r="AA959" t="s">
        <v>41</v>
      </c>
      <c r="AB959" t="s">
        <v>132</v>
      </c>
      <c r="AC959" t="s">
        <v>133</v>
      </c>
      <c r="AF959" t="s">
        <v>137</v>
      </c>
      <c r="AG959" s="1">
        <v>43840</v>
      </c>
      <c r="AH959" t="s">
        <v>125</v>
      </c>
      <c r="AI959" t="s">
        <v>92</v>
      </c>
      <c r="AJ959">
        <v>1278023</v>
      </c>
      <c r="AK959">
        <v>12365300</v>
      </c>
      <c r="AL959">
        <v>12900</v>
      </c>
    </row>
    <row r="960" spans="1:38" x14ac:dyDescent="0.25">
      <c r="A960" t="s">
        <v>228</v>
      </c>
      <c r="B960" t="s">
        <v>358</v>
      </c>
      <c r="C960" t="s">
        <v>71</v>
      </c>
      <c r="D960" s="1">
        <v>43400</v>
      </c>
      <c r="E960" s="1">
        <v>43764</v>
      </c>
      <c r="F960" t="s">
        <v>41</v>
      </c>
      <c r="G960">
        <v>3</v>
      </c>
      <c r="H960" t="s">
        <v>125</v>
      </c>
      <c r="I960" t="s">
        <v>43</v>
      </c>
      <c r="J960" t="s">
        <v>126</v>
      </c>
      <c r="K960" t="s">
        <v>44</v>
      </c>
      <c r="L960">
        <v>21450</v>
      </c>
      <c r="M960" s="1">
        <v>43400</v>
      </c>
      <c r="N960" t="s">
        <v>45</v>
      </c>
      <c r="O960" t="s">
        <v>106</v>
      </c>
      <c r="P960" t="s">
        <v>47</v>
      </c>
      <c r="Q960" s="1">
        <v>43852</v>
      </c>
      <c r="R960" t="s">
        <v>48</v>
      </c>
      <c r="S960" t="s">
        <v>138</v>
      </c>
      <c r="T960" t="s">
        <v>139</v>
      </c>
      <c r="U960" t="s">
        <v>125</v>
      </c>
      <c r="V960">
        <v>0</v>
      </c>
      <c r="W960">
        <v>10000</v>
      </c>
      <c r="X960" s="1">
        <v>43738</v>
      </c>
      <c r="Y960" t="s">
        <v>140</v>
      </c>
      <c r="Z960" t="s">
        <v>43</v>
      </c>
      <c r="AA960" t="s">
        <v>41</v>
      </c>
      <c r="AB960" t="s">
        <v>132</v>
      </c>
      <c r="AC960" t="s">
        <v>132</v>
      </c>
      <c r="AF960" t="s">
        <v>134</v>
      </c>
      <c r="AG960" s="1">
        <v>43843</v>
      </c>
      <c r="AH960" t="s">
        <v>125</v>
      </c>
      <c r="AI960" t="s">
        <v>92</v>
      </c>
      <c r="AJ960">
        <v>1278023</v>
      </c>
      <c r="AK960">
        <v>12365300</v>
      </c>
      <c r="AL960">
        <v>12900</v>
      </c>
    </row>
    <row r="961" spans="1:38" x14ac:dyDescent="0.25">
      <c r="A961" t="s">
        <v>228</v>
      </c>
      <c r="B961" t="s">
        <v>358</v>
      </c>
      <c r="C961" t="s">
        <v>71</v>
      </c>
      <c r="D961" s="1">
        <v>43400</v>
      </c>
      <c r="E961" s="1">
        <v>43764</v>
      </c>
      <c r="F961" t="s">
        <v>41</v>
      </c>
      <c r="G961">
        <v>3</v>
      </c>
      <c r="H961" t="s">
        <v>125</v>
      </c>
      <c r="I961" t="s">
        <v>43</v>
      </c>
      <c r="J961" t="s">
        <v>126</v>
      </c>
      <c r="K961" t="s">
        <v>44</v>
      </c>
      <c r="L961">
        <v>21450</v>
      </c>
      <c r="M961" s="1">
        <v>43400</v>
      </c>
      <c r="N961" t="s">
        <v>45</v>
      </c>
      <c r="O961" t="s">
        <v>106</v>
      </c>
      <c r="P961" t="s">
        <v>47</v>
      </c>
      <c r="Q961" s="1">
        <v>43852</v>
      </c>
      <c r="R961" t="s">
        <v>48</v>
      </c>
      <c r="S961" t="s">
        <v>138</v>
      </c>
      <c r="T961" t="s">
        <v>139</v>
      </c>
      <c r="U961" t="s">
        <v>125</v>
      </c>
      <c r="V961">
        <v>0</v>
      </c>
      <c r="W961">
        <v>10000</v>
      </c>
      <c r="X961" s="1">
        <v>43738</v>
      </c>
      <c r="Y961" t="s">
        <v>140</v>
      </c>
      <c r="Z961" t="s">
        <v>43</v>
      </c>
      <c r="AA961" t="s">
        <v>41</v>
      </c>
      <c r="AB961" t="s">
        <v>132</v>
      </c>
      <c r="AC961" t="s">
        <v>132</v>
      </c>
      <c r="AF961" t="s">
        <v>135</v>
      </c>
      <c r="AG961" s="1">
        <v>43843</v>
      </c>
      <c r="AH961" t="s">
        <v>125</v>
      </c>
      <c r="AI961" t="s">
        <v>92</v>
      </c>
      <c r="AJ961">
        <v>1278023</v>
      </c>
      <c r="AK961">
        <v>12365300</v>
      </c>
      <c r="AL961">
        <v>12900</v>
      </c>
    </row>
    <row r="962" spans="1:38" x14ac:dyDescent="0.25">
      <c r="A962" t="s">
        <v>228</v>
      </c>
      <c r="B962" t="s">
        <v>358</v>
      </c>
      <c r="C962" t="s">
        <v>71</v>
      </c>
      <c r="D962" s="1">
        <v>43400</v>
      </c>
      <c r="E962" s="1">
        <v>43764</v>
      </c>
      <c r="F962" t="s">
        <v>41</v>
      </c>
      <c r="G962">
        <v>3</v>
      </c>
      <c r="H962" t="s">
        <v>125</v>
      </c>
      <c r="I962" t="s">
        <v>43</v>
      </c>
      <c r="J962" t="s">
        <v>126</v>
      </c>
      <c r="K962" t="s">
        <v>44</v>
      </c>
      <c r="L962">
        <v>21450</v>
      </c>
      <c r="M962" s="1">
        <v>43400</v>
      </c>
      <c r="N962" t="s">
        <v>45</v>
      </c>
      <c r="O962" t="s">
        <v>106</v>
      </c>
      <c r="P962" t="s">
        <v>47</v>
      </c>
      <c r="Q962" s="1">
        <v>43852</v>
      </c>
      <c r="R962" t="s">
        <v>48</v>
      </c>
      <c r="S962" t="s">
        <v>138</v>
      </c>
      <c r="T962" t="s">
        <v>139</v>
      </c>
      <c r="U962" t="s">
        <v>125</v>
      </c>
      <c r="V962">
        <v>0</v>
      </c>
      <c r="W962">
        <v>10000</v>
      </c>
      <c r="X962" s="1">
        <v>43738</v>
      </c>
      <c r="Y962" t="s">
        <v>140</v>
      </c>
      <c r="Z962" t="s">
        <v>43</v>
      </c>
      <c r="AA962" t="s">
        <v>41</v>
      </c>
      <c r="AB962" t="s">
        <v>132</v>
      </c>
      <c r="AC962" t="s">
        <v>132</v>
      </c>
      <c r="AF962" t="s">
        <v>136</v>
      </c>
      <c r="AG962" s="1">
        <v>43839</v>
      </c>
      <c r="AH962" t="s">
        <v>125</v>
      </c>
      <c r="AI962" t="s">
        <v>92</v>
      </c>
      <c r="AJ962">
        <v>1278023</v>
      </c>
      <c r="AK962">
        <v>12365300</v>
      </c>
      <c r="AL962">
        <v>12900</v>
      </c>
    </row>
    <row r="963" spans="1:38" x14ac:dyDescent="0.25">
      <c r="A963" t="s">
        <v>228</v>
      </c>
      <c r="B963" t="s">
        <v>358</v>
      </c>
      <c r="C963" t="s">
        <v>71</v>
      </c>
      <c r="D963" s="1">
        <v>43400</v>
      </c>
      <c r="E963" s="1">
        <v>43764</v>
      </c>
      <c r="F963" t="s">
        <v>41</v>
      </c>
      <c r="G963">
        <v>3</v>
      </c>
      <c r="H963" t="s">
        <v>125</v>
      </c>
      <c r="I963" t="s">
        <v>43</v>
      </c>
      <c r="J963" t="s">
        <v>126</v>
      </c>
      <c r="K963" t="s">
        <v>44</v>
      </c>
      <c r="L963">
        <v>21450</v>
      </c>
      <c r="M963" s="1">
        <v>43400</v>
      </c>
      <c r="N963" t="s">
        <v>45</v>
      </c>
      <c r="O963" t="s">
        <v>106</v>
      </c>
      <c r="P963" t="s">
        <v>47</v>
      </c>
      <c r="Q963" s="1">
        <v>43852</v>
      </c>
      <c r="R963" t="s">
        <v>48</v>
      </c>
      <c r="S963" t="s">
        <v>138</v>
      </c>
      <c r="T963" t="s">
        <v>139</v>
      </c>
      <c r="U963" t="s">
        <v>125</v>
      </c>
      <c r="V963">
        <v>0</v>
      </c>
      <c r="W963">
        <v>10000</v>
      </c>
      <c r="X963" s="1">
        <v>43738</v>
      </c>
      <c r="Y963" t="s">
        <v>140</v>
      </c>
      <c r="Z963" t="s">
        <v>43</v>
      </c>
      <c r="AA963" t="s">
        <v>41</v>
      </c>
      <c r="AB963" t="s">
        <v>132</v>
      </c>
      <c r="AC963" t="s">
        <v>132</v>
      </c>
      <c r="AF963" t="s">
        <v>137</v>
      </c>
      <c r="AG963" s="1">
        <v>43840</v>
      </c>
      <c r="AH963" t="s">
        <v>125</v>
      </c>
      <c r="AI963" t="s">
        <v>92</v>
      </c>
      <c r="AJ963">
        <v>1278023</v>
      </c>
      <c r="AK963">
        <v>12365300</v>
      </c>
      <c r="AL963">
        <v>12900</v>
      </c>
    </row>
    <row r="964" spans="1:38" x14ac:dyDescent="0.25">
      <c r="A964" t="s">
        <v>229</v>
      </c>
      <c r="B964" t="s">
        <v>358</v>
      </c>
      <c r="C964" t="s">
        <v>71</v>
      </c>
      <c r="D964" s="1">
        <v>43400</v>
      </c>
      <c r="E964" s="1">
        <v>43764</v>
      </c>
      <c r="F964" t="s">
        <v>41</v>
      </c>
      <c r="G964">
        <v>3</v>
      </c>
      <c r="H964" t="s">
        <v>125</v>
      </c>
      <c r="I964" t="s">
        <v>43</v>
      </c>
      <c r="J964" t="s">
        <v>126</v>
      </c>
      <c r="K964" t="s">
        <v>44</v>
      </c>
      <c r="L964">
        <v>71765.36</v>
      </c>
      <c r="M964" s="1">
        <v>43764</v>
      </c>
      <c r="N964" t="s">
        <v>108</v>
      </c>
      <c r="O964" t="s">
        <v>106</v>
      </c>
      <c r="P964" t="s">
        <v>47</v>
      </c>
      <c r="Q964" s="1">
        <v>43852</v>
      </c>
      <c r="R964" t="s">
        <v>48</v>
      </c>
      <c r="S964" t="s">
        <v>41</v>
      </c>
      <c r="T964" t="s">
        <v>130</v>
      </c>
      <c r="U964" t="s">
        <v>125</v>
      </c>
      <c r="V964">
        <v>0</v>
      </c>
      <c r="W964">
        <v>100000</v>
      </c>
      <c r="X964" s="1">
        <v>43769</v>
      </c>
      <c r="Y964" t="s">
        <v>131</v>
      </c>
      <c r="Z964" t="s">
        <v>43</v>
      </c>
      <c r="AA964" t="s">
        <v>41</v>
      </c>
      <c r="AB964" t="s">
        <v>132</v>
      </c>
      <c r="AC964" t="s">
        <v>133</v>
      </c>
      <c r="AF964" t="s">
        <v>134</v>
      </c>
      <c r="AG964" s="1">
        <v>43843</v>
      </c>
      <c r="AH964" t="s">
        <v>125</v>
      </c>
      <c r="AI964" t="s">
        <v>92</v>
      </c>
      <c r="AJ964">
        <v>1278023</v>
      </c>
      <c r="AK964">
        <v>12365300</v>
      </c>
      <c r="AL964">
        <v>12900</v>
      </c>
    </row>
    <row r="965" spans="1:38" x14ac:dyDescent="0.25">
      <c r="A965" t="s">
        <v>229</v>
      </c>
      <c r="B965" t="s">
        <v>358</v>
      </c>
      <c r="C965" t="s">
        <v>71</v>
      </c>
      <c r="D965" s="1">
        <v>43400</v>
      </c>
      <c r="E965" s="1">
        <v>43764</v>
      </c>
      <c r="F965" t="s">
        <v>41</v>
      </c>
      <c r="G965">
        <v>3</v>
      </c>
      <c r="H965" t="s">
        <v>125</v>
      </c>
      <c r="I965" t="s">
        <v>43</v>
      </c>
      <c r="J965" t="s">
        <v>126</v>
      </c>
      <c r="K965" t="s">
        <v>44</v>
      </c>
      <c r="L965">
        <v>71765.36</v>
      </c>
      <c r="M965" s="1">
        <v>43764</v>
      </c>
      <c r="N965" t="s">
        <v>108</v>
      </c>
      <c r="O965" t="s">
        <v>106</v>
      </c>
      <c r="P965" t="s">
        <v>47</v>
      </c>
      <c r="Q965" s="1">
        <v>43852</v>
      </c>
      <c r="R965" t="s">
        <v>48</v>
      </c>
      <c r="S965" t="s">
        <v>41</v>
      </c>
      <c r="T965" t="s">
        <v>130</v>
      </c>
      <c r="U965" t="s">
        <v>125</v>
      </c>
      <c r="V965">
        <v>0</v>
      </c>
      <c r="W965">
        <v>100000</v>
      </c>
      <c r="X965" s="1">
        <v>43769</v>
      </c>
      <c r="Y965" t="s">
        <v>131</v>
      </c>
      <c r="Z965" t="s">
        <v>43</v>
      </c>
      <c r="AA965" t="s">
        <v>41</v>
      </c>
      <c r="AB965" t="s">
        <v>132</v>
      </c>
      <c r="AC965" t="s">
        <v>133</v>
      </c>
      <c r="AF965" t="s">
        <v>135</v>
      </c>
      <c r="AG965" s="1">
        <v>43843</v>
      </c>
      <c r="AH965" t="s">
        <v>125</v>
      </c>
      <c r="AI965" t="s">
        <v>92</v>
      </c>
      <c r="AJ965">
        <v>1278023</v>
      </c>
      <c r="AK965">
        <v>12365300</v>
      </c>
      <c r="AL965">
        <v>12900</v>
      </c>
    </row>
    <row r="966" spans="1:38" x14ac:dyDescent="0.25">
      <c r="A966" t="s">
        <v>229</v>
      </c>
      <c r="B966" t="s">
        <v>358</v>
      </c>
      <c r="C966" t="s">
        <v>71</v>
      </c>
      <c r="D966" s="1">
        <v>43400</v>
      </c>
      <c r="E966" s="1">
        <v>43764</v>
      </c>
      <c r="F966" t="s">
        <v>41</v>
      </c>
      <c r="G966">
        <v>3</v>
      </c>
      <c r="H966" t="s">
        <v>125</v>
      </c>
      <c r="I966" t="s">
        <v>43</v>
      </c>
      <c r="J966" t="s">
        <v>126</v>
      </c>
      <c r="K966" t="s">
        <v>44</v>
      </c>
      <c r="L966">
        <v>71765.36</v>
      </c>
      <c r="M966" s="1">
        <v>43764</v>
      </c>
      <c r="N966" t="s">
        <v>108</v>
      </c>
      <c r="O966" t="s">
        <v>106</v>
      </c>
      <c r="P966" t="s">
        <v>47</v>
      </c>
      <c r="Q966" s="1">
        <v>43852</v>
      </c>
      <c r="R966" t="s">
        <v>48</v>
      </c>
      <c r="S966" t="s">
        <v>41</v>
      </c>
      <c r="T966" t="s">
        <v>130</v>
      </c>
      <c r="U966" t="s">
        <v>125</v>
      </c>
      <c r="V966">
        <v>0</v>
      </c>
      <c r="W966">
        <v>100000</v>
      </c>
      <c r="X966" s="1">
        <v>43769</v>
      </c>
      <c r="Y966" t="s">
        <v>131</v>
      </c>
      <c r="Z966" t="s">
        <v>43</v>
      </c>
      <c r="AA966" t="s">
        <v>41</v>
      </c>
      <c r="AB966" t="s">
        <v>132</v>
      </c>
      <c r="AC966" t="s">
        <v>133</v>
      </c>
      <c r="AF966" t="s">
        <v>136</v>
      </c>
      <c r="AG966" s="1">
        <v>43839</v>
      </c>
      <c r="AH966" t="s">
        <v>125</v>
      </c>
      <c r="AI966" t="s">
        <v>92</v>
      </c>
      <c r="AJ966">
        <v>1278023</v>
      </c>
      <c r="AK966">
        <v>12365300</v>
      </c>
      <c r="AL966">
        <v>12900</v>
      </c>
    </row>
    <row r="967" spans="1:38" x14ac:dyDescent="0.25">
      <c r="A967" t="s">
        <v>229</v>
      </c>
      <c r="B967" t="s">
        <v>358</v>
      </c>
      <c r="C967" t="s">
        <v>71</v>
      </c>
      <c r="D967" s="1">
        <v>43400</v>
      </c>
      <c r="E967" s="1">
        <v>43764</v>
      </c>
      <c r="F967" t="s">
        <v>41</v>
      </c>
      <c r="G967">
        <v>3</v>
      </c>
      <c r="H967" t="s">
        <v>125</v>
      </c>
      <c r="I967" t="s">
        <v>43</v>
      </c>
      <c r="J967" t="s">
        <v>126</v>
      </c>
      <c r="K967" t="s">
        <v>44</v>
      </c>
      <c r="L967">
        <v>71765.36</v>
      </c>
      <c r="M967" s="1">
        <v>43764</v>
      </c>
      <c r="N967" t="s">
        <v>108</v>
      </c>
      <c r="O967" t="s">
        <v>106</v>
      </c>
      <c r="P967" t="s">
        <v>47</v>
      </c>
      <c r="Q967" s="1">
        <v>43852</v>
      </c>
      <c r="R967" t="s">
        <v>48</v>
      </c>
      <c r="S967" t="s">
        <v>41</v>
      </c>
      <c r="T967" t="s">
        <v>130</v>
      </c>
      <c r="U967" t="s">
        <v>125</v>
      </c>
      <c r="V967">
        <v>0</v>
      </c>
      <c r="W967">
        <v>100000</v>
      </c>
      <c r="X967" s="1">
        <v>43769</v>
      </c>
      <c r="Y967" t="s">
        <v>131</v>
      </c>
      <c r="Z967" t="s">
        <v>43</v>
      </c>
      <c r="AA967" t="s">
        <v>41</v>
      </c>
      <c r="AB967" t="s">
        <v>132</v>
      </c>
      <c r="AC967" t="s">
        <v>133</v>
      </c>
      <c r="AF967" t="s">
        <v>137</v>
      </c>
      <c r="AG967" s="1">
        <v>43840</v>
      </c>
      <c r="AH967" t="s">
        <v>125</v>
      </c>
      <c r="AI967" t="s">
        <v>92</v>
      </c>
      <c r="AJ967">
        <v>1278023</v>
      </c>
      <c r="AK967">
        <v>12365300</v>
      </c>
      <c r="AL967">
        <v>12900</v>
      </c>
    </row>
    <row r="968" spans="1:38" x14ac:dyDescent="0.25">
      <c r="A968" t="s">
        <v>229</v>
      </c>
      <c r="B968" t="s">
        <v>358</v>
      </c>
      <c r="C968" t="s">
        <v>71</v>
      </c>
      <c r="D968" s="1">
        <v>43400</v>
      </c>
      <c r="E968" s="1">
        <v>43764</v>
      </c>
      <c r="F968" t="s">
        <v>41</v>
      </c>
      <c r="G968">
        <v>3</v>
      </c>
      <c r="H968" t="s">
        <v>125</v>
      </c>
      <c r="I968" t="s">
        <v>43</v>
      </c>
      <c r="J968" t="s">
        <v>126</v>
      </c>
      <c r="K968" t="s">
        <v>44</v>
      </c>
      <c r="L968">
        <v>71765.36</v>
      </c>
      <c r="M968" s="1">
        <v>43764</v>
      </c>
      <c r="N968" t="s">
        <v>108</v>
      </c>
      <c r="O968" t="s">
        <v>106</v>
      </c>
      <c r="P968" t="s">
        <v>47</v>
      </c>
      <c r="Q968" s="1">
        <v>43852</v>
      </c>
      <c r="R968" t="s">
        <v>48</v>
      </c>
      <c r="S968" t="s">
        <v>138</v>
      </c>
      <c r="T968" t="s">
        <v>139</v>
      </c>
      <c r="U968" t="s">
        <v>125</v>
      </c>
      <c r="V968">
        <v>0</v>
      </c>
      <c r="W968">
        <v>10000</v>
      </c>
      <c r="X968" s="1">
        <v>43738</v>
      </c>
      <c r="Y968" t="s">
        <v>140</v>
      </c>
      <c r="Z968" t="s">
        <v>43</v>
      </c>
      <c r="AA968" t="s">
        <v>41</v>
      </c>
      <c r="AB968" t="s">
        <v>132</v>
      </c>
      <c r="AC968" t="s">
        <v>132</v>
      </c>
      <c r="AF968" t="s">
        <v>134</v>
      </c>
      <c r="AG968" s="1">
        <v>43843</v>
      </c>
      <c r="AH968" t="s">
        <v>125</v>
      </c>
      <c r="AI968" t="s">
        <v>92</v>
      </c>
      <c r="AJ968">
        <v>1278023</v>
      </c>
      <c r="AK968">
        <v>12365300</v>
      </c>
      <c r="AL968">
        <v>12900</v>
      </c>
    </row>
    <row r="969" spans="1:38" x14ac:dyDescent="0.25">
      <c r="A969" t="s">
        <v>229</v>
      </c>
      <c r="B969" t="s">
        <v>358</v>
      </c>
      <c r="C969" t="s">
        <v>71</v>
      </c>
      <c r="D969" s="1">
        <v>43400</v>
      </c>
      <c r="E969" s="1">
        <v>43764</v>
      </c>
      <c r="F969" t="s">
        <v>41</v>
      </c>
      <c r="G969">
        <v>3</v>
      </c>
      <c r="H969" t="s">
        <v>125</v>
      </c>
      <c r="I969" t="s">
        <v>43</v>
      </c>
      <c r="J969" t="s">
        <v>126</v>
      </c>
      <c r="K969" t="s">
        <v>44</v>
      </c>
      <c r="L969">
        <v>71765.36</v>
      </c>
      <c r="M969" s="1">
        <v>43764</v>
      </c>
      <c r="N969" t="s">
        <v>108</v>
      </c>
      <c r="O969" t="s">
        <v>106</v>
      </c>
      <c r="P969" t="s">
        <v>47</v>
      </c>
      <c r="Q969" s="1">
        <v>43852</v>
      </c>
      <c r="R969" t="s">
        <v>48</v>
      </c>
      <c r="S969" t="s">
        <v>138</v>
      </c>
      <c r="T969" t="s">
        <v>139</v>
      </c>
      <c r="U969" t="s">
        <v>125</v>
      </c>
      <c r="V969">
        <v>0</v>
      </c>
      <c r="W969">
        <v>10000</v>
      </c>
      <c r="X969" s="1">
        <v>43738</v>
      </c>
      <c r="Y969" t="s">
        <v>140</v>
      </c>
      <c r="Z969" t="s">
        <v>43</v>
      </c>
      <c r="AA969" t="s">
        <v>41</v>
      </c>
      <c r="AB969" t="s">
        <v>132</v>
      </c>
      <c r="AC969" t="s">
        <v>132</v>
      </c>
      <c r="AF969" t="s">
        <v>135</v>
      </c>
      <c r="AG969" s="1">
        <v>43843</v>
      </c>
      <c r="AH969" t="s">
        <v>125</v>
      </c>
      <c r="AI969" t="s">
        <v>92</v>
      </c>
      <c r="AJ969">
        <v>1278023</v>
      </c>
      <c r="AK969">
        <v>12365300</v>
      </c>
      <c r="AL969">
        <v>12900</v>
      </c>
    </row>
    <row r="970" spans="1:38" x14ac:dyDescent="0.25">
      <c r="A970" t="s">
        <v>229</v>
      </c>
      <c r="B970" t="s">
        <v>358</v>
      </c>
      <c r="C970" t="s">
        <v>71</v>
      </c>
      <c r="D970" s="1">
        <v>43400</v>
      </c>
      <c r="E970" s="1">
        <v>43764</v>
      </c>
      <c r="F970" t="s">
        <v>41</v>
      </c>
      <c r="G970">
        <v>3</v>
      </c>
      <c r="H970" t="s">
        <v>125</v>
      </c>
      <c r="I970" t="s">
        <v>43</v>
      </c>
      <c r="J970" t="s">
        <v>126</v>
      </c>
      <c r="K970" t="s">
        <v>44</v>
      </c>
      <c r="L970">
        <v>71765.36</v>
      </c>
      <c r="M970" s="1">
        <v>43764</v>
      </c>
      <c r="N970" t="s">
        <v>108</v>
      </c>
      <c r="O970" t="s">
        <v>106</v>
      </c>
      <c r="P970" t="s">
        <v>47</v>
      </c>
      <c r="Q970" s="1">
        <v>43852</v>
      </c>
      <c r="R970" t="s">
        <v>48</v>
      </c>
      <c r="S970" t="s">
        <v>138</v>
      </c>
      <c r="T970" t="s">
        <v>139</v>
      </c>
      <c r="U970" t="s">
        <v>125</v>
      </c>
      <c r="V970">
        <v>0</v>
      </c>
      <c r="W970">
        <v>10000</v>
      </c>
      <c r="X970" s="1">
        <v>43738</v>
      </c>
      <c r="Y970" t="s">
        <v>140</v>
      </c>
      <c r="Z970" t="s">
        <v>43</v>
      </c>
      <c r="AA970" t="s">
        <v>41</v>
      </c>
      <c r="AB970" t="s">
        <v>132</v>
      </c>
      <c r="AC970" t="s">
        <v>132</v>
      </c>
      <c r="AF970" t="s">
        <v>136</v>
      </c>
      <c r="AG970" s="1">
        <v>43839</v>
      </c>
      <c r="AH970" t="s">
        <v>125</v>
      </c>
      <c r="AI970" t="s">
        <v>92</v>
      </c>
      <c r="AJ970">
        <v>1278023</v>
      </c>
      <c r="AK970">
        <v>12365300</v>
      </c>
      <c r="AL970">
        <v>12900</v>
      </c>
    </row>
    <row r="971" spans="1:38" x14ac:dyDescent="0.25">
      <c r="A971" t="s">
        <v>229</v>
      </c>
      <c r="B971" t="s">
        <v>358</v>
      </c>
      <c r="C971" t="s">
        <v>71</v>
      </c>
      <c r="D971" s="1">
        <v>43400</v>
      </c>
      <c r="E971" s="1">
        <v>43764</v>
      </c>
      <c r="F971" t="s">
        <v>41</v>
      </c>
      <c r="G971">
        <v>3</v>
      </c>
      <c r="H971" t="s">
        <v>125</v>
      </c>
      <c r="I971" t="s">
        <v>43</v>
      </c>
      <c r="J971" t="s">
        <v>126</v>
      </c>
      <c r="K971" t="s">
        <v>44</v>
      </c>
      <c r="L971">
        <v>71765.36</v>
      </c>
      <c r="M971" s="1">
        <v>43764</v>
      </c>
      <c r="N971" t="s">
        <v>108</v>
      </c>
      <c r="O971" t="s">
        <v>106</v>
      </c>
      <c r="P971" t="s">
        <v>47</v>
      </c>
      <c r="Q971" s="1">
        <v>43852</v>
      </c>
      <c r="R971" t="s">
        <v>48</v>
      </c>
      <c r="S971" t="s">
        <v>138</v>
      </c>
      <c r="T971" t="s">
        <v>139</v>
      </c>
      <c r="U971" t="s">
        <v>125</v>
      </c>
      <c r="V971">
        <v>0</v>
      </c>
      <c r="W971">
        <v>10000</v>
      </c>
      <c r="X971" s="1">
        <v>43738</v>
      </c>
      <c r="Y971" t="s">
        <v>140</v>
      </c>
      <c r="Z971" t="s">
        <v>43</v>
      </c>
      <c r="AA971" t="s">
        <v>41</v>
      </c>
      <c r="AB971" t="s">
        <v>132</v>
      </c>
      <c r="AC971" t="s">
        <v>132</v>
      </c>
      <c r="AF971" t="s">
        <v>137</v>
      </c>
      <c r="AG971" s="1">
        <v>43840</v>
      </c>
      <c r="AH971" t="s">
        <v>125</v>
      </c>
      <c r="AI971" t="s">
        <v>92</v>
      </c>
      <c r="AJ971">
        <v>1278023</v>
      </c>
      <c r="AK971">
        <v>12365300</v>
      </c>
      <c r="AL971">
        <v>12900</v>
      </c>
    </row>
    <row r="972" spans="1:38" x14ac:dyDescent="0.25">
      <c r="A972" t="s">
        <v>231</v>
      </c>
      <c r="B972" t="s">
        <v>358</v>
      </c>
      <c r="C972" t="s">
        <v>71</v>
      </c>
      <c r="D972" s="1">
        <v>43400</v>
      </c>
      <c r="E972" s="1">
        <v>43764</v>
      </c>
      <c r="F972" t="s">
        <v>41</v>
      </c>
      <c r="G972">
        <v>3</v>
      </c>
      <c r="H972" t="s">
        <v>125</v>
      </c>
      <c r="I972" t="s">
        <v>43</v>
      </c>
      <c r="J972" t="s">
        <v>126</v>
      </c>
      <c r="K972" t="s">
        <v>44</v>
      </c>
      <c r="L972">
        <v>17941.34</v>
      </c>
      <c r="M972" s="1">
        <v>43764</v>
      </c>
      <c r="N972" t="s">
        <v>108</v>
      </c>
      <c r="O972" t="s">
        <v>106</v>
      </c>
      <c r="P972" t="s">
        <v>47</v>
      </c>
      <c r="Q972" s="1">
        <v>43852</v>
      </c>
      <c r="R972" t="s">
        <v>48</v>
      </c>
      <c r="S972" t="s">
        <v>41</v>
      </c>
      <c r="T972" t="s">
        <v>130</v>
      </c>
      <c r="U972" t="s">
        <v>125</v>
      </c>
      <c r="V972">
        <v>0</v>
      </c>
      <c r="W972">
        <v>100000</v>
      </c>
      <c r="X972" s="1">
        <v>43769</v>
      </c>
      <c r="Y972" t="s">
        <v>131</v>
      </c>
      <c r="Z972" t="s">
        <v>43</v>
      </c>
      <c r="AA972" t="s">
        <v>41</v>
      </c>
      <c r="AB972" t="s">
        <v>132</v>
      </c>
      <c r="AC972" t="s">
        <v>133</v>
      </c>
      <c r="AF972" t="s">
        <v>134</v>
      </c>
      <c r="AG972" s="1">
        <v>43843</v>
      </c>
      <c r="AH972" t="s">
        <v>125</v>
      </c>
      <c r="AI972" t="s">
        <v>92</v>
      </c>
      <c r="AJ972">
        <v>1278023</v>
      </c>
      <c r="AK972">
        <v>12365300</v>
      </c>
      <c r="AL972">
        <v>12900</v>
      </c>
    </row>
    <row r="973" spans="1:38" x14ac:dyDescent="0.25">
      <c r="A973" t="s">
        <v>231</v>
      </c>
      <c r="B973" t="s">
        <v>358</v>
      </c>
      <c r="C973" t="s">
        <v>71</v>
      </c>
      <c r="D973" s="1">
        <v>43400</v>
      </c>
      <c r="E973" s="1">
        <v>43764</v>
      </c>
      <c r="F973" t="s">
        <v>41</v>
      </c>
      <c r="G973">
        <v>3</v>
      </c>
      <c r="H973" t="s">
        <v>125</v>
      </c>
      <c r="I973" t="s">
        <v>43</v>
      </c>
      <c r="J973" t="s">
        <v>126</v>
      </c>
      <c r="K973" t="s">
        <v>44</v>
      </c>
      <c r="L973">
        <v>17941.34</v>
      </c>
      <c r="M973" s="1">
        <v>43764</v>
      </c>
      <c r="N973" t="s">
        <v>108</v>
      </c>
      <c r="O973" t="s">
        <v>106</v>
      </c>
      <c r="P973" t="s">
        <v>47</v>
      </c>
      <c r="Q973" s="1">
        <v>43852</v>
      </c>
      <c r="R973" t="s">
        <v>48</v>
      </c>
      <c r="S973" t="s">
        <v>41</v>
      </c>
      <c r="T973" t="s">
        <v>130</v>
      </c>
      <c r="U973" t="s">
        <v>125</v>
      </c>
      <c r="V973">
        <v>0</v>
      </c>
      <c r="W973">
        <v>100000</v>
      </c>
      <c r="X973" s="1">
        <v>43769</v>
      </c>
      <c r="Y973" t="s">
        <v>131</v>
      </c>
      <c r="Z973" t="s">
        <v>43</v>
      </c>
      <c r="AA973" t="s">
        <v>41</v>
      </c>
      <c r="AB973" t="s">
        <v>132</v>
      </c>
      <c r="AC973" t="s">
        <v>133</v>
      </c>
      <c r="AF973" t="s">
        <v>135</v>
      </c>
      <c r="AG973" s="1">
        <v>43843</v>
      </c>
      <c r="AH973" t="s">
        <v>125</v>
      </c>
      <c r="AI973" t="s">
        <v>92</v>
      </c>
      <c r="AJ973">
        <v>1278023</v>
      </c>
      <c r="AK973">
        <v>12365300</v>
      </c>
      <c r="AL973">
        <v>12900</v>
      </c>
    </row>
    <row r="974" spans="1:38" x14ac:dyDescent="0.25">
      <c r="A974" t="s">
        <v>231</v>
      </c>
      <c r="B974" t="s">
        <v>358</v>
      </c>
      <c r="C974" t="s">
        <v>71</v>
      </c>
      <c r="D974" s="1">
        <v>43400</v>
      </c>
      <c r="E974" s="1">
        <v>43764</v>
      </c>
      <c r="F974" t="s">
        <v>41</v>
      </c>
      <c r="G974">
        <v>3</v>
      </c>
      <c r="H974" t="s">
        <v>125</v>
      </c>
      <c r="I974" t="s">
        <v>43</v>
      </c>
      <c r="J974" t="s">
        <v>126</v>
      </c>
      <c r="K974" t="s">
        <v>44</v>
      </c>
      <c r="L974">
        <v>17941.34</v>
      </c>
      <c r="M974" s="1">
        <v>43764</v>
      </c>
      <c r="N974" t="s">
        <v>108</v>
      </c>
      <c r="O974" t="s">
        <v>106</v>
      </c>
      <c r="P974" t="s">
        <v>47</v>
      </c>
      <c r="Q974" s="1">
        <v>43852</v>
      </c>
      <c r="R974" t="s">
        <v>48</v>
      </c>
      <c r="S974" t="s">
        <v>41</v>
      </c>
      <c r="T974" t="s">
        <v>130</v>
      </c>
      <c r="U974" t="s">
        <v>125</v>
      </c>
      <c r="V974">
        <v>0</v>
      </c>
      <c r="W974">
        <v>100000</v>
      </c>
      <c r="X974" s="1">
        <v>43769</v>
      </c>
      <c r="Y974" t="s">
        <v>131</v>
      </c>
      <c r="Z974" t="s">
        <v>43</v>
      </c>
      <c r="AA974" t="s">
        <v>41</v>
      </c>
      <c r="AB974" t="s">
        <v>132</v>
      </c>
      <c r="AC974" t="s">
        <v>133</v>
      </c>
      <c r="AF974" t="s">
        <v>136</v>
      </c>
      <c r="AG974" s="1">
        <v>43839</v>
      </c>
      <c r="AH974" t="s">
        <v>125</v>
      </c>
      <c r="AI974" t="s">
        <v>92</v>
      </c>
      <c r="AJ974">
        <v>1278023</v>
      </c>
      <c r="AK974">
        <v>12365300</v>
      </c>
      <c r="AL974">
        <v>12900</v>
      </c>
    </row>
    <row r="975" spans="1:38" x14ac:dyDescent="0.25">
      <c r="A975" t="s">
        <v>231</v>
      </c>
      <c r="B975" t="s">
        <v>358</v>
      </c>
      <c r="C975" t="s">
        <v>71</v>
      </c>
      <c r="D975" s="1">
        <v>43400</v>
      </c>
      <c r="E975" s="1">
        <v>43764</v>
      </c>
      <c r="F975" t="s">
        <v>41</v>
      </c>
      <c r="G975">
        <v>3</v>
      </c>
      <c r="H975" t="s">
        <v>125</v>
      </c>
      <c r="I975" t="s">
        <v>43</v>
      </c>
      <c r="J975" t="s">
        <v>126</v>
      </c>
      <c r="K975" t="s">
        <v>44</v>
      </c>
      <c r="L975">
        <v>17941.34</v>
      </c>
      <c r="M975" s="1">
        <v>43764</v>
      </c>
      <c r="N975" t="s">
        <v>108</v>
      </c>
      <c r="O975" t="s">
        <v>106</v>
      </c>
      <c r="P975" t="s">
        <v>47</v>
      </c>
      <c r="Q975" s="1">
        <v>43852</v>
      </c>
      <c r="R975" t="s">
        <v>48</v>
      </c>
      <c r="S975" t="s">
        <v>41</v>
      </c>
      <c r="T975" t="s">
        <v>130</v>
      </c>
      <c r="U975" t="s">
        <v>125</v>
      </c>
      <c r="V975">
        <v>0</v>
      </c>
      <c r="W975">
        <v>100000</v>
      </c>
      <c r="X975" s="1">
        <v>43769</v>
      </c>
      <c r="Y975" t="s">
        <v>131</v>
      </c>
      <c r="Z975" t="s">
        <v>43</v>
      </c>
      <c r="AA975" t="s">
        <v>41</v>
      </c>
      <c r="AB975" t="s">
        <v>132</v>
      </c>
      <c r="AC975" t="s">
        <v>133</v>
      </c>
      <c r="AF975" t="s">
        <v>137</v>
      </c>
      <c r="AG975" s="1">
        <v>43840</v>
      </c>
      <c r="AH975" t="s">
        <v>125</v>
      </c>
      <c r="AI975" t="s">
        <v>92</v>
      </c>
      <c r="AJ975">
        <v>1278023</v>
      </c>
      <c r="AK975">
        <v>12365300</v>
      </c>
      <c r="AL975">
        <v>12900</v>
      </c>
    </row>
    <row r="976" spans="1:38" x14ac:dyDescent="0.25">
      <c r="A976" t="s">
        <v>231</v>
      </c>
      <c r="B976" t="s">
        <v>358</v>
      </c>
      <c r="C976" t="s">
        <v>71</v>
      </c>
      <c r="D976" s="1">
        <v>43400</v>
      </c>
      <c r="E976" s="1">
        <v>43764</v>
      </c>
      <c r="F976" t="s">
        <v>41</v>
      </c>
      <c r="G976">
        <v>3</v>
      </c>
      <c r="H976" t="s">
        <v>125</v>
      </c>
      <c r="I976" t="s">
        <v>43</v>
      </c>
      <c r="J976" t="s">
        <v>126</v>
      </c>
      <c r="K976" t="s">
        <v>44</v>
      </c>
      <c r="L976">
        <v>17941.34</v>
      </c>
      <c r="M976" s="1">
        <v>43764</v>
      </c>
      <c r="N976" t="s">
        <v>108</v>
      </c>
      <c r="O976" t="s">
        <v>106</v>
      </c>
      <c r="P976" t="s">
        <v>47</v>
      </c>
      <c r="Q976" s="1">
        <v>43852</v>
      </c>
      <c r="R976" t="s">
        <v>48</v>
      </c>
      <c r="S976" t="s">
        <v>138</v>
      </c>
      <c r="T976" t="s">
        <v>139</v>
      </c>
      <c r="U976" t="s">
        <v>125</v>
      </c>
      <c r="V976">
        <v>0</v>
      </c>
      <c r="W976">
        <v>10000</v>
      </c>
      <c r="X976" s="1">
        <v>43738</v>
      </c>
      <c r="Y976" t="s">
        <v>140</v>
      </c>
      <c r="Z976" t="s">
        <v>43</v>
      </c>
      <c r="AA976" t="s">
        <v>41</v>
      </c>
      <c r="AB976" t="s">
        <v>132</v>
      </c>
      <c r="AC976" t="s">
        <v>132</v>
      </c>
      <c r="AF976" t="s">
        <v>134</v>
      </c>
      <c r="AG976" s="1">
        <v>43843</v>
      </c>
      <c r="AH976" t="s">
        <v>125</v>
      </c>
      <c r="AI976" t="s">
        <v>92</v>
      </c>
      <c r="AJ976">
        <v>1278023</v>
      </c>
      <c r="AK976">
        <v>12365300</v>
      </c>
      <c r="AL976">
        <v>12900</v>
      </c>
    </row>
    <row r="977" spans="1:38" x14ac:dyDescent="0.25">
      <c r="A977" t="s">
        <v>231</v>
      </c>
      <c r="B977" t="s">
        <v>358</v>
      </c>
      <c r="C977" t="s">
        <v>71</v>
      </c>
      <c r="D977" s="1">
        <v>43400</v>
      </c>
      <c r="E977" s="1">
        <v>43764</v>
      </c>
      <c r="F977" t="s">
        <v>41</v>
      </c>
      <c r="G977">
        <v>3</v>
      </c>
      <c r="H977" t="s">
        <v>125</v>
      </c>
      <c r="I977" t="s">
        <v>43</v>
      </c>
      <c r="J977" t="s">
        <v>126</v>
      </c>
      <c r="K977" t="s">
        <v>44</v>
      </c>
      <c r="L977">
        <v>17941.34</v>
      </c>
      <c r="M977" s="1">
        <v>43764</v>
      </c>
      <c r="N977" t="s">
        <v>108</v>
      </c>
      <c r="O977" t="s">
        <v>106</v>
      </c>
      <c r="P977" t="s">
        <v>47</v>
      </c>
      <c r="Q977" s="1">
        <v>43852</v>
      </c>
      <c r="R977" t="s">
        <v>48</v>
      </c>
      <c r="S977" t="s">
        <v>138</v>
      </c>
      <c r="T977" t="s">
        <v>139</v>
      </c>
      <c r="U977" t="s">
        <v>125</v>
      </c>
      <c r="V977">
        <v>0</v>
      </c>
      <c r="W977">
        <v>10000</v>
      </c>
      <c r="X977" s="1">
        <v>43738</v>
      </c>
      <c r="Y977" t="s">
        <v>140</v>
      </c>
      <c r="Z977" t="s">
        <v>43</v>
      </c>
      <c r="AA977" t="s">
        <v>41</v>
      </c>
      <c r="AB977" t="s">
        <v>132</v>
      </c>
      <c r="AC977" t="s">
        <v>132</v>
      </c>
      <c r="AF977" t="s">
        <v>135</v>
      </c>
      <c r="AG977" s="1">
        <v>43843</v>
      </c>
      <c r="AH977" t="s">
        <v>125</v>
      </c>
      <c r="AI977" t="s">
        <v>92</v>
      </c>
      <c r="AJ977">
        <v>1278023</v>
      </c>
      <c r="AK977">
        <v>12365300</v>
      </c>
      <c r="AL977">
        <v>12900</v>
      </c>
    </row>
    <row r="978" spans="1:38" x14ac:dyDescent="0.25">
      <c r="A978" t="s">
        <v>231</v>
      </c>
      <c r="B978" t="s">
        <v>358</v>
      </c>
      <c r="C978" t="s">
        <v>71</v>
      </c>
      <c r="D978" s="1">
        <v>43400</v>
      </c>
      <c r="E978" s="1">
        <v>43764</v>
      </c>
      <c r="F978" t="s">
        <v>41</v>
      </c>
      <c r="G978">
        <v>3</v>
      </c>
      <c r="H978" t="s">
        <v>125</v>
      </c>
      <c r="I978" t="s">
        <v>43</v>
      </c>
      <c r="J978" t="s">
        <v>126</v>
      </c>
      <c r="K978" t="s">
        <v>44</v>
      </c>
      <c r="L978">
        <v>17941.34</v>
      </c>
      <c r="M978" s="1">
        <v>43764</v>
      </c>
      <c r="N978" t="s">
        <v>108</v>
      </c>
      <c r="O978" t="s">
        <v>106</v>
      </c>
      <c r="P978" t="s">
        <v>47</v>
      </c>
      <c r="Q978" s="1">
        <v>43852</v>
      </c>
      <c r="R978" t="s">
        <v>48</v>
      </c>
      <c r="S978" t="s">
        <v>138</v>
      </c>
      <c r="T978" t="s">
        <v>139</v>
      </c>
      <c r="U978" t="s">
        <v>125</v>
      </c>
      <c r="V978">
        <v>0</v>
      </c>
      <c r="W978">
        <v>10000</v>
      </c>
      <c r="X978" s="1">
        <v>43738</v>
      </c>
      <c r="Y978" t="s">
        <v>140</v>
      </c>
      <c r="Z978" t="s">
        <v>43</v>
      </c>
      <c r="AA978" t="s">
        <v>41</v>
      </c>
      <c r="AB978" t="s">
        <v>132</v>
      </c>
      <c r="AC978" t="s">
        <v>132</v>
      </c>
      <c r="AF978" t="s">
        <v>136</v>
      </c>
      <c r="AG978" s="1">
        <v>43839</v>
      </c>
      <c r="AH978" t="s">
        <v>125</v>
      </c>
      <c r="AI978" t="s">
        <v>92</v>
      </c>
      <c r="AJ978">
        <v>1278023</v>
      </c>
      <c r="AK978">
        <v>12365300</v>
      </c>
      <c r="AL978">
        <v>12900</v>
      </c>
    </row>
    <row r="979" spans="1:38" x14ac:dyDescent="0.25">
      <c r="A979" t="s">
        <v>231</v>
      </c>
      <c r="B979" t="s">
        <v>358</v>
      </c>
      <c r="C979" t="s">
        <v>71</v>
      </c>
      <c r="D979" s="1">
        <v>43400</v>
      </c>
      <c r="E979" s="1">
        <v>43764</v>
      </c>
      <c r="F979" t="s">
        <v>41</v>
      </c>
      <c r="G979">
        <v>3</v>
      </c>
      <c r="H979" t="s">
        <v>125</v>
      </c>
      <c r="I979" t="s">
        <v>43</v>
      </c>
      <c r="J979" t="s">
        <v>126</v>
      </c>
      <c r="K979" t="s">
        <v>44</v>
      </c>
      <c r="L979">
        <v>17941.34</v>
      </c>
      <c r="M979" s="1">
        <v>43764</v>
      </c>
      <c r="N979" t="s">
        <v>108</v>
      </c>
      <c r="O979" t="s">
        <v>106</v>
      </c>
      <c r="P979" t="s">
        <v>47</v>
      </c>
      <c r="Q979" s="1">
        <v>43852</v>
      </c>
      <c r="R979" t="s">
        <v>48</v>
      </c>
      <c r="S979" t="s">
        <v>138</v>
      </c>
      <c r="T979" t="s">
        <v>139</v>
      </c>
      <c r="U979" t="s">
        <v>125</v>
      </c>
      <c r="V979">
        <v>0</v>
      </c>
      <c r="W979">
        <v>10000</v>
      </c>
      <c r="X979" s="1">
        <v>43738</v>
      </c>
      <c r="Y979" t="s">
        <v>140</v>
      </c>
      <c r="Z979" t="s">
        <v>43</v>
      </c>
      <c r="AA979" t="s">
        <v>41</v>
      </c>
      <c r="AB979" t="s">
        <v>132</v>
      </c>
      <c r="AC979" t="s">
        <v>132</v>
      </c>
      <c r="AF979" t="s">
        <v>137</v>
      </c>
      <c r="AG979" s="1">
        <v>43840</v>
      </c>
      <c r="AH979" t="s">
        <v>125</v>
      </c>
      <c r="AI979" t="s">
        <v>92</v>
      </c>
      <c r="AJ979">
        <v>1278023</v>
      </c>
      <c r="AK979">
        <v>12365300</v>
      </c>
      <c r="AL979">
        <v>12900</v>
      </c>
    </row>
    <row r="980" spans="1:38" x14ac:dyDescent="0.25">
      <c r="A980" t="s">
        <v>236</v>
      </c>
      <c r="B980" t="s">
        <v>359</v>
      </c>
      <c r="C980" t="s">
        <v>40</v>
      </c>
      <c r="D980" s="1">
        <v>43518</v>
      </c>
      <c r="E980" s="1">
        <v>43882</v>
      </c>
      <c r="F980" t="s">
        <v>84</v>
      </c>
      <c r="G980">
        <v>6</v>
      </c>
      <c r="H980" t="s">
        <v>187</v>
      </c>
      <c r="I980" t="s">
        <v>43</v>
      </c>
      <c r="J980" t="s">
        <v>86</v>
      </c>
      <c r="K980" t="s">
        <v>68</v>
      </c>
      <c r="L980">
        <v>44999.85</v>
      </c>
      <c r="M980" s="1">
        <v>43882</v>
      </c>
      <c r="N980" t="s">
        <v>45</v>
      </c>
      <c r="O980" t="s">
        <v>46</v>
      </c>
      <c r="P980" t="s">
        <v>47</v>
      </c>
      <c r="Q980" s="1">
        <v>43852</v>
      </c>
      <c r="R980" t="s">
        <v>48</v>
      </c>
    </row>
    <row r="981" spans="1:38" x14ac:dyDescent="0.25">
      <c r="A981" t="s">
        <v>238</v>
      </c>
      <c r="B981">
        <v>2309004639</v>
      </c>
      <c r="C981" t="s">
        <v>40</v>
      </c>
      <c r="D981" s="1">
        <v>43738</v>
      </c>
      <c r="E981" s="1">
        <v>45929</v>
      </c>
      <c r="F981" t="s">
        <v>77</v>
      </c>
      <c r="G981">
        <v>13</v>
      </c>
      <c r="H981" t="s">
        <v>316</v>
      </c>
      <c r="I981" t="s">
        <v>43</v>
      </c>
      <c r="J981" t="s">
        <v>77</v>
      </c>
      <c r="K981" t="s">
        <v>127</v>
      </c>
      <c r="L981">
        <v>47500</v>
      </c>
      <c r="M981" s="1">
        <v>43738</v>
      </c>
      <c r="N981" t="s">
        <v>45</v>
      </c>
      <c r="O981" t="s">
        <v>46</v>
      </c>
      <c r="P981" t="s">
        <v>47</v>
      </c>
      <c r="Q981" s="1">
        <v>43852</v>
      </c>
      <c r="R981" t="s">
        <v>48</v>
      </c>
    </row>
    <row r="982" spans="1:38" x14ac:dyDescent="0.25">
      <c r="A982" t="s">
        <v>240</v>
      </c>
      <c r="B982">
        <v>43170512</v>
      </c>
      <c r="C982" t="s">
        <v>71</v>
      </c>
      <c r="D982" s="1">
        <v>43502</v>
      </c>
      <c r="E982" s="1">
        <v>43683</v>
      </c>
      <c r="F982" t="s">
        <v>76</v>
      </c>
      <c r="G982">
        <v>13</v>
      </c>
      <c r="H982" t="s">
        <v>316</v>
      </c>
      <c r="I982" t="s">
        <v>43</v>
      </c>
      <c r="J982" t="s">
        <v>77</v>
      </c>
      <c r="K982" t="s">
        <v>127</v>
      </c>
      <c r="L982">
        <v>6183.87</v>
      </c>
      <c r="M982" s="1">
        <v>43502</v>
      </c>
      <c r="N982" t="s">
        <v>45</v>
      </c>
      <c r="O982" t="s">
        <v>46</v>
      </c>
      <c r="P982" t="s">
        <v>47</v>
      </c>
      <c r="Q982" s="1">
        <v>43852</v>
      </c>
      <c r="R982" t="s">
        <v>48</v>
      </c>
    </row>
    <row r="983" spans="1:38" x14ac:dyDescent="0.25">
      <c r="A983" t="s">
        <v>242</v>
      </c>
      <c r="B983">
        <v>43193940</v>
      </c>
      <c r="C983" t="s">
        <v>40</v>
      </c>
      <c r="D983" s="1">
        <v>43684</v>
      </c>
      <c r="E983" s="1">
        <v>43867</v>
      </c>
      <c r="F983" t="s">
        <v>76</v>
      </c>
      <c r="G983">
        <v>13</v>
      </c>
      <c r="H983" t="s">
        <v>316</v>
      </c>
      <c r="I983" t="s">
        <v>43</v>
      </c>
      <c r="J983" t="s">
        <v>77</v>
      </c>
      <c r="K983" t="s">
        <v>127</v>
      </c>
      <c r="L983">
        <v>6183.87</v>
      </c>
      <c r="M983" s="1">
        <v>43684</v>
      </c>
      <c r="N983" t="s">
        <v>45</v>
      </c>
      <c r="O983" t="s">
        <v>44</v>
      </c>
      <c r="P983" t="s">
        <v>47</v>
      </c>
      <c r="Q983" s="1">
        <v>43852</v>
      </c>
      <c r="R983" t="s">
        <v>48</v>
      </c>
    </row>
    <row r="984" spans="1:38" x14ac:dyDescent="0.25">
      <c r="A984" t="s">
        <v>244</v>
      </c>
      <c r="B984" t="s">
        <v>360</v>
      </c>
      <c r="C984" t="s">
        <v>40</v>
      </c>
      <c r="D984" s="1">
        <v>43777</v>
      </c>
      <c r="E984" s="1">
        <v>44142</v>
      </c>
      <c r="F984" t="s">
        <v>77</v>
      </c>
      <c r="G984">
        <v>2</v>
      </c>
      <c r="H984" t="s">
        <v>67</v>
      </c>
      <c r="I984" t="s">
        <v>43</v>
      </c>
      <c r="J984" t="s">
        <v>77</v>
      </c>
      <c r="K984" t="s">
        <v>68</v>
      </c>
      <c r="L984">
        <v>13200</v>
      </c>
      <c r="M984" s="1">
        <v>43777</v>
      </c>
      <c r="N984" t="s">
        <v>45</v>
      </c>
      <c r="O984" t="s">
        <v>46</v>
      </c>
      <c r="P984" t="s">
        <v>47</v>
      </c>
      <c r="Q984" s="1">
        <v>43852</v>
      </c>
      <c r="R984" t="s">
        <v>48</v>
      </c>
    </row>
    <row r="985" spans="1:38" x14ac:dyDescent="0.25">
      <c r="A985" t="s">
        <v>246</v>
      </c>
      <c r="B985" s="2">
        <v>2.306E+19</v>
      </c>
      <c r="C985" t="s">
        <v>40</v>
      </c>
      <c r="D985" s="1">
        <v>43518</v>
      </c>
      <c r="E985" s="1">
        <v>43882</v>
      </c>
      <c r="F985" t="s">
        <v>72</v>
      </c>
      <c r="G985">
        <v>2</v>
      </c>
      <c r="H985" t="s">
        <v>67</v>
      </c>
      <c r="I985" t="s">
        <v>43</v>
      </c>
      <c r="J985" t="s">
        <v>122</v>
      </c>
      <c r="K985" t="s">
        <v>68</v>
      </c>
      <c r="L985">
        <v>16258</v>
      </c>
      <c r="M985" s="1">
        <v>43518</v>
      </c>
      <c r="N985" t="s">
        <v>45</v>
      </c>
      <c r="O985" t="s">
        <v>46</v>
      </c>
      <c r="P985" t="s">
        <v>47</v>
      </c>
      <c r="Q985" s="1">
        <v>43852</v>
      </c>
      <c r="R985" t="s">
        <v>48</v>
      </c>
    </row>
    <row r="986" spans="1:38" x14ac:dyDescent="0.25">
      <c r="A986" t="s">
        <v>248</v>
      </c>
      <c r="B986" s="2">
        <v>2.306E+19</v>
      </c>
      <c r="C986" t="s">
        <v>40</v>
      </c>
      <c r="D986" s="1">
        <v>43524</v>
      </c>
      <c r="E986" s="1">
        <v>43888</v>
      </c>
      <c r="F986" t="s">
        <v>72</v>
      </c>
      <c r="G986">
        <v>2</v>
      </c>
      <c r="H986" t="s">
        <v>67</v>
      </c>
      <c r="I986" t="s">
        <v>43</v>
      </c>
      <c r="J986" t="s">
        <v>122</v>
      </c>
      <c r="K986" t="s">
        <v>68</v>
      </c>
      <c r="L986">
        <v>8227.7900000000009</v>
      </c>
      <c r="M986" s="1">
        <v>43524</v>
      </c>
      <c r="N986" t="s">
        <v>45</v>
      </c>
      <c r="O986" t="s">
        <v>106</v>
      </c>
      <c r="P986" t="s">
        <v>47</v>
      </c>
      <c r="Q986" s="1">
        <v>43852</v>
      </c>
      <c r="R986" t="s">
        <v>48</v>
      </c>
    </row>
    <row r="987" spans="1:38" x14ac:dyDescent="0.25">
      <c r="A987" t="s">
        <v>250</v>
      </c>
      <c r="B987" s="2">
        <v>2.306E+19</v>
      </c>
      <c r="C987" t="s">
        <v>40</v>
      </c>
      <c r="D987" s="1">
        <v>43524</v>
      </c>
      <c r="E987" s="1">
        <v>43888</v>
      </c>
      <c r="F987" t="s">
        <v>72</v>
      </c>
      <c r="G987">
        <v>2</v>
      </c>
      <c r="H987" t="s">
        <v>67</v>
      </c>
      <c r="I987" t="s">
        <v>43</v>
      </c>
      <c r="J987" t="s">
        <v>122</v>
      </c>
      <c r="K987" t="s">
        <v>68</v>
      </c>
      <c r="L987">
        <v>2925.72</v>
      </c>
      <c r="M987" s="1">
        <v>43628</v>
      </c>
      <c r="N987" t="s">
        <v>108</v>
      </c>
      <c r="O987" t="s">
        <v>106</v>
      </c>
      <c r="P987" t="s">
        <v>47</v>
      </c>
      <c r="Q987" s="1">
        <v>43852</v>
      </c>
      <c r="R987" t="s">
        <v>48</v>
      </c>
    </row>
    <row r="988" spans="1:38" x14ac:dyDescent="0.25">
      <c r="A988" t="s">
        <v>252</v>
      </c>
      <c r="B988" s="2">
        <v>2.306E+19</v>
      </c>
      <c r="C988" t="s">
        <v>40</v>
      </c>
      <c r="D988" s="1">
        <v>43524</v>
      </c>
      <c r="E988" s="1">
        <v>43888</v>
      </c>
      <c r="F988" t="s">
        <v>72</v>
      </c>
      <c r="G988">
        <v>2</v>
      </c>
      <c r="H988" t="s">
        <v>67</v>
      </c>
      <c r="I988" t="s">
        <v>43</v>
      </c>
      <c r="J988" t="s">
        <v>122</v>
      </c>
      <c r="K988" t="s">
        <v>68</v>
      </c>
      <c r="L988">
        <v>2925.72</v>
      </c>
      <c r="M988" s="1">
        <v>43628</v>
      </c>
      <c r="N988" t="s">
        <v>108</v>
      </c>
      <c r="O988" t="s">
        <v>106</v>
      </c>
      <c r="P988" t="s">
        <v>47</v>
      </c>
      <c r="Q988" s="1">
        <v>43852</v>
      </c>
      <c r="R988" t="s">
        <v>48</v>
      </c>
    </row>
    <row r="989" spans="1:38" x14ac:dyDescent="0.25">
      <c r="A989" t="s">
        <v>254</v>
      </c>
      <c r="B989" s="2">
        <v>2.306E+19</v>
      </c>
      <c r="C989" t="s">
        <v>40</v>
      </c>
      <c r="D989" s="1">
        <v>43524</v>
      </c>
      <c r="E989" s="1">
        <v>43888</v>
      </c>
      <c r="F989" t="s">
        <v>72</v>
      </c>
      <c r="G989">
        <v>2</v>
      </c>
      <c r="H989" t="s">
        <v>67</v>
      </c>
      <c r="I989" t="s">
        <v>43</v>
      </c>
      <c r="J989" t="s">
        <v>122</v>
      </c>
      <c r="K989" t="s">
        <v>68</v>
      </c>
      <c r="L989">
        <v>5240.78</v>
      </c>
      <c r="M989" s="1">
        <v>43658</v>
      </c>
      <c r="N989" t="s">
        <v>108</v>
      </c>
      <c r="O989" t="s">
        <v>106</v>
      </c>
      <c r="P989" t="s">
        <v>47</v>
      </c>
      <c r="Q989" s="1">
        <v>43852</v>
      </c>
      <c r="R989" t="s">
        <v>48</v>
      </c>
    </row>
    <row r="990" spans="1:38" x14ac:dyDescent="0.25">
      <c r="A990" t="s">
        <v>256</v>
      </c>
      <c r="B990" s="2">
        <v>3.103E+17</v>
      </c>
      <c r="C990" t="s">
        <v>40</v>
      </c>
      <c r="D990" s="1">
        <v>43777</v>
      </c>
      <c r="E990" s="1">
        <v>44142</v>
      </c>
      <c r="F990" t="s">
        <v>72</v>
      </c>
      <c r="G990">
        <v>2</v>
      </c>
      <c r="H990" t="s">
        <v>67</v>
      </c>
      <c r="I990" t="s">
        <v>43</v>
      </c>
      <c r="J990" t="s">
        <v>122</v>
      </c>
      <c r="K990" t="s">
        <v>68</v>
      </c>
      <c r="L990">
        <v>17232.75</v>
      </c>
      <c r="M990" s="1">
        <v>43777</v>
      </c>
      <c r="N990" t="s">
        <v>45</v>
      </c>
      <c r="O990" t="s">
        <v>46</v>
      </c>
      <c r="P990" t="s">
        <v>47</v>
      </c>
      <c r="Q990" s="1">
        <v>43852</v>
      </c>
      <c r="R990" t="s">
        <v>48</v>
      </c>
    </row>
    <row r="991" spans="1:38" x14ac:dyDescent="0.25">
      <c r="A991" t="s">
        <v>258</v>
      </c>
      <c r="B991" s="2">
        <v>3.103E+17</v>
      </c>
      <c r="C991" t="s">
        <v>40</v>
      </c>
      <c r="D991" s="1">
        <v>43777</v>
      </c>
      <c r="E991" s="1">
        <v>44142</v>
      </c>
      <c r="F991" t="s">
        <v>77</v>
      </c>
      <c r="G991">
        <v>2</v>
      </c>
      <c r="H991" t="s">
        <v>67</v>
      </c>
      <c r="I991" t="s">
        <v>43</v>
      </c>
      <c r="J991" t="s">
        <v>77</v>
      </c>
      <c r="K991" t="s">
        <v>68</v>
      </c>
      <c r="L991">
        <v>6250</v>
      </c>
      <c r="M991" s="1">
        <v>43777</v>
      </c>
      <c r="N991" t="s">
        <v>45</v>
      </c>
      <c r="O991" t="s">
        <v>46</v>
      </c>
      <c r="P991" t="s">
        <v>47</v>
      </c>
      <c r="Q991" s="1">
        <v>43852</v>
      </c>
      <c r="R991" t="s">
        <v>48</v>
      </c>
    </row>
    <row r="992" spans="1:38" x14ac:dyDescent="0.25">
      <c r="A992" t="s">
        <v>260</v>
      </c>
      <c r="B992" s="2">
        <v>9.9E+19</v>
      </c>
      <c r="C992" t="s">
        <v>40</v>
      </c>
      <c r="D992" s="1">
        <v>43716</v>
      </c>
      <c r="E992" s="1">
        <v>44081</v>
      </c>
      <c r="F992" t="s">
        <v>72</v>
      </c>
      <c r="G992">
        <v>2</v>
      </c>
      <c r="H992" t="s">
        <v>67</v>
      </c>
      <c r="I992" t="s">
        <v>43</v>
      </c>
      <c r="J992" t="s">
        <v>122</v>
      </c>
      <c r="K992" t="s">
        <v>68</v>
      </c>
      <c r="L992">
        <v>72138.929999999993</v>
      </c>
      <c r="M992" s="1">
        <v>43716</v>
      </c>
      <c r="N992" t="s">
        <v>45</v>
      </c>
      <c r="O992" t="s">
        <v>46</v>
      </c>
      <c r="P992" t="s">
        <v>47</v>
      </c>
      <c r="Q992" s="1">
        <v>43852</v>
      </c>
      <c r="R992" t="s">
        <v>48</v>
      </c>
    </row>
    <row r="993" spans="1:18" x14ac:dyDescent="0.25">
      <c r="A993" t="s">
        <v>262</v>
      </c>
      <c r="B993" s="2">
        <v>9.9E+19</v>
      </c>
      <c r="C993" t="s">
        <v>40</v>
      </c>
      <c r="D993" s="1">
        <v>43716</v>
      </c>
      <c r="E993" s="1">
        <v>44081</v>
      </c>
      <c r="F993" t="s">
        <v>72</v>
      </c>
      <c r="G993">
        <v>2</v>
      </c>
      <c r="H993" t="s">
        <v>67</v>
      </c>
      <c r="I993" t="s">
        <v>43</v>
      </c>
      <c r="J993" t="s">
        <v>122</v>
      </c>
      <c r="K993" t="s">
        <v>68</v>
      </c>
      <c r="L993">
        <v>43032.54</v>
      </c>
      <c r="M993" s="1">
        <v>43716</v>
      </c>
      <c r="N993" t="s">
        <v>45</v>
      </c>
      <c r="O993" t="s">
        <v>46</v>
      </c>
      <c r="P993" t="s">
        <v>47</v>
      </c>
      <c r="Q993" s="1">
        <v>43852</v>
      </c>
      <c r="R993" t="s">
        <v>48</v>
      </c>
    </row>
    <row r="994" spans="1:18" x14ac:dyDescent="0.25">
      <c r="A994" t="s">
        <v>264</v>
      </c>
      <c r="B994" s="2">
        <v>9.9E+19</v>
      </c>
      <c r="C994" t="s">
        <v>40</v>
      </c>
      <c r="D994" s="1">
        <v>43716</v>
      </c>
      <c r="E994" s="1">
        <v>44081</v>
      </c>
      <c r="F994" t="s">
        <v>76</v>
      </c>
      <c r="G994">
        <v>2</v>
      </c>
      <c r="H994" t="s">
        <v>67</v>
      </c>
      <c r="I994" t="s">
        <v>43</v>
      </c>
      <c r="J994" t="s">
        <v>115</v>
      </c>
      <c r="K994" t="s">
        <v>68</v>
      </c>
      <c r="L994">
        <v>11550</v>
      </c>
      <c r="M994" s="1">
        <v>43716</v>
      </c>
      <c r="N994" t="s">
        <v>45</v>
      </c>
      <c r="O994" t="s">
        <v>46</v>
      </c>
      <c r="P994" t="s">
        <v>47</v>
      </c>
      <c r="Q994" s="1">
        <v>43852</v>
      </c>
      <c r="R994" t="s">
        <v>48</v>
      </c>
    </row>
    <row r="995" spans="1:18" x14ac:dyDescent="0.25">
      <c r="A995" t="s">
        <v>265</v>
      </c>
      <c r="B995" s="2">
        <v>9.9E+19</v>
      </c>
      <c r="C995" t="s">
        <v>40</v>
      </c>
      <c r="D995" s="1">
        <v>43716</v>
      </c>
      <c r="E995" s="1">
        <v>44081</v>
      </c>
      <c r="F995" t="s">
        <v>76</v>
      </c>
      <c r="G995">
        <v>2</v>
      </c>
      <c r="H995" t="s">
        <v>67</v>
      </c>
      <c r="I995" t="s">
        <v>43</v>
      </c>
      <c r="J995" t="s">
        <v>115</v>
      </c>
      <c r="K995" t="s">
        <v>68</v>
      </c>
      <c r="L995">
        <v>7700</v>
      </c>
      <c r="M995" s="1">
        <v>43716</v>
      </c>
      <c r="N995" t="s">
        <v>45</v>
      </c>
      <c r="O995" t="s">
        <v>46</v>
      </c>
      <c r="P995" t="s">
        <v>47</v>
      </c>
      <c r="Q995" s="1">
        <v>43852</v>
      </c>
      <c r="R995" t="s">
        <v>48</v>
      </c>
    </row>
    <row r="996" spans="1:18" x14ac:dyDescent="0.25">
      <c r="A996" t="s">
        <v>273</v>
      </c>
      <c r="B996" s="2">
        <v>9.9E+19</v>
      </c>
      <c r="C996" t="s">
        <v>40</v>
      </c>
      <c r="D996" s="1">
        <v>43716</v>
      </c>
      <c r="E996" s="1">
        <v>44081</v>
      </c>
      <c r="F996" t="s">
        <v>76</v>
      </c>
      <c r="G996">
        <v>2</v>
      </c>
      <c r="H996" t="s">
        <v>67</v>
      </c>
      <c r="I996" t="s">
        <v>43</v>
      </c>
      <c r="J996" t="s">
        <v>122</v>
      </c>
      <c r="K996" t="s">
        <v>68</v>
      </c>
      <c r="L996">
        <v>14461.25</v>
      </c>
      <c r="M996" s="1">
        <v>43716</v>
      </c>
      <c r="N996" t="s">
        <v>45</v>
      </c>
      <c r="O996" t="s">
        <v>106</v>
      </c>
      <c r="P996" t="s">
        <v>47</v>
      </c>
      <c r="Q996" s="1">
        <v>43852</v>
      </c>
      <c r="R996" t="s">
        <v>48</v>
      </c>
    </row>
    <row r="997" spans="1:18" x14ac:dyDescent="0.25">
      <c r="A997" t="s">
        <v>274</v>
      </c>
      <c r="B997" s="2">
        <v>9.9E+19</v>
      </c>
      <c r="C997" t="s">
        <v>40</v>
      </c>
      <c r="D997" s="1">
        <v>43716</v>
      </c>
      <c r="E997" s="1">
        <v>44081</v>
      </c>
      <c r="F997" t="s">
        <v>76</v>
      </c>
      <c r="G997">
        <v>2</v>
      </c>
      <c r="H997" t="s">
        <v>67</v>
      </c>
      <c r="I997" t="s">
        <v>43</v>
      </c>
      <c r="J997" t="s">
        <v>122</v>
      </c>
      <c r="K997" t="s">
        <v>68</v>
      </c>
      <c r="L997">
        <v>13153.63</v>
      </c>
      <c r="M997" s="1">
        <v>43748</v>
      </c>
      <c r="N997" t="s">
        <v>108</v>
      </c>
      <c r="O997" t="s">
        <v>106</v>
      </c>
      <c r="P997" t="s">
        <v>47</v>
      </c>
      <c r="Q997" s="1">
        <v>43852</v>
      </c>
      <c r="R997" t="s">
        <v>48</v>
      </c>
    </row>
    <row r="998" spans="1:18" x14ac:dyDescent="0.25">
      <c r="A998" t="s">
        <v>275</v>
      </c>
      <c r="B998" s="2">
        <v>9.9E+19</v>
      </c>
      <c r="C998" t="s">
        <v>71</v>
      </c>
      <c r="D998" s="1">
        <v>43194</v>
      </c>
      <c r="E998" s="1">
        <v>45478</v>
      </c>
      <c r="F998" t="s">
        <v>306</v>
      </c>
      <c r="G998">
        <v>13</v>
      </c>
      <c r="H998" t="s">
        <v>316</v>
      </c>
      <c r="I998" t="s">
        <v>43</v>
      </c>
      <c r="J998" t="s">
        <v>73</v>
      </c>
      <c r="K998" t="s">
        <v>68</v>
      </c>
      <c r="L998">
        <v>0</v>
      </c>
      <c r="M998" s="1">
        <v>43194</v>
      </c>
      <c r="N998" t="s">
        <v>45</v>
      </c>
      <c r="O998" t="s">
        <v>361</v>
      </c>
      <c r="P998" t="s">
        <v>47</v>
      </c>
      <c r="Q998" s="1">
        <v>43852</v>
      </c>
      <c r="R998" t="s">
        <v>48</v>
      </c>
    </row>
    <row r="999" spans="1:18" x14ac:dyDescent="0.25">
      <c r="A999" t="s">
        <v>277</v>
      </c>
      <c r="B999" s="2">
        <v>9.9E+19</v>
      </c>
      <c r="C999" t="s">
        <v>71</v>
      </c>
      <c r="D999" s="1">
        <v>43273</v>
      </c>
      <c r="E999" s="1">
        <v>43729</v>
      </c>
      <c r="F999" t="s">
        <v>306</v>
      </c>
      <c r="G999">
        <v>13</v>
      </c>
      <c r="H999" t="s">
        <v>316</v>
      </c>
      <c r="I999" t="s">
        <v>43</v>
      </c>
      <c r="J999" t="s">
        <v>73</v>
      </c>
      <c r="K999" t="s">
        <v>127</v>
      </c>
      <c r="L999">
        <v>15625</v>
      </c>
      <c r="M999" s="1">
        <v>43273</v>
      </c>
      <c r="N999" t="s">
        <v>45</v>
      </c>
      <c r="O999" t="s">
        <v>361</v>
      </c>
      <c r="P999" t="s">
        <v>362</v>
      </c>
      <c r="Q999" s="1">
        <v>43852</v>
      </c>
      <c r="R999" t="s">
        <v>362</v>
      </c>
    </row>
    <row r="1000" spans="1:18" x14ac:dyDescent="0.25">
      <c r="A1000" t="s">
        <v>278</v>
      </c>
      <c r="B1000" s="2">
        <v>9.9E+19</v>
      </c>
      <c r="C1000" t="s">
        <v>40</v>
      </c>
      <c r="D1000" s="1">
        <v>43580</v>
      </c>
      <c r="E1000" s="1">
        <v>44310</v>
      </c>
      <c r="F1000" t="s">
        <v>306</v>
      </c>
      <c r="G1000">
        <v>13</v>
      </c>
      <c r="H1000" t="s">
        <v>316</v>
      </c>
      <c r="I1000" t="s">
        <v>43</v>
      </c>
      <c r="J1000" t="s">
        <v>73</v>
      </c>
      <c r="K1000" t="s">
        <v>127</v>
      </c>
      <c r="L1000">
        <v>134736.13</v>
      </c>
      <c r="M1000" s="1">
        <v>43580</v>
      </c>
      <c r="N1000" t="s">
        <v>45</v>
      </c>
      <c r="O1000" t="s">
        <v>46</v>
      </c>
      <c r="P1000" t="s">
        <v>47</v>
      </c>
      <c r="Q1000" s="1">
        <v>43852</v>
      </c>
      <c r="R1000" t="s">
        <v>48</v>
      </c>
    </row>
    <row r="1001" spans="1:18" x14ac:dyDescent="0.25">
      <c r="A1001" t="s">
        <v>279</v>
      </c>
      <c r="B1001" s="2">
        <v>9.9E+19</v>
      </c>
      <c r="C1001" t="s">
        <v>40</v>
      </c>
      <c r="D1001" s="1">
        <v>43719</v>
      </c>
      <c r="E1001" s="1">
        <v>44084</v>
      </c>
      <c r="F1001" t="s">
        <v>306</v>
      </c>
      <c r="G1001">
        <v>13</v>
      </c>
      <c r="H1001" t="s">
        <v>316</v>
      </c>
      <c r="I1001" t="s">
        <v>43</v>
      </c>
      <c r="J1001" t="s">
        <v>73</v>
      </c>
      <c r="K1001" t="s">
        <v>127</v>
      </c>
      <c r="L1001">
        <v>32584.880000000001</v>
      </c>
      <c r="M1001" s="1">
        <v>43719</v>
      </c>
      <c r="N1001" t="s">
        <v>45</v>
      </c>
      <c r="O1001" t="s">
        <v>46</v>
      </c>
      <c r="P1001" t="s">
        <v>47</v>
      </c>
      <c r="Q1001" s="1">
        <v>43852</v>
      </c>
      <c r="R1001" t="s">
        <v>48</v>
      </c>
    </row>
    <row r="1002" spans="1:18" x14ac:dyDescent="0.25">
      <c r="A1002" t="s">
        <v>280</v>
      </c>
      <c r="B1002" s="2">
        <v>9.9E+19</v>
      </c>
      <c r="C1002" t="s">
        <v>40</v>
      </c>
      <c r="D1002" s="1">
        <v>43730</v>
      </c>
      <c r="E1002" s="1">
        <v>43911</v>
      </c>
      <c r="F1002" t="s">
        <v>306</v>
      </c>
      <c r="G1002">
        <v>13</v>
      </c>
      <c r="H1002" t="s">
        <v>316</v>
      </c>
      <c r="I1002" t="s">
        <v>43</v>
      </c>
      <c r="J1002" t="s">
        <v>73</v>
      </c>
      <c r="K1002" t="s">
        <v>127</v>
      </c>
      <c r="L1002">
        <v>8044.5</v>
      </c>
      <c r="M1002" s="1">
        <v>43730</v>
      </c>
      <c r="N1002" t="s">
        <v>45</v>
      </c>
      <c r="O1002" t="s">
        <v>46</v>
      </c>
      <c r="P1002" t="s">
        <v>47</v>
      </c>
      <c r="Q1002" s="1">
        <v>43852</v>
      </c>
      <c r="R1002" t="s">
        <v>48</v>
      </c>
    </row>
    <row r="1003" spans="1:18" x14ac:dyDescent="0.25">
      <c r="A1003" t="s">
        <v>282</v>
      </c>
      <c r="B1003" t="s">
        <v>363</v>
      </c>
      <c r="C1003" t="s">
        <v>71</v>
      </c>
      <c r="D1003" s="1">
        <v>43523</v>
      </c>
      <c r="E1003" s="1">
        <v>43887</v>
      </c>
      <c r="F1003" t="s">
        <v>72</v>
      </c>
      <c r="G1003">
        <v>1</v>
      </c>
      <c r="H1003" t="s">
        <v>42</v>
      </c>
      <c r="I1003" t="s">
        <v>43</v>
      </c>
      <c r="J1003" t="s">
        <v>115</v>
      </c>
      <c r="K1003" t="s">
        <v>44</v>
      </c>
      <c r="L1003">
        <v>2141.5500000000002</v>
      </c>
      <c r="M1003" s="1">
        <v>43523</v>
      </c>
      <c r="N1003" t="s">
        <v>45</v>
      </c>
      <c r="O1003" t="s">
        <v>361</v>
      </c>
      <c r="P1003" t="s">
        <v>47</v>
      </c>
      <c r="Q1003" s="1">
        <v>43852</v>
      </c>
      <c r="R1003" t="s">
        <v>48</v>
      </c>
    </row>
    <row r="1004" spans="1:18" x14ac:dyDescent="0.25">
      <c r="A1004" t="s">
        <v>284</v>
      </c>
      <c r="B1004" t="s">
        <v>364</v>
      </c>
      <c r="C1004" t="s">
        <v>40</v>
      </c>
      <c r="D1004" s="1">
        <v>43158</v>
      </c>
      <c r="E1004" s="1">
        <v>43522</v>
      </c>
      <c r="F1004" t="s">
        <v>72</v>
      </c>
      <c r="G1004">
        <v>1</v>
      </c>
      <c r="H1004" t="s">
        <v>42</v>
      </c>
      <c r="I1004" t="s">
        <v>43</v>
      </c>
      <c r="J1004" t="s">
        <v>115</v>
      </c>
      <c r="K1004" t="s">
        <v>44</v>
      </c>
      <c r="L1004">
        <v>2486.0700000000002</v>
      </c>
      <c r="M1004" s="1">
        <v>43158</v>
      </c>
      <c r="N1004" t="s">
        <v>45</v>
      </c>
      <c r="O1004" t="s">
        <v>46</v>
      </c>
      <c r="P1004" t="s">
        <v>47</v>
      </c>
      <c r="Q1004" s="1">
        <v>43852</v>
      </c>
      <c r="R1004" t="s">
        <v>48</v>
      </c>
    </row>
    <row r="1005" spans="1:18" x14ac:dyDescent="0.25">
      <c r="A1005" t="s">
        <v>296</v>
      </c>
      <c r="B1005">
        <v>8539944</v>
      </c>
      <c r="C1005" t="s">
        <v>71</v>
      </c>
      <c r="D1005" s="1">
        <v>43158</v>
      </c>
      <c r="E1005" s="1">
        <v>43522</v>
      </c>
      <c r="F1005" t="s">
        <v>72</v>
      </c>
      <c r="G1005">
        <v>1</v>
      </c>
      <c r="H1005" t="s">
        <v>42</v>
      </c>
      <c r="I1005" t="s">
        <v>43</v>
      </c>
      <c r="J1005" t="s">
        <v>115</v>
      </c>
      <c r="K1005" t="s">
        <v>44</v>
      </c>
      <c r="L1005">
        <v>6653.1</v>
      </c>
      <c r="M1005" s="1">
        <v>43158</v>
      </c>
      <c r="N1005" t="s">
        <v>45</v>
      </c>
      <c r="O1005" t="s">
        <v>46</v>
      </c>
      <c r="P1005" t="s">
        <v>47</v>
      </c>
      <c r="Q1005" s="1">
        <v>43852</v>
      </c>
      <c r="R1005" t="s">
        <v>48</v>
      </c>
    </row>
    <row r="1006" spans="1:18" x14ac:dyDescent="0.25">
      <c r="A1006" t="s">
        <v>297</v>
      </c>
      <c r="B1006" t="s">
        <v>365</v>
      </c>
      <c r="C1006" t="s">
        <v>40</v>
      </c>
      <c r="D1006" s="1">
        <v>43523</v>
      </c>
      <c r="E1006" s="1">
        <v>43887</v>
      </c>
      <c r="F1006" t="s">
        <v>72</v>
      </c>
      <c r="G1006">
        <v>1</v>
      </c>
      <c r="H1006" t="s">
        <v>42</v>
      </c>
      <c r="I1006" t="s">
        <v>43</v>
      </c>
      <c r="J1006" t="s">
        <v>115</v>
      </c>
      <c r="K1006" t="s">
        <v>44</v>
      </c>
      <c r="L1006">
        <v>6979.74</v>
      </c>
      <c r="M1006" s="1">
        <v>43523</v>
      </c>
      <c r="N1006" t="s">
        <v>45</v>
      </c>
      <c r="O1006" t="s">
        <v>44</v>
      </c>
      <c r="P1006" t="s">
        <v>47</v>
      </c>
      <c r="Q1006" s="1">
        <v>43852</v>
      </c>
      <c r="R1006" t="s">
        <v>48</v>
      </c>
    </row>
    <row r="1007" spans="1:18" x14ac:dyDescent="0.25">
      <c r="A1007" t="s">
        <v>298</v>
      </c>
      <c r="B1007" t="s">
        <v>366</v>
      </c>
      <c r="C1007" t="s">
        <v>40</v>
      </c>
      <c r="D1007" s="1">
        <v>43158</v>
      </c>
      <c r="E1007" s="1">
        <v>43522</v>
      </c>
      <c r="F1007" t="s">
        <v>72</v>
      </c>
      <c r="G1007">
        <v>1</v>
      </c>
      <c r="H1007" t="s">
        <v>42</v>
      </c>
      <c r="I1007" t="s">
        <v>43</v>
      </c>
      <c r="J1007" t="s">
        <v>115</v>
      </c>
      <c r="K1007" t="s">
        <v>127</v>
      </c>
      <c r="L1007">
        <v>2283.33</v>
      </c>
      <c r="M1007" s="1">
        <v>43158</v>
      </c>
      <c r="N1007" t="s">
        <v>45</v>
      </c>
      <c r="O1007" t="s">
        <v>46</v>
      </c>
      <c r="P1007" t="s">
        <v>47</v>
      </c>
      <c r="Q1007" s="1">
        <v>43852</v>
      </c>
      <c r="R1007" t="s">
        <v>48</v>
      </c>
    </row>
    <row r="1008" spans="1:18" x14ac:dyDescent="0.25">
      <c r="A1008" t="s">
        <v>299</v>
      </c>
      <c r="B1008">
        <v>41045915</v>
      </c>
      <c r="C1008" t="s">
        <v>40</v>
      </c>
      <c r="D1008" s="1">
        <v>43554</v>
      </c>
      <c r="E1008" s="1">
        <v>43919</v>
      </c>
      <c r="F1008" t="s">
        <v>77</v>
      </c>
      <c r="G1008">
        <v>6</v>
      </c>
      <c r="H1008" t="s">
        <v>187</v>
      </c>
      <c r="I1008" t="s">
        <v>43</v>
      </c>
      <c r="J1008" t="s">
        <v>77</v>
      </c>
      <c r="K1008" t="s">
        <v>68</v>
      </c>
      <c r="L1008">
        <v>14107.5</v>
      </c>
      <c r="M1008" s="1">
        <v>43554</v>
      </c>
      <c r="N1008" t="s">
        <v>45</v>
      </c>
      <c r="O1008" t="s">
        <v>46</v>
      </c>
      <c r="P1008" t="s">
        <v>47</v>
      </c>
      <c r="Q1008" s="1">
        <v>43852</v>
      </c>
      <c r="R1008" t="s">
        <v>48</v>
      </c>
    </row>
    <row r="1009" spans="1:38" x14ac:dyDescent="0.25">
      <c r="A1009" t="s">
        <v>300</v>
      </c>
      <c r="B1009">
        <v>2690000174</v>
      </c>
      <c r="C1009" t="s">
        <v>40</v>
      </c>
      <c r="D1009" s="1">
        <v>43100</v>
      </c>
      <c r="E1009" s="1">
        <v>43464</v>
      </c>
      <c r="F1009" t="s">
        <v>76</v>
      </c>
      <c r="G1009">
        <v>1</v>
      </c>
      <c r="H1009" t="s">
        <v>42</v>
      </c>
      <c r="I1009" t="s">
        <v>43</v>
      </c>
      <c r="J1009" t="s">
        <v>115</v>
      </c>
      <c r="K1009" t="s">
        <v>44</v>
      </c>
      <c r="L1009">
        <v>2535.87</v>
      </c>
      <c r="M1009" s="1">
        <v>43100</v>
      </c>
      <c r="N1009" t="s">
        <v>45</v>
      </c>
      <c r="O1009" t="s">
        <v>46</v>
      </c>
      <c r="P1009" t="s">
        <v>47</v>
      </c>
      <c r="Q1009" s="1">
        <v>43852</v>
      </c>
      <c r="R1009" t="s">
        <v>48</v>
      </c>
      <c r="S1009" t="s">
        <v>78</v>
      </c>
      <c r="T1009" t="s">
        <v>79</v>
      </c>
      <c r="U1009" t="s">
        <v>42</v>
      </c>
      <c r="V1009">
        <v>1200000</v>
      </c>
      <c r="W1009">
        <v>100000</v>
      </c>
      <c r="X1009" s="1">
        <v>43921</v>
      </c>
      <c r="Y1009" t="s">
        <v>51</v>
      </c>
      <c r="Z1009" t="s">
        <v>43</v>
      </c>
      <c r="AA1009" t="s">
        <v>80</v>
      </c>
      <c r="AB1009" t="s">
        <v>76</v>
      </c>
      <c r="AC1009" t="s">
        <v>81</v>
      </c>
      <c r="AF1009" t="s">
        <v>54</v>
      </c>
      <c r="AG1009" s="1">
        <v>43832</v>
      </c>
      <c r="AH1009" t="s">
        <v>42</v>
      </c>
      <c r="AI1009" t="s">
        <v>55</v>
      </c>
      <c r="AJ1009">
        <v>12788092</v>
      </c>
      <c r="AK1009">
        <v>250000</v>
      </c>
      <c r="AL1009">
        <v>1500000</v>
      </c>
    </row>
    <row r="1010" spans="1:38" x14ac:dyDescent="0.25">
      <c r="A1010" t="s">
        <v>300</v>
      </c>
      <c r="B1010">
        <v>2690000174</v>
      </c>
      <c r="C1010" t="s">
        <v>40</v>
      </c>
      <c r="D1010" s="1">
        <v>43100</v>
      </c>
      <c r="E1010" s="1">
        <v>43464</v>
      </c>
      <c r="F1010" t="s">
        <v>76</v>
      </c>
      <c r="G1010">
        <v>1</v>
      </c>
      <c r="H1010" t="s">
        <v>42</v>
      </c>
      <c r="I1010" t="s">
        <v>43</v>
      </c>
      <c r="J1010" t="s">
        <v>115</v>
      </c>
      <c r="K1010" t="s">
        <v>44</v>
      </c>
      <c r="L1010">
        <v>2535.87</v>
      </c>
      <c r="M1010" s="1">
        <v>43100</v>
      </c>
      <c r="N1010" t="s">
        <v>45</v>
      </c>
      <c r="O1010" t="s">
        <v>46</v>
      </c>
      <c r="P1010" t="s">
        <v>47</v>
      </c>
      <c r="Q1010" s="1">
        <v>43852</v>
      </c>
      <c r="R1010" t="s">
        <v>48</v>
      </c>
      <c r="S1010" t="s">
        <v>78</v>
      </c>
      <c r="T1010" t="s">
        <v>79</v>
      </c>
      <c r="U1010" t="s">
        <v>42</v>
      </c>
      <c r="V1010">
        <v>1200000</v>
      </c>
      <c r="W1010">
        <v>100000</v>
      </c>
      <c r="X1010" s="1">
        <v>43921</v>
      </c>
      <c r="Y1010" t="s">
        <v>51</v>
      </c>
      <c r="Z1010" t="s">
        <v>43</v>
      </c>
      <c r="AA1010" t="s">
        <v>80</v>
      </c>
      <c r="AB1010" t="s">
        <v>76</v>
      </c>
      <c r="AC1010" t="s">
        <v>81</v>
      </c>
      <c r="AF1010" t="s">
        <v>56</v>
      </c>
      <c r="AG1010" s="1">
        <v>43833</v>
      </c>
      <c r="AH1010" t="s">
        <v>42</v>
      </c>
      <c r="AI1010" t="s">
        <v>55</v>
      </c>
      <c r="AJ1010">
        <v>12788092</v>
      </c>
      <c r="AK1010">
        <v>250000</v>
      </c>
      <c r="AL1010">
        <v>1500000</v>
      </c>
    </row>
    <row r="1011" spans="1:38" x14ac:dyDescent="0.25">
      <c r="A1011" t="s">
        <v>300</v>
      </c>
      <c r="B1011">
        <v>2690000174</v>
      </c>
      <c r="C1011" t="s">
        <v>40</v>
      </c>
      <c r="D1011" s="1">
        <v>43100</v>
      </c>
      <c r="E1011" s="1">
        <v>43464</v>
      </c>
      <c r="F1011" t="s">
        <v>76</v>
      </c>
      <c r="G1011">
        <v>1</v>
      </c>
      <c r="H1011" t="s">
        <v>42</v>
      </c>
      <c r="I1011" t="s">
        <v>43</v>
      </c>
      <c r="J1011" t="s">
        <v>115</v>
      </c>
      <c r="K1011" t="s">
        <v>44</v>
      </c>
      <c r="L1011">
        <v>2535.87</v>
      </c>
      <c r="M1011" s="1">
        <v>43100</v>
      </c>
      <c r="N1011" t="s">
        <v>45</v>
      </c>
      <c r="O1011" t="s">
        <v>46</v>
      </c>
      <c r="P1011" t="s">
        <v>47</v>
      </c>
      <c r="Q1011" s="1">
        <v>43852</v>
      </c>
      <c r="R1011" t="s">
        <v>48</v>
      </c>
      <c r="S1011" t="s">
        <v>78</v>
      </c>
      <c r="T1011" t="s">
        <v>79</v>
      </c>
      <c r="U1011" t="s">
        <v>42</v>
      </c>
      <c r="V1011">
        <v>1200000</v>
      </c>
      <c r="W1011">
        <v>100000</v>
      </c>
      <c r="X1011" s="1">
        <v>43921</v>
      </c>
      <c r="Y1011" t="s">
        <v>51</v>
      </c>
      <c r="Z1011" t="s">
        <v>43</v>
      </c>
      <c r="AA1011" t="s">
        <v>80</v>
      </c>
      <c r="AB1011" t="s">
        <v>76</v>
      </c>
      <c r="AC1011" t="s">
        <v>81</v>
      </c>
      <c r="AF1011" t="s">
        <v>57</v>
      </c>
      <c r="AG1011" s="1">
        <v>43836</v>
      </c>
      <c r="AH1011" t="s">
        <v>42</v>
      </c>
      <c r="AI1011" t="s">
        <v>55</v>
      </c>
      <c r="AJ1011">
        <v>12788092</v>
      </c>
      <c r="AK1011">
        <v>250000</v>
      </c>
      <c r="AL1011">
        <v>1500000</v>
      </c>
    </row>
    <row r="1012" spans="1:38" x14ac:dyDescent="0.25">
      <c r="A1012" t="s">
        <v>300</v>
      </c>
      <c r="B1012">
        <v>2690000174</v>
      </c>
      <c r="C1012" t="s">
        <v>40</v>
      </c>
      <c r="D1012" s="1">
        <v>43100</v>
      </c>
      <c r="E1012" s="1">
        <v>43464</v>
      </c>
      <c r="F1012" t="s">
        <v>76</v>
      </c>
      <c r="G1012">
        <v>1</v>
      </c>
      <c r="H1012" t="s">
        <v>42</v>
      </c>
      <c r="I1012" t="s">
        <v>43</v>
      </c>
      <c r="J1012" t="s">
        <v>115</v>
      </c>
      <c r="K1012" t="s">
        <v>44</v>
      </c>
      <c r="L1012">
        <v>2535.87</v>
      </c>
      <c r="M1012" s="1">
        <v>43100</v>
      </c>
      <c r="N1012" t="s">
        <v>45</v>
      </c>
      <c r="O1012" t="s">
        <v>46</v>
      </c>
      <c r="P1012" t="s">
        <v>47</v>
      </c>
      <c r="Q1012" s="1">
        <v>43852</v>
      </c>
      <c r="R1012" t="s">
        <v>48</v>
      </c>
      <c r="S1012" t="s">
        <v>78</v>
      </c>
      <c r="T1012" t="s">
        <v>79</v>
      </c>
      <c r="U1012" t="s">
        <v>42</v>
      </c>
      <c r="V1012">
        <v>1200000</v>
      </c>
      <c r="W1012">
        <v>100000</v>
      </c>
      <c r="X1012" s="1">
        <v>43921</v>
      </c>
      <c r="Y1012" t="s">
        <v>51</v>
      </c>
      <c r="Z1012" t="s">
        <v>43</v>
      </c>
      <c r="AA1012" t="s">
        <v>80</v>
      </c>
      <c r="AB1012" t="s">
        <v>76</v>
      </c>
      <c r="AC1012" t="s">
        <v>81</v>
      </c>
      <c r="AF1012" t="s">
        <v>58</v>
      </c>
      <c r="AG1012" s="1">
        <v>43837</v>
      </c>
      <c r="AH1012" t="s">
        <v>42</v>
      </c>
      <c r="AI1012" t="s">
        <v>55</v>
      </c>
      <c r="AJ1012">
        <v>12788092</v>
      </c>
      <c r="AK1012">
        <v>250000</v>
      </c>
      <c r="AL1012">
        <v>1500000</v>
      </c>
    </row>
    <row r="1013" spans="1:38" x14ac:dyDescent="0.25">
      <c r="A1013" t="s">
        <v>300</v>
      </c>
      <c r="B1013">
        <v>2690000174</v>
      </c>
      <c r="C1013" t="s">
        <v>40</v>
      </c>
      <c r="D1013" s="1">
        <v>43100</v>
      </c>
      <c r="E1013" s="1">
        <v>43464</v>
      </c>
      <c r="F1013" t="s">
        <v>76</v>
      </c>
      <c r="G1013">
        <v>1</v>
      </c>
      <c r="H1013" t="s">
        <v>42</v>
      </c>
      <c r="I1013" t="s">
        <v>43</v>
      </c>
      <c r="J1013" t="s">
        <v>115</v>
      </c>
      <c r="K1013" t="s">
        <v>44</v>
      </c>
      <c r="L1013">
        <v>2535.87</v>
      </c>
      <c r="M1013" s="1">
        <v>43100</v>
      </c>
      <c r="N1013" t="s">
        <v>45</v>
      </c>
      <c r="O1013" t="s">
        <v>46</v>
      </c>
      <c r="P1013" t="s">
        <v>47</v>
      </c>
      <c r="Q1013" s="1">
        <v>43852</v>
      </c>
      <c r="R1013" t="s">
        <v>48</v>
      </c>
      <c r="S1013" t="s">
        <v>78</v>
      </c>
      <c r="T1013" t="s">
        <v>79</v>
      </c>
      <c r="U1013" t="s">
        <v>42</v>
      </c>
      <c r="V1013">
        <v>1200000</v>
      </c>
      <c r="W1013">
        <v>100000</v>
      </c>
      <c r="X1013" s="1">
        <v>43921</v>
      </c>
      <c r="Y1013" t="s">
        <v>51</v>
      </c>
      <c r="Z1013" t="s">
        <v>43</v>
      </c>
      <c r="AA1013" t="s">
        <v>80</v>
      </c>
      <c r="AB1013" t="s">
        <v>76</v>
      </c>
      <c r="AC1013" t="s">
        <v>81</v>
      </c>
      <c r="AF1013" t="s">
        <v>59</v>
      </c>
      <c r="AG1013" s="1">
        <v>43838</v>
      </c>
      <c r="AH1013" t="s">
        <v>42</v>
      </c>
      <c r="AI1013" t="s">
        <v>55</v>
      </c>
      <c r="AJ1013">
        <v>12788092</v>
      </c>
      <c r="AK1013">
        <v>250000</v>
      </c>
      <c r="AL1013">
        <v>1500000</v>
      </c>
    </row>
    <row r="1014" spans="1:38" x14ac:dyDescent="0.25">
      <c r="A1014" t="s">
        <v>302</v>
      </c>
      <c r="B1014">
        <v>300004329</v>
      </c>
      <c r="C1014" t="s">
        <v>71</v>
      </c>
      <c r="D1014" s="1">
        <v>43131</v>
      </c>
      <c r="E1014" s="1">
        <v>43495</v>
      </c>
      <c r="F1014" t="s">
        <v>77</v>
      </c>
      <c r="G1014">
        <v>1</v>
      </c>
      <c r="H1014" t="s">
        <v>42</v>
      </c>
      <c r="I1014" t="s">
        <v>43</v>
      </c>
      <c r="J1014" t="s">
        <v>77</v>
      </c>
      <c r="K1014" t="s">
        <v>44</v>
      </c>
      <c r="L1014">
        <v>125000</v>
      </c>
      <c r="M1014" s="1">
        <v>43131</v>
      </c>
      <c r="N1014" t="s">
        <v>45</v>
      </c>
      <c r="O1014" t="s">
        <v>46</v>
      </c>
      <c r="P1014" t="s">
        <v>47</v>
      </c>
      <c r="Q1014" s="1">
        <v>43852</v>
      </c>
      <c r="R1014" t="s">
        <v>48</v>
      </c>
      <c r="S1014" t="s">
        <v>233</v>
      </c>
      <c r="T1014" t="s">
        <v>234</v>
      </c>
      <c r="U1014" t="s">
        <v>42</v>
      </c>
      <c r="V1014">
        <v>0</v>
      </c>
      <c r="W1014">
        <v>100000</v>
      </c>
      <c r="X1014" s="1">
        <v>43982</v>
      </c>
      <c r="Y1014" t="s">
        <v>51</v>
      </c>
      <c r="Z1014" t="s">
        <v>43</v>
      </c>
      <c r="AA1014" t="s">
        <v>77</v>
      </c>
      <c r="AB1014" t="s">
        <v>158</v>
      </c>
      <c r="AC1014" t="s">
        <v>235</v>
      </c>
      <c r="AF1014" t="s">
        <v>54</v>
      </c>
      <c r="AG1014" s="1">
        <v>43832</v>
      </c>
      <c r="AH1014" t="s">
        <v>42</v>
      </c>
      <c r="AI1014" t="s">
        <v>55</v>
      </c>
      <c r="AJ1014">
        <v>12788092</v>
      </c>
      <c r="AK1014">
        <v>250000</v>
      </c>
      <c r="AL1014">
        <v>1500000</v>
      </c>
    </row>
    <row r="1015" spans="1:38" x14ac:dyDescent="0.25">
      <c r="A1015" t="s">
        <v>302</v>
      </c>
      <c r="B1015">
        <v>300004329</v>
      </c>
      <c r="C1015" t="s">
        <v>71</v>
      </c>
      <c r="D1015" s="1">
        <v>43131</v>
      </c>
      <c r="E1015" s="1">
        <v>43495</v>
      </c>
      <c r="F1015" t="s">
        <v>77</v>
      </c>
      <c r="G1015">
        <v>1</v>
      </c>
      <c r="H1015" t="s">
        <v>42</v>
      </c>
      <c r="I1015" t="s">
        <v>43</v>
      </c>
      <c r="J1015" t="s">
        <v>77</v>
      </c>
      <c r="K1015" t="s">
        <v>44</v>
      </c>
      <c r="L1015">
        <v>125000</v>
      </c>
      <c r="M1015" s="1">
        <v>43131</v>
      </c>
      <c r="N1015" t="s">
        <v>45</v>
      </c>
      <c r="O1015" t="s">
        <v>46</v>
      </c>
      <c r="P1015" t="s">
        <v>47</v>
      </c>
      <c r="Q1015" s="1">
        <v>43852</v>
      </c>
      <c r="R1015" t="s">
        <v>48</v>
      </c>
      <c r="S1015" t="s">
        <v>233</v>
      </c>
      <c r="T1015" t="s">
        <v>234</v>
      </c>
      <c r="U1015" t="s">
        <v>42</v>
      </c>
      <c r="V1015">
        <v>0</v>
      </c>
      <c r="W1015">
        <v>100000</v>
      </c>
      <c r="X1015" s="1">
        <v>43982</v>
      </c>
      <c r="Y1015" t="s">
        <v>51</v>
      </c>
      <c r="Z1015" t="s">
        <v>43</v>
      </c>
      <c r="AA1015" t="s">
        <v>77</v>
      </c>
      <c r="AB1015" t="s">
        <v>158</v>
      </c>
      <c r="AC1015" t="s">
        <v>235</v>
      </c>
      <c r="AF1015" t="s">
        <v>56</v>
      </c>
      <c r="AG1015" s="1">
        <v>43833</v>
      </c>
      <c r="AH1015" t="s">
        <v>42</v>
      </c>
      <c r="AI1015" t="s">
        <v>55</v>
      </c>
      <c r="AJ1015">
        <v>12788092</v>
      </c>
      <c r="AK1015">
        <v>250000</v>
      </c>
      <c r="AL1015">
        <v>1500000</v>
      </c>
    </row>
    <row r="1016" spans="1:38" x14ac:dyDescent="0.25">
      <c r="A1016" t="s">
        <v>302</v>
      </c>
      <c r="B1016">
        <v>300004329</v>
      </c>
      <c r="C1016" t="s">
        <v>71</v>
      </c>
      <c r="D1016" s="1">
        <v>43131</v>
      </c>
      <c r="E1016" s="1">
        <v>43495</v>
      </c>
      <c r="F1016" t="s">
        <v>77</v>
      </c>
      <c r="G1016">
        <v>1</v>
      </c>
      <c r="H1016" t="s">
        <v>42</v>
      </c>
      <c r="I1016" t="s">
        <v>43</v>
      </c>
      <c r="J1016" t="s">
        <v>77</v>
      </c>
      <c r="K1016" t="s">
        <v>44</v>
      </c>
      <c r="L1016">
        <v>125000</v>
      </c>
      <c r="M1016" s="1">
        <v>43131</v>
      </c>
      <c r="N1016" t="s">
        <v>45</v>
      </c>
      <c r="O1016" t="s">
        <v>46</v>
      </c>
      <c r="P1016" t="s">
        <v>47</v>
      </c>
      <c r="Q1016" s="1">
        <v>43852</v>
      </c>
      <c r="R1016" t="s">
        <v>48</v>
      </c>
      <c r="S1016" t="s">
        <v>233</v>
      </c>
      <c r="T1016" t="s">
        <v>234</v>
      </c>
      <c r="U1016" t="s">
        <v>42</v>
      </c>
      <c r="V1016">
        <v>0</v>
      </c>
      <c r="W1016">
        <v>100000</v>
      </c>
      <c r="X1016" s="1">
        <v>43982</v>
      </c>
      <c r="Y1016" t="s">
        <v>51</v>
      </c>
      <c r="Z1016" t="s">
        <v>43</v>
      </c>
      <c r="AA1016" t="s">
        <v>77</v>
      </c>
      <c r="AB1016" t="s">
        <v>158</v>
      </c>
      <c r="AC1016" t="s">
        <v>235</v>
      </c>
      <c r="AF1016" t="s">
        <v>57</v>
      </c>
      <c r="AG1016" s="1">
        <v>43836</v>
      </c>
      <c r="AH1016" t="s">
        <v>42</v>
      </c>
      <c r="AI1016" t="s">
        <v>55</v>
      </c>
      <c r="AJ1016">
        <v>12788092</v>
      </c>
      <c r="AK1016">
        <v>250000</v>
      </c>
      <c r="AL1016">
        <v>1500000</v>
      </c>
    </row>
    <row r="1017" spans="1:38" x14ac:dyDescent="0.25">
      <c r="A1017" t="s">
        <v>302</v>
      </c>
      <c r="B1017">
        <v>300004329</v>
      </c>
      <c r="C1017" t="s">
        <v>71</v>
      </c>
      <c r="D1017" s="1">
        <v>43131</v>
      </c>
      <c r="E1017" s="1">
        <v>43495</v>
      </c>
      <c r="F1017" t="s">
        <v>77</v>
      </c>
      <c r="G1017">
        <v>1</v>
      </c>
      <c r="H1017" t="s">
        <v>42</v>
      </c>
      <c r="I1017" t="s">
        <v>43</v>
      </c>
      <c r="J1017" t="s">
        <v>77</v>
      </c>
      <c r="K1017" t="s">
        <v>44</v>
      </c>
      <c r="L1017">
        <v>125000</v>
      </c>
      <c r="M1017" s="1">
        <v>43131</v>
      </c>
      <c r="N1017" t="s">
        <v>45</v>
      </c>
      <c r="O1017" t="s">
        <v>46</v>
      </c>
      <c r="P1017" t="s">
        <v>47</v>
      </c>
      <c r="Q1017" s="1">
        <v>43852</v>
      </c>
      <c r="R1017" t="s">
        <v>48</v>
      </c>
      <c r="S1017" t="s">
        <v>233</v>
      </c>
      <c r="T1017" t="s">
        <v>234</v>
      </c>
      <c r="U1017" t="s">
        <v>42</v>
      </c>
      <c r="V1017">
        <v>0</v>
      </c>
      <c r="W1017">
        <v>100000</v>
      </c>
      <c r="X1017" s="1">
        <v>43982</v>
      </c>
      <c r="Y1017" t="s">
        <v>51</v>
      </c>
      <c r="Z1017" t="s">
        <v>43</v>
      </c>
      <c r="AA1017" t="s">
        <v>77</v>
      </c>
      <c r="AB1017" t="s">
        <v>158</v>
      </c>
      <c r="AC1017" t="s">
        <v>235</v>
      </c>
      <c r="AF1017" t="s">
        <v>58</v>
      </c>
      <c r="AG1017" s="1">
        <v>43837</v>
      </c>
      <c r="AH1017" t="s">
        <v>42</v>
      </c>
      <c r="AI1017" t="s">
        <v>55</v>
      </c>
      <c r="AJ1017">
        <v>12788092</v>
      </c>
      <c r="AK1017">
        <v>250000</v>
      </c>
      <c r="AL1017">
        <v>1500000</v>
      </c>
    </row>
    <row r="1018" spans="1:38" x14ac:dyDescent="0.25">
      <c r="A1018" t="s">
        <v>302</v>
      </c>
      <c r="B1018">
        <v>300004329</v>
      </c>
      <c r="C1018" t="s">
        <v>71</v>
      </c>
      <c r="D1018" s="1">
        <v>43131</v>
      </c>
      <c r="E1018" s="1">
        <v>43495</v>
      </c>
      <c r="F1018" t="s">
        <v>77</v>
      </c>
      <c r="G1018">
        <v>1</v>
      </c>
      <c r="H1018" t="s">
        <v>42</v>
      </c>
      <c r="I1018" t="s">
        <v>43</v>
      </c>
      <c r="J1018" t="s">
        <v>77</v>
      </c>
      <c r="K1018" t="s">
        <v>44</v>
      </c>
      <c r="L1018">
        <v>125000</v>
      </c>
      <c r="M1018" s="1">
        <v>43131</v>
      </c>
      <c r="N1018" t="s">
        <v>45</v>
      </c>
      <c r="O1018" t="s">
        <v>46</v>
      </c>
      <c r="P1018" t="s">
        <v>47</v>
      </c>
      <c r="Q1018" s="1">
        <v>43852</v>
      </c>
      <c r="R1018" t="s">
        <v>48</v>
      </c>
      <c r="S1018" t="s">
        <v>233</v>
      </c>
      <c r="T1018" t="s">
        <v>234</v>
      </c>
      <c r="U1018" t="s">
        <v>42</v>
      </c>
      <c r="V1018">
        <v>0</v>
      </c>
      <c r="W1018">
        <v>100000</v>
      </c>
      <c r="X1018" s="1">
        <v>43982</v>
      </c>
      <c r="Y1018" t="s">
        <v>51</v>
      </c>
      <c r="Z1018" t="s">
        <v>43</v>
      </c>
      <c r="AA1018" t="s">
        <v>77</v>
      </c>
      <c r="AB1018" t="s">
        <v>158</v>
      </c>
      <c r="AC1018" t="s">
        <v>235</v>
      </c>
      <c r="AF1018" t="s">
        <v>59</v>
      </c>
      <c r="AG1018" s="1">
        <v>43838</v>
      </c>
      <c r="AH1018" t="s">
        <v>42</v>
      </c>
      <c r="AI1018" t="s">
        <v>55</v>
      </c>
      <c r="AJ1018">
        <v>12788092</v>
      </c>
      <c r="AK1018">
        <v>250000</v>
      </c>
      <c r="AL1018">
        <v>1500000</v>
      </c>
    </row>
    <row r="1019" spans="1:38" x14ac:dyDescent="0.25">
      <c r="A1019" t="s">
        <v>304</v>
      </c>
      <c r="B1019" t="s">
        <v>367</v>
      </c>
      <c r="C1019" t="s">
        <v>40</v>
      </c>
      <c r="D1019" s="1">
        <v>43496</v>
      </c>
      <c r="E1019" s="1">
        <v>43860</v>
      </c>
      <c r="F1019" t="s">
        <v>77</v>
      </c>
      <c r="G1019">
        <v>1</v>
      </c>
      <c r="H1019" t="s">
        <v>42</v>
      </c>
      <c r="I1019" t="s">
        <v>43</v>
      </c>
      <c r="J1019" t="s">
        <v>77</v>
      </c>
      <c r="K1019" t="s">
        <v>44</v>
      </c>
      <c r="L1019">
        <v>125000</v>
      </c>
      <c r="M1019" s="1">
        <v>43496</v>
      </c>
      <c r="N1019" t="s">
        <v>45</v>
      </c>
      <c r="O1019" t="s">
        <v>44</v>
      </c>
      <c r="P1019" t="s">
        <v>47</v>
      </c>
      <c r="Q1019" s="1">
        <v>43852</v>
      </c>
      <c r="R1019" t="s">
        <v>48</v>
      </c>
      <c r="S1019" t="s">
        <v>233</v>
      </c>
      <c r="T1019" t="s">
        <v>234</v>
      </c>
      <c r="U1019" t="s">
        <v>42</v>
      </c>
      <c r="V1019">
        <v>0</v>
      </c>
      <c r="W1019">
        <v>100000</v>
      </c>
      <c r="X1019" s="1">
        <v>43982</v>
      </c>
      <c r="Y1019" t="s">
        <v>51</v>
      </c>
      <c r="Z1019" t="s">
        <v>43</v>
      </c>
      <c r="AA1019" t="s">
        <v>77</v>
      </c>
      <c r="AB1019" t="s">
        <v>158</v>
      </c>
      <c r="AC1019" t="s">
        <v>235</v>
      </c>
      <c r="AF1019" t="s">
        <v>54</v>
      </c>
      <c r="AG1019" s="1">
        <v>43832</v>
      </c>
      <c r="AH1019" t="s">
        <v>42</v>
      </c>
      <c r="AI1019" t="s">
        <v>55</v>
      </c>
      <c r="AJ1019">
        <v>12788092</v>
      </c>
      <c r="AK1019">
        <v>250000</v>
      </c>
      <c r="AL1019">
        <v>1500000</v>
      </c>
    </row>
    <row r="1020" spans="1:38" x14ac:dyDescent="0.25">
      <c r="A1020" t="s">
        <v>304</v>
      </c>
      <c r="B1020" t="s">
        <v>367</v>
      </c>
      <c r="C1020" t="s">
        <v>40</v>
      </c>
      <c r="D1020" s="1">
        <v>43496</v>
      </c>
      <c r="E1020" s="1">
        <v>43860</v>
      </c>
      <c r="F1020" t="s">
        <v>77</v>
      </c>
      <c r="G1020">
        <v>1</v>
      </c>
      <c r="H1020" t="s">
        <v>42</v>
      </c>
      <c r="I1020" t="s">
        <v>43</v>
      </c>
      <c r="J1020" t="s">
        <v>77</v>
      </c>
      <c r="K1020" t="s">
        <v>44</v>
      </c>
      <c r="L1020">
        <v>125000</v>
      </c>
      <c r="M1020" s="1">
        <v>43496</v>
      </c>
      <c r="N1020" t="s">
        <v>45</v>
      </c>
      <c r="O1020" t="s">
        <v>44</v>
      </c>
      <c r="P1020" t="s">
        <v>47</v>
      </c>
      <c r="Q1020" s="1">
        <v>43852</v>
      </c>
      <c r="R1020" t="s">
        <v>48</v>
      </c>
      <c r="S1020" t="s">
        <v>233</v>
      </c>
      <c r="T1020" t="s">
        <v>234</v>
      </c>
      <c r="U1020" t="s">
        <v>42</v>
      </c>
      <c r="V1020">
        <v>0</v>
      </c>
      <c r="W1020">
        <v>100000</v>
      </c>
      <c r="X1020" s="1">
        <v>43982</v>
      </c>
      <c r="Y1020" t="s">
        <v>51</v>
      </c>
      <c r="Z1020" t="s">
        <v>43</v>
      </c>
      <c r="AA1020" t="s">
        <v>77</v>
      </c>
      <c r="AB1020" t="s">
        <v>158</v>
      </c>
      <c r="AC1020" t="s">
        <v>235</v>
      </c>
      <c r="AF1020" t="s">
        <v>56</v>
      </c>
      <c r="AG1020" s="1">
        <v>43833</v>
      </c>
      <c r="AH1020" t="s">
        <v>42</v>
      </c>
      <c r="AI1020" t="s">
        <v>55</v>
      </c>
      <c r="AJ1020">
        <v>12788092</v>
      </c>
      <c r="AK1020">
        <v>250000</v>
      </c>
      <c r="AL1020">
        <v>1500000</v>
      </c>
    </row>
    <row r="1021" spans="1:38" x14ac:dyDescent="0.25">
      <c r="A1021" t="s">
        <v>304</v>
      </c>
      <c r="B1021" t="s">
        <v>367</v>
      </c>
      <c r="C1021" t="s">
        <v>40</v>
      </c>
      <c r="D1021" s="1">
        <v>43496</v>
      </c>
      <c r="E1021" s="1">
        <v>43860</v>
      </c>
      <c r="F1021" t="s">
        <v>77</v>
      </c>
      <c r="G1021">
        <v>1</v>
      </c>
      <c r="H1021" t="s">
        <v>42</v>
      </c>
      <c r="I1021" t="s">
        <v>43</v>
      </c>
      <c r="J1021" t="s">
        <v>77</v>
      </c>
      <c r="K1021" t="s">
        <v>44</v>
      </c>
      <c r="L1021">
        <v>125000</v>
      </c>
      <c r="M1021" s="1">
        <v>43496</v>
      </c>
      <c r="N1021" t="s">
        <v>45</v>
      </c>
      <c r="O1021" t="s">
        <v>44</v>
      </c>
      <c r="P1021" t="s">
        <v>47</v>
      </c>
      <c r="Q1021" s="1">
        <v>43852</v>
      </c>
      <c r="R1021" t="s">
        <v>48</v>
      </c>
      <c r="S1021" t="s">
        <v>233</v>
      </c>
      <c r="T1021" t="s">
        <v>234</v>
      </c>
      <c r="U1021" t="s">
        <v>42</v>
      </c>
      <c r="V1021">
        <v>0</v>
      </c>
      <c r="W1021">
        <v>100000</v>
      </c>
      <c r="X1021" s="1">
        <v>43982</v>
      </c>
      <c r="Y1021" t="s">
        <v>51</v>
      </c>
      <c r="Z1021" t="s">
        <v>43</v>
      </c>
      <c r="AA1021" t="s">
        <v>77</v>
      </c>
      <c r="AB1021" t="s">
        <v>158</v>
      </c>
      <c r="AC1021" t="s">
        <v>235</v>
      </c>
      <c r="AF1021" t="s">
        <v>57</v>
      </c>
      <c r="AG1021" s="1">
        <v>43836</v>
      </c>
      <c r="AH1021" t="s">
        <v>42</v>
      </c>
      <c r="AI1021" t="s">
        <v>55</v>
      </c>
      <c r="AJ1021">
        <v>12788092</v>
      </c>
      <c r="AK1021">
        <v>250000</v>
      </c>
      <c r="AL1021">
        <v>1500000</v>
      </c>
    </row>
    <row r="1022" spans="1:38" x14ac:dyDescent="0.25">
      <c r="A1022" t="s">
        <v>304</v>
      </c>
      <c r="B1022" t="s">
        <v>367</v>
      </c>
      <c r="C1022" t="s">
        <v>40</v>
      </c>
      <c r="D1022" s="1">
        <v>43496</v>
      </c>
      <c r="E1022" s="1">
        <v>43860</v>
      </c>
      <c r="F1022" t="s">
        <v>77</v>
      </c>
      <c r="G1022">
        <v>1</v>
      </c>
      <c r="H1022" t="s">
        <v>42</v>
      </c>
      <c r="I1022" t="s">
        <v>43</v>
      </c>
      <c r="J1022" t="s">
        <v>77</v>
      </c>
      <c r="K1022" t="s">
        <v>44</v>
      </c>
      <c r="L1022">
        <v>125000</v>
      </c>
      <c r="M1022" s="1">
        <v>43496</v>
      </c>
      <c r="N1022" t="s">
        <v>45</v>
      </c>
      <c r="O1022" t="s">
        <v>44</v>
      </c>
      <c r="P1022" t="s">
        <v>47</v>
      </c>
      <c r="Q1022" s="1">
        <v>43852</v>
      </c>
      <c r="R1022" t="s">
        <v>48</v>
      </c>
      <c r="S1022" t="s">
        <v>233</v>
      </c>
      <c r="T1022" t="s">
        <v>234</v>
      </c>
      <c r="U1022" t="s">
        <v>42</v>
      </c>
      <c r="V1022">
        <v>0</v>
      </c>
      <c r="W1022">
        <v>100000</v>
      </c>
      <c r="X1022" s="1">
        <v>43982</v>
      </c>
      <c r="Y1022" t="s">
        <v>51</v>
      </c>
      <c r="Z1022" t="s">
        <v>43</v>
      </c>
      <c r="AA1022" t="s">
        <v>77</v>
      </c>
      <c r="AB1022" t="s">
        <v>158</v>
      </c>
      <c r="AC1022" t="s">
        <v>235</v>
      </c>
      <c r="AF1022" t="s">
        <v>58</v>
      </c>
      <c r="AG1022" s="1">
        <v>43837</v>
      </c>
      <c r="AH1022" t="s">
        <v>42</v>
      </c>
      <c r="AI1022" t="s">
        <v>55</v>
      </c>
      <c r="AJ1022">
        <v>12788092</v>
      </c>
      <c r="AK1022">
        <v>250000</v>
      </c>
      <c r="AL1022">
        <v>1500000</v>
      </c>
    </row>
    <row r="1023" spans="1:38" x14ac:dyDescent="0.25">
      <c r="A1023" t="s">
        <v>304</v>
      </c>
      <c r="B1023" t="s">
        <v>367</v>
      </c>
      <c r="C1023" t="s">
        <v>40</v>
      </c>
      <c r="D1023" s="1">
        <v>43496</v>
      </c>
      <c r="E1023" s="1">
        <v>43860</v>
      </c>
      <c r="F1023" t="s">
        <v>77</v>
      </c>
      <c r="G1023">
        <v>1</v>
      </c>
      <c r="H1023" t="s">
        <v>42</v>
      </c>
      <c r="I1023" t="s">
        <v>43</v>
      </c>
      <c r="J1023" t="s">
        <v>77</v>
      </c>
      <c r="K1023" t="s">
        <v>44</v>
      </c>
      <c r="L1023">
        <v>125000</v>
      </c>
      <c r="M1023" s="1">
        <v>43496</v>
      </c>
      <c r="N1023" t="s">
        <v>45</v>
      </c>
      <c r="O1023" t="s">
        <v>44</v>
      </c>
      <c r="P1023" t="s">
        <v>47</v>
      </c>
      <c r="Q1023" s="1">
        <v>43852</v>
      </c>
      <c r="R1023" t="s">
        <v>48</v>
      </c>
      <c r="S1023" t="s">
        <v>233</v>
      </c>
      <c r="T1023" t="s">
        <v>234</v>
      </c>
      <c r="U1023" t="s">
        <v>42</v>
      </c>
      <c r="V1023">
        <v>0</v>
      </c>
      <c r="W1023">
        <v>100000</v>
      </c>
      <c r="X1023" s="1">
        <v>43982</v>
      </c>
      <c r="Y1023" t="s">
        <v>51</v>
      </c>
      <c r="Z1023" t="s">
        <v>43</v>
      </c>
      <c r="AA1023" t="s">
        <v>77</v>
      </c>
      <c r="AB1023" t="s">
        <v>158</v>
      </c>
      <c r="AC1023" t="s">
        <v>235</v>
      </c>
      <c r="AF1023" t="s">
        <v>59</v>
      </c>
      <c r="AG1023" s="1">
        <v>43838</v>
      </c>
      <c r="AH1023" t="s">
        <v>42</v>
      </c>
      <c r="AI1023" t="s">
        <v>55</v>
      </c>
      <c r="AJ1023">
        <v>12788092</v>
      </c>
      <c r="AK1023">
        <v>250000</v>
      </c>
      <c r="AL1023">
        <v>1500000</v>
      </c>
    </row>
    <row r="1024" spans="1:38" x14ac:dyDescent="0.25">
      <c r="A1024" t="s">
        <v>307</v>
      </c>
      <c r="B1024">
        <v>304001755</v>
      </c>
      <c r="C1024" t="s">
        <v>71</v>
      </c>
      <c r="D1024" s="1">
        <v>43131</v>
      </c>
      <c r="E1024" s="1">
        <v>43495</v>
      </c>
      <c r="F1024" t="s">
        <v>77</v>
      </c>
      <c r="G1024">
        <v>1</v>
      </c>
      <c r="H1024" t="s">
        <v>42</v>
      </c>
      <c r="I1024" t="s">
        <v>43</v>
      </c>
      <c r="J1024" t="s">
        <v>77</v>
      </c>
      <c r="K1024" t="s">
        <v>44</v>
      </c>
      <c r="L1024">
        <v>80000</v>
      </c>
      <c r="M1024" s="1">
        <v>43131</v>
      </c>
      <c r="N1024" t="s">
        <v>45</v>
      </c>
      <c r="O1024" t="s">
        <v>46</v>
      </c>
      <c r="P1024" t="s">
        <v>47</v>
      </c>
      <c r="Q1024" s="1">
        <v>43852</v>
      </c>
      <c r="R1024" t="s">
        <v>48</v>
      </c>
      <c r="S1024" t="s">
        <v>233</v>
      </c>
      <c r="T1024" t="s">
        <v>234</v>
      </c>
      <c r="U1024" t="s">
        <v>42</v>
      </c>
      <c r="V1024">
        <v>0</v>
      </c>
      <c r="W1024">
        <v>100000</v>
      </c>
      <c r="X1024" s="1">
        <v>43982</v>
      </c>
      <c r="Y1024" t="s">
        <v>51</v>
      </c>
      <c r="Z1024" t="s">
        <v>43</v>
      </c>
      <c r="AA1024" t="s">
        <v>77</v>
      </c>
      <c r="AB1024" t="s">
        <v>158</v>
      </c>
      <c r="AC1024" t="s">
        <v>235</v>
      </c>
      <c r="AF1024" t="s">
        <v>54</v>
      </c>
      <c r="AG1024" s="1">
        <v>43832</v>
      </c>
      <c r="AH1024" t="s">
        <v>42</v>
      </c>
      <c r="AI1024" t="s">
        <v>55</v>
      </c>
      <c r="AJ1024">
        <v>12788092</v>
      </c>
      <c r="AK1024">
        <v>250000</v>
      </c>
      <c r="AL1024">
        <v>1500000</v>
      </c>
    </row>
    <row r="1025" spans="1:38" x14ac:dyDescent="0.25">
      <c r="A1025" t="s">
        <v>307</v>
      </c>
      <c r="B1025">
        <v>304001755</v>
      </c>
      <c r="C1025" t="s">
        <v>71</v>
      </c>
      <c r="D1025" s="1">
        <v>43131</v>
      </c>
      <c r="E1025" s="1">
        <v>43495</v>
      </c>
      <c r="F1025" t="s">
        <v>77</v>
      </c>
      <c r="G1025">
        <v>1</v>
      </c>
      <c r="H1025" t="s">
        <v>42</v>
      </c>
      <c r="I1025" t="s">
        <v>43</v>
      </c>
      <c r="J1025" t="s">
        <v>77</v>
      </c>
      <c r="K1025" t="s">
        <v>44</v>
      </c>
      <c r="L1025">
        <v>80000</v>
      </c>
      <c r="M1025" s="1">
        <v>43131</v>
      </c>
      <c r="N1025" t="s">
        <v>45</v>
      </c>
      <c r="O1025" t="s">
        <v>46</v>
      </c>
      <c r="P1025" t="s">
        <v>47</v>
      </c>
      <c r="Q1025" s="1">
        <v>43852</v>
      </c>
      <c r="R1025" t="s">
        <v>48</v>
      </c>
      <c r="S1025" t="s">
        <v>233</v>
      </c>
      <c r="T1025" t="s">
        <v>234</v>
      </c>
      <c r="U1025" t="s">
        <v>42</v>
      </c>
      <c r="V1025">
        <v>0</v>
      </c>
      <c r="W1025">
        <v>100000</v>
      </c>
      <c r="X1025" s="1">
        <v>43982</v>
      </c>
      <c r="Y1025" t="s">
        <v>51</v>
      </c>
      <c r="Z1025" t="s">
        <v>43</v>
      </c>
      <c r="AA1025" t="s">
        <v>77</v>
      </c>
      <c r="AB1025" t="s">
        <v>158</v>
      </c>
      <c r="AC1025" t="s">
        <v>235</v>
      </c>
      <c r="AF1025" t="s">
        <v>56</v>
      </c>
      <c r="AG1025" s="1">
        <v>43833</v>
      </c>
      <c r="AH1025" t="s">
        <v>42</v>
      </c>
      <c r="AI1025" t="s">
        <v>55</v>
      </c>
      <c r="AJ1025">
        <v>12788092</v>
      </c>
      <c r="AK1025">
        <v>250000</v>
      </c>
      <c r="AL1025">
        <v>1500000</v>
      </c>
    </row>
    <row r="1026" spans="1:38" x14ac:dyDescent="0.25">
      <c r="A1026" t="s">
        <v>307</v>
      </c>
      <c r="B1026">
        <v>304001755</v>
      </c>
      <c r="C1026" t="s">
        <v>71</v>
      </c>
      <c r="D1026" s="1">
        <v>43131</v>
      </c>
      <c r="E1026" s="1">
        <v>43495</v>
      </c>
      <c r="F1026" t="s">
        <v>77</v>
      </c>
      <c r="G1026">
        <v>1</v>
      </c>
      <c r="H1026" t="s">
        <v>42</v>
      </c>
      <c r="I1026" t="s">
        <v>43</v>
      </c>
      <c r="J1026" t="s">
        <v>77</v>
      </c>
      <c r="K1026" t="s">
        <v>44</v>
      </c>
      <c r="L1026">
        <v>80000</v>
      </c>
      <c r="M1026" s="1">
        <v>43131</v>
      </c>
      <c r="N1026" t="s">
        <v>45</v>
      </c>
      <c r="O1026" t="s">
        <v>46</v>
      </c>
      <c r="P1026" t="s">
        <v>47</v>
      </c>
      <c r="Q1026" s="1">
        <v>43852</v>
      </c>
      <c r="R1026" t="s">
        <v>48</v>
      </c>
      <c r="S1026" t="s">
        <v>233</v>
      </c>
      <c r="T1026" t="s">
        <v>234</v>
      </c>
      <c r="U1026" t="s">
        <v>42</v>
      </c>
      <c r="V1026">
        <v>0</v>
      </c>
      <c r="W1026">
        <v>100000</v>
      </c>
      <c r="X1026" s="1">
        <v>43982</v>
      </c>
      <c r="Y1026" t="s">
        <v>51</v>
      </c>
      <c r="Z1026" t="s">
        <v>43</v>
      </c>
      <c r="AA1026" t="s">
        <v>77</v>
      </c>
      <c r="AB1026" t="s">
        <v>158</v>
      </c>
      <c r="AC1026" t="s">
        <v>235</v>
      </c>
      <c r="AF1026" t="s">
        <v>57</v>
      </c>
      <c r="AG1026" s="1">
        <v>43836</v>
      </c>
      <c r="AH1026" t="s">
        <v>42</v>
      </c>
      <c r="AI1026" t="s">
        <v>55</v>
      </c>
      <c r="AJ1026">
        <v>12788092</v>
      </c>
      <c r="AK1026">
        <v>250000</v>
      </c>
      <c r="AL1026">
        <v>1500000</v>
      </c>
    </row>
    <row r="1027" spans="1:38" x14ac:dyDescent="0.25">
      <c r="A1027" t="s">
        <v>307</v>
      </c>
      <c r="B1027">
        <v>304001755</v>
      </c>
      <c r="C1027" t="s">
        <v>71</v>
      </c>
      <c r="D1027" s="1">
        <v>43131</v>
      </c>
      <c r="E1027" s="1">
        <v>43495</v>
      </c>
      <c r="F1027" t="s">
        <v>77</v>
      </c>
      <c r="G1027">
        <v>1</v>
      </c>
      <c r="H1027" t="s">
        <v>42</v>
      </c>
      <c r="I1027" t="s">
        <v>43</v>
      </c>
      <c r="J1027" t="s">
        <v>77</v>
      </c>
      <c r="K1027" t="s">
        <v>44</v>
      </c>
      <c r="L1027">
        <v>80000</v>
      </c>
      <c r="M1027" s="1">
        <v>43131</v>
      </c>
      <c r="N1027" t="s">
        <v>45</v>
      </c>
      <c r="O1027" t="s">
        <v>46</v>
      </c>
      <c r="P1027" t="s">
        <v>47</v>
      </c>
      <c r="Q1027" s="1">
        <v>43852</v>
      </c>
      <c r="R1027" t="s">
        <v>48</v>
      </c>
      <c r="S1027" t="s">
        <v>233</v>
      </c>
      <c r="T1027" t="s">
        <v>234</v>
      </c>
      <c r="U1027" t="s">
        <v>42</v>
      </c>
      <c r="V1027">
        <v>0</v>
      </c>
      <c r="W1027">
        <v>100000</v>
      </c>
      <c r="X1027" s="1">
        <v>43982</v>
      </c>
      <c r="Y1027" t="s">
        <v>51</v>
      </c>
      <c r="Z1027" t="s">
        <v>43</v>
      </c>
      <c r="AA1027" t="s">
        <v>77</v>
      </c>
      <c r="AB1027" t="s">
        <v>158</v>
      </c>
      <c r="AC1027" t="s">
        <v>235</v>
      </c>
      <c r="AF1027" t="s">
        <v>58</v>
      </c>
      <c r="AG1027" s="1">
        <v>43837</v>
      </c>
      <c r="AH1027" t="s">
        <v>42</v>
      </c>
      <c r="AI1027" t="s">
        <v>55</v>
      </c>
      <c r="AJ1027">
        <v>12788092</v>
      </c>
      <c r="AK1027">
        <v>250000</v>
      </c>
      <c r="AL1027">
        <v>1500000</v>
      </c>
    </row>
    <row r="1028" spans="1:38" x14ac:dyDescent="0.25">
      <c r="A1028" t="s">
        <v>307</v>
      </c>
      <c r="B1028">
        <v>304001755</v>
      </c>
      <c r="C1028" t="s">
        <v>71</v>
      </c>
      <c r="D1028" s="1">
        <v>43131</v>
      </c>
      <c r="E1028" s="1">
        <v>43495</v>
      </c>
      <c r="F1028" t="s">
        <v>77</v>
      </c>
      <c r="G1028">
        <v>1</v>
      </c>
      <c r="H1028" t="s">
        <v>42</v>
      </c>
      <c r="I1028" t="s">
        <v>43</v>
      </c>
      <c r="J1028" t="s">
        <v>77</v>
      </c>
      <c r="K1028" t="s">
        <v>44</v>
      </c>
      <c r="L1028">
        <v>80000</v>
      </c>
      <c r="M1028" s="1">
        <v>43131</v>
      </c>
      <c r="N1028" t="s">
        <v>45</v>
      </c>
      <c r="O1028" t="s">
        <v>46</v>
      </c>
      <c r="P1028" t="s">
        <v>47</v>
      </c>
      <c r="Q1028" s="1">
        <v>43852</v>
      </c>
      <c r="R1028" t="s">
        <v>48</v>
      </c>
      <c r="S1028" t="s">
        <v>233</v>
      </c>
      <c r="T1028" t="s">
        <v>234</v>
      </c>
      <c r="U1028" t="s">
        <v>42</v>
      </c>
      <c r="V1028">
        <v>0</v>
      </c>
      <c r="W1028">
        <v>100000</v>
      </c>
      <c r="X1028" s="1">
        <v>43982</v>
      </c>
      <c r="Y1028" t="s">
        <v>51</v>
      </c>
      <c r="Z1028" t="s">
        <v>43</v>
      </c>
      <c r="AA1028" t="s">
        <v>77</v>
      </c>
      <c r="AB1028" t="s">
        <v>158</v>
      </c>
      <c r="AC1028" t="s">
        <v>235</v>
      </c>
      <c r="AF1028" t="s">
        <v>59</v>
      </c>
      <c r="AG1028" s="1">
        <v>43838</v>
      </c>
      <c r="AH1028" t="s">
        <v>42</v>
      </c>
      <c r="AI1028" t="s">
        <v>55</v>
      </c>
      <c r="AJ1028">
        <v>12788092</v>
      </c>
      <c r="AK1028">
        <v>250000</v>
      </c>
      <c r="AL1028">
        <v>1500000</v>
      </c>
    </row>
    <row r="1029" spans="1:38" x14ac:dyDescent="0.25">
      <c r="A1029" t="s">
        <v>308</v>
      </c>
      <c r="B1029">
        <v>304001755</v>
      </c>
      <c r="C1029" t="s">
        <v>71</v>
      </c>
      <c r="D1029" s="1">
        <v>43131</v>
      </c>
      <c r="E1029" s="1">
        <v>43495</v>
      </c>
      <c r="F1029" t="s">
        <v>77</v>
      </c>
      <c r="G1029">
        <v>1</v>
      </c>
      <c r="H1029" t="s">
        <v>42</v>
      </c>
      <c r="I1029" t="s">
        <v>43</v>
      </c>
      <c r="J1029" t="s">
        <v>77</v>
      </c>
      <c r="K1029" t="s">
        <v>44</v>
      </c>
      <c r="L1029">
        <v>320000</v>
      </c>
      <c r="M1029" s="1">
        <v>43131</v>
      </c>
      <c r="N1029" t="s">
        <v>45</v>
      </c>
      <c r="O1029" t="s">
        <v>46</v>
      </c>
      <c r="P1029" t="s">
        <v>47</v>
      </c>
      <c r="Q1029" s="1">
        <v>43852</v>
      </c>
      <c r="R1029" t="s">
        <v>48</v>
      </c>
      <c r="S1029" t="s">
        <v>233</v>
      </c>
      <c r="T1029" t="s">
        <v>234</v>
      </c>
      <c r="U1029" t="s">
        <v>42</v>
      </c>
      <c r="V1029">
        <v>0</v>
      </c>
      <c r="W1029">
        <v>100000</v>
      </c>
      <c r="X1029" s="1">
        <v>43982</v>
      </c>
      <c r="Y1029" t="s">
        <v>51</v>
      </c>
      <c r="Z1029" t="s">
        <v>43</v>
      </c>
      <c r="AA1029" t="s">
        <v>77</v>
      </c>
      <c r="AB1029" t="s">
        <v>158</v>
      </c>
      <c r="AC1029" t="s">
        <v>235</v>
      </c>
      <c r="AF1029" t="s">
        <v>54</v>
      </c>
      <c r="AG1029" s="1">
        <v>43832</v>
      </c>
      <c r="AH1029" t="s">
        <v>42</v>
      </c>
      <c r="AI1029" t="s">
        <v>55</v>
      </c>
      <c r="AJ1029">
        <v>12788092</v>
      </c>
      <c r="AK1029">
        <v>250000</v>
      </c>
      <c r="AL1029">
        <v>1500000</v>
      </c>
    </row>
    <row r="1030" spans="1:38" x14ac:dyDescent="0.25">
      <c r="A1030" t="s">
        <v>308</v>
      </c>
      <c r="B1030">
        <v>304001755</v>
      </c>
      <c r="C1030" t="s">
        <v>71</v>
      </c>
      <c r="D1030" s="1">
        <v>43131</v>
      </c>
      <c r="E1030" s="1">
        <v>43495</v>
      </c>
      <c r="F1030" t="s">
        <v>77</v>
      </c>
      <c r="G1030">
        <v>1</v>
      </c>
      <c r="H1030" t="s">
        <v>42</v>
      </c>
      <c r="I1030" t="s">
        <v>43</v>
      </c>
      <c r="J1030" t="s">
        <v>77</v>
      </c>
      <c r="K1030" t="s">
        <v>44</v>
      </c>
      <c r="L1030">
        <v>320000</v>
      </c>
      <c r="M1030" s="1">
        <v>43131</v>
      </c>
      <c r="N1030" t="s">
        <v>45</v>
      </c>
      <c r="O1030" t="s">
        <v>46</v>
      </c>
      <c r="P1030" t="s">
        <v>47</v>
      </c>
      <c r="Q1030" s="1">
        <v>43852</v>
      </c>
      <c r="R1030" t="s">
        <v>48</v>
      </c>
      <c r="S1030" t="s">
        <v>233</v>
      </c>
      <c r="T1030" t="s">
        <v>234</v>
      </c>
      <c r="U1030" t="s">
        <v>42</v>
      </c>
      <c r="V1030">
        <v>0</v>
      </c>
      <c r="W1030">
        <v>100000</v>
      </c>
      <c r="X1030" s="1">
        <v>43982</v>
      </c>
      <c r="Y1030" t="s">
        <v>51</v>
      </c>
      <c r="Z1030" t="s">
        <v>43</v>
      </c>
      <c r="AA1030" t="s">
        <v>77</v>
      </c>
      <c r="AB1030" t="s">
        <v>158</v>
      </c>
      <c r="AC1030" t="s">
        <v>235</v>
      </c>
      <c r="AF1030" t="s">
        <v>56</v>
      </c>
      <c r="AG1030" s="1">
        <v>43833</v>
      </c>
      <c r="AH1030" t="s">
        <v>42</v>
      </c>
      <c r="AI1030" t="s">
        <v>55</v>
      </c>
      <c r="AJ1030">
        <v>12788092</v>
      </c>
      <c r="AK1030">
        <v>250000</v>
      </c>
      <c r="AL1030">
        <v>1500000</v>
      </c>
    </row>
    <row r="1031" spans="1:38" x14ac:dyDescent="0.25">
      <c r="A1031" t="s">
        <v>308</v>
      </c>
      <c r="B1031">
        <v>304001755</v>
      </c>
      <c r="C1031" t="s">
        <v>71</v>
      </c>
      <c r="D1031" s="1">
        <v>43131</v>
      </c>
      <c r="E1031" s="1">
        <v>43495</v>
      </c>
      <c r="F1031" t="s">
        <v>77</v>
      </c>
      <c r="G1031">
        <v>1</v>
      </c>
      <c r="H1031" t="s">
        <v>42</v>
      </c>
      <c r="I1031" t="s">
        <v>43</v>
      </c>
      <c r="J1031" t="s">
        <v>77</v>
      </c>
      <c r="K1031" t="s">
        <v>44</v>
      </c>
      <c r="L1031">
        <v>320000</v>
      </c>
      <c r="M1031" s="1">
        <v>43131</v>
      </c>
      <c r="N1031" t="s">
        <v>45</v>
      </c>
      <c r="O1031" t="s">
        <v>46</v>
      </c>
      <c r="P1031" t="s">
        <v>47</v>
      </c>
      <c r="Q1031" s="1">
        <v>43852</v>
      </c>
      <c r="R1031" t="s">
        <v>48</v>
      </c>
      <c r="S1031" t="s">
        <v>233</v>
      </c>
      <c r="T1031" t="s">
        <v>234</v>
      </c>
      <c r="U1031" t="s">
        <v>42</v>
      </c>
      <c r="V1031">
        <v>0</v>
      </c>
      <c r="W1031">
        <v>100000</v>
      </c>
      <c r="X1031" s="1">
        <v>43982</v>
      </c>
      <c r="Y1031" t="s">
        <v>51</v>
      </c>
      <c r="Z1031" t="s">
        <v>43</v>
      </c>
      <c r="AA1031" t="s">
        <v>77</v>
      </c>
      <c r="AB1031" t="s">
        <v>158</v>
      </c>
      <c r="AC1031" t="s">
        <v>235</v>
      </c>
      <c r="AF1031" t="s">
        <v>57</v>
      </c>
      <c r="AG1031" s="1">
        <v>43836</v>
      </c>
      <c r="AH1031" t="s">
        <v>42</v>
      </c>
      <c r="AI1031" t="s">
        <v>55</v>
      </c>
      <c r="AJ1031">
        <v>12788092</v>
      </c>
      <c r="AK1031">
        <v>250000</v>
      </c>
      <c r="AL1031">
        <v>1500000</v>
      </c>
    </row>
    <row r="1032" spans="1:38" x14ac:dyDescent="0.25">
      <c r="A1032" t="s">
        <v>308</v>
      </c>
      <c r="B1032">
        <v>304001755</v>
      </c>
      <c r="C1032" t="s">
        <v>71</v>
      </c>
      <c r="D1032" s="1">
        <v>43131</v>
      </c>
      <c r="E1032" s="1">
        <v>43495</v>
      </c>
      <c r="F1032" t="s">
        <v>77</v>
      </c>
      <c r="G1032">
        <v>1</v>
      </c>
      <c r="H1032" t="s">
        <v>42</v>
      </c>
      <c r="I1032" t="s">
        <v>43</v>
      </c>
      <c r="J1032" t="s">
        <v>77</v>
      </c>
      <c r="K1032" t="s">
        <v>44</v>
      </c>
      <c r="L1032">
        <v>320000</v>
      </c>
      <c r="M1032" s="1">
        <v>43131</v>
      </c>
      <c r="N1032" t="s">
        <v>45</v>
      </c>
      <c r="O1032" t="s">
        <v>46</v>
      </c>
      <c r="P1032" t="s">
        <v>47</v>
      </c>
      <c r="Q1032" s="1">
        <v>43852</v>
      </c>
      <c r="R1032" t="s">
        <v>48</v>
      </c>
      <c r="S1032" t="s">
        <v>233</v>
      </c>
      <c r="T1032" t="s">
        <v>234</v>
      </c>
      <c r="U1032" t="s">
        <v>42</v>
      </c>
      <c r="V1032">
        <v>0</v>
      </c>
      <c r="W1032">
        <v>100000</v>
      </c>
      <c r="X1032" s="1">
        <v>43982</v>
      </c>
      <c r="Y1032" t="s">
        <v>51</v>
      </c>
      <c r="Z1032" t="s">
        <v>43</v>
      </c>
      <c r="AA1032" t="s">
        <v>77</v>
      </c>
      <c r="AB1032" t="s">
        <v>158</v>
      </c>
      <c r="AC1032" t="s">
        <v>235</v>
      </c>
      <c r="AF1032" t="s">
        <v>58</v>
      </c>
      <c r="AG1032" s="1">
        <v>43837</v>
      </c>
      <c r="AH1032" t="s">
        <v>42</v>
      </c>
      <c r="AI1032" t="s">
        <v>55</v>
      </c>
      <c r="AJ1032">
        <v>12788092</v>
      </c>
      <c r="AK1032">
        <v>250000</v>
      </c>
      <c r="AL1032">
        <v>1500000</v>
      </c>
    </row>
    <row r="1033" spans="1:38" x14ac:dyDescent="0.25">
      <c r="A1033" t="s">
        <v>308</v>
      </c>
      <c r="B1033">
        <v>304001755</v>
      </c>
      <c r="C1033" t="s">
        <v>71</v>
      </c>
      <c r="D1033" s="1">
        <v>43131</v>
      </c>
      <c r="E1033" s="1">
        <v>43495</v>
      </c>
      <c r="F1033" t="s">
        <v>77</v>
      </c>
      <c r="G1033">
        <v>1</v>
      </c>
      <c r="H1033" t="s">
        <v>42</v>
      </c>
      <c r="I1033" t="s">
        <v>43</v>
      </c>
      <c r="J1033" t="s">
        <v>77</v>
      </c>
      <c r="K1033" t="s">
        <v>44</v>
      </c>
      <c r="L1033">
        <v>320000</v>
      </c>
      <c r="M1033" s="1">
        <v>43131</v>
      </c>
      <c r="N1033" t="s">
        <v>45</v>
      </c>
      <c r="O1033" t="s">
        <v>46</v>
      </c>
      <c r="P1033" t="s">
        <v>47</v>
      </c>
      <c r="Q1033" s="1">
        <v>43852</v>
      </c>
      <c r="R1033" t="s">
        <v>48</v>
      </c>
      <c r="S1033" t="s">
        <v>233</v>
      </c>
      <c r="T1033" t="s">
        <v>234</v>
      </c>
      <c r="U1033" t="s">
        <v>42</v>
      </c>
      <c r="V1033">
        <v>0</v>
      </c>
      <c r="W1033">
        <v>100000</v>
      </c>
      <c r="X1033" s="1">
        <v>43982</v>
      </c>
      <c r="Y1033" t="s">
        <v>51</v>
      </c>
      <c r="Z1033" t="s">
        <v>43</v>
      </c>
      <c r="AA1033" t="s">
        <v>77</v>
      </c>
      <c r="AB1033" t="s">
        <v>158</v>
      </c>
      <c r="AC1033" t="s">
        <v>235</v>
      </c>
      <c r="AF1033" t="s">
        <v>59</v>
      </c>
      <c r="AG1033" s="1">
        <v>43838</v>
      </c>
      <c r="AH1033" t="s">
        <v>42</v>
      </c>
      <c r="AI1033" t="s">
        <v>55</v>
      </c>
      <c r="AJ1033">
        <v>12788092</v>
      </c>
      <c r="AK1033">
        <v>250000</v>
      </c>
      <c r="AL1033">
        <v>1500000</v>
      </c>
    </row>
    <row r="1034" spans="1:38" x14ac:dyDescent="0.25">
      <c r="A1034" t="s">
        <v>309</v>
      </c>
      <c r="B1034" t="s">
        <v>368</v>
      </c>
      <c r="C1034" t="s">
        <v>40</v>
      </c>
      <c r="D1034" s="1">
        <v>43496</v>
      </c>
      <c r="E1034" s="1">
        <v>43860</v>
      </c>
      <c r="F1034" t="s">
        <v>77</v>
      </c>
      <c r="G1034">
        <v>1</v>
      </c>
      <c r="H1034" t="s">
        <v>42</v>
      </c>
      <c r="I1034" t="s">
        <v>43</v>
      </c>
      <c r="J1034" t="s">
        <v>77</v>
      </c>
      <c r="K1034" t="s">
        <v>44</v>
      </c>
      <c r="L1034">
        <v>320000</v>
      </c>
      <c r="M1034" s="1">
        <v>43496</v>
      </c>
      <c r="N1034" t="s">
        <v>45</v>
      </c>
      <c r="O1034" t="s">
        <v>44</v>
      </c>
      <c r="P1034" t="s">
        <v>47</v>
      </c>
      <c r="Q1034" s="1">
        <v>43852</v>
      </c>
      <c r="R1034" t="s">
        <v>48</v>
      </c>
      <c r="S1034" t="s">
        <v>233</v>
      </c>
      <c r="T1034" t="s">
        <v>234</v>
      </c>
      <c r="U1034" t="s">
        <v>42</v>
      </c>
      <c r="V1034">
        <v>0</v>
      </c>
      <c r="W1034">
        <v>100000</v>
      </c>
      <c r="X1034" s="1">
        <v>43982</v>
      </c>
      <c r="Y1034" t="s">
        <v>51</v>
      </c>
      <c r="Z1034" t="s">
        <v>43</v>
      </c>
      <c r="AA1034" t="s">
        <v>77</v>
      </c>
      <c r="AB1034" t="s">
        <v>158</v>
      </c>
      <c r="AC1034" t="s">
        <v>235</v>
      </c>
      <c r="AF1034" t="s">
        <v>54</v>
      </c>
      <c r="AG1034" s="1">
        <v>43832</v>
      </c>
      <c r="AH1034" t="s">
        <v>42</v>
      </c>
      <c r="AI1034" t="s">
        <v>55</v>
      </c>
      <c r="AJ1034">
        <v>12788092</v>
      </c>
      <c r="AK1034">
        <v>250000</v>
      </c>
      <c r="AL1034">
        <v>1500000</v>
      </c>
    </row>
    <row r="1035" spans="1:38" x14ac:dyDescent="0.25">
      <c r="A1035" t="s">
        <v>309</v>
      </c>
      <c r="B1035" t="s">
        <v>368</v>
      </c>
      <c r="C1035" t="s">
        <v>40</v>
      </c>
      <c r="D1035" s="1">
        <v>43496</v>
      </c>
      <c r="E1035" s="1">
        <v>43860</v>
      </c>
      <c r="F1035" t="s">
        <v>77</v>
      </c>
      <c r="G1035">
        <v>1</v>
      </c>
      <c r="H1035" t="s">
        <v>42</v>
      </c>
      <c r="I1035" t="s">
        <v>43</v>
      </c>
      <c r="J1035" t="s">
        <v>77</v>
      </c>
      <c r="K1035" t="s">
        <v>44</v>
      </c>
      <c r="L1035">
        <v>320000</v>
      </c>
      <c r="M1035" s="1">
        <v>43496</v>
      </c>
      <c r="N1035" t="s">
        <v>45</v>
      </c>
      <c r="O1035" t="s">
        <v>44</v>
      </c>
      <c r="P1035" t="s">
        <v>47</v>
      </c>
      <c r="Q1035" s="1">
        <v>43852</v>
      </c>
      <c r="R1035" t="s">
        <v>48</v>
      </c>
      <c r="S1035" t="s">
        <v>233</v>
      </c>
      <c r="T1035" t="s">
        <v>234</v>
      </c>
      <c r="U1035" t="s">
        <v>42</v>
      </c>
      <c r="V1035">
        <v>0</v>
      </c>
      <c r="W1035">
        <v>100000</v>
      </c>
      <c r="X1035" s="1">
        <v>43982</v>
      </c>
      <c r="Y1035" t="s">
        <v>51</v>
      </c>
      <c r="Z1035" t="s">
        <v>43</v>
      </c>
      <c r="AA1035" t="s">
        <v>77</v>
      </c>
      <c r="AB1035" t="s">
        <v>158</v>
      </c>
      <c r="AC1035" t="s">
        <v>235</v>
      </c>
      <c r="AF1035" t="s">
        <v>56</v>
      </c>
      <c r="AG1035" s="1">
        <v>43833</v>
      </c>
      <c r="AH1035" t="s">
        <v>42</v>
      </c>
      <c r="AI1035" t="s">
        <v>55</v>
      </c>
      <c r="AJ1035">
        <v>12788092</v>
      </c>
      <c r="AK1035">
        <v>250000</v>
      </c>
      <c r="AL1035">
        <v>1500000</v>
      </c>
    </row>
    <row r="1036" spans="1:38" x14ac:dyDescent="0.25">
      <c r="A1036" t="s">
        <v>309</v>
      </c>
      <c r="B1036" t="s">
        <v>368</v>
      </c>
      <c r="C1036" t="s">
        <v>40</v>
      </c>
      <c r="D1036" s="1">
        <v>43496</v>
      </c>
      <c r="E1036" s="1">
        <v>43860</v>
      </c>
      <c r="F1036" t="s">
        <v>77</v>
      </c>
      <c r="G1036">
        <v>1</v>
      </c>
      <c r="H1036" t="s">
        <v>42</v>
      </c>
      <c r="I1036" t="s">
        <v>43</v>
      </c>
      <c r="J1036" t="s">
        <v>77</v>
      </c>
      <c r="K1036" t="s">
        <v>44</v>
      </c>
      <c r="L1036">
        <v>320000</v>
      </c>
      <c r="M1036" s="1">
        <v>43496</v>
      </c>
      <c r="N1036" t="s">
        <v>45</v>
      </c>
      <c r="O1036" t="s">
        <v>44</v>
      </c>
      <c r="P1036" t="s">
        <v>47</v>
      </c>
      <c r="Q1036" s="1">
        <v>43852</v>
      </c>
      <c r="R1036" t="s">
        <v>48</v>
      </c>
      <c r="S1036" t="s">
        <v>233</v>
      </c>
      <c r="T1036" t="s">
        <v>234</v>
      </c>
      <c r="U1036" t="s">
        <v>42</v>
      </c>
      <c r="V1036">
        <v>0</v>
      </c>
      <c r="W1036">
        <v>100000</v>
      </c>
      <c r="X1036" s="1">
        <v>43982</v>
      </c>
      <c r="Y1036" t="s">
        <v>51</v>
      </c>
      <c r="Z1036" t="s">
        <v>43</v>
      </c>
      <c r="AA1036" t="s">
        <v>77</v>
      </c>
      <c r="AB1036" t="s">
        <v>158</v>
      </c>
      <c r="AC1036" t="s">
        <v>235</v>
      </c>
      <c r="AF1036" t="s">
        <v>57</v>
      </c>
      <c r="AG1036" s="1">
        <v>43836</v>
      </c>
      <c r="AH1036" t="s">
        <v>42</v>
      </c>
      <c r="AI1036" t="s">
        <v>55</v>
      </c>
      <c r="AJ1036">
        <v>12788092</v>
      </c>
      <c r="AK1036">
        <v>250000</v>
      </c>
      <c r="AL1036">
        <v>1500000</v>
      </c>
    </row>
    <row r="1037" spans="1:38" x14ac:dyDescent="0.25">
      <c r="A1037" t="s">
        <v>309</v>
      </c>
      <c r="B1037" t="s">
        <v>368</v>
      </c>
      <c r="C1037" t="s">
        <v>40</v>
      </c>
      <c r="D1037" s="1">
        <v>43496</v>
      </c>
      <c r="E1037" s="1">
        <v>43860</v>
      </c>
      <c r="F1037" t="s">
        <v>77</v>
      </c>
      <c r="G1037">
        <v>1</v>
      </c>
      <c r="H1037" t="s">
        <v>42</v>
      </c>
      <c r="I1037" t="s">
        <v>43</v>
      </c>
      <c r="J1037" t="s">
        <v>77</v>
      </c>
      <c r="K1037" t="s">
        <v>44</v>
      </c>
      <c r="L1037">
        <v>320000</v>
      </c>
      <c r="M1037" s="1">
        <v>43496</v>
      </c>
      <c r="N1037" t="s">
        <v>45</v>
      </c>
      <c r="O1037" t="s">
        <v>44</v>
      </c>
      <c r="P1037" t="s">
        <v>47</v>
      </c>
      <c r="Q1037" s="1">
        <v>43852</v>
      </c>
      <c r="R1037" t="s">
        <v>48</v>
      </c>
      <c r="S1037" t="s">
        <v>233</v>
      </c>
      <c r="T1037" t="s">
        <v>234</v>
      </c>
      <c r="U1037" t="s">
        <v>42</v>
      </c>
      <c r="V1037">
        <v>0</v>
      </c>
      <c r="W1037">
        <v>100000</v>
      </c>
      <c r="X1037" s="1">
        <v>43982</v>
      </c>
      <c r="Y1037" t="s">
        <v>51</v>
      </c>
      <c r="Z1037" t="s">
        <v>43</v>
      </c>
      <c r="AA1037" t="s">
        <v>77</v>
      </c>
      <c r="AB1037" t="s">
        <v>158</v>
      </c>
      <c r="AC1037" t="s">
        <v>235</v>
      </c>
      <c r="AF1037" t="s">
        <v>58</v>
      </c>
      <c r="AG1037" s="1">
        <v>43837</v>
      </c>
      <c r="AH1037" t="s">
        <v>42</v>
      </c>
      <c r="AI1037" t="s">
        <v>55</v>
      </c>
      <c r="AJ1037">
        <v>12788092</v>
      </c>
      <c r="AK1037">
        <v>250000</v>
      </c>
      <c r="AL1037">
        <v>1500000</v>
      </c>
    </row>
    <row r="1038" spans="1:38" x14ac:dyDescent="0.25">
      <c r="A1038" t="s">
        <v>309</v>
      </c>
      <c r="B1038" t="s">
        <v>368</v>
      </c>
      <c r="C1038" t="s">
        <v>40</v>
      </c>
      <c r="D1038" s="1">
        <v>43496</v>
      </c>
      <c r="E1038" s="1">
        <v>43860</v>
      </c>
      <c r="F1038" t="s">
        <v>77</v>
      </c>
      <c r="G1038">
        <v>1</v>
      </c>
      <c r="H1038" t="s">
        <v>42</v>
      </c>
      <c r="I1038" t="s">
        <v>43</v>
      </c>
      <c r="J1038" t="s">
        <v>77</v>
      </c>
      <c r="K1038" t="s">
        <v>44</v>
      </c>
      <c r="L1038">
        <v>320000</v>
      </c>
      <c r="M1038" s="1">
        <v>43496</v>
      </c>
      <c r="N1038" t="s">
        <v>45</v>
      </c>
      <c r="O1038" t="s">
        <v>44</v>
      </c>
      <c r="P1038" t="s">
        <v>47</v>
      </c>
      <c r="Q1038" s="1">
        <v>43852</v>
      </c>
      <c r="R1038" t="s">
        <v>48</v>
      </c>
      <c r="S1038" t="s">
        <v>233</v>
      </c>
      <c r="T1038" t="s">
        <v>234</v>
      </c>
      <c r="U1038" t="s">
        <v>42</v>
      </c>
      <c r="V1038">
        <v>0</v>
      </c>
      <c r="W1038">
        <v>100000</v>
      </c>
      <c r="X1038" s="1">
        <v>43982</v>
      </c>
      <c r="Y1038" t="s">
        <v>51</v>
      </c>
      <c r="Z1038" t="s">
        <v>43</v>
      </c>
      <c r="AA1038" t="s">
        <v>77</v>
      </c>
      <c r="AB1038" t="s">
        <v>158</v>
      </c>
      <c r="AC1038" t="s">
        <v>235</v>
      </c>
      <c r="AF1038" t="s">
        <v>59</v>
      </c>
      <c r="AG1038" s="1">
        <v>43838</v>
      </c>
      <c r="AH1038" t="s">
        <v>42</v>
      </c>
      <c r="AI1038" t="s">
        <v>55</v>
      </c>
      <c r="AJ1038">
        <v>12788092</v>
      </c>
      <c r="AK1038">
        <v>250000</v>
      </c>
      <c r="AL1038">
        <v>1500000</v>
      </c>
    </row>
    <row r="1039" spans="1:38" x14ac:dyDescent="0.25">
      <c r="A1039" t="s">
        <v>310</v>
      </c>
      <c r="B1039">
        <v>640001622</v>
      </c>
      <c r="C1039" t="s">
        <v>71</v>
      </c>
      <c r="D1039" s="1">
        <v>43100</v>
      </c>
      <c r="E1039" s="1">
        <v>43464</v>
      </c>
      <c r="F1039" t="s">
        <v>76</v>
      </c>
      <c r="G1039">
        <v>1</v>
      </c>
      <c r="H1039" t="s">
        <v>42</v>
      </c>
      <c r="I1039" t="s">
        <v>43</v>
      </c>
      <c r="J1039" t="s">
        <v>115</v>
      </c>
      <c r="K1039" t="s">
        <v>44</v>
      </c>
      <c r="L1039">
        <v>211206.7</v>
      </c>
      <c r="M1039" s="1">
        <v>43100</v>
      </c>
      <c r="N1039" t="s">
        <v>45</v>
      </c>
      <c r="O1039" t="s">
        <v>361</v>
      </c>
      <c r="P1039" t="s">
        <v>47</v>
      </c>
      <c r="Q1039" s="1">
        <v>43852</v>
      </c>
      <c r="R1039" t="s">
        <v>48</v>
      </c>
      <c r="S1039" t="s">
        <v>78</v>
      </c>
      <c r="T1039" t="s">
        <v>79</v>
      </c>
      <c r="U1039" t="s">
        <v>42</v>
      </c>
      <c r="V1039">
        <v>1200000</v>
      </c>
      <c r="W1039">
        <v>100000</v>
      </c>
      <c r="X1039" s="1">
        <v>43921</v>
      </c>
      <c r="Y1039" t="s">
        <v>51</v>
      </c>
      <c r="Z1039" t="s">
        <v>43</v>
      </c>
      <c r="AA1039" t="s">
        <v>80</v>
      </c>
      <c r="AB1039" t="s">
        <v>76</v>
      </c>
      <c r="AC1039" t="s">
        <v>81</v>
      </c>
      <c r="AF1039" t="s">
        <v>54</v>
      </c>
      <c r="AG1039" s="1">
        <v>43832</v>
      </c>
      <c r="AH1039" t="s">
        <v>42</v>
      </c>
      <c r="AI1039" t="s">
        <v>55</v>
      </c>
      <c r="AJ1039">
        <v>12788092</v>
      </c>
      <c r="AK1039">
        <v>250000</v>
      </c>
      <c r="AL1039">
        <v>1500000</v>
      </c>
    </row>
    <row r="1040" spans="1:38" x14ac:dyDescent="0.25">
      <c r="A1040" t="s">
        <v>310</v>
      </c>
      <c r="B1040">
        <v>640001622</v>
      </c>
      <c r="C1040" t="s">
        <v>71</v>
      </c>
      <c r="D1040" s="1">
        <v>43100</v>
      </c>
      <c r="E1040" s="1">
        <v>43464</v>
      </c>
      <c r="F1040" t="s">
        <v>76</v>
      </c>
      <c r="G1040">
        <v>1</v>
      </c>
      <c r="H1040" t="s">
        <v>42</v>
      </c>
      <c r="I1040" t="s">
        <v>43</v>
      </c>
      <c r="J1040" t="s">
        <v>115</v>
      </c>
      <c r="K1040" t="s">
        <v>44</v>
      </c>
      <c r="L1040">
        <v>211206.7</v>
      </c>
      <c r="M1040" s="1">
        <v>43100</v>
      </c>
      <c r="N1040" t="s">
        <v>45</v>
      </c>
      <c r="O1040" t="s">
        <v>361</v>
      </c>
      <c r="P1040" t="s">
        <v>47</v>
      </c>
      <c r="Q1040" s="1">
        <v>43852</v>
      </c>
      <c r="R1040" t="s">
        <v>48</v>
      </c>
      <c r="S1040" t="s">
        <v>78</v>
      </c>
      <c r="T1040" t="s">
        <v>79</v>
      </c>
      <c r="U1040" t="s">
        <v>42</v>
      </c>
      <c r="V1040">
        <v>1200000</v>
      </c>
      <c r="W1040">
        <v>100000</v>
      </c>
      <c r="X1040" s="1">
        <v>43921</v>
      </c>
      <c r="Y1040" t="s">
        <v>51</v>
      </c>
      <c r="Z1040" t="s">
        <v>43</v>
      </c>
      <c r="AA1040" t="s">
        <v>80</v>
      </c>
      <c r="AB1040" t="s">
        <v>76</v>
      </c>
      <c r="AC1040" t="s">
        <v>81</v>
      </c>
      <c r="AF1040" t="s">
        <v>56</v>
      </c>
      <c r="AG1040" s="1">
        <v>43833</v>
      </c>
      <c r="AH1040" t="s">
        <v>42</v>
      </c>
      <c r="AI1040" t="s">
        <v>55</v>
      </c>
      <c r="AJ1040">
        <v>12788092</v>
      </c>
      <c r="AK1040">
        <v>250000</v>
      </c>
      <c r="AL1040">
        <v>1500000</v>
      </c>
    </row>
    <row r="1041" spans="1:38" x14ac:dyDescent="0.25">
      <c r="A1041" t="s">
        <v>310</v>
      </c>
      <c r="B1041">
        <v>640001622</v>
      </c>
      <c r="C1041" t="s">
        <v>71</v>
      </c>
      <c r="D1041" s="1">
        <v>43100</v>
      </c>
      <c r="E1041" s="1">
        <v>43464</v>
      </c>
      <c r="F1041" t="s">
        <v>76</v>
      </c>
      <c r="G1041">
        <v>1</v>
      </c>
      <c r="H1041" t="s">
        <v>42</v>
      </c>
      <c r="I1041" t="s">
        <v>43</v>
      </c>
      <c r="J1041" t="s">
        <v>115</v>
      </c>
      <c r="K1041" t="s">
        <v>44</v>
      </c>
      <c r="L1041">
        <v>211206.7</v>
      </c>
      <c r="M1041" s="1">
        <v>43100</v>
      </c>
      <c r="N1041" t="s">
        <v>45</v>
      </c>
      <c r="O1041" t="s">
        <v>361</v>
      </c>
      <c r="P1041" t="s">
        <v>47</v>
      </c>
      <c r="Q1041" s="1">
        <v>43852</v>
      </c>
      <c r="R1041" t="s">
        <v>48</v>
      </c>
      <c r="S1041" t="s">
        <v>78</v>
      </c>
      <c r="T1041" t="s">
        <v>79</v>
      </c>
      <c r="U1041" t="s">
        <v>42</v>
      </c>
      <c r="V1041">
        <v>1200000</v>
      </c>
      <c r="W1041">
        <v>100000</v>
      </c>
      <c r="X1041" s="1">
        <v>43921</v>
      </c>
      <c r="Y1041" t="s">
        <v>51</v>
      </c>
      <c r="Z1041" t="s">
        <v>43</v>
      </c>
      <c r="AA1041" t="s">
        <v>80</v>
      </c>
      <c r="AB1041" t="s">
        <v>76</v>
      </c>
      <c r="AC1041" t="s">
        <v>81</v>
      </c>
      <c r="AF1041" t="s">
        <v>57</v>
      </c>
      <c r="AG1041" s="1">
        <v>43836</v>
      </c>
      <c r="AH1041" t="s">
        <v>42</v>
      </c>
      <c r="AI1041" t="s">
        <v>55</v>
      </c>
      <c r="AJ1041">
        <v>12788092</v>
      </c>
      <c r="AK1041">
        <v>250000</v>
      </c>
      <c r="AL1041">
        <v>1500000</v>
      </c>
    </row>
    <row r="1042" spans="1:38" x14ac:dyDescent="0.25">
      <c r="A1042" t="s">
        <v>310</v>
      </c>
      <c r="B1042">
        <v>640001622</v>
      </c>
      <c r="C1042" t="s">
        <v>71</v>
      </c>
      <c r="D1042" s="1">
        <v>43100</v>
      </c>
      <c r="E1042" s="1">
        <v>43464</v>
      </c>
      <c r="F1042" t="s">
        <v>76</v>
      </c>
      <c r="G1042">
        <v>1</v>
      </c>
      <c r="H1042" t="s">
        <v>42</v>
      </c>
      <c r="I1042" t="s">
        <v>43</v>
      </c>
      <c r="J1042" t="s">
        <v>115</v>
      </c>
      <c r="K1042" t="s">
        <v>44</v>
      </c>
      <c r="L1042">
        <v>211206.7</v>
      </c>
      <c r="M1042" s="1">
        <v>43100</v>
      </c>
      <c r="N1042" t="s">
        <v>45</v>
      </c>
      <c r="O1042" t="s">
        <v>361</v>
      </c>
      <c r="P1042" t="s">
        <v>47</v>
      </c>
      <c r="Q1042" s="1">
        <v>43852</v>
      </c>
      <c r="R1042" t="s">
        <v>48</v>
      </c>
      <c r="S1042" t="s">
        <v>78</v>
      </c>
      <c r="T1042" t="s">
        <v>79</v>
      </c>
      <c r="U1042" t="s">
        <v>42</v>
      </c>
      <c r="V1042">
        <v>1200000</v>
      </c>
      <c r="W1042">
        <v>100000</v>
      </c>
      <c r="X1042" s="1">
        <v>43921</v>
      </c>
      <c r="Y1042" t="s">
        <v>51</v>
      </c>
      <c r="Z1042" t="s">
        <v>43</v>
      </c>
      <c r="AA1042" t="s">
        <v>80</v>
      </c>
      <c r="AB1042" t="s">
        <v>76</v>
      </c>
      <c r="AC1042" t="s">
        <v>81</v>
      </c>
      <c r="AF1042" t="s">
        <v>58</v>
      </c>
      <c r="AG1042" s="1">
        <v>43837</v>
      </c>
      <c r="AH1042" t="s">
        <v>42</v>
      </c>
      <c r="AI1042" t="s">
        <v>55</v>
      </c>
      <c r="AJ1042">
        <v>12788092</v>
      </c>
      <c r="AK1042">
        <v>250000</v>
      </c>
      <c r="AL1042">
        <v>1500000</v>
      </c>
    </row>
    <row r="1043" spans="1:38" x14ac:dyDescent="0.25">
      <c r="A1043" t="s">
        <v>310</v>
      </c>
      <c r="B1043">
        <v>640001622</v>
      </c>
      <c r="C1043" t="s">
        <v>71</v>
      </c>
      <c r="D1043" s="1">
        <v>43100</v>
      </c>
      <c r="E1043" s="1">
        <v>43464</v>
      </c>
      <c r="F1043" t="s">
        <v>76</v>
      </c>
      <c r="G1043">
        <v>1</v>
      </c>
      <c r="H1043" t="s">
        <v>42</v>
      </c>
      <c r="I1043" t="s">
        <v>43</v>
      </c>
      <c r="J1043" t="s">
        <v>115</v>
      </c>
      <c r="K1043" t="s">
        <v>44</v>
      </c>
      <c r="L1043">
        <v>211206.7</v>
      </c>
      <c r="M1043" s="1">
        <v>43100</v>
      </c>
      <c r="N1043" t="s">
        <v>45</v>
      </c>
      <c r="O1043" t="s">
        <v>361</v>
      </c>
      <c r="P1043" t="s">
        <v>47</v>
      </c>
      <c r="Q1043" s="1">
        <v>43852</v>
      </c>
      <c r="R1043" t="s">
        <v>48</v>
      </c>
      <c r="S1043" t="s">
        <v>78</v>
      </c>
      <c r="T1043" t="s">
        <v>79</v>
      </c>
      <c r="U1043" t="s">
        <v>42</v>
      </c>
      <c r="V1043">
        <v>1200000</v>
      </c>
      <c r="W1043">
        <v>100000</v>
      </c>
      <c r="X1043" s="1">
        <v>43921</v>
      </c>
      <c r="Y1043" t="s">
        <v>51</v>
      </c>
      <c r="Z1043" t="s">
        <v>43</v>
      </c>
      <c r="AA1043" t="s">
        <v>80</v>
      </c>
      <c r="AB1043" t="s">
        <v>76</v>
      </c>
      <c r="AC1043" t="s">
        <v>81</v>
      </c>
      <c r="AF1043" t="s">
        <v>59</v>
      </c>
      <c r="AG1043" s="1">
        <v>43838</v>
      </c>
      <c r="AH1043" t="s">
        <v>42</v>
      </c>
      <c r="AI1043" t="s">
        <v>55</v>
      </c>
      <c r="AJ1043">
        <v>12788092</v>
      </c>
      <c r="AK1043">
        <v>250000</v>
      </c>
      <c r="AL1043">
        <v>1500000</v>
      </c>
    </row>
    <row r="1044" spans="1:38" x14ac:dyDescent="0.25">
      <c r="A1044" t="s">
        <v>311</v>
      </c>
      <c r="B1044">
        <v>655001664</v>
      </c>
      <c r="C1044" t="s">
        <v>71</v>
      </c>
      <c r="D1044" s="1">
        <v>43160</v>
      </c>
      <c r="E1044" s="1">
        <v>43524</v>
      </c>
      <c r="F1044" t="s">
        <v>72</v>
      </c>
      <c r="G1044">
        <v>1</v>
      </c>
      <c r="H1044" t="s">
        <v>42</v>
      </c>
      <c r="I1044" t="s">
        <v>43</v>
      </c>
      <c r="J1044" t="s">
        <v>115</v>
      </c>
      <c r="K1044" t="s">
        <v>44</v>
      </c>
      <c r="L1044">
        <v>275569.44</v>
      </c>
      <c r="M1044" s="1">
        <v>43525</v>
      </c>
      <c r="N1044" t="s">
        <v>45</v>
      </c>
      <c r="O1044" t="s">
        <v>46</v>
      </c>
      <c r="P1044" t="s">
        <v>47</v>
      </c>
      <c r="Q1044" s="1">
        <v>43852</v>
      </c>
      <c r="R1044" t="s">
        <v>48</v>
      </c>
    </row>
    <row r="1045" spans="1:38" x14ac:dyDescent="0.25">
      <c r="A1045" t="s">
        <v>312</v>
      </c>
      <c r="B1045" t="s">
        <v>369</v>
      </c>
      <c r="C1045" t="s">
        <v>40</v>
      </c>
      <c r="D1045" s="1">
        <v>43525</v>
      </c>
      <c r="E1045" s="1">
        <v>43890</v>
      </c>
      <c r="F1045" t="s">
        <v>72</v>
      </c>
      <c r="G1045">
        <v>1</v>
      </c>
      <c r="H1045" t="s">
        <v>42</v>
      </c>
      <c r="I1045" t="s">
        <v>43</v>
      </c>
      <c r="J1045" t="s">
        <v>115</v>
      </c>
      <c r="K1045" t="s">
        <v>44</v>
      </c>
      <c r="L1045">
        <v>275569.44</v>
      </c>
      <c r="M1045" s="1">
        <v>43525</v>
      </c>
      <c r="N1045" t="s">
        <v>45</v>
      </c>
      <c r="O1045" t="s">
        <v>44</v>
      </c>
      <c r="P1045" t="s">
        <v>47</v>
      </c>
      <c r="Q1045" s="1">
        <v>43852</v>
      </c>
      <c r="R1045" t="s">
        <v>48</v>
      </c>
    </row>
    <row r="1046" spans="1:38" x14ac:dyDescent="0.25">
      <c r="A1046" t="s">
        <v>370</v>
      </c>
      <c r="B1046" t="s">
        <v>371</v>
      </c>
      <c r="C1046" t="s">
        <v>40</v>
      </c>
      <c r="D1046" s="1">
        <v>43525</v>
      </c>
      <c r="E1046" s="1">
        <v>43890</v>
      </c>
      <c r="F1046" t="s">
        <v>41</v>
      </c>
      <c r="G1046">
        <v>1</v>
      </c>
      <c r="H1046" t="s">
        <v>42</v>
      </c>
      <c r="I1046" t="s">
        <v>43</v>
      </c>
      <c r="J1046" t="s">
        <v>41</v>
      </c>
      <c r="K1046" t="s">
        <v>44</v>
      </c>
      <c r="L1046">
        <v>50332.73</v>
      </c>
      <c r="M1046" s="1">
        <v>43525</v>
      </c>
      <c r="N1046" t="s">
        <v>45</v>
      </c>
      <c r="O1046" t="s">
        <v>44</v>
      </c>
      <c r="P1046" t="s">
        <v>47</v>
      </c>
      <c r="Q1046" s="1">
        <v>43852</v>
      </c>
      <c r="R1046" t="s">
        <v>48</v>
      </c>
      <c r="S1046" t="s">
        <v>49</v>
      </c>
      <c r="T1046" t="s">
        <v>50</v>
      </c>
      <c r="U1046" t="s">
        <v>42</v>
      </c>
      <c r="V1046">
        <v>0</v>
      </c>
      <c r="W1046">
        <v>100000</v>
      </c>
      <c r="X1046" s="1">
        <v>44012</v>
      </c>
      <c r="Y1046" t="s">
        <v>51</v>
      </c>
      <c r="Z1046" t="s">
        <v>43</v>
      </c>
      <c r="AA1046" t="s">
        <v>41</v>
      </c>
      <c r="AB1046" t="s">
        <v>52</v>
      </c>
      <c r="AC1046" t="s">
        <v>53</v>
      </c>
      <c r="AF1046" t="s">
        <v>54</v>
      </c>
      <c r="AG1046" s="1">
        <v>43832</v>
      </c>
      <c r="AH1046" t="s">
        <v>42</v>
      </c>
      <c r="AI1046" t="s">
        <v>55</v>
      </c>
      <c r="AJ1046">
        <v>12788092</v>
      </c>
      <c r="AK1046">
        <v>250000</v>
      </c>
      <c r="AL1046">
        <v>1500000</v>
      </c>
    </row>
    <row r="1047" spans="1:38" x14ac:dyDescent="0.25">
      <c r="A1047" t="s">
        <v>370</v>
      </c>
      <c r="B1047" t="s">
        <v>371</v>
      </c>
      <c r="C1047" t="s">
        <v>40</v>
      </c>
      <c r="D1047" s="1">
        <v>43525</v>
      </c>
      <c r="E1047" s="1">
        <v>43890</v>
      </c>
      <c r="F1047" t="s">
        <v>41</v>
      </c>
      <c r="G1047">
        <v>1</v>
      </c>
      <c r="H1047" t="s">
        <v>42</v>
      </c>
      <c r="I1047" t="s">
        <v>43</v>
      </c>
      <c r="J1047" t="s">
        <v>41</v>
      </c>
      <c r="K1047" t="s">
        <v>44</v>
      </c>
      <c r="L1047">
        <v>50332.73</v>
      </c>
      <c r="M1047" s="1">
        <v>43525</v>
      </c>
      <c r="N1047" t="s">
        <v>45</v>
      </c>
      <c r="O1047" t="s">
        <v>44</v>
      </c>
      <c r="P1047" t="s">
        <v>47</v>
      </c>
      <c r="Q1047" s="1">
        <v>43852</v>
      </c>
      <c r="R1047" t="s">
        <v>48</v>
      </c>
      <c r="S1047" t="s">
        <v>49</v>
      </c>
      <c r="T1047" t="s">
        <v>50</v>
      </c>
      <c r="U1047" t="s">
        <v>42</v>
      </c>
      <c r="V1047">
        <v>0</v>
      </c>
      <c r="W1047">
        <v>100000</v>
      </c>
      <c r="X1047" s="1">
        <v>44012</v>
      </c>
      <c r="Y1047" t="s">
        <v>51</v>
      </c>
      <c r="Z1047" t="s">
        <v>43</v>
      </c>
      <c r="AA1047" t="s">
        <v>41</v>
      </c>
      <c r="AB1047" t="s">
        <v>52</v>
      </c>
      <c r="AC1047" t="s">
        <v>53</v>
      </c>
      <c r="AF1047" t="s">
        <v>56</v>
      </c>
      <c r="AG1047" s="1">
        <v>43833</v>
      </c>
      <c r="AH1047" t="s">
        <v>42</v>
      </c>
      <c r="AI1047" t="s">
        <v>55</v>
      </c>
      <c r="AJ1047">
        <v>12788092</v>
      </c>
      <c r="AK1047">
        <v>250000</v>
      </c>
      <c r="AL1047">
        <v>1500000</v>
      </c>
    </row>
    <row r="1048" spans="1:38" x14ac:dyDescent="0.25">
      <c r="A1048" t="s">
        <v>370</v>
      </c>
      <c r="B1048" t="s">
        <v>371</v>
      </c>
      <c r="C1048" t="s">
        <v>40</v>
      </c>
      <c r="D1048" s="1">
        <v>43525</v>
      </c>
      <c r="E1048" s="1">
        <v>43890</v>
      </c>
      <c r="F1048" t="s">
        <v>41</v>
      </c>
      <c r="G1048">
        <v>1</v>
      </c>
      <c r="H1048" t="s">
        <v>42</v>
      </c>
      <c r="I1048" t="s">
        <v>43</v>
      </c>
      <c r="J1048" t="s">
        <v>41</v>
      </c>
      <c r="K1048" t="s">
        <v>44</v>
      </c>
      <c r="L1048">
        <v>50332.73</v>
      </c>
      <c r="M1048" s="1">
        <v>43525</v>
      </c>
      <c r="N1048" t="s">
        <v>45</v>
      </c>
      <c r="O1048" t="s">
        <v>44</v>
      </c>
      <c r="P1048" t="s">
        <v>47</v>
      </c>
      <c r="Q1048" s="1">
        <v>43852</v>
      </c>
      <c r="R1048" t="s">
        <v>48</v>
      </c>
      <c r="S1048" t="s">
        <v>49</v>
      </c>
      <c r="T1048" t="s">
        <v>50</v>
      </c>
      <c r="U1048" t="s">
        <v>42</v>
      </c>
      <c r="V1048">
        <v>0</v>
      </c>
      <c r="W1048">
        <v>100000</v>
      </c>
      <c r="X1048" s="1">
        <v>44012</v>
      </c>
      <c r="Y1048" t="s">
        <v>51</v>
      </c>
      <c r="Z1048" t="s">
        <v>43</v>
      </c>
      <c r="AA1048" t="s">
        <v>41</v>
      </c>
      <c r="AB1048" t="s">
        <v>52</v>
      </c>
      <c r="AC1048" t="s">
        <v>53</v>
      </c>
      <c r="AF1048" t="s">
        <v>57</v>
      </c>
      <c r="AG1048" s="1">
        <v>43836</v>
      </c>
      <c r="AH1048" t="s">
        <v>42</v>
      </c>
      <c r="AI1048" t="s">
        <v>55</v>
      </c>
      <c r="AJ1048">
        <v>12788092</v>
      </c>
      <c r="AK1048">
        <v>250000</v>
      </c>
      <c r="AL1048">
        <v>1500000</v>
      </c>
    </row>
    <row r="1049" spans="1:38" x14ac:dyDescent="0.25">
      <c r="A1049" t="s">
        <v>370</v>
      </c>
      <c r="B1049" t="s">
        <v>371</v>
      </c>
      <c r="C1049" t="s">
        <v>40</v>
      </c>
      <c r="D1049" s="1">
        <v>43525</v>
      </c>
      <c r="E1049" s="1">
        <v>43890</v>
      </c>
      <c r="F1049" t="s">
        <v>41</v>
      </c>
      <c r="G1049">
        <v>1</v>
      </c>
      <c r="H1049" t="s">
        <v>42</v>
      </c>
      <c r="I1049" t="s">
        <v>43</v>
      </c>
      <c r="J1049" t="s">
        <v>41</v>
      </c>
      <c r="K1049" t="s">
        <v>44</v>
      </c>
      <c r="L1049">
        <v>50332.73</v>
      </c>
      <c r="M1049" s="1">
        <v>43525</v>
      </c>
      <c r="N1049" t="s">
        <v>45</v>
      </c>
      <c r="O1049" t="s">
        <v>44</v>
      </c>
      <c r="P1049" t="s">
        <v>47</v>
      </c>
      <c r="Q1049" s="1">
        <v>43852</v>
      </c>
      <c r="R1049" t="s">
        <v>48</v>
      </c>
      <c r="S1049" t="s">
        <v>49</v>
      </c>
      <c r="T1049" t="s">
        <v>50</v>
      </c>
      <c r="U1049" t="s">
        <v>42</v>
      </c>
      <c r="V1049">
        <v>0</v>
      </c>
      <c r="W1049">
        <v>100000</v>
      </c>
      <c r="X1049" s="1">
        <v>44012</v>
      </c>
      <c r="Y1049" t="s">
        <v>51</v>
      </c>
      <c r="Z1049" t="s">
        <v>43</v>
      </c>
      <c r="AA1049" t="s">
        <v>41</v>
      </c>
      <c r="AB1049" t="s">
        <v>52</v>
      </c>
      <c r="AC1049" t="s">
        <v>53</v>
      </c>
      <c r="AF1049" t="s">
        <v>58</v>
      </c>
      <c r="AG1049" s="1">
        <v>43837</v>
      </c>
      <c r="AH1049" t="s">
        <v>42</v>
      </c>
      <c r="AI1049" t="s">
        <v>55</v>
      </c>
      <c r="AJ1049">
        <v>12788092</v>
      </c>
      <c r="AK1049">
        <v>250000</v>
      </c>
      <c r="AL1049">
        <v>1500000</v>
      </c>
    </row>
    <row r="1050" spans="1:38" x14ac:dyDescent="0.25">
      <c r="A1050" t="s">
        <v>370</v>
      </c>
      <c r="B1050" t="s">
        <v>371</v>
      </c>
      <c r="C1050" t="s">
        <v>40</v>
      </c>
      <c r="D1050" s="1">
        <v>43525</v>
      </c>
      <c r="E1050" s="1">
        <v>43890</v>
      </c>
      <c r="F1050" t="s">
        <v>41</v>
      </c>
      <c r="G1050">
        <v>1</v>
      </c>
      <c r="H1050" t="s">
        <v>42</v>
      </c>
      <c r="I1050" t="s">
        <v>43</v>
      </c>
      <c r="J1050" t="s">
        <v>41</v>
      </c>
      <c r="K1050" t="s">
        <v>44</v>
      </c>
      <c r="L1050">
        <v>50332.73</v>
      </c>
      <c r="M1050" s="1">
        <v>43525</v>
      </c>
      <c r="N1050" t="s">
        <v>45</v>
      </c>
      <c r="O1050" t="s">
        <v>44</v>
      </c>
      <c r="P1050" t="s">
        <v>47</v>
      </c>
      <c r="Q1050" s="1">
        <v>43852</v>
      </c>
      <c r="R1050" t="s">
        <v>48</v>
      </c>
      <c r="S1050" t="s">
        <v>49</v>
      </c>
      <c r="T1050" t="s">
        <v>50</v>
      </c>
      <c r="U1050" t="s">
        <v>42</v>
      </c>
      <c r="V1050">
        <v>0</v>
      </c>
      <c r="W1050">
        <v>100000</v>
      </c>
      <c r="X1050" s="1">
        <v>44012</v>
      </c>
      <c r="Y1050" t="s">
        <v>51</v>
      </c>
      <c r="Z1050" t="s">
        <v>43</v>
      </c>
      <c r="AA1050" t="s">
        <v>41</v>
      </c>
      <c r="AB1050" t="s">
        <v>52</v>
      </c>
      <c r="AC1050" t="s">
        <v>53</v>
      </c>
      <c r="AF1050" t="s">
        <v>59</v>
      </c>
      <c r="AG1050" s="1">
        <v>43838</v>
      </c>
      <c r="AH1050" t="s">
        <v>42</v>
      </c>
      <c r="AI1050" t="s">
        <v>55</v>
      </c>
      <c r="AJ1050">
        <v>12788092</v>
      </c>
      <c r="AK1050">
        <v>250000</v>
      </c>
      <c r="AL1050">
        <v>1500000</v>
      </c>
    </row>
    <row r="1051" spans="1:38" x14ac:dyDescent="0.25">
      <c r="A1051" t="s">
        <v>370</v>
      </c>
      <c r="B1051" t="s">
        <v>371</v>
      </c>
      <c r="C1051" t="s">
        <v>40</v>
      </c>
      <c r="D1051" s="1">
        <v>43525</v>
      </c>
      <c r="E1051" s="1">
        <v>43890</v>
      </c>
      <c r="F1051" t="s">
        <v>41</v>
      </c>
      <c r="G1051">
        <v>1</v>
      </c>
      <c r="H1051" t="s">
        <v>42</v>
      </c>
      <c r="I1051" t="s">
        <v>43</v>
      </c>
      <c r="J1051" t="s">
        <v>41</v>
      </c>
      <c r="K1051" t="s">
        <v>44</v>
      </c>
      <c r="L1051">
        <v>50332.73</v>
      </c>
      <c r="M1051" s="1">
        <v>43525</v>
      </c>
      <c r="N1051" t="s">
        <v>45</v>
      </c>
      <c r="O1051" t="s">
        <v>44</v>
      </c>
      <c r="P1051" t="s">
        <v>47</v>
      </c>
      <c r="Q1051" s="1">
        <v>43852</v>
      </c>
      <c r="R1051" t="s">
        <v>48</v>
      </c>
      <c r="S1051" t="s">
        <v>60</v>
      </c>
      <c r="T1051" t="s">
        <v>61</v>
      </c>
      <c r="U1051" t="s">
        <v>42</v>
      </c>
      <c r="V1051">
        <v>0</v>
      </c>
      <c r="W1051">
        <v>100000</v>
      </c>
      <c r="X1051" s="1">
        <v>43921</v>
      </c>
      <c r="Y1051" t="s">
        <v>51</v>
      </c>
      <c r="Z1051" t="s">
        <v>43</v>
      </c>
      <c r="AA1051" t="s">
        <v>41</v>
      </c>
      <c r="AB1051" t="s">
        <v>52</v>
      </c>
      <c r="AC1051" t="s">
        <v>53</v>
      </c>
      <c r="AF1051" t="s">
        <v>54</v>
      </c>
      <c r="AG1051" s="1">
        <v>43832</v>
      </c>
      <c r="AH1051" t="s">
        <v>42</v>
      </c>
      <c r="AI1051" t="s">
        <v>55</v>
      </c>
      <c r="AJ1051">
        <v>12788092</v>
      </c>
      <c r="AK1051">
        <v>250000</v>
      </c>
      <c r="AL1051">
        <v>1500000</v>
      </c>
    </row>
    <row r="1052" spans="1:38" x14ac:dyDescent="0.25">
      <c r="A1052" t="s">
        <v>370</v>
      </c>
      <c r="B1052" t="s">
        <v>371</v>
      </c>
      <c r="C1052" t="s">
        <v>40</v>
      </c>
      <c r="D1052" s="1">
        <v>43525</v>
      </c>
      <c r="E1052" s="1">
        <v>43890</v>
      </c>
      <c r="F1052" t="s">
        <v>41</v>
      </c>
      <c r="G1052">
        <v>1</v>
      </c>
      <c r="H1052" t="s">
        <v>42</v>
      </c>
      <c r="I1052" t="s">
        <v>43</v>
      </c>
      <c r="J1052" t="s">
        <v>41</v>
      </c>
      <c r="K1052" t="s">
        <v>44</v>
      </c>
      <c r="L1052">
        <v>50332.73</v>
      </c>
      <c r="M1052" s="1">
        <v>43525</v>
      </c>
      <c r="N1052" t="s">
        <v>45</v>
      </c>
      <c r="O1052" t="s">
        <v>44</v>
      </c>
      <c r="P1052" t="s">
        <v>47</v>
      </c>
      <c r="Q1052" s="1">
        <v>43852</v>
      </c>
      <c r="R1052" t="s">
        <v>48</v>
      </c>
      <c r="S1052" t="s">
        <v>60</v>
      </c>
      <c r="T1052" t="s">
        <v>61</v>
      </c>
      <c r="U1052" t="s">
        <v>42</v>
      </c>
      <c r="V1052">
        <v>0</v>
      </c>
      <c r="W1052">
        <v>100000</v>
      </c>
      <c r="X1052" s="1">
        <v>43921</v>
      </c>
      <c r="Y1052" t="s">
        <v>51</v>
      </c>
      <c r="Z1052" t="s">
        <v>43</v>
      </c>
      <c r="AA1052" t="s">
        <v>41</v>
      </c>
      <c r="AB1052" t="s">
        <v>52</v>
      </c>
      <c r="AC1052" t="s">
        <v>53</v>
      </c>
      <c r="AF1052" t="s">
        <v>56</v>
      </c>
      <c r="AG1052" s="1">
        <v>43833</v>
      </c>
      <c r="AH1052" t="s">
        <v>42</v>
      </c>
      <c r="AI1052" t="s">
        <v>55</v>
      </c>
      <c r="AJ1052">
        <v>12788092</v>
      </c>
      <c r="AK1052">
        <v>250000</v>
      </c>
      <c r="AL1052">
        <v>1500000</v>
      </c>
    </row>
    <row r="1053" spans="1:38" x14ac:dyDescent="0.25">
      <c r="A1053" t="s">
        <v>370</v>
      </c>
      <c r="B1053" t="s">
        <v>371</v>
      </c>
      <c r="C1053" t="s">
        <v>40</v>
      </c>
      <c r="D1053" s="1">
        <v>43525</v>
      </c>
      <c r="E1053" s="1">
        <v>43890</v>
      </c>
      <c r="F1053" t="s">
        <v>41</v>
      </c>
      <c r="G1053">
        <v>1</v>
      </c>
      <c r="H1053" t="s">
        <v>42</v>
      </c>
      <c r="I1053" t="s">
        <v>43</v>
      </c>
      <c r="J1053" t="s">
        <v>41</v>
      </c>
      <c r="K1053" t="s">
        <v>44</v>
      </c>
      <c r="L1053">
        <v>50332.73</v>
      </c>
      <c r="M1053" s="1">
        <v>43525</v>
      </c>
      <c r="N1053" t="s">
        <v>45</v>
      </c>
      <c r="O1053" t="s">
        <v>44</v>
      </c>
      <c r="P1053" t="s">
        <v>47</v>
      </c>
      <c r="Q1053" s="1">
        <v>43852</v>
      </c>
      <c r="R1053" t="s">
        <v>48</v>
      </c>
      <c r="S1053" t="s">
        <v>60</v>
      </c>
      <c r="T1053" t="s">
        <v>61</v>
      </c>
      <c r="U1053" t="s">
        <v>42</v>
      </c>
      <c r="V1053">
        <v>0</v>
      </c>
      <c r="W1053">
        <v>100000</v>
      </c>
      <c r="X1053" s="1">
        <v>43921</v>
      </c>
      <c r="Y1053" t="s">
        <v>51</v>
      </c>
      <c r="Z1053" t="s">
        <v>43</v>
      </c>
      <c r="AA1053" t="s">
        <v>41</v>
      </c>
      <c r="AB1053" t="s">
        <v>52</v>
      </c>
      <c r="AC1053" t="s">
        <v>53</v>
      </c>
      <c r="AF1053" t="s">
        <v>57</v>
      </c>
      <c r="AG1053" s="1">
        <v>43836</v>
      </c>
      <c r="AH1053" t="s">
        <v>42</v>
      </c>
      <c r="AI1053" t="s">
        <v>55</v>
      </c>
      <c r="AJ1053">
        <v>12788092</v>
      </c>
      <c r="AK1053">
        <v>250000</v>
      </c>
      <c r="AL1053">
        <v>1500000</v>
      </c>
    </row>
    <row r="1054" spans="1:38" x14ac:dyDescent="0.25">
      <c r="A1054" t="s">
        <v>370</v>
      </c>
      <c r="B1054" t="s">
        <v>371</v>
      </c>
      <c r="C1054" t="s">
        <v>40</v>
      </c>
      <c r="D1054" s="1">
        <v>43525</v>
      </c>
      <c r="E1054" s="1">
        <v>43890</v>
      </c>
      <c r="F1054" t="s">
        <v>41</v>
      </c>
      <c r="G1054">
        <v>1</v>
      </c>
      <c r="H1054" t="s">
        <v>42</v>
      </c>
      <c r="I1054" t="s">
        <v>43</v>
      </c>
      <c r="J1054" t="s">
        <v>41</v>
      </c>
      <c r="K1054" t="s">
        <v>44</v>
      </c>
      <c r="L1054">
        <v>50332.73</v>
      </c>
      <c r="M1054" s="1">
        <v>43525</v>
      </c>
      <c r="N1054" t="s">
        <v>45</v>
      </c>
      <c r="O1054" t="s">
        <v>44</v>
      </c>
      <c r="P1054" t="s">
        <v>47</v>
      </c>
      <c r="Q1054" s="1">
        <v>43852</v>
      </c>
      <c r="R1054" t="s">
        <v>48</v>
      </c>
      <c r="S1054" t="s">
        <v>60</v>
      </c>
      <c r="T1054" t="s">
        <v>61</v>
      </c>
      <c r="U1054" t="s">
        <v>42</v>
      </c>
      <c r="V1054">
        <v>0</v>
      </c>
      <c r="W1054">
        <v>100000</v>
      </c>
      <c r="X1054" s="1">
        <v>43921</v>
      </c>
      <c r="Y1054" t="s">
        <v>51</v>
      </c>
      <c r="Z1054" t="s">
        <v>43</v>
      </c>
      <c r="AA1054" t="s">
        <v>41</v>
      </c>
      <c r="AB1054" t="s">
        <v>52</v>
      </c>
      <c r="AC1054" t="s">
        <v>53</v>
      </c>
      <c r="AF1054" t="s">
        <v>58</v>
      </c>
      <c r="AG1054" s="1">
        <v>43837</v>
      </c>
      <c r="AH1054" t="s">
        <v>42</v>
      </c>
      <c r="AI1054" t="s">
        <v>55</v>
      </c>
      <c r="AJ1054">
        <v>12788092</v>
      </c>
      <c r="AK1054">
        <v>250000</v>
      </c>
      <c r="AL1054">
        <v>1500000</v>
      </c>
    </row>
    <row r="1055" spans="1:38" x14ac:dyDescent="0.25">
      <c r="A1055" t="s">
        <v>370</v>
      </c>
      <c r="B1055" t="s">
        <v>371</v>
      </c>
      <c r="C1055" t="s">
        <v>40</v>
      </c>
      <c r="D1055" s="1">
        <v>43525</v>
      </c>
      <c r="E1055" s="1">
        <v>43890</v>
      </c>
      <c r="F1055" t="s">
        <v>41</v>
      </c>
      <c r="G1055">
        <v>1</v>
      </c>
      <c r="H1055" t="s">
        <v>42</v>
      </c>
      <c r="I1055" t="s">
        <v>43</v>
      </c>
      <c r="J1055" t="s">
        <v>41</v>
      </c>
      <c r="K1055" t="s">
        <v>44</v>
      </c>
      <c r="L1055">
        <v>50332.73</v>
      </c>
      <c r="M1055" s="1">
        <v>43525</v>
      </c>
      <c r="N1055" t="s">
        <v>45</v>
      </c>
      <c r="O1055" t="s">
        <v>44</v>
      </c>
      <c r="P1055" t="s">
        <v>47</v>
      </c>
      <c r="Q1055" s="1">
        <v>43852</v>
      </c>
      <c r="R1055" t="s">
        <v>48</v>
      </c>
      <c r="S1055" t="s">
        <v>60</v>
      </c>
      <c r="T1055" t="s">
        <v>61</v>
      </c>
      <c r="U1055" t="s">
        <v>42</v>
      </c>
      <c r="V1055">
        <v>0</v>
      </c>
      <c r="W1055">
        <v>100000</v>
      </c>
      <c r="X1055" s="1">
        <v>43921</v>
      </c>
      <c r="Y1055" t="s">
        <v>51</v>
      </c>
      <c r="Z1055" t="s">
        <v>43</v>
      </c>
      <c r="AA1055" t="s">
        <v>41</v>
      </c>
      <c r="AB1055" t="s">
        <v>52</v>
      </c>
      <c r="AC1055" t="s">
        <v>53</v>
      </c>
      <c r="AF1055" t="s">
        <v>59</v>
      </c>
      <c r="AG1055" s="1">
        <v>43838</v>
      </c>
      <c r="AH1055" t="s">
        <v>42</v>
      </c>
      <c r="AI1055" t="s">
        <v>55</v>
      </c>
      <c r="AJ1055">
        <v>12788092</v>
      </c>
      <c r="AK1055">
        <v>250000</v>
      </c>
      <c r="AL1055">
        <v>1500000</v>
      </c>
    </row>
    <row r="1056" spans="1:38" x14ac:dyDescent="0.25">
      <c r="A1056" t="s">
        <v>370</v>
      </c>
      <c r="B1056" t="s">
        <v>371</v>
      </c>
      <c r="C1056" t="s">
        <v>40</v>
      </c>
      <c r="D1056" s="1">
        <v>43525</v>
      </c>
      <c r="E1056" s="1">
        <v>43890</v>
      </c>
      <c r="F1056" t="s">
        <v>41</v>
      </c>
      <c r="G1056">
        <v>1</v>
      </c>
      <c r="H1056" t="s">
        <v>42</v>
      </c>
      <c r="I1056" t="s">
        <v>43</v>
      </c>
      <c r="J1056" t="s">
        <v>41</v>
      </c>
      <c r="K1056" t="s">
        <v>44</v>
      </c>
      <c r="L1056">
        <v>50332.73</v>
      </c>
      <c r="M1056" s="1">
        <v>43525</v>
      </c>
      <c r="N1056" t="s">
        <v>45</v>
      </c>
      <c r="O1056" t="s">
        <v>44</v>
      </c>
      <c r="P1056" t="s">
        <v>47</v>
      </c>
      <c r="Q1056" s="1">
        <v>43852</v>
      </c>
      <c r="R1056" t="s">
        <v>48</v>
      </c>
      <c r="S1056" t="s">
        <v>62</v>
      </c>
      <c r="T1056" t="s">
        <v>63</v>
      </c>
      <c r="U1056" t="s">
        <v>42</v>
      </c>
      <c r="V1056">
        <v>0</v>
      </c>
      <c r="W1056">
        <v>100000</v>
      </c>
      <c r="X1056" s="1">
        <v>43982</v>
      </c>
      <c r="Y1056" t="s">
        <v>51</v>
      </c>
      <c r="Z1056" t="s">
        <v>43</v>
      </c>
      <c r="AA1056" t="s">
        <v>41</v>
      </c>
      <c r="AB1056" t="s">
        <v>52</v>
      </c>
      <c r="AC1056" t="s">
        <v>53</v>
      </c>
      <c r="AF1056" t="s">
        <v>54</v>
      </c>
      <c r="AG1056" s="1">
        <v>43832</v>
      </c>
      <c r="AH1056" t="s">
        <v>42</v>
      </c>
      <c r="AI1056" t="s">
        <v>55</v>
      </c>
      <c r="AJ1056">
        <v>12788092</v>
      </c>
      <c r="AK1056">
        <v>250000</v>
      </c>
      <c r="AL1056">
        <v>1500000</v>
      </c>
    </row>
    <row r="1057" spans="1:38" x14ac:dyDescent="0.25">
      <c r="A1057" t="s">
        <v>370</v>
      </c>
      <c r="B1057" t="s">
        <v>371</v>
      </c>
      <c r="C1057" t="s">
        <v>40</v>
      </c>
      <c r="D1057" s="1">
        <v>43525</v>
      </c>
      <c r="E1057" s="1">
        <v>43890</v>
      </c>
      <c r="F1057" t="s">
        <v>41</v>
      </c>
      <c r="G1057">
        <v>1</v>
      </c>
      <c r="H1057" t="s">
        <v>42</v>
      </c>
      <c r="I1057" t="s">
        <v>43</v>
      </c>
      <c r="J1057" t="s">
        <v>41</v>
      </c>
      <c r="K1057" t="s">
        <v>44</v>
      </c>
      <c r="L1057">
        <v>50332.73</v>
      </c>
      <c r="M1057" s="1">
        <v>43525</v>
      </c>
      <c r="N1057" t="s">
        <v>45</v>
      </c>
      <c r="O1057" t="s">
        <v>44</v>
      </c>
      <c r="P1057" t="s">
        <v>47</v>
      </c>
      <c r="Q1057" s="1">
        <v>43852</v>
      </c>
      <c r="R1057" t="s">
        <v>48</v>
      </c>
      <c r="S1057" t="s">
        <v>62</v>
      </c>
      <c r="T1057" t="s">
        <v>63</v>
      </c>
      <c r="U1057" t="s">
        <v>42</v>
      </c>
      <c r="V1057">
        <v>0</v>
      </c>
      <c r="W1057">
        <v>100000</v>
      </c>
      <c r="X1057" s="1">
        <v>43982</v>
      </c>
      <c r="Y1057" t="s">
        <v>51</v>
      </c>
      <c r="Z1057" t="s">
        <v>43</v>
      </c>
      <c r="AA1057" t="s">
        <v>41</v>
      </c>
      <c r="AB1057" t="s">
        <v>52</v>
      </c>
      <c r="AC1057" t="s">
        <v>53</v>
      </c>
      <c r="AF1057" t="s">
        <v>56</v>
      </c>
      <c r="AG1057" s="1">
        <v>43833</v>
      </c>
      <c r="AH1057" t="s">
        <v>42</v>
      </c>
      <c r="AI1057" t="s">
        <v>55</v>
      </c>
      <c r="AJ1057">
        <v>12788092</v>
      </c>
      <c r="AK1057">
        <v>250000</v>
      </c>
      <c r="AL1057">
        <v>1500000</v>
      </c>
    </row>
    <row r="1058" spans="1:38" x14ac:dyDescent="0.25">
      <c r="A1058" t="s">
        <v>370</v>
      </c>
      <c r="B1058" t="s">
        <v>371</v>
      </c>
      <c r="C1058" t="s">
        <v>40</v>
      </c>
      <c r="D1058" s="1">
        <v>43525</v>
      </c>
      <c r="E1058" s="1">
        <v>43890</v>
      </c>
      <c r="F1058" t="s">
        <v>41</v>
      </c>
      <c r="G1058">
        <v>1</v>
      </c>
      <c r="H1058" t="s">
        <v>42</v>
      </c>
      <c r="I1058" t="s">
        <v>43</v>
      </c>
      <c r="J1058" t="s">
        <v>41</v>
      </c>
      <c r="K1058" t="s">
        <v>44</v>
      </c>
      <c r="L1058">
        <v>50332.73</v>
      </c>
      <c r="M1058" s="1">
        <v>43525</v>
      </c>
      <c r="N1058" t="s">
        <v>45</v>
      </c>
      <c r="O1058" t="s">
        <v>44</v>
      </c>
      <c r="P1058" t="s">
        <v>47</v>
      </c>
      <c r="Q1058" s="1">
        <v>43852</v>
      </c>
      <c r="R1058" t="s">
        <v>48</v>
      </c>
      <c r="S1058" t="s">
        <v>62</v>
      </c>
      <c r="T1058" t="s">
        <v>63</v>
      </c>
      <c r="U1058" t="s">
        <v>42</v>
      </c>
      <c r="V1058">
        <v>0</v>
      </c>
      <c r="W1058">
        <v>100000</v>
      </c>
      <c r="X1058" s="1">
        <v>43982</v>
      </c>
      <c r="Y1058" t="s">
        <v>51</v>
      </c>
      <c r="Z1058" t="s">
        <v>43</v>
      </c>
      <c r="AA1058" t="s">
        <v>41</v>
      </c>
      <c r="AB1058" t="s">
        <v>52</v>
      </c>
      <c r="AC1058" t="s">
        <v>53</v>
      </c>
      <c r="AF1058" t="s">
        <v>57</v>
      </c>
      <c r="AG1058" s="1">
        <v>43836</v>
      </c>
      <c r="AH1058" t="s">
        <v>42</v>
      </c>
      <c r="AI1058" t="s">
        <v>55</v>
      </c>
      <c r="AJ1058">
        <v>12788092</v>
      </c>
      <c r="AK1058">
        <v>250000</v>
      </c>
      <c r="AL1058">
        <v>1500000</v>
      </c>
    </row>
    <row r="1059" spans="1:38" x14ac:dyDescent="0.25">
      <c r="A1059" t="s">
        <v>370</v>
      </c>
      <c r="B1059" t="s">
        <v>371</v>
      </c>
      <c r="C1059" t="s">
        <v>40</v>
      </c>
      <c r="D1059" s="1">
        <v>43525</v>
      </c>
      <c r="E1059" s="1">
        <v>43890</v>
      </c>
      <c r="F1059" t="s">
        <v>41</v>
      </c>
      <c r="G1059">
        <v>1</v>
      </c>
      <c r="H1059" t="s">
        <v>42</v>
      </c>
      <c r="I1059" t="s">
        <v>43</v>
      </c>
      <c r="J1059" t="s">
        <v>41</v>
      </c>
      <c r="K1059" t="s">
        <v>44</v>
      </c>
      <c r="L1059">
        <v>50332.73</v>
      </c>
      <c r="M1059" s="1">
        <v>43525</v>
      </c>
      <c r="N1059" t="s">
        <v>45</v>
      </c>
      <c r="O1059" t="s">
        <v>44</v>
      </c>
      <c r="P1059" t="s">
        <v>47</v>
      </c>
      <c r="Q1059" s="1">
        <v>43852</v>
      </c>
      <c r="R1059" t="s">
        <v>48</v>
      </c>
      <c r="S1059" t="s">
        <v>62</v>
      </c>
      <c r="T1059" t="s">
        <v>63</v>
      </c>
      <c r="U1059" t="s">
        <v>42</v>
      </c>
      <c r="V1059">
        <v>0</v>
      </c>
      <c r="W1059">
        <v>100000</v>
      </c>
      <c r="X1059" s="1">
        <v>43982</v>
      </c>
      <c r="Y1059" t="s">
        <v>51</v>
      </c>
      <c r="Z1059" t="s">
        <v>43</v>
      </c>
      <c r="AA1059" t="s">
        <v>41</v>
      </c>
      <c r="AB1059" t="s">
        <v>52</v>
      </c>
      <c r="AC1059" t="s">
        <v>53</v>
      </c>
      <c r="AF1059" t="s">
        <v>58</v>
      </c>
      <c r="AG1059" s="1">
        <v>43837</v>
      </c>
      <c r="AH1059" t="s">
        <v>42</v>
      </c>
      <c r="AI1059" t="s">
        <v>55</v>
      </c>
      <c r="AJ1059">
        <v>12788092</v>
      </c>
      <c r="AK1059">
        <v>250000</v>
      </c>
      <c r="AL1059">
        <v>1500000</v>
      </c>
    </row>
    <row r="1060" spans="1:38" x14ac:dyDescent="0.25">
      <c r="A1060" t="s">
        <v>370</v>
      </c>
      <c r="B1060" t="s">
        <v>371</v>
      </c>
      <c r="C1060" t="s">
        <v>40</v>
      </c>
      <c r="D1060" s="1">
        <v>43525</v>
      </c>
      <c r="E1060" s="1">
        <v>43890</v>
      </c>
      <c r="F1060" t="s">
        <v>41</v>
      </c>
      <c r="G1060">
        <v>1</v>
      </c>
      <c r="H1060" t="s">
        <v>42</v>
      </c>
      <c r="I1060" t="s">
        <v>43</v>
      </c>
      <c r="J1060" t="s">
        <v>41</v>
      </c>
      <c r="K1060" t="s">
        <v>44</v>
      </c>
      <c r="L1060">
        <v>50332.73</v>
      </c>
      <c r="M1060" s="1">
        <v>43525</v>
      </c>
      <c r="N1060" t="s">
        <v>45</v>
      </c>
      <c r="O1060" t="s">
        <v>44</v>
      </c>
      <c r="P1060" t="s">
        <v>47</v>
      </c>
      <c r="Q1060" s="1">
        <v>43852</v>
      </c>
      <c r="R1060" t="s">
        <v>48</v>
      </c>
      <c r="S1060" t="s">
        <v>62</v>
      </c>
      <c r="T1060" t="s">
        <v>63</v>
      </c>
      <c r="U1060" t="s">
        <v>42</v>
      </c>
      <c r="V1060">
        <v>0</v>
      </c>
      <c r="W1060">
        <v>100000</v>
      </c>
      <c r="X1060" s="1">
        <v>43982</v>
      </c>
      <c r="Y1060" t="s">
        <v>51</v>
      </c>
      <c r="Z1060" t="s">
        <v>43</v>
      </c>
      <c r="AA1060" t="s">
        <v>41</v>
      </c>
      <c r="AB1060" t="s">
        <v>52</v>
      </c>
      <c r="AC1060" t="s">
        <v>53</v>
      </c>
      <c r="AF1060" t="s">
        <v>59</v>
      </c>
      <c r="AG1060" s="1">
        <v>43838</v>
      </c>
      <c r="AH1060" t="s">
        <v>42</v>
      </c>
      <c r="AI1060" t="s">
        <v>55</v>
      </c>
      <c r="AJ1060">
        <v>12788092</v>
      </c>
      <c r="AK1060">
        <v>250000</v>
      </c>
      <c r="AL1060">
        <v>1500000</v>
      </c>
    </row>
    <row r="1061" spans="1:38" x14ac:dyDescent="0.25">
      <c r="A1061" t="s">
        <v>370</v>
      </c>
      <c r="B1061" t="s">
        <v>371</v>
      </c>
      <c r="C1061" t="s">
        <v>40</v>
      </c>
      <c r="D1061" s="1">
        <v>43525</v>
      </c>
      <c r="E1061" s="1">
        <v>43890</v>
      </c>
      <c r="F1061" t="s">
        <v>41</v>
      </c>
      <c r="G1061">
        <v>1</v>
      </c>
      <c r="H1061" t="s">
        <v>42</v>
      </c>
      <c r="I1061" t="s">
        <v>43</v>
      </c>
      <c r="J1061" t="s">
        <v>41</v>
      </c>
      <c r="K1061" t="s">
        <v>44</v>
      </c>
      <c r="L1061">
        <v>50332.73</v>
      </c>
      <c r="M1061" s="1">
        <v>43525</v>
      </c>
      <c r="N1061" t="s">
        <v>45</v>
      </c>
      <c r="O1061" t="s">
        <v>44</v>
      </c>
      <c r="P1061" t="s">
        <v>47</v>
      </c>
      <c r="Q1061" s="1">
        <v>43852</v>
      </c>
      <c r="R1061" t="s">
        <v>48</v>
      </c>
      <c r="S1061" t="s">
        <v>64</v>
      </c>
      <c r="T1061" t="s">
        <v>65</v>
      </c>
      <c r="U1061" t="s">
        <v>42</v>
      </c>
      <c r="V1061">
        <v>0</v>
      </c>
      <c r="W1061">
        <v>100000</v>
      </c>
      <c r="X1061" s="1">
        <v>43921</v>
      </c>
      <c r="Y1061" t="s">
        <v>51</v>
      </c>
      <c r="Z1061" t="s">
        <v>43</v>
      </c>
      <c r="AA1061" t="s">
        <v>41</v>
      </c>
      <c r="AB1061" t="s">
        <v>52</v>
      </c>
      <c r="AC1061" t="s">
        <v>53</v>
      </c>
      <c r="AF1061" t="s">
        <v>54</v>
      </c>
      <c r="AG1061" s="1">
        <v>43832</v>
      </c>
      <c r="AH1061" t="s">
        <v>42</v>
      </c>
      <c r="AI1061" t="s">
        <v>55</v>
      </c>
      <c r="AJ1061">
        <v>12788092</v>
      </c>
      <c r="AK1061">
        <v>250000</v>
      </c>
      <c r="AL1061">
        <v>1500000</v>
      </c>
    </row>
    <row r="1062" spans="1:38" x14ac:dyDescent="0.25">
      <c r="A1062" t="s">
        <v>370</v>
      </c>
      <c r="B1062" t="s">
        <v>371</v>
      </c>
      <c r="C1062" t="s">
        <v>40</v>
      </c>
      <c r="D1062" s="1">
        <v>43525</v>
      </c>
      <c r="E1062" s="1">
        <v>43890</v>
      </c>
      <c r="F1062" t="s">
        <v>41</v>
      </c>
      <c r="G1062">
        <v>1</v>
      </c>
      <c r="H1062" t="s">
        <v>42</v>
      </c>
      <c r="I1062" t="s">
        <v>43</v>
      </c>
      <c r="J1062" t="s">
        <v>41</v>
      </c>
      <c r="K1062" t="s">
        <v>44</v>
      </c>
      <c r="L1062">
        <v>50332.73</v>
      </c>
      <c r="M1062" s="1">
        <v>43525</v>
      </c>
      <c r="N1062" t="s">
        <v>45</v>
      </c>
      <c r="O1062" t="s">
        <v>44</v>
      </c>
      <c r="P1062" t="s">
        <v>47</v>
      </c>
      <c r="Q1062" s="1">
        <v>43852</v>
      </c>
      <c r="R1062" t="s">
        <v>48</v>
      </c>
      <c r="S1062" t="s">
        <v>64</v>
      </c>
      <c r="T1062" t="s">
        <v>65</v>
      </c>
      <c r="U1062" t="s">
        <v>42</v>
      </c>
      <c r="V1062">
        <v>0</v>
      </c>
      <c r="W1062">
        <v>100000</v>
      </c>
      <c r="X1062" s="1">
        <v>43921</v>
      </c>
      <c r="Y1062" t="s">
        <v>51</v>
      </c>
      <c r="Z1062" t="s">
        <v>43</v>
      </c>
      <c r="AA1062" t="s">
        <v>41</v>
      </c>
      <c r="AB1062" t="s">
        <v>52</v>
      </c>
      <c r="AC1062" t="s">
        <v>53</v>
      </c>
      <c r="AF1062" t="s">
        <v>56</v>
      </c>
      <c r="AG1062" s="1">
        <v>43833</v>
      </c>
      <c r="AH1062" t="s">
        <v>42</v>
      </c>
      <c r="AI1062" t="s">
        <v>55</v>
      </c>
      <c r="AJ1062">
        <v>12788092</v>
      </c>
      <c r="AK1062">
        <v>250000</v>
      </c>
      <c r="AL1062">
        <v>1500000</v>
      </c>
    </row>
    <row r="1063" spans="1:38" x14ac:dyDescent="0.25">
      <c r="A1063" t="s">
        <v>370</v>
      </c>
      <c r="B1063" t="s">
        <v>371</v>
      </c>
      <c r="C1063" t="s">
        <v>40</v>
      </c>
      <c r="D1063" s="1">
        <v>43525</v>
      </c>
      <c r="E1063" s="1">
        <v>43890</v>
      </c>
      <c r="F1063" t="s">
        <v>41</v>
      </c>
      <c r="G1063">
        <v>1</v>
      </c>
      <c r="H1063" t="s">
        <v>42</v>
      </c>
      <c r="I1063" t="s">
        <v>43</v>
      </c>
      <c r="J1063" t="s">
        <v>41</v>
      </c>
      <c r="K1063" t="s">
        <v>44</v>
      </c>
      <c r="L1063">
        <v>50332.73</v>
      </c>
      <c r="M1063" s="1">
        <v>43525</v>
      </c>
      <c r="N1063" t="s">
        <v>45</v>
      </c>
      <c r="O1063" t="s">
        <v>44</v>
      </c>
      <c r="P1063" t="s">
        <v>47</v>
      </c>
      <c r="Q1063" s="1">
        <v>43852</v>
      </c>
      <c r="R1063" t="s">
        <v>48</v>
      </c>
      <c r="S1063" t="s">
        <v>64</v>
      </c>
      <c r="T1063" t="s">
        <v>65</v>
      </c>
      <c r="U1063" t="s">
        <v>42</v>
      </c>
      <c r="V1063">
        <v>0</v>
      </c>
      <c r="W1063">
        <v>100000</v>
      </c>
      <c r="X1063" s="1">
        <v>43921</v>
      </c>
      <c r="Y1063" t="s">
        <v>51</v>
      </c>
      <c r="Z1063" t="s">
        <v>43</v>
      </c>
      <c r="AA1063" t="s">
        <v>41</v>
      </c>
      <c r="AB1063" t="s">
        <v>52</v>
      </c>
      <c r="AC1063" t="s">
        <v>53</v>
      </c>
      <c r="AF1063" t="s">
        <v>57</v>
      </c>
      <c r="AG1063" s="1">
        <v>43836</v>
      </c>
      <c r="AH1063" t="s">
        <v>42</v>
      </c>
      <c r="AI1063" t="s">
        <v>55</v>
      </c>
      <c r="AJ1063">
        <v>12788092</v>
      </c>
      <c r="AK1063">
        <v>250000</v>
      </c>
      <c r="AL1063">
        <v>1500000</v>
      </c>
    </row>
    <row r="1064" spans="1:38" x14ac:dyDescent="0.25">
      <c r="A1064" t="s">
        <v>370</v>
      </c>
      <c r="B1064" t="s">
        <v>371</v>
      </c>
      <c r="C1064" t="s">
        <v>40</v>
      </c>
      <c r="D1064" s="1">
        <v>43525</v>
      </c>
      <c r="E1064" s="1">
        <v>43890</v>
      </c>
      <c r="F1064" t="s">
        <v>41</v>
      </c>
      <c r="G1064">
        <v>1</v>
      </c>
      <c r="H1064" t="s">
        <v>42</v>
      </c>
      <c r="I1064" t="s">
        <v>43</v>
      </c>
      <c r="J1064" t="s">
        <v>41</v>
      </c>
      <c r="K1064" t="s">
        <v>44</v>
      </c>
      <c r="L1064">
        <v>50332.73</v>
      </c>
      <c r="M1064" s="1">
        <v>43525</v>
      </c>
      <c r="N1064" t="s">
        <v>45</v>
      </c>
      <c r="O1064" t="s">
        <v>44</v>
      </c>
      <c r="P1064" t="s">
        <v>47</v>
      </c>
      <c r="Q1064" s="1">
        <v>43852</v>
      </c>
      <c r="R1064" t="s">
        <v>48</v>
      </c>
      <c r="S1064" t="s">
        <v>64</v>
      </c>
      <c r="T1064" t="s">
        <v>65</v>
      </c>
      <c r="U1064" t="s">
        <v>42</v>
      </c>
      <c r="V1064">
        <v>0</v>
      </c>
      <c r="W1064">
        <v>100000</v>
      </c>
      <c r="X1064" s="1">
        <v>43921</v>
      </c>
      <c r="Y1064" t="s">
        <v>51</v>
      </c>
      <c r="Z1064" t="s">
        <v>43</v>
      </c>
      <c r="AA1064" t="s">
        <v>41</v>
      </c>
      <c r="AB1064" t="s">
        <v>52</v>
      </c>
      <c r="AC1064" t="s">
        <v>53</v>
      </c>
      <c r="AF1064" t="s">
        <v>58</v>
      </c>
      <c r="AG1064" s="1">
        <v>43837</v>
      </c>
      <c r="AH1064" t="s">
        <v>42</v>
      </c>
      <c r="AI1064" t="s">
        <v>55</v>
      </c>
      <c r="AJ1064">
        <v>12788092</v>
      </c>
      <c r="AK1064">
        <v>250000</v>
      </c>
      <c r="AL1064">
        <v>1500000</v>
      </c>
    </row>
    <row r="1065" spans="1:38" x14ac:dyDescent="0.25">
      <c r="A1065" t="s">
        <v>370</v>
      </c>
      <c r="B1065" t="s">
        <v>371</v>
      </c>
      <c r="C1065" t="s">
        <v>40</v>
      </c>
      <c r="D1065" s="1">
        <v>43525</v>
      </c>
      <c r="E1065" s="1">
        <v>43890</v>
      </c>
      <c r="F1065" t="s">
        <v>41</v>
      </c>
      <c r="G1065">
        <v>1</v>
      </c>
      <c r="H1065" t="s">
        <v>42</v>
      </c>
      <c r="I1065" t="s">
        <v>43</v>
      </c>
      <c r="J1065" t="s">
        <v>41</v>
      </c>
      <c r="K1065" t="s">
        <v>44</v>
      </c>
      <c r="L1065">
        <v>50332.73</v>
      </c>
      <c r="M1065" s="1">
        <v>43525</v>
      </c>
      <c r="N1065" t="s">
        <v>45</v>
      </c>
      <c r="O1065" t="s">
        <v>44</v>
      </c>
      <c r="P1065" t="s">
        <v>47</v>
      </c>
      <c r="Q1065" s="1">
        <v>43852</v>
      </c>
      <c r="R1065" t="s">
        <v>48</v>
      </c>
      <c r="S1065" t="s">
        <v>64</v>
      </c>
      <c r="T1065" t="s">
        <v>65</v>
      </c>
      <c r="U1065" t="s">
        <v>42</v>
      </c>
      <c r="V1065">
        <v>0</v>
      </c>
      <c r="W1065">
        <v>100000</v>
      </c>
      <c r="X1065" s="1">
        <v>43921</v>
      </c>
      <c r="Y1065" t="s">
        <v>51</v>
      </c>
      <c r="Z1065" t="s">
        <v>43</v>
      </c>
      <c r="AA1065" t="s">
        <v>41</v>
      </c>
      <c r="AB1065" t="s">
        <v>52</v>
      </c>
      <c r="AC1065" t="s">
        <v>53</v>
      </c>
      <c r="AF1065" t="s">
        <v>59</v>
      </c>
      <c r="AG1065" s="1">
        <v>43838</v>
      </c>
      <c r="AH1065" t="s">
        <v>42</v>
      </c>
      <c r="AI1065" t="s">
        <v>55</v>
      </c>
      <c r="AJ1065">
        <v>12788092</v>
      </c>
      <c r="AK1065">
        <v>250000</v>
      </c>
      <c r="AL1065">
        <v>1500000</v>
      </c>
    </row>
    <row r="1066" spans="1:38" x14ac:dyDescent="0.25">
      <c r="A1066" t="s">
        <v>370</v>
      </c>
      <c r="B1066" t="s">
        <v>372</v>
      </c>
      <c r="C1066" t="s">
        <v>71</v>
      </c>
      <c r="D1066" s="1">
        <v>43160</v>
      </c>
      <c r="E1066" s="1">
        <v>43524</v>
      </c>
      <c r="F1066" t="s">
        <v>41</v>
      </c>
      <c r="G1066">
        <v>1</v>
      </c>
      <c r="H1066" t="s">
        <v>42</v>
      </c>
      <c r="I1066" t="s">
        <v>43</v>
      </c>
      <c r="J1066" t="s">
        <v>41</v>
      </c>
      <c r="K1066" t="s">
        <v>44</v>
      </c>
      <c r="L1066">
        <v>57539.3</v>
      </c>
      <c r="M1066" s="1">
        <v>43160</v>
      </c>
      <c r="N1066" t="s">
        <v>45</v>
      </c>
      <c r="O1066" t="s">
        <v>46</v>
      </c>
      <c r="P1066" t="s">
        <v>47</v>
      </c>
      <c r="Q1066" s="1">
        <v>43852</v>
      </c>
      <c r="R1066" t="s">
        <v>48</v>
      </c>
      <c r="S1066" t="s">
        <v>49</v>
      </c>
      <c r="T1066" t="s">
        <v>50</v>
      </c>
      <c r="U1066" t="s">
        <v>42</v>
      </c>
      <c r="V1066">
        <v>0</v>
      </c>
      <c r="W1066">
        <v>100000</v>
      </c>
      <c r="X1066" s="1">
        <v>44012</v>
      </c>
      <c r="Y1066" t="s">
        <v>51</v>
      </c>
      <c r="Z1066" t="s">
        <v>43</v>
      </c>
      <c r="AA1066" t="s">
        <v>41</v>
      </c>
      <c r="AB1066" t="s">
        <v>52</v>
      </c>
      <c r="AC1066" t="s">
        <v>53</v>
      </c>
      <c r="AF1066" t="s">
        <v>54</v>
      </c>
      <c r="AG1066" s="1">
        <v>43832</v>
      </c>
      <c r="AH1066" t="s">
        <v>42</v>
      </c>
      <c r="AI1066" t="s">
        <v>55</v>
      </c>
      <c r="AJ1066">
        <v>12788092</v>
      </c>
      <c r="AK1066">
        <v>250000</v>
      </c>
      <c r="AL1066">
        <v>1500000</v>
      </c>
    </row>
    <row r="1067" spans="1:38" x14ac:dyDescent="0.25">
      <c r="A1067" t="s">
        <v>370</v>
      </c>
      <c r="B1067" t="s">
        <v>372</v>
      </c>
      <c r="C1067" t="s">
        <v>71</v>
      </c>
      <c r="D1067" s="1">
        <v>43160</v>
      </c>
      <c r="E1067" s="1">
        <v>43524</v>
      </c>
      <c r="F1067" t="s">
        <v>41</v>
      </c>
      <c r="G1067">
        <v>1</v>
      </c>
      <c r="H1067" t="s">
        <v>42</v>
      </c>
      <c r="I1067" t="s">
        <v>43</v>
      </c>
      <c r="J1067" t="s">
        <v>41</v>
      </c>
      <c r="K1067" t="s">
        <v>44</v>
      </c>
      <c r="L1067">
        <v>57539.3</v>
      </c>
      <c r="M1067" s="1">
        <v>43160</v>
      </c>
      <c r="N1067" t="s">
        <v>45</v>
      </c>
      <c r="O1067" t="s">
        <v>46</v>
      </c>
      <c r="P1067" t="s">
        <v>47</v>
      </c>
      <c r="Q1067" s="1">
        <v>43852</v>
      </c>
      <c r="R1067" t="s">
        <v>48</v>
      </c>
      <c r="S1067" t="s">
        <v>49</v>
      </c>
      <c r="T1067" t="s">
        <v>50</v>
      </c>
      <c r="U1067" t="s">
        <v>42</v>
      </c>
      <c r="V1067">
        <v>0</v>
      </c>
      <c r="W1067">
        <v>100000</v>
      </c>
      <c r="X1067" s="1">
        <v>44012</v>
      </c>
      <c r="Y1067" t="s">
        <v>51</v>
      </c>
      <c r="Z1067" t="s">
        <v>43</v>
      </c>
      <c r="AA1067" t="s">
        <v>41</v>
      </c>
      <c r="AB1067" t="s">
        <v>52</v>
      </c>
      <c r="AC1067" t="s">
        <v>53</v>
      </c>
      <c r="AF1067" t="s">
        <v>56</v>
      </c>
      <c r="AG1067" s="1">
        <v>43833</v>
      </c>
      <c r="AH1067" t="s">
        <v>42</v>
      </c>
      <c r="AI1067" t="s">
        <v>55</v>
      </c>
      <c r="AJ1067">
        <v>12788092</v>
      </c>
      <c r="AK1067">
        <v>250000</v>
      </c>
      <c r="AL1067">
        <v>1500000</v>
      </c>
    </row>
    <row r="1068" spans="1:38" x14ac:dyDescent="0.25">
      <c r="A1068" t="s">
        <v>370</v>
      </c>
      <c r="B1068" t="s">
        <v>372</v>
      </c>
      <c r="C1068" t="s">
        <v>71</v>
      </c>
      <c r="D1068" s="1">
        <v>43160</v>
      </c>
      <c r="E1068" s="1">
        <v>43524</v>
      </c>
      <c r="F1068" t="s">
        <v>41</v>
      </c>
      <c r="G1068">
        <v>1</v>
      </c>
      <c r="H1068" t="s">
        <v>42</v>
      </c>
      <c r="I1068" t="s">
        <v>43</v>
      </c>
      <c r="J1068" t="s">
        <v>41</v>
      </c>
      <c r="K1068" t="s">
        <v>44</v>
      </c>
      <c r="L1068">
        <v>57539.3</v>
      </c>
      <c r="M1068" s="1">
        <v>43160</v>
      </c>
      <c r="N1068" t="s">
        <v>45</v>
      </c>
      <c r="O1068" t="s">
        <v>46</v>
      </c>
      <c r="P1068" t="s">
        <v>47</v>
      </c>
      <c r="Q1068" s="1">
        <v>43852</v>
      </c>
      <c r="R1068" t="s">
        <v>48</v>
      </c>
      <c r="S1068" t="s">
        <v>49</v>
      </c>
      <c r="T1068" t="s">
        <v>50</v>
      </c>
      <c r="U1068" t="s">
        <v>42</v>
      </c>
      <c r="V1068">
        <v>0</v>
      </c>
      <c r="W1068">
        <v>100000</v>
      </c>
      <c r="X1068" s="1">
        <v>44012</v>
      </c>
      <c r="Y1068" t="s">
        <v>51</v>
      </c>
      <c r="Z1068" t="s">
        <v>43</v>
      </c>
      <c r="AA1068" t="s">
        <v>41</v>
      </c>
      <c r="AB1068" t="s">
        <v>52</v>
      </c>
      <c r="AC1068" t="s">
        <v>53</v>
      </c>
      <c r="AF1068" t="s">
        <v>57</v>
      </c>
      <c r="AG1068" s="1">
        <v>43836</v>
      </c>
      <c r="AH1068" t="s">
        <v>42</v>
      </c>
      <c r="AI1068" t="s">
        <v>55</v>
      </c>
      <c r="AJ1068">
        <v>12788092</v>
      </c>
      <c r="AK1068">
        <v>250000</v>
      </c>
      <c r="AL1068">
        <v>1500000</v>
      </c>
    </row>
    <row r="1069" spans="1:38" x14ac:dyDescent="0.25">
      <c r="A1069" t="s">
        <v>370</v>
      </c>
      <c r="B1069" t="s">
        <v>372</v>
      </c>
      <c r="C1069" t="s">
        <v>71</v>
      </c>
      <c r="D1069" s="1">
        <v>43160</v>
      </c>
      <c r="E1069" s="1">
        <v>43524</v>
      </c>
      <c r="F1069" t="s">
        <v>41</v>
      </c>
      <c r="G1069">
        <v>1</v>
      </c>
      <c r="H1069" t="s">
        <v>42</v>
      </c>
      <c r="I1069" t="s">
        <v>43</v>
      </c>
      <c r="J1069" t="s">
        <v>41</v>
      </c>
      <c r="K1069" t="s">
        <v>44</v>
      </c>
      <c r="L1069">
        <v>57539.3</v>
      </c>
      <c r="M1069" s="1">
        <v>43160</v>
      </c>
      <c r="N1069" t="s">
        <v>45</v>
      </c>
      <c r="O1069" t="s">
        <v>46</v>
      </c>
      <c r="P1069" t="s">
        <v>47</v>
      </c>
      <c r="Q1069" s="1">
        <v>43852</v>
      </c>
      <c r="R1069" t="s">
        <v>48</v>
      </c>
      <c r="S1069" t="s">
        <v>49</v>
      </c>
      <c r="T1069" t="s">
        <v>50</v>
      </c>
      <c r="U1069" t="s">
        <v>42</v>
      </c>
      <c r="V1069">
        <v>0</v>
      </c>
      <c r="W1069">
        <v>100000</v>
      </c>
      <c r="X1069" s="1">
        <v>44012</v>
      </c>
      <c r="Y1069" t="s">
        <v>51</v>
      </c>
      <c r="Z1069" t="s">
        <v>43</v>
      </c>
      <c r="AA1069" t="s">
        <v>41</v>
      </c>
      <c r="AB1069" t="s">
        <v>52</v>
      </c>
      <c r="AC1069" t="s">
        <v>53</v>
      </c>
      <c r="AF1069" t="s">
        <v>58</v>
      </c>
      <c r="AG1069" s="1">
        <v>43837</v>
      </c>
      <c r="AH1069" t="s">
        <v>42</v>
      </c>
      <c r="AI1069" t="s">
        <v>55</v>
      </c>
      <c r="AJ1069">
        <v>12788092</v>
      </c>
      <c r="AK1069">
        <v>250000</v>
      </c>
      <c r="AL1069">
        <v>1500000</v>
      </c>
    </row>
    <row r="1070" spans="1:38" x14ac:dyDescent="0.25">
      <c r="A1070" t="s">
        <v>370</v>
      </c>
      <c r="B1070" t="s">
        <v>372</v>
      </c>
      <c r="C1070" t="s">
        <v>71</v>
      </c>
      <c r="D1070" s="1">
        <v>43160</v>
      </c>
      <c r="E1070" s="1">
        <v>43524</v>
      </c>
      <c r="F1070" t="s">
        <v>41</v>
      </c>
      <c r="G1070">
        <v>1</v>
      </c>
      <c r="H1070" t="s">
        <v>42</v>
      </c>
      <c r="I1070" t="s">
        <v>43</v>
      </c>
      <c r="J1070" t="s">
        <v>41</v>
      </c>
      <c r="K1070" t="s">
        <v>44</v>
      </c>
      <c r="L1070">
        <v>57539.3</v>
      </c>
      <c r="M1070" s="1">
        <v>43160</v>
      </c>
      <c r="N1070" t="s">
        <v>45</v>
      </c>
      <c r="O1070" t="s">
        <v>46</v>
      </c>
      <c r="P1070" t="s">
        <v>47</v>
      </c>
      <c r="Q1070" s="1">
        <v>43852</v>
      </c>
      <c r="R1070" t="s">
        <v>48</v>
      </c>
      <c r="S1070" t="s">
        <v>49</v>
      </c>
      <c r="T1070" t="s">
        <v>50</v>
      </c>
      <c r="U1070" t="s">
        <v>42</v>
      </c>
      <c r="V1070">
        <v>0</v>
      </c>
      <c r="W1070">
        <v>100000</v>
      </c>
      <c r="X1070" s="1">
        <v>44012</v>
      </c>
      <c r="Y1070" t="s">
        <v>51</v>
      </c>
      <c r="Z1070" t="s">
        <v>43</v>
      </c>
      <c r="AA1070" t="s">
        <v>41</v>
      </c>
      <c r="AB1070" t="s">
        <v>52</v>
      </c>
      <c r="AC1070" t="s">
        <v>53</v>
      </c>
      <c r="AF1070" t="s">
        <v>59</v>
      </c>
      <c r="AG1070" s="1">
        <v>43838</v>
      </c>
      <c r="AH1070" t="s">
        <v>42</v>
      </c>
      <c r="AI1070" t="s">
        <v>55</v>
      </c>
      <c r="AJ1070">
        <v>12788092</v>
      </c>
      <c r="AK1070">
        <v>250000</v>
      </c>
      <c r="AL1070">
        <v>1500000</v>
      </c>
    </row>
    <row r="1071" spans="1:38" x14ac:dyDescent="0.25">
      <c r="A1071" t="s">
        <v>370</v>
      </c>
      <c r="B1071" t="s">
        <v>372</v>
      </c>
      <c r="C1071" t="s">
        <v>71</v>
      </c>
      <c r="D1071" s="1">
        <v>43160</v>
      </c>
      <c r="E1071" s="1">
        <v>43524</v>
      </c>
      <c r="F1071" t="s">
        <v>41</v>
      </c>
      <c r="G1071">
        <v>1</v>
      </c>
      <c r="H1071" t="s">
        <v>42</v>
      </c>
      <c r="I1071" t="s">
        <v>43</v>
      </c>
      <c r="J1071" t="s">
        <v>41</v>
      </c>
      <c r="K1071" t="s">
        <v>44</v>
      </c>
      <c r="L1071">
        <v>57539.3</v>
      </c>
      <c r="M1071" s="1">
        <v>43160</v>
      </c>
      <c r="N1071" t="s">
        <v>45</v>
      </c>
      <c r="O1071" t="s">
        <v>46</v>
      </c>
      <c r="P1071" t="s">
        <v>47</v>
      </c>
      <c r="Q1071" s="1">
        <v>43852</v>
      </c>
      <c r="R1071" t="s">
        <v>48</v>
      </c>
      <c r="S1071" t="s">
        <v>60</v>
      </c>
      <c r="T1071" t="s">
        <v>61</v>
      </c>
      <c r="U1071" t="s">
        <v>42</v>
      </c>
      <c r="V1071">
        <v>0</v>
      </c>
      <c r="W1071">
        <v>100000</v>
      </c>
      <c r="X1071" s="1">
        <v>43921</v>
      </c>
      <c r="Y1071" t="s">
        <v>51</v>
      </c>
      <c r="Z1071" t="s">
        <v>43</v>
      </c>
      <c r="AA1071" t="s">
        <v>41</v>
      </c>
      <c r="AB1071" t="s">
        <v>52</v>
      </c>
      <c r="AC1071" t="s">
        <v>53</v>
      </c>
      <c r="AF1071" t="s">
        <v>54</v>
      </c>
      <c r="AG1071" s="1">
        <v>43832</v>
      </c>
      <c r="AH1071" t="s">
        <v>42</v>
      </c>
      <c r="AI1071" t="s">
        <v>55</v>
      </c>
      <c r="AJ1071">
        <v>12788092</v>
      </c>
      <c r="AK1071">
        <v>250000</v>
      </c>
      <c r="AL1071">
        <v>1500000</v>
      </c>
    </row>
    <row r="1072" spans="1:38" x14ac:dyDescent="0.25">
      <c r="A1072" t="s">
        <v>370</v>
      </c>
      <c r="B1072" t="s">
        <v>372</v>
      </c>
      <c r="C1072" t="s">
        <v>71</v>
      </c>
      <c r="D1072" s="1">
        <v>43160</v>
      </c>
      <c r="E1072" s="1">
        <v>43524</v>
      </c>
      <c r="F1072" t="s">
        <v>41</v>
      </c>
      <c r="G1072">
        <v>1</v>
      </c>
      <c r="H1072" t="s">
        <v>42</v>
      </c>
      <c r="I1072" t="s">
        <v>43</v>
      </c>
      <c r="J1072" t="s">
        <v>41</v>
      </c>
      <c r="K1072" t="s">
        <v>44</v>
      </c>
      <c r="L1072">
        <v>57539.3</v>
      </c>
      <c r="M1072" s="1">
        <v>43160</v>
      </c>
      <c r="N1072" t="s">
        <v>45</v>
      </c>
      <c r="O1072" t="s">
        <v>46</v>
      </c>
      <c r="P1072" t="s">
        <v>47</v>
      </c>
      <c r="Q1072" s="1">
        <v>43852</v>
      </c>
      <c r="R1072" t="s">
        <v>48</v>
      </c>
      <c r="S1072" t="s">
        <v>60</v>
      </c>
      <c r="T1072" t="s">
        <v>61</v>
      </c>
      <c r="U1072" t="s">
        <v>42</v>
      </c>
      <c r="V1072">
        <v>0</v>
      </c>
      <c r="W1072">
        <v>100000</v>
      </c>
      <c r="X1072" s="1">
        <v>43921</v>
      </c>
      <c r="Y1072" t="s">
        <v>51</v>
      </c>
      <c r="Z1072" t="s">
        <v>43</v>
      </c>
      <c r="AA1072" t="s">
        <v>41</v>
      </c>
      <c r="AB1072" t="s">
        <v>52</v>
      </c>
      <c r="AC1072" t="s">
        <v>53</v>
      </c>
      <c r="AF1072" t="s">
        <v>56</v>
      </c>
      <c r="AG1072" s="1">
        <v>43833</v>
      </c>
      <c r="AH1072" t="s">
        <v>42</v>
      </c>
      <c r="AI1072" t="s">
        <v>55</v>
      </c>
      <c r="AJ1072">
        <v>12788092</v>
      </c>
      <c r="AK1072">
        <v>250000</v>
      </c>
      <c r="AL1072">
        <v>1500000</v>
      </c>
    </row>
    <row r="1073" spans="1:38" x14ac:dyDescent="0.25">
      <c r="A1073" t="s">
        <v>370</v>
      </c>
      <c r="B1073" t="s">
        <v>372</v>
      </c>
      <c r="C1073" t="s">
        <v>71</v>
      </c>
      <c r="D1073" s="1">
        <v>43160</v>
      </c>
      <c r="E1073" s="1">
        <v>43524</v>
      </c>
      <c r="F1073" t="s">
        <v>41</v>
      </c>
      <c r="G1073">
        <v>1</v>
      </c>
      <c r="H1073" t="s">
        <v>42</v>
      </c>
      <c r="I1073" t="s">
        <v>43</v>
      </c>
      <c r="J1073" t="s">
        <v>41</v>
      </c>
      <c r="K1073" t="s">
        <v>44</v>
      </c>
      <c r="L1073">
        <v>57539.3</v>
      </c>
      <c r="M1073" s="1">
        <v>43160</v>
      </c>
      <c r="N1073" t="s">
        <v>45</v>
      </c>
      <c r="O1073" t="s">
        <v>46</v>
      </c>
      <c r="P1073" t="s">
        <v>47</v>
      </c>
      <c r="Q1073" s="1">
        <v>43852</v>
      </c>
      <c r="R1073" t="s">
        <v>48</v>
      </c>
      <c r="S1073" t="s">
        <v>60</v>
      </c>
      <c r="T1073" t="s">
        <v>61</v>
      </c>
      <c r="U1073" t="s">
        <v>42</v>
      </c>
      <c r="V1073">
        <v>0</v>
      </c>
      <c r="W1073">
        <v>100000</v>
      </c>
      <c r="X1073" s="1">
        <v>43921</v>
      </c>
      <c r="Y1073" t="s">
        <v>51</v>
      </c>
      <c r="Z1073" t="s">
        <v>43</v>
      </c>
      <c r="AA1073" t="s">
        <v>41</v>
      </c>
      <c r="AB1073" t="s">
        <v>52</v>
      </c>
      <c r="AC1073" t="s">
        <v>53</v>
      </c>
      <c r="AF1073" t="s">
        <v>57</v>
      </c>
      <c r="AG1073" s="1">
        <v>43836</v>
      </c>
      <c r="AH1073" t="s">
        <v>42</v>
      </c>
      <c r="AI1073" t="s">
        <v>55</v>
      </c>
      <c r="AJ1073">
        <v>12788092</v>
      </c>
      <c r="AK1073">
        <v>250000</v>
      </c>
      <c r="AL1073">
        <v>1500000</v>
      </c>
    </row>
    <row r="1074" spans="1:38" x14ac:dyDescent="0.25">
      <c r="A1074" t="s">
        <v>370</v>
      </c>
      <c r="B1074" t="s">
        <v>372</v>
      </c>
      <c r="C1074" t="s">
        <v>71</v>
      </c>
      <c r="D1074" s="1">
        <v>43160</v>
      </c>
      <c r="E1074" s="1">
        <v>43524</v>
      </c>
      <c r="F1074" t="s">
        <v>41</v>
      </c>
      <c r="G1074">
        <v>1</v>
      </c>
      <c r="H1074" t="s">
        <v>42</v>
      </c>
      <c r="I1074" t="s">
        <v>43</v>
      </c>
      <c r="J1074" t="s">
        <v>41</v>
      </c>
      <c r="K1074" t="s">
        <v>44</v>
      </c>
      <c r="L1074">
        <v>57539.3</v>
      </c>
      <c r="M1074" s="1">
        <v>43160</v>
      </c>
      <c r="N1074" t="s">
        <v>45</v>
      </c>
      <c r="O1074" t="s">
        <v>46</v>
      </c>
      <c r="P1074" t="s">
        <v>47</v>
      </c>
      <c r="Q1074" s="1">
        <v>43852</v>
      </c>
      <c r="R1074" t="s">
        <v>48</v>
      </c>
      <c r="S1074" t="s">
        <v>60</v>
      </c>
      <c r="T1074" t="s">
        <v>61</v>
      </c>
      <c r="U1074" t="s">
        <v>42</v>
      </c>
      <c r="V1074">
        <v>0</v>
      </c>
      <c r="W1074">
        <v>100000</v>
      </c>
      <c r="X1074" s="1">
        <v>43921</v>
      </c>
      <c r="Y1074" t="s">
        <v>51</v>
      </c>
      <c r="Z1074" t="s">
        <v>43</v>
      </c>
      <c r="AA1074" t="s">
        <v>41</v>
      </c>
      <c r="AB1074" t="s">
        <v>52</v>
      </c>
      <c r="AC1074" t="s">
        <v>53</v>
      </c>
      <c r="AF1074" t="s">
        <v>58</v>
      </c>
      <c r="AG1074" s="1">
        <v>43837</v>
      </c>
      <c r="AH1074" t="s">
        <v>42</v>
      </c>
      <c r="AI1074" t="s">
        <v>55</v>
      </c>
      <c r="AJ1074">
        <v>12788092</v>
      </c>
      <c r="AK1074">
        <v>250000</v>
      </c>
      <c r="AL1074">
        <v>1500000</v>
      </c>
    </row>
    <row r="1075" spans="1:38" x14ac:dyDescent="0.25">
      <c r="A1075" t="s">
        <v>370</v>
      </c>
      <c r="B1075" t="s">
        <v>372</v>
      </c>
      <c r="C1075" t="s">
        <v>71</v>
      </c>
      <c r="D1075" s="1">
        <v>43160</v>
      </c>
      <c r="E1075" s="1">
        <v>43524</v>
      </c>
      <c r="F1075" t="s">
        <v>41</v>
      </c>
      <c r="G1075">
        <v>1</v>
      </c>
      <c r="H1075" t="s">
        <v>42</v>
      </c>
      <c r="I1075" t="s">
        <v>43</v>
      </c>
      <c r="J1075" t="s">
        <v>41</v>
      </c>
      <c r="K1075" t="s">
        <v>44</v>
      </c>
      <c r="L1075">
        <v>57539.3</v>
      </c>
      <c r="M1075" s="1">
        <v>43160</v>
      </c>
      <c r="N1075" t="s">
        <v>45</v>
      </c>
      <c r="O1075" t="s">
        <v>46</v>
      </c>
      <c r="P1075" t="s">
        <v>47</v>
      </c>
      <c r="Q1075" s="1">
        <v>43852</v>
      </c>
      <c r="R1075" t="s">
        <v>48</v>
      </c>
      <c r="S1075" t="s">
        <v>60</v>
      </c>
      <c r="T1075" t="s">
        <v>61</v>
      </c>
      <c r="U1075" t="s">
        <v>42</v>
      </c>
      <c r="V1075">
        <v>0</v>
      </c>
      <c r="W1075">
        <v>100000</v>
      </c>
      <c r="X1075" s="1">
        <v>43921</v>
      </c>
      <c r="Y1075" t="s">
        <v>51</v>
      </c>
      <c r="Z1075" t="s">
        <v>43</v>
      </c>
      <c r="AA1075" t="s">
        <v>41</v>
      </c>
      <c r="AB1075" t="s">
        <v>52</v>
      </c>
      <c r="AC1075" t="s">
        <v>53</v>
      </c>
      <c r="AF1075" t="s">
        <v>59</v>
      </c>
      <c r="AG1075" s="1">
        <v>43838</v>
      </c>
      <c r="AH1075" t="s">
        <v>42</v>
      </c>
      <c r="AI1075" t="s">
        <v>55</v>
      </c>
      <c r="AJ1075">
        <v>12788092</v>
      </c>
      <c r="AK1075">
        <v>250000</v>
      </c>
      <c r="AL1075">
        <v>1500000</v>
      </c>
    </row>
    <row r="1076" spans="1:38" x14ac:dyDescent="0.25">
      <c r="A1076" t="s">
        <v>370</v>
      </c>
      <c r="B1076" t="s">
        <v>372</v>
      </c>
      <c r="C1076" t="s">
        <v>71</v>
      </c>
      <c r="D1076" s="1">
        <v>43160</v>
      </c>
      <c r="E1076" s="1">
        <v>43524</v>
      </c>
      <c r="F1076" t="s">
        <v>41</v>
      </c>
      <c r="G1076">
        <v>1</v>
      </c>
      <c r="H1076" t="s">
        <v>42</v>
      </c>
      <c r="I1076" t="s">
        <v>43</v>
      </c>
      <c r="J1076" t="s">
        <v>41</v>
      </c>
      <c r="K1076" t="s">
        <v>44</v>
      </c>
      <c r="L1076">
        <v>57539.3</v>
      </c>
      <c r="M1076" s="1">
        <v>43160</v>
      </c>
      <c r="N1076" t="s">
        <v>45</v>
      </c>
      <c r="O1076" t="s">
        <v>46</v>
      </c>
      <c r="P1076" t="s">
        <v>47</v>
      </c>
      <c r="Q1076" s="1">
        <v>43852</v>
      </c>
      <c r="R1076" t="s">
        <v>48</v>
      </c>
      <c r="S1076" t="s">
        <v>62</v>
      </c>
      <c r="T1076" t="s">
        <v>63</v>
      </c>
      <c r="U1076" t="s">
        <v>42</v>
      </c>
      <c r="V1076">
        <v>0</v>
      </c>
      <c r="W1076">
        <v>100000</v>
      </c>
      <c r="X1076" s="1">
        <v>43982</v>
      </c>
      <c r="Y1076" t="s">
        <v>51</v>
      </c>
      <c r="Z1076" t="s">
        <v>43</v>
      </c>
      <c r="AA1076" t="s">
        <v>41</v>
      </c>
      <c r="AB1076" t="s">
        <v>52</v>
      </c>
      <c r="AC1076" t="s">
        <v>53</v>
      </c>
      <c r="AF1076" t="s">
        <v>54</v>
      </c>
      <c r="AG1076" s="1">
        <v>43832</v>
      </c>
      <c r="AH1076" t="s">
        <v>42</v>
      </c>
      <c r="AI1076" t="s">
        <v>55</v>
      </c>
      <c r="AJ1076">
        <v>12788092</v>
      </c>
      <c r="AK1076">
        <v>250000</v>
      </c>
      <c r="AL1076">
        <v>1500000</v>
      </c>
    </row>
    <row r="1077" spans="1:38" x14ac:dyDescent="0.25">
      <c r="A1077" t="s">
        <v>370</v>
      </c>
      <c r="B1077" t="s">
        <v>372</v>
      </c>
      <c r="C1077" t="s">
        <v>71</v>
      </c>
      <c r="D1077" s="1">
        <v>43160</v>
      </c>
      <c r="E1077" s="1">
        <v>43524</v>
      </c>
      <c r="F1077" t="s">
        <v>41</v>
      </c>
      <c r="G1077">
        <v>1</v>
      </c>
      <c r="H1077" t="s">
        <v>42</v>
      </c>
      <c r="I1077" t="s">
        <v>43</v>
      </c>
      <c r="J1077" t="s">
        <v>41</v>
      </c>
      <c r="K1077" t="s">
        <v>44</v>
      </c>
      <c r="L1077">
        <v>57539.3</v>
      </c>
      <c r="M1077" s="1">
        <v>43160</v>
      </c>
      <c r="N1077" t="s">
        <v>45</v>
      </c>
      <c r="O1077" t="s">
        <v>46</v>
      </c>
      <c r="P1077" t="s">
        <v>47</v>
      </c>
      <c r="Q1077" s="1">
        <v>43852</v>
      </c>
      <c r="R1077" t="s">
        <v>48</v>
      </c>
      <c r="S1077" t="s">
        <v>62</v>
      </c>
      <c r="T1077" t="s">
        <v>63</v>
      </c>
      <c r="U1077" t="s">
        <v>42</v>
      </c>
      <c r="V1077">
        <v>0</v>
      </c>
      <c r="W1077">
        <v>100000</v>
      </c>
      <c r="X1077" s="1">
        <v>43982</v>
      </c>
      <c r="Y1077" t="s">
        <v>51</v>
      </c>
      <c r="Z1077" t="s">
        <v>43</v>
      </c>
      <c r="AA1077" t="s">
        <v>41</v>
      </c>
      <c r="AB1077" t="s">
        <v>52</v>
      </c>
      <c r="AC1077" t="s">
        <v>53</v>
      </c>
      <c r="AF1077" t="s">
        <v>56</v>
      </c>
      <c r="AG1077" s="1">
        <v>43833</v>
      </c>
      <c r="AH1077" t="s">
        <v>42</v>
      </c>
      <c r="AI1077" t="s">
        <v>55</v>
      </c>
      <c r="AJ1077">
        <v>12788092</v>
      </c>
      <c r="AK1077">
        <v>250000</v>
      </c>
      <c r="AL1077">
        <v>1500000</v>
      </c>
    </row>
    <row r="1078" spans="1:38" x14ac:dyDescent="0.25">
      <c r="A1078" t="s">
        <v>370</v>
      </c>
      <c r="B1078" t="s">
        <v>372</v>
      </c>
      <c r="C1078" t="s">
        <v>71</v>
      </c>
      <c r="D1078" s="1">
        <v>43160</v>
      </c>
      <c r="E1078" s="1">
        <v>43524</v>
      </c>
      <c r="F1078" t="s">
        <v>41</v>
      </c>
      <c r="G1078">
        <v>1</v>
      </c>
      <c r="H1078" t="s">
        <v>42</v>
      </c>
      <c r="I1078" t="s">
        <v>43</v>
      </c>
      <c r="J1078" t="s">
        <v>41</v>
      </c>
      <c r="K1078" t="s">
        <v>44</v>
      </c>
      <c r="L1078">
        <v>57539.3</v>
      </c>
      <c r="M1078" s="1">
        <v>43160</v>
      </c>
      <c r="N1078" t="s">
        <v>45</v>
      </c>
      <c r="O1078" t="s">
        <v>46</v>
      </c>
      <c r="P1078" t="s">
        <v>47</v>
      </c>
      <c r="Q1078" s="1">
        <v>43852</v>
      </c>
      <c r="R1078" t="s">
        <v>48</v>
      </c>
      <c r="S1078" t="s">
        <v>62</v>
      </c>
      <c r="T1078" t="s">
        <v>63</v>
      </c>
      <c r="U1078" t="s">
        <v>42</v>
      </c>
      <c r="V1078">
        <v>0</v>
      </c>
      <c r="W1078">
        <v>100000</v>
      </c>
      <c r="X1078" s="1">
        <v>43982</v>
      </c>
      <c r="Y1078" t="s">
        <v>51</v>
      </c>
      <c r="Z1078" t="s">
        <v>43</v>
      </c>
      <c r="AA1078" t="s">
        <v>41</v>
      </c>
      <c r="AB1078" t="s">
        <v>52</v>
      </c>
      <c r="AC1078" t="s">
        <v>53</v>
      </c>
      <c r="AF1078" t="s">
        <v>57</v>
      </c>
      <c r="AG1078" s="1">
        <v>43836</v>
      </c>
      <c r="AH1078" t="s">
        <v>42</v>
      </c>
      <c r="AI1078" t="s">
        <v>55</v>
      </c>
      <c r="AJ1078">
        <v>12788092</v>
      </c>
      <c r="AK1078">
        <v>250000</v>
      </c>
      <c r="AL1078">
        <v>1500000</v>
      </c>
    </row>
    <row r="1079" spans="1:38" x14ac:dyDescent="0.25">
      <c r="A1079" t="s">
        <v>370</v>
      </c>
      <c r="B1079" t="s">
        <v>372</v>
      </c>
      <c r="C1079" t="s">
        <v>71</v>
      </c>
      <c r="D1079" s="1">
        <v>43160</v>
      </c>
      <c r="E1079" s="1">
        <v>43524</v>
      </c>
      <c r="F1079" t="s">
        <v>41</v>
      </c>
      <c r="G1079">
        <v>1</v>
      </c>
      <c r="H1079" t="s">
        <v>42</v>
      </c>
      <c r="I1079" t="s">
        <v>43</v>
      </c>
      <c r="J1079" t="s">
        <v>41</v>
      </c>
      <c r="K1079" t="s">
        <v>44</v>
      </c>
      <c r="L1079">
        <v>57539.3</v>
      </c>
      <c r="M1079" s="1">
        <v>43160</v>
      </c>
      <c r="N1079" t="s">
        <v>45</v>
      </c>
      <c r="O1079" t="s">
        <v>46</v>
      </c>
      <c r="P1079" t="s">
        <v>47</v>
      </c>
      <c r="Q1079" s="1">
        <v>43852</v>
      </c>
      <c r="R1079" t="s">
        <v>48</v>
      </c>
      <c r="S1079" t="s">
        <v>62</v>
      </c>
      <c r="T1079" t="s">
        <v>63</v>
      </c>
      <c r="U1079" t="s">
        <v>42</v>
      </c>
      <c r="V1079">
        <v>0</v>
      </c>
      <c r="W1079">
        <v>100000</v>
      </c>
      <c r="X1079" s="1">
        <v>43982</v>
      </c>
      <c r="Y1079" t="s">
        <v>51</v>
      </c>
      <c r="Z1079" t="s">
        <v>43</v>
      </c>
      <c r="AA1079" t="s">
        <v>41</v>
      </c>
      <c r="AB1079" t="s">
        <v>52</v>
      </c>
      <c r="AC1079" t="s">
        <v>53</v>
      </c>
      <c r="AF1079" t="s">
        <v>58</v>
      </c>
      <c r="AG1079" s="1">
        <v>43837</v>
      </c>
      <c r="AH1079" t="s">
        <v>42</v>
      </c>
      <c r="AI1079" t="s">
        <v>55</v>
      </c>
      <c r="AJ1079">
        <v>12788092</v>
      </c>
      <c r="AK1079">
        <v>250000</v>
      </c>
      <c r="AL1079">
        <v>1500000</v>
      </c>
    </row>
    <row r="1080" spans="1:38" x14ac:dyDescent="0.25">
      <c r="A1080" t="s">
        <v>370</v>
      </c>
      <c r="B1080" t="s">
        <v>372</v>
      </c>
      <c r="C1080" t="s">
        <v>71</v>
      </c>
      <c r="D1080" s="1">
        <v>43160</v>
      </c>
      <c r="E1080" s="1">
        <v>43524</v>
      </c>
      <c r="F1080" t="s">
        <v>41</v>
      </c>
      <c r="G1080">
        <v>1</v>
      </c>
      <c r="H1080" t="s">
        <v>42</v>
      </c>
      <c r="I1080" t="s">
        <v>43</v>
      </c>
      <c r="J1080" t="s">
        <v>41</v>
      </c>
      <c r="K1080" t="s">
        <v>44</v>
      </c>
      <c r="L1080">
        <v>57539.3</v>
      </c>
      <c r="M1080" s="1">
        <v>43160</v>
      </c>
      <c r="N1080" t="s">
        <v>45</v>
      </c>
      <c r="O1080" t="s">
        <v>46</v>
      </c>
      <c r="P1080" t="s">
        <v>47</v>
      </c>
      <c r="Q1080" s="1">
        <v>43852</v>
      </c>
      <c r="R1080" t="s">
        <v>48</v>
      </c>
      <c r="S1080" t="s">
        <v>62</v>
      </c>
      <c r="T1080" t="s">
        <v>63</v>
      </c>
      <c r="U1080" t="s">
        <v>42</v>
      </c>
      <c r="V1080">
        <v>0</v>
      </c>
      <c r="W1080">
        <v>100000</v>
      </c>
      <c r="X1080" s="1">
        <v>43982</v>
      </c>
      <c r="Y1080" t="s">
        <v>51</v>
      </c>
      <c r="Z1080" t="s">
        <v>43</v>
      </c>
      <c r="AA1080" t="s">
        <v>41</v>
      </c>
      <c r="AB1080" t="s">
        <v>52</v>
      </c>
      <c r="AC1080" t="s">
        <v>53</v>
      </c>
      <c r="AF1080" t="s">
        <v>59</v>
      </c>
      <c r="AG1080" s="1">
        <v>43838</v>
      </c>
      <c r="AH1080" t="s">
        <v>42</v>
      </c>
      <c r="AI1080" t="s">
        <v>55</v>
      </c>
      <c r="AJ1080">
        <v>12788092</v>
      </c>
      <c r="AK1080">
        <v>250000</v>
      </c>
      <c r="AL1080">
        <v>1500000</v>
      </c>
    </row>
    <row r="1081" spans="1:38" x14ac:dyDescent="0.25">
      <c r="A1081" t="s">
        <v>370</v>
      </c>
      <c r="B1081" t="s">
        <v>372</v>
      </c>
      <c r="C1081" t="s">
        <v>71</v>
      </c>
      <c r="D1081" s="1">
        <v>43160</v>
      </c>
      <c r="E1081" s="1">
        <v>43524</v>
      </c>
      <c r="F1081" t="s">
        <v>41</v>
      </c>
      <c r="G1081">
        <v>1</v>
      </c>
      <c r="H1081" t="s">
        <v>42</v>
      </c>
      <c r="I1081" t="s">
        <v>43</v>
      </c>
      <c r="J1081" t="s">
        <v>41</v>
      </c>
      <c r="K1081" t="s">
        <v>44</v>
      </c>
      <c r="L1081">
        <v>57539.3</v>
      </c>
      <c r="M1081" s="1">
        <v>43160</v>
      </c>
      <c r="N1081" t="s">
        <v>45</v>
      </c>
      <c r="O1081" t="s">
        <v>46</v>
      </c>
      <c r="P1081" t="s">
        <v>47</v>
      </c>
      <c r="Q1081" s="1">
        <v>43852</v>
      </c>
      <c r="R1081" t="s">
        <v>48</v>
      </c>
      <c r="S1081" t="s">
        <v>64</v>
      </c>
      <c r="T1081" t="s">
        <v>65</v>
      </c>
      <c r="U1081" t="s">
        <v>42</v>
      </c>
      <c r="V1081">
        <v>0</v>
      </c>
      <c r="W1081">
        <v>100000</v>
      </c>
      <c r="X1081" s="1">
        <v>43921</v>
      </c>
      <c r="Y1081" t="s">
        <v>51</v>
      </c>
      <c r="Z1081" t="s">
        <v>43</v>
      </c>
      <c r="AA1081" t="s">
        <v>41</v>
      </c>
      <c r="AB1081" t="s">
        <v>52</v>
      </c>
      <c r="AC1081" t="s">
        <v>53</v>
      </c>
      <c r="AF1081" t="s">
        <v>54</v>
      </c>
      <c r="AG1081" s="1">
        <v>43832</v>
      </c>
      <c r="AH1081" t="s">
        <v>42</v>
      </c>
      <c r="AI1081" t="s">
        <v>55</v>
      </c>
      <c r="AJ1081">
        <v>12788092</v>
      </c>
      <c r="AK1081">
        <v>250000</v>
      </c>
      <c r="AL1081">
        <v>1500000</v>
      </c>
    </row>
    <row r="1082" spans="1:38" x14ac:dyDescent="0.25">
      <c r="A1082" t="s">
        <v>370</v>
      </c>
      <c r="B1082" t="s">
        <v>372</v>
      </c>
      <c r="C1082" t="s">
        <v>71</v>
      </c>
      <c r="D1082" s="1">
        <v>43160</v>
      </c>
      <c r="E1082" s="1">
        <v>43524</v>
      </c>
      <c r="F1082" t="s">
        <v>41</v>
      </c>
      <c r="G1082">
        <v>1</v>
      </c>
      <c r="H1082" t="s">
        <v>42</v>
      </c>
      <c r="I1082" t="s">
        <v>43</v>
      </c>
      <c r="J1082" t="s">
        <v>41</v>
      </c>
      <c r="K1082" t="s">
        <v>44</v>
      </c>
      <c r="L1082">
        <v>57539.3</v>
      </c>
      <c r="M1082" s="1">
        <v>43160</v>
      </c>
      <c r="N1082" t="s">
        <v>45</v>
      </c>
      <c r="O1082" t="s">
        <v>46</v>
      </c>
      <c r="P1082" t="s">
        <v>47</v>
      </c>
      <c r="Q1082" s="1">
        <v>43852</v>
      </c>
      <c r="R1082" t="s">
        <v>48</v>
      </c>
      <c r="S1082" t="s">
        <v>64</v>
      </c>
      <c r="T1082" t="s">
        <v>65</v>
      </c>
      <c r="U1082" t="s">
        <v>42</v>
      </c>
      <c r="V1082">
        <v>0</v>
      </c>
      <c r="W1082">
        <v>100000</v>
      </c>
      <c r="X1082" s="1">
        <v>43921</v>
      </c>
      <c r="Y1082" t="s">
        <v>51</v>
      </c>
      <c r="Z1082" t="s">
        <v>43</v>
      </c>
      <c r="AA1082" t="s">
        <v>41</v>
      </c>
      <c r="AB1082" t="s">
        <v>52</v>
      </c>
      <c r="AC1082" t="s">
        <v>53</v>
      </c>
      <c r="AF1082" t="s">
        <v>56</v>
      </c>
      <c r="AG1082" s="1">
        <v>43833</v>
      </c>
      <c r="AH1082" t="s">
        <v>42</v>
      </c>
      <c r="AI1082" t="s">
        <v>55</v>
      </c>
      <c r="AJ1082">
        <v>12788092</v>
      </c>
      <c r="AK1082">
        <v>250000</v>
      </c>
      <c r="AL1082">
        <v>1500000</v>
      </c>
    </row>
    <row r="1083" spans="1:38" x14ac:dyDescent="0.25">
      <c r="A1083" t="s">
        <v>370</v>
      </c>
      <c r="B1083" t="s">
        <v>372</v>
      </c>
      <c r="C1083" t="s">
        <v>71</v>
      </c>
      <c r="D1083" s="1">
        <v>43160</v>
      </c>
      <c r="E1083" s="1">
        <v>43524</v>
      </c>
      <c r="F1083" t="s">
        <v>41</v>
      </c>
      <c r="G1083">
        <v>1</v>
      </c>
      <c r="H1083" t="s">
        <v>42</v>
      </c>
      <c r="I1083" t="s">
        <v>43</v>
      </c>
      <c r="J1083" t="s">
        <v>41</v>
      </c>
      <c r="K1083" t="s">
        <v>44</v>
      </c>
      <c r="L1083">
        <v>57539.3</v>
      </c>
      <c r="M1083" s="1">
        <v>43160</v>
      </c>
      <c r="N1083" t="s">
        <v>45</v>
      </c>
      <c r="O1083" t="s">
        <v>46</v>
      </c>
      <c r="P1083" t="s">
        <v>47</v>
      </c>
      <c r="Q1083" s="1">
        <v>43852</v>
      </c>
      <c r="R1083" t="s">
        <v>48</v>
      </c>
      <c r="S1083" t="s">
        <v>64</v>
      </c>
      <c r="T1083" t="s">
        <v>65</v>
      </c>
      <c r="U1083" t="s">
        <v>42</v>
      </c>
      <c r="V1083">
        <v>0</v>
      </c>
      <c r="W1083">
        <v>100000</v>
      </c>
      <c r="X1083" s="1">
        <v>43921</v>
      </c>
      <c r="Y1083" t="s">
        <v>51</v>
      </c>
      <c r="Z1083" t="s">
        <v>43</v>
      </c>
      <c r="AA1083" t="s">
        <v>41</v>
      </c>
      <c r="AB1083" t="s">
        <v>52</v>
      </c>
      <c r="AC1083" t="s">
        <v>53</v>
      </c>
      <c r="AF1083" t="s">
        <v>57</v>
      </c>
      <c r="AG1083" s="1">
        <v>43836</v>
      </c>
      <c r="AH1083" t="s">
        <v>42</v>
      </c>
      <c r="AI1083" t="s">
        <v>55</v>
      </c>
      <c r="AJ1083">
        <v>12788092</v>
      </c>
      <c r="AK1083">
        <v>250000</v>
      </c>
      <c r="AL1083">
        <v>1500000</v>
      </c>
    </row>
    <row r="1084" spans="1:38" x14ac:dyDescent="0.25">
      <c r="A1084" t="s">
        <v>370</v>
      </c>
      <c r="B1084" t="s">
        <v>372</v>
      </c>
      <c r="C1084" t="s">
        <v>71</v>
      </c>
      <c r="D1084" s="1">
        <v>43160</v>
      </c>
      <c r="E1084" s="1">
        <v>43524</v>
      </c>
      <c r="F1084" t="s">
        <v>41</v>
      </c>
      <c r="G1084">
        <v>1</v>
      </c>
      <c r="H1084" t="s">
        <v>42</v>
      </c>
      <c r="I1084" t="s">
        <v>43</v>
      </c>
      <c r="J1084" t="s">
        <v>41</v>
      </c>
      <c r="K1084" t="s">
        <v>44</v>
      </c>
      <c r="L1084">
        <v>57539.3</v>
      </c>
      <c r="M1084" s="1">
        <v>43160</v>
      </c>
      <c r="N1084" t="s">
        <v>45</v>
      </c>
      <c r="O1084" t="s">
        <v>46</v>
      </c>
      <c r="P1084" t="s">
        <v>47</v>
      </c>
      <c r="Q1084" s="1">
        <v>43852</v>
      </c>
      <c r="R1084" t="s">
        <v>48</v>
      </c>
      <c r="S1084" t="s">
        <v>64</v>
      </c>
      <c r="T1084" t="s">
        <v>65</v>
      </c>
      <c r="U1084" t="s">
        <v>42</v>
      </c>
      <c r="V1084">
        <v>0</v>
      </c>
      <c r="W1084">
        <v>100000</v>
      </c>
      <c r="X1084" s="1">
        <v>43921</v>
      </c>
      <c r="Y1084" t="s">
        <v>51</v>
      </c>
      <c r="Z1084" t="s">
        <v>43</v>
      </c>
      <c r="AA1084" t="s">
        <v>41</v>
      </c>
      <c r="AB1084" t="s">
        <v>52</v>
      </c>
      <c r="AC1084" t="s">
        <v>53</v>
      </c>
      <c r="AF1084" t="s">
        <v>58</v>
      </c>
      <c r="AG1084" s="1">
        <v>43837</v>
      </c>
      <c r="AH1084" t="s">
        <v>42</v>
      </c>
      <c r="AI1084" t="s">
        <v>55</v>
      </c>
      <c r="AJ1084">
        <v>12788092</v>
      </c>
      <c r="AK1084">
        <v>250000</v>
      </c>
      <c r="AL1084">
        <v>1500000</v>
      </c>
    </row>
    <row r="1085" spans="1:38" x14ac:dyDescent="0.25">
      <c r="A1085" t="s">
        <v>370</v>
      </c>
      <c r="B1085" t="s">
        <v>372</v>
      </c>
      <c r="C1085" t="s">
        <v>71</v>
      </c>
      <c r="D1085" s="1">
        <v>43160</v>
      </c>
      <c r="E1085" s="1">
        <v>43524</v>
      </c>
      <c r="F1085" t="s">
        <v>41</v>
      </c>
      <c r="G1085">
        <v>1</v>
      </c>
      <c r="H1085" t="s">
        <v>42</v>
      </c>
      <c r="I1085" t="s">
        <v>43</v>
      </c>
      <c r="J1085" t="s">
        <v>41</v>
      </c>
      <c r="K1085" t="s">
        <v>44</v>
      </c>
      <c r="L1085">
        <v>57539.3</v>
      </c>
      <c r="M1085" s="1">
        <v>43160</v>
      </c>
      <c r="N1085" t="s">
        <v>45</v>
      </c>
      <c r="O1085" t="s">
        <v>46</v>
      </c>
      <c r="P1085" t="s">
        <v>47</v>
      </c>
      <c r="Q1085" s="1">
        <v>43852</v>
      </c>
      <c r="R1085" t="s">
        <v>48</v>
      </c>
      <c r="S1085" t="s">
        <v>64</v>
      </c>
      <c r="T1085" t="s">
        <v>65</v>
      </c>
      <c r="U1085" t="s">
        <v>42</v>
      </c>
      <c r="V1085">
        <v>0</v>
      </c>
      <c r="W1085">
        <v>100000</v>
      </c>
      <c r="X1085" s="1">
        <v>43921</v>
      </c>
      <c r="Y1085" t="s">
        <v>51</v>
      </c>
      <c r="Z1085" t="s">
        <v>43</v>
      </c>
      <c r="AA1085" t="s">
        <v>41</v>
      </c>
      <c r="AB1085" t="s">
        <v>52</v>
      </c>
      <c r="AC1085" t="s">
        <v>53</v>
      </c>
      <c r="AF1085" t="s">
        <v>59</v>
      </c>
      <c r="AG1085" s="1">
        <v>43838</v>
      </c>
      <c r="AH1085" t="s">
        <v>42</v>
      </c>
      <c r="AI1085" t="s">
        <v>55</v>
      </c>
      <c r="AJ1085">
        <v>12788092</v>
      </c>
      <c r="AK1085">
        <v>250000</v>
      </c>
      <c r="AL1085">
        <v>1500000</v>
      </c>
    </row>
    <row r="1086" spans="1:38" x14ac:dyDescent="0.25">
      <c r="A1086" t="s">
        <v>370</v>
      </c>
      <c r="B1086" t="s">
        <v>373</v>
      </c>
      <c r="C1086" t="s">
        <v>40</v>
      </c>
      <c r="D1086" s="1">
        <v>43448</v>
      </c>
      <c r="E1086" s="1">
        <v>43812</v>
      </c>
      <c r="F1086" t="s">
        <v>72</v>
      </c>
      <c r="G1086">
        <v>1</v>
      </c>
      <c r="H1086" t="s">
        <v>42</v>
      </c>
      <c r="I1086" t="s">
        <v>43</v>
      </c>
      <c r="J1086" t="s">
        <v>115</v>
      </c>
      <c r="K1086" t="s">
        <v>44</v>
      </c>
      <c r="L1086">
        <v>212357.74</v>
      </c>
      <c r="M1086" s="1">
        <v>43448</v>
      </c>
      <c r="N1086" t="s">
        <v>45</v>
      </c>
      <c r="O1086" t="s">
        <v>46</v>
      </c>
      <c r="P1086" t="s">
        <v>47</v>
      </c>
      <c r="Q1086" s="1">
        <v>43852</v>
      </c>
      <c r="R1086" t="s">
        <v>48</v>
      </c>
    </row>
    <row r="1087" spans="1:38" x14ac:dyDescent="0.25">
      <c r="A1087" t="s">
        <v>370</v>
      </c>
      <c r="B1087" s="2">
        <v>1.214E+19</v>
      </c>
      <c r="C1087" t="s">
        <v>71</v>
      </c>
      <c r="D1087" s="1">
        <v>43160</v>
      </c>
      <c r="E1087" s="1">
        <v>43524</v>
      </c>
      <c r="F1087" t="s">
        <v>77</v>
      </c>
      <c r="G1087">
        <v>1</v>
      </c>
      <c r="H1087" t="s">
        <v>42</v>
      </c>
      <c r="I1087" t="s">
        <v>43</v>
      </c>
      <c r="J1087" t="s">
        <v>77</v>
      </c>
      <c r="K1087" t="s">
        <v>127</v>
      </c>
      <c r="L1087">
        <v>31250</v>
      </c>
      <c r="M1087" s="1">
        <v>43160</v>
      </c>
      <c r="N1087" t="s">
        <v>45</v>
      </c>
      <c r="O1087" t="s">
        <v>46</v>
      </c>
      <c r="P1087" t="s">
        <v>47</v>
      </c>
      <c r="Q1087" s="1">
        <v>43852</v>
      </c>
      <c r="R1087" t="s">
        <v>48</v>
      </c>
      <c r="S1087" t="s">
        <v>233</v>
      </c>
      <c r="T1087" t="s">
        <v>234</v>
      </c>
      <c r="U1087" t="s">
        <v>42</v>
      </c>
      <c r="V1087">
        <v>0</v>
      </c>
      <c r="W1087">
        <v>100000</v>
      </c>
      <c r="X1087" s="1">
        <v>43982</v>
      </c>
      <c r="Y1087" t="s">
        <v>51</v>
      </c>
      <c r="Z1087" t="s">
        <v>43</v>
      </c>
      <c r="AA1087" t="s">
        <v>77</v>
      </c>
      <c r="AB1087" t="s">
        <v>158</v>
      </c>
      <c r="AC1087" t="s">
        <v>235</v>
      </c>
      <c r="AF1087" t="s">
        <v>54</v>
      </c>
      <c r="AG1087" s="1">
        <v>43832</v>
      </c>
      <c r="AH1087" t="s">
        <v>42</v>
      </c>
      <c r="AI1087" t="s">
        <v>55</v>
      </c>
      <c r="AJ1087">
        <v>12788092</v>
      </c>
      <c r="AK1087">
        <v>250000</v>
      </c>
      <c r="AL1087">
        <v>1500000</v>
      </c>
    </row>
    <row r="1088" spans="1:38" x14ac:dyDescent="0.25">
      <c r="A1088" t="s">
        <v>370</v>
      </c>
      <c r="B1088" s="2">
        <v>1.214E+19</v>
      </c>
      <c r="C1088" t="s">
        <v>71</v>
      </c>
      <c r="D1088" s="1">
        <v>43160</v>
      </c>
      <c r="E1088" s="1">
        <v>43524</v>
      </c>
      <c r="F1088" t="s">
        <v>77</v>
      </c>
      <c r="G1088">
        <v>1</v>
      </c>
      <c r="H1088" t="s">
        <v>42</v>
      </c>
      <c r="I1088" t="s">
        <v>43</v>
      </c>
      <c r="J1088" t="s">
        <v>77</v>
      </c>
      <c r="K1088" t="s">
        <v>127</v>
      </c>
      <c r="L1088">
        <v>31250</v>
      </c>
      <c r="M1088" s="1">
        <v>43160</v>
      </c>
      <c r="N1088" t="s">
        <v>45</v>
      </c>
      <c r="O1088" t="s">
        <v>46</v>
      </c>
      <c r="P1088" t="s">
        <v>47</v>
      </c>
      <c r="Q1088" s="1">
        <v>43852</v>
      </c>
      <c r="R1088" t="s">
        <v>48</v>
      </c>
      <c r="S1088" t="s">
        <v>233</v>
      </c>
      <c r="T1088" t="s">
        <v>234</v>
      </c>
      <c r="U1088" t="s">
        <v>42</v>
      </c>
      <c r="V1088">
        <v>0</v>
      </c>
      <c r="W1088">
        <v>100000</v>
      </c>
      <c r="X1088" s="1">
        <v>43982</v>
      </c>
      <c r="Y1088" t="s">
        <v>51</v>
      </c>
      <c r="Z1088" t="s">
        <v>43</v>
      </c>
      <c r="AA1088" t="s">
        <v>77</v>
      </c>
      <c r="AB1088" t="s">
        <v>158</v>
      </c>
      <c r="AC1088" t="s">
        <v>235</v>
      </c>
      <c r="AF1088" t="s">
        <v>56</v>
      </c>
      <c r="AG1088" s="1">
        <v>43833</v>
      </c>
      <c r="AH1088" t="s">
        <v>42</v>
      </c>
      <c r="AI1088" t="s">
        <v>55</v>
      </c>
      <c r="AJ1088">
        <v>12788092</v>
      </c>
      <c r="AK1088">
        <v>250000</v>
      </c>
      <c r="AL1088">
        <v>1500000</v>
      </c>
    </row>
    <row r="1089" spans="1:38" x14ac:dyDescent="0.25">
      <c r="A1089" t="s">
        <v>370</v>
      </c>
      <c r="B1089" s="2">
        <v>1.214E+19</v>
      </c>
      <c r="C1089" t="s">
        <v>71</v>
      </c>
      <c r="D1089" s="1">
        <v>43160</v>
      </c>
      <c r="E1089" s="1">
        <v>43524</v>
      </c>
      <c r="F1089" t="s">
        <v>77</v>
      </c>
      <c r="G1089">
        <v>1</v>
      </c>
      <c r="H1089" t="s">
        <v>42</v>
      </c>
      <c r="I1089" t="s">
        <v>43</v>
      </c>
      <c r="J1089" t="s">
        <v>77</v>
      </c>
      <c r="K1089" t="s">
        <v>127</v>
      </c>
      <c r="L1089">
        <v>31250</v>
      </c>
      <c r="M1089" s="1">
        <v>43160</v>
      </c>
      <c r="N1089" t="s">
        <v>45</v>
      </c>
      <c r="O1089" t="s">
        <v>46</v>
      </c>
      <c r="P1089" t="s">
        <v>47</v>
      </c>
      <c r="Q1089" s="1">
        <v>43852</v>
      </c>
      <c r="R1089" t="s">
        <v>48</v>
      </c>
      <c r="S1089" t="s">
        <v>233</v>
      </c>
      <c r="T1089" t="s">
        <v>234</v>
      </c>
      <c r="U1089" t="s">
        <v>42</v>
      </c>
      <c r="V1089">
        <v>0</v>
      </c>
      <c r="W1089">
        <v>100000</v>
      </c>
      <c r="X1089" s="1">
        <v>43982</v>
      </c>
      <c r="Y1089" t="s">
        <v>51</v>
      </c>
      <c r="Z1089" t="s">
        <v>43</v>
      </c>
      <c r="AA1089" t="s">
        <v>77</v>
      </c>
      <c r="AB1089" t="s">
        <v>158</v>
      </c>
      <c r="AC1089" t="s">
        <v>235</v>
      </c>
      <c r="AF1089" t="s">
        <v>57</v>
      </c>
      <c r="AG1089" s="1">
        <v>43836</v>
      </c>
      <c r="AH1089" t="s">
        <v>42</v>
      </c>
      <c r="AI1089" t="s">
        <v>55</v>
      </c>
      <c r="AJ1089">
        <v>12788092</v>
      </c>
      <c r="AK1089">
        <v>250000</v>
      </c>
      <c r="AL1089">
        <v>1500000</v>
      </c>
    </row>
    <row r="1090" spans="1:38" x14ac:dyDescent="0.25">
      <c r="A1090" t="s">
        <v>370</v>
      </c>
      <c r="B1090" s="2">
        <v>1.214E+19</v>
      </c>
      <c r="C1090" t="s">
        <v>71</v>
      </c>
      <c r="D1090" s="1">
        <v>43160</v>
      </c>
      <c r="E1090" s="1">
        <v>43524</v>
      </c>
      <c r="F1090" t="s">
        <v>77</v>
      </c>
      <c r="G1090">
        <v>1</v>
      </c>
      <c r="H1090" t="s">
        <v>42</v>
      </c>
      <c r="I1090" t="s">
        <v>43</v>
      </c>
      <c r="J1090" t="s">
        <v>77</v>
      </c>
      <c r="K1090" t="s">
        <v>127</v>
      </c>
      <c r="L1090">
        <v>31250</v>
      </c>
      <c r="M1090" s="1">
        <v>43160</v>
      </c>
      <c r="N1090" t="s">
        <v>45</v>
      </c>
      <c r="O1090" t="s">
        <v>46</v>
      </c>
      <c r="P1090" t="s">
        <v>47</v>
      </c>
      <c r="Q1090" s="1">
        <v>43852</v>
      </c>
      <c r="R1090" t="s">
        <v>48</v>
      </c>
      <c r="S1090" t="s">
        <v>233</v>
      </c>
      <c r="T1090" t="s">
        <v>234</v>
      </c>
      <c r="U1090" t="s">
        <v>42</v>
      </c>
      <c r="V1090">
        <v>0</v>
      </c>
      <c r="W1090">
        <v>100000</v>
      </c>
      <c r="X1090" s="1">
        <v>43982</v>
      </c>
      <c r="Y1090" t="s">
        <v>51</v>
      </c>
      <c r="Z1090" t="s">
        <v>43</v>
      </c>
      <c r="AA1090" t="s">
        <v>77</v>
      </c>
      <c r="AB1090" t="s">
        <v>158</v>
      </c>
      <c r="AC1090" t="s">
        <v>235</v>
      </c>
      <c r="AF1090" t="s">
        <v>58</v>
      </c>
      <c r="AG1090" s="1">
        <v>43837</v>
      </c>
      <c r="AH1090" t="s">
        <v>42</v>
      </c>
      <c r="AI1090" t="s">
        <v>55</v>
      </c>
      <c r="AJ1090">
        <v>12788092</v>
      </c>
      <c r="AK1090">
        <v>250000</v>
      </c>
      <c r="AL1090">
        <v>1500000</v>
      </c>
    </row>
    <row r="1091" spans="1:38" x14ac:dyDescent="0.25">
      <c r="A1091" t="s">
        <v>370</v>
      </c>
      <c r="B1091" s="2">
        <v>1.214E+19</v>
      </c>
      <c r="C1091" t="s">
        <v>71</v>
      </c>
      <c r="D1091" s="1">
        <v>43160</v>
      </c>
      <c r="E1091" s="1">
        <v>43524</v>
      </c>
      <c r="F1091" t="s">
        <v>77</v>
      </c>
      <c r="G1091">
        <v>1</v>
      </c>
      <c r="H1091" t="s">
        <v>42</v>
      </c>
      <c r="I1091" t="s">
        <v>43</v>
      </c>
      <c r="J1091" t="s">
        <v>77</v>
      </c>
      <c r="K1091" t="s">
        <v>127</v>
      </c>
      <c r="L1091">
        <v>31250</v>
      </c>
      <c r="M1091" s="1">
        <v>43160</v>
      </c>
      <c r="N1091" t="s">
        <v>45</v>
      </c>
      <c r="O1091" t="s">
        <v>46</v>
      </c>
      <c r="P1091" t="s">
        <v>47</v>
      </c>
      <c r="Q1091" s="1">
        <v>43852</v>
      </c>
      <c r="R1091" t="s">
        <v>48</v>
      </c>
      <c r="S1091" t="s">
        <v>233</v>
      </c>
      <c r="T1091" t="s">
        <v>234</v>
      </c>
      <c r="U1091" t="s">
        <v>42</v>
      </c>
      <c r="V1091">
        <v>0</v>
      </c>
      <c r="W1091">
        <v>100000</v>
      </c>
      <c r="X1091" s="1">
        <v>43982</v>
      </c>
      <c r="Y1091" t="s">
        <v>51</v>
      </c>
      <c r="Z1091" t="s">
        <v>43</v>
      </c>
      <c r="AA1091" t="s">
        <v>77</v>
      </c>
      <c r="AB1091" t="s">
        <v>158</v>
      </c>
      <c r="AC1091" t="s">
        <v>235</v>
      </c>
      <c r="AF1091" t="s">
        <v>59</v>
      </c>
      <c r="AG1091" s="1">
        <v>43838</v>
      </c>
      <c r="AH1091" t="s">
        <v>42</v>
      </c>
      <c r="AI1091" t="s">
        <v>55</v>
      </c>
      <c r="AJ1091">
        <v>12788092</v>
      </c>
      <c r="AK1091">
        <v>250000</v>
      </c>
      <c r="AL1091">
        <v>1500000</v>
      </c>
    </row>
    <row r="1092" spans="1:38" x14ac:dyDescent="0.25">
      <c r="A1092" t="s">
        <v>370</v>
      </c>
      <c r="B1092" t="s">
        <v>374</v>
      </c>
      <c r="C1092" t="s">
        <v>71</v>
      </c>
      <c r="D1092" s="1">
        <v>43160</v>
      </c>
      <c r="E1092" s="1">
        <v>43524</v>
      </c>
      <c r="F1092" t="s">
        <v>77</v>
      </c>
      <c r="G1092">
        <v>1</v>
      </c>
      <c r="H1092" t="s">
        <v>42</v>
      </c>
      <c r="I1092" t="s">
        <v>43</v>
      </c>
      <c r="J1092" t="s">
        <v>77</v>
      </c>
      <c r="K1092" t="s">
        <v>44</v>
      </c>
      <c r="L1092">
        <v>43750</v>
      </c>
      <c r="M1092" s="1">
        <v>43160</v>
      </c>
      <c r="N1092" t="s">
        <v>45</v>
      </c>
      <c r="O1092" t="s">
        <v>46</v>
      </c>
      <c r="P1092" t="s">
        <v>47</v>
      </c>
      <c r="Q1092" s="1">
        <v>43852</v>
      </c>
      <c r="R1092" t="s">
        <v>48</v>
      </c>
      <c r="S1092" t="s">
        <v>233</v>
      </c>
      <c r="T1092" t="s">
        <v>234</v>
      </c>
      <c r="U1092" t="s">
        <v>42</v>
      </c>
      <c r="V1092">
        <v>0</v>
      </c>
      <c r="W1092">
        <v>100000</v>
      </c>
      <c r="X1092" s="1">
        <v>43982</v>
      </c>
      <c r="Y1092" t="s">
        <v>51</v>
      </c>
      <c r="Z1092" t="s">
        <v>43</v>
      </c>
      <c r="AA1092" t="s">
        <v>77</v>
      </c>
      <c r="AB1092" t="s">
        <v>158</v>
      </c>
      <c r="AC1092" t="s">
        <v>235</v>
      </c>
      <c r="AF1092" t="s">
        <v>54</v>
      </c>
      <c r="AG1092" s="1">
        <v>43832</v>
      </c>
      <c r="AH1092" t="s">
        <v>42</v>
      </c>
      <c r="AI1092" t="s">
        <v>55</v>
      </c>
      <c r="AJ1092">
        <v>12788092</v>
      </c>
      <c r="AK1092">
        <v>250000</v>
      </c>
      <c r="AL1092">
        <v>1500000</v>
      </c>
    </row>
    <row r="1093" spans="1:38" x14ac:dyDescent="0.25">
      <c r="A1093" t="s">
        <v>370</v>
      </c>
      <c r="B1093" t="s">
        <v>374</v>
      </c>
      <c r="C1093" t="s">
        <v>71</v>
      </c>
      <c r="D1093" s="1">
        <v>43160</v>
      </c>
      <c r="E1093" s="1">
        <v>43524</v>
      </c>
      <c r="F1093" t="s">
        <v>77</v>
      </c>
      <c r="G1093">
        <v>1</v>
      </c>
      <c r="H1093" t="s">
        <v>42</v>
      </c>
      <c r="I1093" t="s">
        <v>43</v>
      </c>
      <c r="J1093" t="s">
        <v>77</v>
      </c>
      <c r="K1093" t="s">
        <v>44</v>
      </c>
      <c r="L1093">
        <v>43750</v>
      </c>
      <c r="M1093" s="1">
        <v>43160</v>
      </c>
      <c r="N1093" t="s">
        <v>45</v>
      </c>
      <c r="O1093" t="s">
        <v>46</v>
      </c>
      <c r="P1093" t="s">
        <v>47</v>
      </c>
      <c r="Q1093" s="1">
        <v>43852</v>
      </c>
      <c r="R1093" t="s">
        <v>48</v>
      </c>
      <c r="S1093" t="s">
        <v>233</v>
      </c>
      <c r="T1093" t="s">
        <v>234</v>
      </c>
      <c r="U1093" t="s">
        <v>42</v>
      </c>
      <c r="V1093">
        <v>0</v>
      </c>
      <c r="W1093">
        <v>100000</v>
      </c>
      <c r="X1093" s="1">
        <v>43982</v>
      </c>
      <c r="Y1093" t="s">
        <v>51</v>
      </c>
      <c r="Z1093" t="s">
        <v>43</v>
      </c>
      <c r="AA1093" t="s">
        <v>77</v>
      </c>
      <c r="AB1093" t="s">
        <v>158</v>
      </c>
      <c r="AC1093" t="s">
        <v>235</v>
      </c>
      <c r="AF1093" t="s">
        <v>56</v>
      </c>
      <c r="AG1093" s="1">
        <v>43833</v>
      </c>
      <c r="AH1093" t="s">
        <v>42</v>
      </c>
      <c r="AI1093" t="s">
        <v>55</v>
      </c>
      <c r="AJ1093">
        <v>12788092</v>
      </c>
      <c r="AK1093">
        <v>250000</v>
      </c>
      <c r="AL1093">
        <v>1500000</v>
      </c>
    </row>
    <row r="1094" spans="1:38" x14ac:dyDescent="0.25">
      <c r="A1094" t="s">
        <v>370</v>
      </c>
      <c r="B1094" t="s">
        <v>374</v>
      </c>
      <c r="C1094" t="s">
        <v>71</v>
      </c>
      <c r="D1094" s="1">
        <v>43160</v>
      </c>
      <c r="E1094" s="1">
        <v>43524</v>
      </c>
      <c r="F1094" t="s">
        <v>77</v>
      </c>
      <c r="G1094">
        <v>1</v>
      </c>
      <c r="H1094" t="s">
        <v>42</v>
      </c>
      <c r="I1094" t="s">
        <v>43</v>
      </c>
      <c r="J1094" t="s">
        <v>77</v>
      </c>
      <c r="K1094" t="s">
        <v>44</v>
      </c>
      <c r="L1094">
        <v>43750</v>
      </c>
      <c r="M1094" s="1">
        <v>43160</v>
      </c>
      <c r="N1094" t="s">
        <v>45</v>
      </c>
      <c r="O1094" t="s">
        <v>46</v>
      </c>
      <c r="P1094" t="s">
        <v>47</v>
      </c>
      <c r="Q1094" s="1">
        <v>43852</v>
      </c>
      <c r="R1094" t="s">
        <v>48</v>
      </c>
      <c r="S1094" t="s">
        <v>233</v>
      </c>
      <c r="T1094" t="s">
        <v>234</v>
      </c>
      <c r="U1094" t="s">
        <v>42</v>
      </c>
      <c r="V1094">
        <v>0</v>
      </c>
      <c r="W1094">
        <v>100000</v>
      </c>
      <c r="X1094" s="1">
        <v>43982</v>
      </c>
      <c r="Y1094" t="s">
        <v>51</v>
      </c>
      <c r="Z1094" t="s">
        <v>43</v>
      </c>
      <c r="AA1094" t="s">
        <v>77</v>
      </c>
      <c r="AB1094" t="s">
        <v>158</v>
      </c>
      <c r="AC1094" t="s">
        <v>235</v>
      </c>
      <c r="AF1094" t="s">
        <v>57</v>
      </c>
      <c r="AG1094" s="1">
        <v>43836</v>
      </c>
      <c r="AH1094" t="s">
        <v>42</v>
      </c>
      <c r="AI1094" t="s">
        <v>55</v>
      </c>
      <c r="AJ1094">
        <v>12788092</v>
      </c>
      <c r="AK1094">
        <v>250000</v>
      </c>
      <c r="AL1094">
        <v>1500000</v>
      </c>
    </row>
    <row r="1095" spans="1:38" x14ac:dyDescent="0.25">
      <c r="A1095" t="s">
        <v>370</v>
      </c>
      <c r="B1095" t="s">
        <v>374</v>
      </c>
      <c r="C1095" t="s">
        <v>71</v>
      </c>
      <c r="D1095" s="1">
        <v>43160</v>
      </c>
      <c r="E1095" s="1">
        <v>43524</v>
      </c>
      <c r="F1095" t="s">
        <v>77</v>
      </c>
      <c r="G1095">
        <v>1</v>
      </c>
      <c r="H1095" t="s">
        <v>42</v>
      </c>
      <c r="I1095" t="s">
        <v>43</v>
      </c>
      <c r="J1095" t="s">
        <v>77</v>
      </c>
      <c r="K1095" t="s">
        <v>44</v>
      </c>
      <c r="L1095">
        <v>43750</v>
      </c>
      <c r="M1095" s="1">
        <v>43160</v>
      </c>
      <c r="N1095" t="s">
        <v>45</v>
      </c>
      <c r="O1095" t="s">
        <v>46</v>
      </c>
      <c r="P1095" t="s">
        <v>47</v>
      </c>
      <c r="Q1095" s="1">
        <v>43852</v>
      </c>
      <c r="R1095" t="s">
        <v>48</v>
      </c>
      <c r="S1095" t="s">
        <v>233</v>
      </c>
      <c r="T1095" t="s">
        <v>234</v>
      </c>
      <c r="U1095" t="s">
        <v>42</v>
      </c>
      <c r="V1095">
        <v>0</v>
      </c>
      <c r="W1095">
        <v>100000</v>
      </c>
      <c r="X1095" s="1">
        <v>43982</v>
      </c>
      <c r="Y1095" t="s">
        <v>51</v>
      </c>
      <c r="Z1095" t="s">
        <v>43</v>
      </c>
      <c r="AA1095" t="s">
        <v>77</v>
      </c>
      <c r="AB1095" t="s">
        <v>158</v>
      </c>
      <c r="AC1095" t="s">
        <v>235</v>
      </c>
      <c r="AF1095" t="s">
        <v>58</v>
      </c>
      <c r="AG1095" s="1">
        <v>43837</v>
      </c>
      <c r="AH1095" t="s">
        <v>42</v>
      </c>
      <c r="AI1095" t="s">
        <v>55</v>
      </c>
      <c r="AJ1095">
        <v>12788092</v>
      </c>
      <c r="AK1095">
        <v>250000</v>
      </c>
      <c r="AL1095">
        <v>1500000</v>
      </c>
    </row>
    <row r="1096" spans="1:38" x14ac:dyDescent="0.25">
      <c r="A1096" t="s">
        <v>370</v>
      </c>
      <c r="B1096" t="s">
        <v>374</v>
      </c>
      <c r="C1096" t="s">
        <v>71</v>
      </c>
      <c r="D1096" s="1">
        <v>43160</v>
      </c>
      <c r="E1096" s="1">
        <v>43524</v>
      </c>
      <c r="F1096" t="s">
        <v>77</v>
      </c>
      <c r="G1096">
        <v>1</v>
      </c>
      <c r="H1096" t="s">
        <v>42</v>
      </c>
      <c r="I1096" t="s">
        <v>43</v>
      </c>
      <c r="J1096" t="s">
        <v>77</v>
      </c>
      <c r="K1096" t="s">
        <v>44</v>
      </c>
      <c r="L1096">
        <v>43750</v>
      </c>
      <c r="M1096" s="1">
        <v>43160</v>
      </c>
      <c r="N1096" t="s">
        <v>45</v>
      </c>
      <c r="O1096" t="s">
        <v>46</v>
      </c>
      <c r="P1096" t="s">
        <v>47</v>
      </c>
      <c r="Q1096" s="1">
        <v>43852</v>
      </c>
      <c r="R1096" t="s">
        <v>48</v>
      </c>
      <c r="S1096" t="s">
        <v>233</v>
      </c>
      <c r="T1096" t="s">
        <v>234</v>
      </c>
      <c r="U1096" t="s">
        <v>42</v>
      </c>
      <c r="V1096">
        <v>0</v>
      </c>
      <c r="W1096">
        <v>100000</v>
      </c>
      <c r="X1096" s="1">
        <v>43982</v>
      </c>
      <c r="Y1096" t="s">
        <v>51</v>
      </c>
      <c r="Z1096" t="s">
        <v>43</v>
      </c>
      <c r="AA1096" t="s">
        <v>77</v>
      </c>
      <c r="AB1096" t="s">
        <v>158</v>
      </c>
      <c r="AC1096" t="s">
        <v>235</v>
      </c>
      <c r="AF1096" t="s">
        <v>59</v>
      </c>
      <c r="AG1096" s="1">
        <v>43838</v>
      </c>
      <c r="AH1096" t="s">
        <v>42</v>
      </c>
      <c r="AI1096" t="s">
        <v>55</v>
      </c>
      <c r="AJ1096">
        <v>12788092</v>
      </c>
      <c r="AK1096">
        <v>250000</v>
      </c>
      <c r="AL1096">
        <v>1500000</v>
      </c>
    </row>
    <row r="1097" spans="1:38" x14ac:dyDescent="0.25">
      <c r="A1097" t="s">
        <v>370</v>
      </c>
      <c r="B1097" t="s">
        <v>375</v>
      </c>
      <c r="C1097" t="s">
        <v>71</v>
      </c>
      <c r="D1097" s="1">
        <v>43160</v>
      </c>
      <c r="E1097" s="1">
        <v>43524</v>
      </c>
      <c r="F1097" t="s">
        <v>77</v>
      </c>
      <c r="G1097">
        <v>1</v>
      </c>
      <c r="H1097" t="s">
        <v>42</v>
      </c>
      <c r="I1097" t="s">
        <v>43</v>
      </c>
      <c r="J1097" t="s">
        <v>77</v>
      </c>
      <c r="K1097" t="s">
        <v>127</v>
      </c>
      <c r="L1097">
        <v>75000</v>
      </c>
      <c r="M1097" s="1">
        <v>43160</v>
      </c>
      <c r="N1097" t="s">
        <v>45</v>
      </c>
      <c r="O1097" t="s">
        <v>46</v>
      </c>
      <c r="P1097" t="s">
        <v>47</v>
      </c>
      <c r="Q1097" s="1">
        <v>43852</v>
      </c>
      <c r="R1097" t="s">
        <v>48</v>
      </c>
      <c r="S1097" t="s">
        <v>233</v>
      </c>
      <c r="T1097" t="s">
        <v>234</v>
      </c>
      <c r="U1097" t="s">
        <v>42</v>
      </c>
      <c r="V1097">
        <v>0</v>
      </c>
      <c r="W1097">
        <v>100000</v>
      </c>
      <c r="X1097" s="1">
        <v>43982</v>
      </c>
      <c r="Y1097" t="s">
        <v>51</v>
      </c>
      <c r="Z1097" t="s">
        <v>43</v>
      </c>
      <c r="AA1097" t="s">
        <v>77</v>
      </c>
      <c r="AB1097" t="s">
        <v>158</v>
      </c>
      <c r="AC1097" t="s">
        <v>235</v>
      </c>
      <c r="AF1097" t="s">
        <v>54</v>
      </c>
      <c r="AG1097" s="1">
        <v>43832</v>
      </c>
      <c r="AH1097" t="s">
        <v>42</v>
      </c>
      <c r="AI1097" t="s">
        <v>55</v>
      </c>
      <c r="AJ1097">
        <v>12788092</v>
      </c>
      <c r="AK1097">
        <v>250000</v>
      </c>
      <c r="AL1097">
        <v>1500000</v>
      </c>
    </row>
    <row r="1098" spans="1:38" x14ac:dyDescent="0.25">
      <c r="A1098" t="s">
        <v>370</v>
      </c>
      <c r="B1098" t="s">
        <v>375</v>
      </c>
      <c r="C1098" t="s">
        <v>71</v>
      </c>
      <c r="D1098" s="1">
        <v>43160</v>
      </c>
      <c r="E1098" s="1">
        <v>43524</v>
      </c>
      <c r="F1098" t="s">
        <v>77</v>
      </c>
      <c r="G1098">
        <v>1</v>
      </c>
      <c r="H1098" t="s">
        <v>42</v>
      </c>
      <c r="I1098" t="s">
        <v>43</v>
      </c>
      <c r="J1098" t="s">
        <v>77</v>
      </c>
      <c r="K1098" t="s">
        <v>127</v>
      </c>
      <c r="L1098">
        <v>75000</v>
      </c>
      <c r="M1098" s="1">
        <v>43160</v>
      </c>
      <c r="N1098" t="s">
        <v>45</v>
      </c>
      <c r="O1098" t="s">
        <v>46</v>
      </c>
      <c r="P1098" t="s">
        <v>47</v>
      </c>
      <c r="Q1098" s="1">
        <v>43852</v>
      </c>
      <c r="R1098" t="s">
        <v>48</v>
      </c>
      <c r="S1098" t="s">
        <v>233</v>
      </c>
      <c r="T1098" t="s">
        <v>234</v>
      </c>
      <c r="U1098" t="s">
        <v>42</v>
      </c>
      <c r="V1098">
        <v>0</v>
      </c>
      <c r="W1098">
        <v>100000</v>
      </c>
      <c r="X1098" s="1">
        <v>43982</v>
      </c>
      <c r="Y1098" t="s">
        <v>51</v>
      </c>
      <c r="Z1098" t="s">
        <v>43</v>
      </c>
      <c r="AA1098" t="s">
        <v>77</v>
      </c>
      <c r="AB1098" t="s">
        <v>158</v>
      </c>
      <c r="AC1098" t="s">
        <v>235</v>
      </c>
      <c r="AF1098" t="s">
        <v>56</v>
      </c>
      <c r="AG1098" s="1">
        <v>43833</v>
      </c>
      <c r="AH1098" t="s">
        <v>42</v>
      </c>
      <c r="AI1098" t="s">
        <v>55</v>
      </c>
      <c r="AJ1098">
        <v>12788092</v>
      </c>
      <c r="AK1098">
        <v>250000</v>
      </c>
      <c r="AL1098">
        <v>1500000</v>
      </c>
    </row>
    <row r="1099" spans="1:38" x14ac:dyDescent="0.25">
      <c r="A1099" t="s">
        <v>370</v>
      </c>
      <c r="B1099" t="s">
        <v>375</v>
      </c>
      <c r="C1099" t="s">
        <v>71</v>
      </c>
      <c r="D1099" s="1">
        <v>43160</v>
      </c>
      <c r="E1099" s="1">
        <v>43524</v>
      </c>
      <c r="F1099" t="s">
        <v>77</v>
      </c>
      <c r="G1099">
        <v>1</v>
      </c>
      <c r="H1099" t="s">
        <v>42</v>
      </c>
      <c r="I1099" t="s">
        <v>43</v>
      </c>
      <c r="J1099" t="s">
        <v>77</v>
      </c>
      <c r="K1099" t="s">
        <v>127</v>
      </c>
      <c r="L1099">
        <v>75000</v>
      </c>
      <c r="M1099" s="1">
        <v>43160</v>
      </c>
      <c r="N1099" t="s">
        <v>45</v>
      </c>
      <c r="O1099" t="s">
        <v>46</v>
      </c>
      <c r="P1099" t="s">
        <v>47</v>
      </c>
      <c r="Q1099" s="1">
        <v>43852</v>
      </c>
      <c r="R1099" t="s">
        <v>48</v>
      </c>
      <c r="S1099" t="s">
        <v>233</v>
      </c>
      <c r="T1099" t="s">
        <v>234</v>
      </c>
      <c r="U1099" t="s">
        <v>42</v>
      </c>
      <c r="V1099">
        <v>0</v>
      </c>
      <c r="W1099">
        <v>100000</v>
      </c>
      <c r="X1099" s="1">
        <v>43982</v>
      </c>
      <c r="Y1099" t="s">
        <v>51</v>
      </c>
      <c r="Z1099" t="s">
        <v>43</v>
      </c>
      <c r="AA1099" t="s">
        <v>77</v>
      </c>
      <c r="AB1099" t="s">
        <v>158</v>
      </c>
      <c r="AC1099" t="s">
        <v>235</v>
      </c>
      <c r="AF1099" t="s">
        <v>57</v>
      </c>
      <c r="AG1099" s="1">
        <v>43836</v>
      </c>
      <c r="AH1099" t="s">
        <v>42</v>
      </c>
      <c r="AI1099" t="s">
        <v>55</v>
      </c>
      <c r="AJ1099">
        <v>12788092</v>
      </c>
      <c r="AK1099">
        <v>250000</v>
      </c>
      <c r="AL1099">
        <v>1500000</v>
      </c>
    </row>
    <row r="1100" spans="1:38" x14ac:dyDescent="0.25">
      <c r="A1100" t="s">
        <v>370</v>
      </c>
      <c r="B1100" t="s">
        <v>375</v>
      </c>
      <c r="C1100" t="s">
        <v>71</v>
      </c>
      <c r="D1100" s="1">
        <v>43160</v>
      </c>
      <c r="E1100" s="1">
        <v>43524</v>
      </c>
      <c r="F1100" t="s">
        <v>77</v>
      </c>
      <c r="G1100">
        <v>1</v>
      </c>
      <c r="H1100" t="s">
        <v>42</v>
      </c>
      <c r="I1100" t="s">
        <v>43</v>
      </c>
      <c r="J1100" t="s">
        <v>77</v>
      </c>
      <c r="K1100" t="s">
        <v>127</v>
      </c>
      <c r="L1100">
        <v>75000</v>
      </c>
      <c r="M1100" s="1">
        <v>43160</v>
      </c>
      <c r="N1100" t="s">
        <v>45</v>
      </c>
      <c r="O1100" t="s">
        <v>46</v>
      </c>
      <c r="P1100" t="s">
        <v>47</v>
      </c>
      <c r="Q1100" s="1">
        <v>43852</v>
      </c>
      <c r="R1100" t="s">
        <v>48</v>
      </c>
      <c r="S1100" t="s">
        <v>233</v>
      </c>
      <c r="T1100" t="s">
        <v>234</v>
      </c>
      <c r="U1100" t="s">
        <v>42</v>
      </c>
      <c r="V1100">
        <v>0</v>
      </c>
      <c r="W1100">
        <v>100000</v>
      </c>
      <c r="X1100" s="1">
        <v>43982</v>
      </c>
      <c r="Y1100" t="s">
        <v>51</v>
      </c>
      <c r="Z1100" t="s">
        <v>43</v>
      </c>
      <c r="AA1100" t="s">
        <v>77</v>
      </c>
      <c r="AB1100" t="s">
        <v>158</v>
      </c>
      <c r="AC1100" t="s">
        <v>235</v>
      </c>
      <c r="AF1100" t="s">
        <v>58</v>
      </c>
      <c r="AG1100" s="1">
        <v>43837</v>
      </c>
      <c r="AH1100" t="s">
        <v>42</v>
      </c>
      <c r="AI1100" t="s">
        <v>55</v>
      </c>
      <c r="AJ1100">
        <v>12788092</v>
      </c>
      <c r="AK1100">
        <v>250000</v>
      </c>
      <c r="AL1100">
        <v>1500000</v>
      </c>
    </row>
    <row r="1101" spans="1:38" x14ac:dyDescent="0.25">
      <c r="A1101" t="s">
        <v>370</v>
      </c>
      <c r="B1101" t="s">
        <v>375</v>
      </c>
      <c r="C1101" t="s">
        <v>71</v>
      </c>
      <c r="D1101" s="1">
        <v>43160</v>
      </c>
      <c r="E1101" s="1">
        <v>43524</v>
      </c>
      <c r="F1101" t="s">
        <v>77</v>
      </c>
      <c r="G1101">
        <v>1</v>
      </c>
      <c r="H1101" t="s">
        <v>42</v>
      </c>
      <c r="I1101" t="s">
        <v>43</v>
      </c>
      <c r="J1101" t="s">
        <v>77</v>
      </c>
      <c r="K1101" t="s">
        <v>127</v>
      </c>
      <c r="L1101">
        <v>75000</v>
      </c>
      <c r="M1101" s="1">
        <v>43160</v>
      </c>
      <c r="N1101" t="s">
        <v>45</v>
      </c>
      <c r="O1101" t="s">
        <v>46</v>
      </c>
      <c r="P1101" t="s">
        <v>47</v>
      </c>
      <c r="Q1101" s="1">
        <v>43852</v>
      </c>
      <c r="R1101" t="s">
        <v>48</v>
      </c>
      <c r="S1101" t="s">
        <v>233</v>
      </c>
      <c r="T1101" t="s">
        <v>234</v>
      </c>
      <c r="U1101" t="s">
        <v>42</v>
      </c>
      <c r="V1101">
        <v>0</v>
      </c>
      <c r="W1101">
        <v>100000</v>
      </c>
      <c r="X1101" s="1">
        <v>43982</v>
      </c>
      <c r="Y1101" t="s">
        <v>51</v>
      </c>
      <c r="Z1101" t="s">
        <v>43</v>
      </c>
      <c r="AA1101" t="s">
        <v>77</v>
      </c>
      <c r="AB1101" t="s">
        <v>158</v>
      </c>
      <c r="AC1101" t="s">
        <v>235</v>
      </c>
      <c r="AF1101" t="s">
        <v>59</v>
      </c>
      <c r="AG1101" s="1">
        <v>43838</v>
      </c>
      <c r="AH1101" t="s">
        <v>42</v>
      </c>
      <c r="AI1101" t="s">
        <v>55</v>
      </c>
      <c r="AJ1101">
        <v>12788092</v>
      </c>
      <c r="AK1101">
        <v>250000</v>
      </c>
      <c r="AL1101">
        <v>1500000</v>
      </c>
    </row>
    <row r="1102" spans="1:38" x14ac:dyDescent="0.25">
      <c r="A1102" t="s">
        <v>370</v>
      </c>
      <c r="B1102" t="s">
        <v>376</v>
      </c>
      <c r="C1102" t="s">
        <v>40</v>
      </c>
      <c r="D1102" s="1">
        <v>43525</v>
      </c>
      <c r="E1102" s="1">
        <v>43890</v>
      </c>
      <c r="F1102" t="s">
        <v>77</v>
      </c>
      <c r="G1102">
        <v>1</v>
      </c>
      <c r="H1102" t="s">
        <v>42</v>
      </c>
      <c r="I1102" t="s">
        <v>43</v>
      </c>
      <c r="J1102" t="s">
        <v>77</v>
      </c>
      <c r="K1102" t="s">
        <v>127</v>
      </c>
      <c r="L1102">
        <v>31250</v>
      </c>
      <c r="M1102" s="1">
        <v>43525</v>
      </c>
      <c r="N1102" t="s">
        <v>45</v>
      </c>
      <c r="O1102" t="s">
        <v>44</v>
      </c>
      <c r="P1102" t="s">
        <v>47</v>
      </c>
      <c r="Q1102" s="1">
        <v>43852</v>
      </c>
      <c r="R1102" t="s">
        <v>48</v>
      </c>
      <c r="S1102" t="s">
        <v>233</v>
      </c>
      <c r="T1102" t="s">
        <v>234</v>
      </c>
      <c r="U1102" t="s">
        <v>42</v>
      </c>
      <c r="V1102">
        <v>0</v>
      </c>
      <c r="W1102">
        <v>100000</v>
      </c>
      <c r="X1102" s="1">
        <v>43982</v>
      </c>
      <c r="Y1102" t="s">
        <v>51</v>
      </c>
      <c r="Z1102" t="s">
        <v>43</v>
      </c>
      <c r="AA1102" t="s">
        <v>77</v>
      </c>
      <c r="AB1102" t="s">
        <v>158</v>
      </c>
      <c r="AC1102" t="s">
        <v>235</v>
      </c>
      <c r="AF1102" t="s">
        <v>54</v>
      </c>
      <c r="AG1102" s="1">
        <v>43832</v>
      </c>
      <c r="AH1102" t="s">
        <v>42</v>
      </c>
      <c r="AI1102" t="s">
        <v>55</v>
      </c>
      <c r="AJ1102">
        <v>12788092</v>
      </c>
      <c r="AK1102">
        <v>250000</v>
      </c>
      <c r="AL1102">
        <v>1500000</v>
      </c>
    </row>
    <row r="1103" spans="1:38" x14ac:dyDescent="0.25">
      <c r="A1103" t="s">
        <v>370</v>
      </c>
      <c r="B1103" t="s">
        <v>376</v>
      </c>
      <c r="C1103" t="s">
        <v>40</v>
      </c>
      <c r="D1103" s="1">
        <v>43525</v>
      </c>
      <c r="E1103" s="1">
        <v>43890</v>
      </c>
      <c r="F1103" t="s">
        <v>77</v>
      </c>
      <c r="G1103">
        <v>1</v>
      </c>
      <c r="H1103" t="s">
        <v>42</v>
      </c>
      <c r="I1103" t="s">
        <v>43</v>
      </c>
      <c r="J1103" t="s">
        <v>77</v>
      </c>
      <c r="K1103" t="s">
        <v>127</v>
      </c>
      <c r="L1103">
        <v>31250</v>
      </c>
      <c r="M1103" s="1">
        <v>43525</v>
      </c>
      <c r="N1103" t="s">
        <v>45</v>
      </c>
      <c r="O1103" t="s">
        <v>44</v>
      </c>
      <c r="P1103" t="s">
        <v>47</v>
      </c>
      <c r="Q1103" s="1">
        <v>43852</v>
      </c>
      <c r="R1103" t="s">
        <v>48</v>
      </c>
      <c r="S1103" t="s">
        <v>233</v>
      </c>
      <c r="T1103" t="s">
        <v>234</v>
      </c>
      <c r="U1103" t="s">
        <v>42</v>
      </c>
      <c r="V1103">
        <v>0</v>
      </c>
      <c r="W1103">
        <v>100000</v>
      </c>
      <c r="X1103" s="1">
        <v>43982</v>
      </c>
      <c r="Y1103" t="s">
        <v>51</v>
      </c>
      <c r="Z1103" t="s">
        <v>43</v>
      </c>
      <c r="AA1103" t="s">
        <v>77</v>
      </c>
      <c r="AB1103" t="s">
        <v>158</v>
      </c>
      <c r="AC1103" t="s">
        <v>235</v>
      </c>
      <c r="AF1103" t="s">
        <v>56</v>
      </c>
      <c r="AG1103" s="1">
        <v>43833</v>
      </c>
      <c r="AH1103" t="s">
        <v>42</v>
      </c>
      <c r="AI1103" t="s">
        <v>55</v>
      </c>
      <c r="AJ1103">
        <v>12788092</v>
      </c>
      <c r="AK1103">
        <v>250000</v>
      </c>
      <c r="AL1103">
        <v>1500000</v>
      </c>
    </row>
    <row r="1104" spans="1:38" x14ac:dyDescent="0.25">
      <c r="A1104" t="s">
        <v>370</v>
      </c>
      <c r="B1104" t="s">
        <v>376</v>
      </c>
      <c r="C1104" t="s">
        <v>40</v>
      </c>
      <c r="D1104" s="1">
        <v>43525</v>
      </c>
      <c r="E1104" s="1">
        <v>43890</v>
      </c>
      <c r="F1104" t="s">
        <v>77</v>
      </c>
      <c r="G1104">
        <v>1</v>
      </c>
      <c r="H1104" t="s">
        <v>42</v>
      </c>
      <c r="I1104" t="s">
        <v>43</v>
      </c>
      <c r="J1104" t="s">
        <v>77</v>
      </c>
      <c r="K1104" t="s">
        <v>127</v>
      </c>
      <c r="L1104">
        <v>31250</v>
      </c>
      <c r="M1104" s="1">
        <v>43525</v>
      </c>
      <c r="N1104" t="s">
        <v>45</v>
      </c>
      <c r="O1104" t="s">
        <v>44</v>
      </c>
      <c r="P1104" t="s">
        <v>47</v>
      </c>
      <c r="Q1104" s="1">
        <v>43852</v>
      </c>
      <c r="R1104" t="s">
        <v>48</v>
      </c>
      <c r="S1104" t="s">
        <v>233</v>
      </c>
      <c r="T1104" t="s">
        <v>234</v>
      </c>
      <c r="U1104" t="s">
        <v>42</v>
      </c>
      <c r="V1104">
        <v>0</v>
      </c>
      <c r="W1104">
        <v>100000</v>
      </c>
      <c r="X1104" s="1">
        <v>43982</v>
      </c>
      <c r="Y1104" t="s">
        <v>51</v>
      </c>
      <c r="Z1104" t="s">
        <v>43</v>
      </c>
      <c r="AA1104" t="s">
        <v>77</v>
      </c>
      <c r="AB1104" t="s">
        <v>158</v>
      </c>
      <c r="AC1104" t="s">
        <v>235</v>
      </c>
      <c r="AF1104" t="s">
        <v>57</v>
      </c>
      <c r="AG1104" s="1">
        <v>43836</v>
      </c>
      <c r="AH1104" t="s">
        <v>42</v>
      </c>
      <c r="AI1104" t="s">
        <v>55</v>
      </c>
      <c r="AJ1104">
        <v>12788092</v>
      </c>
      <c r="AK1104">
        <v>250000</v>
      </c>
      <c r="AL1104">
        <v>1500000</v>
      </c>
    </row>
    <row r="1105" spans="1:38" x14ac:dyDescent="0.25">
      <c r="A1105" t="s">
        <v>370</v>
      </c>
      <c r="B1105" t="s">
        <v>376</v>
      </c>
      <c r="C1105" t="s">
        <v>40</v>
      </c>
      <c r="D1105" s="1">
        <v>43525</v>
      </c>
      <c r="E1105" s="1">
        <v>43890</v>
      </c>
      <c r="F1105" t="s">
        <v>77</v>
      </c>
      <c r="G1105">
        <v>1</v>
      </c>
      <c r="H1105" t="s">
        <v>42</v>
      </c>
      <c r="I1105" t="s">
        <v>43</v>
      </c>
      <c r="J1105" t="s">
        <v>77</v>
      </c>
      <c r="K1105" t="s">
        <v>127</v>
      </c>
      <c r="L1105">
        <v>31250</v>
      </c>
      <c r="M1105" s="1">
        <v>43525</v>
      </c>
      <c r="N1105" t="s">
        <v>45</v>
      </c>
      <c r="O1105" t="s">
        <v>44</v>
      </c>
      <c r="P1105" t="s">
        <v>47</v>
      </c>
      <c r="Q1105" s="1">
        <v>43852</v>
      </c>
      <c r="R1105" t="s">
        <v>48</v>
      </c>
      <c r="S1105" t="s">
        <v>233</v>
      </c>
      <c r="T1105" t="s">
        <v>234</v>
      </c>
      <c r="U1105" t="s">
        <v>42</v>
      </c>
      <c r="V1105">
        <v>0</v>
      </c>
      <c r="W1105">
        <v>100000</v>
      </c>
      <c r="X1105" s="1">
        <v>43982</v>
      </c>
      <c r="Y1105" t="s">
        <v>51</v>
      </c>
      <c r="Z1105" t="s">
        <v>43</v>
      </c>
      <c r="AA1105" t="s">
        <v>77</v>
      </c>
      <c r="AB1105" t="s">
        <v>158</v>
      </c>
      <c r="AC1105" t="s">
        <v>235</v>
      </c>
      <c r="AF1105" t="s">
        <v>58</v>
      </c>
      <c r="AG1105" s="1">
        <v>43837</v>
      </c>
      <c r="AH1105" t="s">
        <v>42</v>
      </c>
      <c r="AI1105" t="s">
        <v>55</v>
      </c>
      <c r="AJ1105">
        <v>12788092</v>
      </c>
      <c r="AK1105">
        <v>250000</v>
      </c>
      <c r="AL1105">
        <v>1500000</v>
      </c>
    </row>
    <row r="1106" spans="1:38" x14ac:dyDescent="0.25">
      <c r="A1106" t="s">
        <v>370</v>
      </c>
      <c r="B1106" t="s">
        <v>376</v>
      </c>
      <c r="C1106" t="s">
        <v>40</v>
      </c>
      <c r="D1106" s="1">
        <v>43525</v>
      </c>
      <c r="E1106" s="1">
        <v>43890</v>
      </c>
      <c r="F1106" t="s">
        <v>77</v>
      </c>
      <c r="G1106">
        <v>1</v>
      </c>
      <c r="H1106" t="s">
        <v>42</v>
      </c>
      <c r="I1106" t="s">
        <v>43</v>
      </c>
      <c r="J1106" t="s">
        <v>77</v>
      </c>
      <c r="K1106" t="s">
        <v>127</v>
      </c>
      <c r="L1106">
        <v>31250</v>
      </c>
      <c r="M1106" s="1">
        <v>43525</v>
      </c>
      <c r="N1106" t="s">
        <v>45</v>
      </c>
      <c r="O1106" t="s">
        <v>44</v>
      </c>
      <c r="P1106" t="s">
        <v>47</v>
      </c>
      <c r="Q1106" s="1">
        <v>43852</v>
      </c>
      <c r="R1106" t="s">
        <v>48</v>
      </c>
      <c r="S1106" t="s">
        <v>233</v>
      </c>
      <c r="T1106" t="s">
        <v>234</v>
      </c>
      <c r="U1106" t="s">
        <v>42</v>
      </c>
      <c r="V1106">
        <v>0</v>
      </c>
      <c r="W1106">
        <v>100000</v>
      </c>
      <c r="X1106" s="1">
        <v>43982</v>
      </c>
      <c r="Y1106" t="s">
        <v>51</v>
      </c>
      <c r="Z1106" t="s">
        <v>43</v>
      </c>
      <c r="AA1106" t="s">
        <v>77</v>
      </c>
      <c r="AB1106" t="s">
        <v>158</v>
      </c>
      <c r="AC1106" t="s">
        <v>235</v>
      </c>
      <c r="AF1106" t="s">
        <v>59</v>
      </c>
      <c r="AG1106" s="1">
        <v>43838</v>
      </c>
      <c r="AH1106" t="s">
        <v>42</v>
      </c>
      <c r="AI1106" t="s">
        <v>55</v>
      </c>
      <c r="AJ1106">
        <v>12788092</v>
      </c>
      <c r="AK1106">
        <v>250000</v>
      </c>
      <c r="AL1106">
        <v>1500000</v>
      </c>
    </row>
    <row r="1107" spans="1:38" x14ac:dyDescent="0.25">
      <c r="A1107" t="s">
        <v>370</v>
      </c>
      <c r="B1107" t="s">
        <v>377</v>
      </c>
      <c r="C1107" t="s">
        <v>40</v>
      </c>
      <c r="D1107" s="1">
        <v>43525</v>
      </c>
      <c r="E1107" s="1">
        <v>43890</v>
      </c>
      <c r="F1107" t="s">
        <v>77</v>
      </c>
      <c r="G1107">
        <v>1</v>
      </c>
      <c r="H1107" t="s">
        <v>42</v>
      </c>
      <c r="I1107" t="s">
        <v>43</v>
      </c>
      <c r="J1107" t="s">
        <v>77</v>
      </c>
      <c r="K1107" t="s">
        <v>44</v>
      </c>
      <c r="L1107">
        <v>43750</v>
      </c>
      <c r="M1107" s="1">
        <v>43525</v>
      </c>
      <c r="N1107" t="s">
        <v>45</v>
      </c>
      <c r="O1107" t="s">
        <v>44</v>
      </c>
      <c r="P1107" t="s">
        <v>47</v>
      </c>
      <c r="Q1107" s="1">
        <v>43852</v>
      </c>
      <c r="R1107" t="s">
        <v>48</v>
      </c>
      <c r="S1107" t="s">
        <v>233</v>
      </c>
      <c r="T1107" t="s">
        <v>234</v>
      </c>
      <c r="U1107" t="s">
        <v>42</v>
      </c>
      <c r="V1107">
        <v>0</v>
      </c>
      <c r="W1107">
        <v>100000</v>
      </c>
      <c r="X1107" s="1">
        <v>43982</v>
      </c>
      <c r="Y1107" t="s">
        <v>51</v>
      </c>
      <c r="Z1107" t="s">
        <v>43</v>
      </c>
      <c r="AA1107" t="s">
        <v>77</v>
      </c>
      <c r="AB1107" t="s">
        <v>158</v>
      </c>
      <c r="AC1107" t="s">
        <v>235</v>
      </c>
      <c r="AF1107" t="s">
        <v>54</v>
      </c>
      <c r="AG1107" s="1">
        <v>43832</v>
      </c>
      <c r="AH1107" t="s">
        <v>42</v>
      </c>
      <c r="AI1107" t="s">
        <v>55</v>
      </c>
      <c r="AJ1107">
        <v>12788092</v>
      </c>
      <c r="AK1107">
        <v>250000</v>
      </c>
      <c r="AL1107">
        <v>1500000</v>
      </c>
    </row>
    <row r="1108" spans="1:38" x14ac:dyDescent="0.25">
      <c r="A1108" t="s">
        <v>370</v>
      </c>
      <c r="B1108" t="s">
        <v>377</v>
      </c>
      <c r="C1108" t="s">
        <v>40</v>
      </c>
      <c r="D1108" s="1">
        <v>43525</v>
      </c>
      <c r="E1108" s="1">
        <v>43890</v>
      </c>
      <c r="F1108" t="s">
        <v>77</v>
      </c>
      <c r="G1108">
        <v>1</v>
      </c>
      <c r="H1108" t="s">
        <v>42</v>
      </c>
      <c r="I1108" t="s">
        <v>43</v>
      </c>
      <c r="J1108" t="s">
        <v>77</v>
      </c>
      <c r="K1108" t="s">
        <v>44</v>
      </c>
      <c r="L1108">
        <v>43750</v>
      </c>
      <c r="M1108" s="1">
        <v>43525</v>
      </c>
      <c r="N1108" t="s">
        <v>45</v>
      </c>
      <c r="O1108" t="s">
        <v>44</v>
      </c>
      <c r="P1108" t="s">
        <v>47</v>
      </c>
      <c r="Q1108" s="1">
        <v>43852</v>
      </c>
      <c r="R1108" t="s">
        <v>48</v>
      </c>
      <c r="S1108" t="s">
        <v>233</v>
      </c>
      <c r="T1108" t="s">
        <v>234</v>
      </c>
      <c r="U1108" t="s">
        <v>42</v>
      </c>
      <c r="V1108">
        <v>0</v>
      </c>
      <c r="W1108">
        <v>100000</v>
      </c>
      <c r="X1108" s="1">
        <v>43982</v>
      </c>
      <c r="Y1108" t="s">
        <v>51</v>
      </c>
      <c r="Z1108" t="s">
        <v>43</v>
      </c>
      <c r="AA1108" t="s">
        <v>77</v>
      </c>
      <c r="AB1108" t="s">
        <v>158</v>
      </c>
      <c r="AC1108" t="s">
        <v>235</v>
      </c>
      <c r="AF1108" t="s">
        <v>56</v>
      </c>
      <c r="AG1108" s="1">
        <v>43833</v>
      </c>
      <c r="AH1108" t="s">
        <v>42</v>
      </c>
      <c r="AI1108" t="s">
        <v>55</v>
      </c>
      <c r="AJ1108">
        <v>12788092</v>
      </c>
      <c r="AK1108">
        <v>250000</v>
      </c>
      <c r="AL1108">
        <v>1500000</v>
      </c>
    </row>
    <row r="1109" spans="1:38" x14ac:dyDescent="0.25">
      <c r="A1109" t="s">
        <v>370</v>
      </c>
      <c r="B1109" t="s">
        <v>377</v>
      </c>
      <c r="C1109" t="s">
        <v>40</v>
      </c>
      <c r="D1109" s="1">
        <v>43525</v>
      </c>
      <c r="E1109" s="1">
        <v>43890</v>
      </c>
      <c r="F1109" t="s">
        <v>77</v>
      </c>
      <c r="G1109">
        <v>1</v>
      </c>
      <c r="H1109" t="s">
        <v>42</v>
      </c>
      <c r="I1109" t="s">
        <v>43</v>
      </c>
      <c r="J1109" t="s">
        <v>77</v>
      </c>
      <c r="K1109" t="s">
        <v>44</v>
      </c>
      <c r="L1109">
        <v>43750</v>
      </c>
      <c r="M1109" s="1">
        <v>43525</v>
      </c>
      <c r="N1109" t="s">
        <v>45</v>
      </c>
      <c r="O1109" t="s">
        <v>44</v>
      </c>
      <c r="P1109" t="s">
        <v>47</v>
      </c>
      <c r="Q1109" s="1">
        <v>43852</v>
      </c>
      <c r="R1109" t="s">
        <v>48</v>
      </c>
      <c r="S1109" t="s">
        <v>233</v>
      </c>
      <c r="T1109" t="s">
        <v>234</v>
      </c>
      <c r="U1109" t="s">
        <v>42</v>
      </c>
      <c r="V1109">
        <v>0</v>
      </c>
      <c r="W1109">
        <v>100000</v>
      </c>
      <c r="X1109" s="1">
        <v>43982</v>
      </c>
      <c r="Y1109" t="s">
        <v>51</v>
      </c>
      <c r="Z1109" t="s">
        <v>43</v>
      </c>
      <c r="AA1109" t="s">
        <v>77</v>
      </c>
      <c r="AB1109" t="s">
        <v>158</v>
      </c>
      <c r="AC1109" t="s">
        <v>235</v>
      </c>
      <c r="AF1109" t="s">
        <v>57</v>
      </c>
      <c r="AG1109" s="1">
        <v>43836</v>
      </c>
      <c r="AH1109" t="s">
        <v>42</v>
      </c>
      <c r="AI1109" t="s">
        <v>55</v>
      </c>
      <c r="AJ1109">
        <v>12788092</v>
      </c>
      <c r="AK1109">
        <v>250000</v>
      </c>
      <c r="AL1109">
        <v>1500000</v>
      </c>
    </row>
    <row r="1110" spans="1:38" x14ac:dyDescent="0.25">
      <c r="A1110" t="s">
        <v>370</v>
      </c>
      <c r="B1110" t="s">
        <v>377</v>
      </c>
      <c r="C1110" t="s">
        <v>40</v>
      </c>
      <c r="D1110" s="1">
        <v>43525</v>
      </c>
      <c r="E1110" s="1">
        <v>43890</v>
      </c>
      <c r="F1110" t="s">
        <v>77</v>
      </c>
      <c r="G1110">
        <v>1</v>
      </c>
      <c r="H1110" t="s">
        <v>42</v>
      </c>
      <c r="I1110" t="s">
        <v>43</v>
      </c>
      <c r="J1110" t="s">
        <v>77</v>
      </c>
      <c r="K1110" t="s">
        <v>44</v>
      </c>
      <c r="L1110">
        <v>43750</v>
      </c>
      <c r="M1110" s="1">
        <v>43525</v>
      </c>
      <c r="N1110" t="s">
        <v>45</v>
      </c>
      <c r="O1110" t="s">
        <v>44</v>
      </c>
      <c r="P1110" t="s">
        <v>47</v>
      </c>
      <c r="Q1110" s="1">
        <v>43852</v>
      </c>
      <c r="R1110" t="s">
        <v>48</v>
      </c>
      <c r="S1110" t="s">
        <v>233</v>
      </c>
      <c r="T1110" t="s">
        <v>234</v>
      </c>
      <c r="U1110" t="s">
        <v>42</v>
      </c>
      <c r="V1110">
        <v>0</v>
      </c>
      <c r="W1110">
        <v>100000</v>
      </c>
      <c r="X1110" s="1">
        <v>43982</v>
      </c>
      <c r="Y1110" t="s">
        <v>51</v>
      </c>
      <c r="Z1110" t="s">
        <v>43</v>
      </c>
      <c r="AA1110" t="s">
        <v>77</v>
      </c>
      <c r="AB1110" t="s">
        <v>158</v>
      </c>
      <c r="AC1110" t="s">
        <v>235</v>
      </c>
      <c r="AF1110" t="s">
        <v>58</v>
      </c>
      <c r="AG1110" s="1">
        <v>43837</v>
      </c>
      <c r="AH1110" t="s">
        <v>42</v>
      </c>
      <c r="AI1110" t="s">
        <v>55</v>
      </c>
      <c r="AJ1110">
        <v>12788092</v>
      </c>
      <c r="AK1110">
        <v>250000</v>
      </c>
      <c r="AL1110">
        <v>1500000</v>
      </c>
    </row>
    <row r="1111" spans="1:38" x14ac:dyDescent="0.25">
      <c r="A1111" t="s">
        <v>370</v>
      </c>
      <c r="B1111" t="s">
        <v>377</v>
      </c>
      <c r="C1111" t="s">
        <v>40</v>
      </c>
      <c r="D1111" s="1">
        <v>43525</v>
      </c>
      <c r="E1111" s="1">
        <v>43890</v>
      </c>
      <c r="F1111" t="s">
        <v>77</v>
      </c>
      <c r="G1111">
        <v>1</v>
      </c>
      <c r="H1111" t="s">
        <v>42</v>
      </c>
      <c r="I1111" t="s">
        <v>43</v>
      </c>
      <c r="J1111" t="s">
        <v>77</v>
      </c>
      <c r="K1111" t="s">
        <v>44</v>
      </c>
      <c r="L1111">
        <v>43750</v>
      </c>
      <c r="M1111" s="1">
        <v>43525</v>
      </c>
      <c r="N1111" t="s">
        <v>45</v>
      </c>
      <c r="O1111" t="s">
        <v>44</v>
      </c>
      <c r="P1111" t="s">
        <v>47</v>
      </c>
      <c r="Q1111" s="1">
        <v>43852</v>
      </c>
      <c r="R1111" t="s">
        <v>48</v>
      </c>
      <c r="S1111" t="s">
        <v>233</v>
      </c>
      <c r="T1111" t="s">
        <v>234</v>
      </c>
      <c r="U1111" t="s">
        <v>42</v>
      </c>
      <c r="V1111">
        <v>0</v>
      </c>
      <c r="W1111">
        <v>100000</v>
      </c>
      <c r="X1111" s="1">
        <v>43982</v>
      </c>
      <c r="Y1111" t="s">
        <v>51</v>
      </c>
      <c r="Z1111" t="s">
        <v>43</v>
      </c>
      <c r="AA1111" t="s">
        <v>77</v>
      </c>
      <c r="AB1111" t="s">
        <v>158</v>
      </c>
      <c r="AC1111" t="s">
        <v>235</v>
      </c>
      <c r="AF1111" t="s">
        <v>59</v>
      </c>
      <c r="AG1111" s="1">
        <v>43838</v>
      </c>
      <c r="AH1111" t="s">
        <v>42</v>
      </c>
      <c r="AI1111" t="s">
        <v>55</v>
      </c>
      <c r="AJ1111">
        <v>12788092</v>
      </c>
      <c r="AK1111">
        <v>250000</v>
      </c>
      <c r="AL1111">
        <v>1500000</v>
      </c>
    </row>
    <row r="1112" spans="1:38" x14ac:dyDescent="0.25">
      <c r="A1112" t="s">
        <v>370</v>
      </c>
      <c r="B1112" t="s">
        <v>378</v>
      </c>
      <c r="C1112" t="s">
        <v>40</v>
      </c>
      <c r="D1112" s="1">
        <v>43525</v>
      </c>
      <c r="E1112" s="1">
        <v>43890</v>
      </c>
      <c r="F1112" t="s">
        <v>77</v>
      </c>
      <c r="G1112">
        <v>1</v>
      </c>
      <c r="H1112" t="s">
        <v>42</v>
      </c>
      <c r="I1112" t="s">
        <v>43</v>
      </c>
      <c r="J1112" t="s">
        <v>77</v>
      </c>
      <c r="K1112" t="s">
        <v>127</v>
      </c>
      <c r="L1112">
        <v>75000</v>
      </c>
      <c r="M1112" s="1">
        <v>43525</v>
      </c>
      <c r="N1112" t="s">
        <v>45</v>
      </c>
      <c r="O1112" t="s">
        <v>44</v>
      </c>
      <c r="P1112" t="s">
        <v>47</v>
      </c>
      <c r="Q1112" s="1">
        <v>43852</v>
      </c>
      <c r="R1112" t="s">
        <v>48</v>
      </c>
      <c r="S1112" t="s">
        <v>233</v>
      </c>
      <c r="T1112" t="s">
        <v>234</v>
      </c>
      <c r="U1112" t="s">
        <v>42</v>
      </c>
      <c r="V1112">
        <v>0</v>
      </c>
      <c r="W1112">
        <v>100000</v>
      </c>
      <c r="X1112" s="1">
        <v>43982</v>
      </c>
      <c r="Y1112" t="s">
        <v>51</v>
      </c>
      <c r="Z1112" t="s">
        <v>43</v>
      </c>
      <c r="AA1112" t="s">
        <v>77</v>
      </c>
      <c r="AB1112" t="s">
        <v>158</v>
      </c>
      <c r="AC1112" t="s">
        <v>235</v>
      </c>
      <c r="AF1112" t="s">
        <v>54</v>
      </c>
      <c r="AG1112" s="1">
        <v>43832</v>
      </c>
      <c r="AH1112" t="s">
        <v>42</v>
      </c>
      <c r="AI1112" t="s">
        <v>55</v>
      </c>
      <c r="AJ1112">
        <v>12788092</v>
      </c>
      <c r="AK1112">
        <v>250000</v>
      </c>
      <c r="AL1112">
        <v>1500000</v>
      </c>
    </row>
    <row r="1113" spans="1:38" x14ac:dyDescent="0.25">
      <c r="A1113" t="s">
        <v>370</v>
      </c>
      <c r="B1113" t="s">
        <v>378</v>
      </c>
      <c r="C1113" t="s">
        <v>40</v>
      </c>
      <c r="D1113" s="1">
        <v>43525</v>
      </c>
      <c r="E1113" s="1">
        <v>43890</v>
      </c>
      <c r="F1113" t="s">
        <v>77</v>
      </c>
      <c r="G1113">
        <v>1</v>
      </c>
      <c r="H1113" t="s">
        <v>42</v>
      </c>
      <c r="I1113" t="s">
        <v>43</v>
      </c>
      <c r="J1113" t="s">
        <v>77</v>
      </c>
      <c r="K1113" t="s">
        <v>127</v>
      </c>
      <c r="L1113">
        <v>75000</v>
      </c>
      <c r="M1113" s="1">
        <v>43525</v>
      </c>
      <c r="N1113" t="s">
        <v>45</v>
      </c>
      <c r="O1113" t="s">
        <v>44</v>
      </c>
      <c r="P1113" t="s">
        <v>47</v>
      </c>
      <c r="Q1113" s="1">
        <v>43852</v>
      </c>
      <c r="R1113" t="s">
        <v>48</v>
      </c>
      <c r="S1113" t="s">
        <v>233</v>
      </c>
      <c r="T1113" t="s">
        <v>234</v>
      </c>
      <c r="U1113" t="s">
        <v>42</v>
      </c>
      <c r="V1113">
        <v>0</v>
      </c>
      <c r="W1113">
        <v>100000</v>
      </c>
      <c r="X1113" s="1">
        <v>43982</v>
      </c>
      <c r="Y1113" t="s">
        <v>51</v>
      </c>
      <c r="Z1113" t="s">
        <v>43</v>
      </c>
      <c r="AA1113" t="s">
        <v>77</v>
      </c>
      <c r="AB1113" t="s">
        <v>158</v>
      </c>
      <c r="AC1113" t="s">
        <v>235</v>
      </c>
      <c r="AF1113" t="s">
        <v>56</v>
      </c>
      <c r="AG1113" s="1">
        <v>43833</v>
      </c>
      <c r="AH1113" t="s">
        <v>42</v>
      </c>
      <c r="AI1113" t="s">
        <v>55</v>
      </c>
      <c r="AJ1113">
        <v>12788092</v>
      </c>
      <c r="AK1113">
        <v>250000</v>
      </c>
      <c r="AL1113">
        <v>1500000</v>
      </c>
    </row>
    <row r="1114" spans="1:38" x14ac:dyDescent="0.25">
      <c r="A1114" t="s">
        <v>370</v>
      </c>
      <c r="B1114" t="s">
        <v>378</v>
      </c>
      <c r="C1114" t="s">
        <v>40</v>
      </c>
      <c r="D1114" s="1">
        <v>43525</v>
      </c>
      <c r="E1114" s="1">
        <v>43890</v>
      </c>
      <c r="F1114" t="s">
        <v>77</v>
      </c>
      <c r="G1114">
        <v>1</v>
      </c>
      <c r="H1114" t="s">
        <v>42</v>
      </c>
      <c r="I1114" t="s">
        <v>43</v>
      </c>
      <c r="J1114" t="s">
        <v>77</v>
      </c>
      <c r="K1114" t="s">
        <v>127</v>
      </c>
      <c r="L1114">
        <v>75000</v>
      </c>
      <c r="M1114" s="1">
        <v>43525</v>
      </c>
      <c r="N1114" t="s">
        <v>45</v>
      </c>
      <c r="O1114" t="s">
        <v>44</v>
      </c>
      <c r="P1114" t="s">
        <v>47</v>
      </c>
      <c r="Q1114" s="1">
        <v>43852</v>
      </c>
      <c r="R1114" t="s">
        <v>48</v>
      </c>
      <c r="S1114" t="s">
        <v>233</v>
      </c>
      <c r="T1114" t="s">
        <v>234</v>
      </c>
      <c r="U1114" t="s">
        <v>42</v>
      </c>
      <c r="V1114">
        <v>0</v>
      </c>
      <c r="W1114">
        <v>100000</v>
      </c>
      <c r="X1114" s="1">
        <v>43982</v>
      </c>
      <c r="Y1114" t="s">
        <v>51</v>
      </c>
      <c r="Z1114" t="s">
        <v>43</v>
      </c>
      <c r="AA1114" t="s">
        <v>77</v>
      </c>
      <c r="AB1114" t="s">
        <v>158</v>
      </c>
      <c r="AC1114" t="s">
        <v>235</v>
      </c>
      <c r="AF1114" t="s">
        <v>57</v>
      </c>
      <c r="AG1114" s="1">
        <v>43836</v>
      </c>
      <c r="AH1114" t="s">
        <v>42</v>
      </c>
      <c r="AI1114" t="s">
        <v>55</v>
      </c>
      <c r="AJ1114">
        <v>12788092</v>
      </c>
      <c r="AK1114">
        <v>250000</v>
      </c>
      <c r="AL1114">
        <v>1500000</v>
      </c>
    </row>
    <row r="1115" spans="1:38" x14ac:dyDescent="0.25">
      <c r="A1115" t="s">
        <v>370</v>
      </c>
      <c r="B1115" t="s">
        <v>378</v>
      </c>
      <c r="C1115" t="s">
        <v>40</v>
      </c>
      <c r="D1115" s="1">
        <v>43525</v>
      </c>
      <c r="E1115" s="1">
        <v>43890</v>
      </c>
      <c r="F1115" t="s">
        <v>77</v>
      </c>
      <c r="G1115">
        <v>1</v>
      </c>
      <c r="H1115" t="s">
        <v>42</v>
      </c>
      <c r="I1115" t="s">
        <v>43</v>
      </c>
      <c r="J1115" t="s">
        <v>77</v>
      </c>
      <c r="K1115" t="s">
        <v>127</v>
      </c>
      <c r="L1115">
        <v>75000</v>
      </c>
      <c r="M1115" s="1">
        <v>43525</v>
      </c>
      <c r="N1115" t="s">
        <v>45</v>
      </c>
      <c r="O1115" t="s">
        <v>44</v>
      </c>
      <c r="P1115" t="s">
        <v>47</v>
      </c>
      <c r="Q1115" s="1">
        <v>43852</v>
      </c>
      <c r="R1115" t="s">
        <v>48</v>
      </c>
      <c r="S1115" t="s">
        <v>233</v>
      </c>
      <c r="T1115" t="s">
        <v>234</v>
      </c>
      <c r="U1115" t="s">
        <v>42</v>
      </c>
      <c r="V1115">
        <v>0</v>
      </c>
      <c r="W1115">
        <v>100000</v>
      </c>
      <c r="X1115" s="1">
        <v>43982</v>
      </c>
      <c r="Y1115" t="s">
        <v>51</v>
      </c>
      <c r="Z1115" t="s">
        <v>43</v>
      </c>
      <c r="AA1115" t="s">
        <v>77</v>
      </c>
      <c r="AB1115" t="s">
        <v>158</v>
      </c>
      <c r="AC1115" t="s">
        <v>235</v>
      </c>
      <c r="AF1115" t="s">
        <v>58</v>
      </c>
      <c r="AG1115" s="1">
        <v>43837</v>
      </c>
      <c r="AH1115" t="s">
        <v>42</v>
      </c>
      <c r="AI1115" t="s">
        <v>55</v>
      </c>
      <c r="AJ1115">
        <v>12788092</v>
      </c>
      <c r="AK1115">
        <v>250000</v>
      </c>
      <c r="AL1115">
        <v>1500000</v>
      </c>
    </row>
    <row r="1116" spans="1:38" x14ac:dyDescent="0.25">
      <c r="A1116" t="s">
        <v>370</v>
      </c>
      <c r="B1116" t="s">
        <v>378</v>
      </c>
      <c r="C1116" t="s">
        <v>40</v>
      </c>
      <c r="D1116" s="1">
        <v>43525</v>
      </c>
      <c r="E1116" s="1">
        <v>43890</v>
      </c>
      <c r="F1116" t="s">
        <v>77</v>
      </c>
      <c r="G1116">
        <v>1</v>
      </c>
      <c r="H1116" t="s">
        <v>42</v>
      </c>
      <c r="I1116" t="s">
        <v>43</v>
      </c>
      <c r="J1116" t="s">
        <v>77</v>
      </c>
      <c r="K1116" t="s">
        <v>127</v>
      </c>
      <c r="L1116">
        <v>75000</v>
      </c>
      <c r="M1116" s="1">
        <v>43525</v>
      </c>
      <c r="N1116" t="s">
        <v>45</v>
      </c>
      <c r="O1116" t="s">
        <v>44</v>
      </c>
      <c r="P1116" t="s">
        <v>47</v>
      </c>
      <c r="Q1116" s="1">
        <v>43852</v>
      </c>
      <c r="R1116" t="s">
        <v>48</v>
      </c>
      <c r="S1116" t="s">
        <v>233</v>
      </c>
      <c r="T1116" t="s">
        <v>234</v>
      </c>
      <c r="U1116" t="s">
        <v>42</v>
      </c>
      <c r="V1116">
        <v>0</v>
      </c>
      <c r="W1116">
        <v>100000</v>
      </c>
      <c r="X1116" s="1">
        <v>43982</v>
      </c>
      <c r="Y1116" t="s">
        <v>51</v>
      </c>
      <c r="Z1116" t="s">
        <v>43</v>
      </c>
      <c r="AA1116" t="s">
        <v>77</v>
      </c>
      <c r="AB1116" t="s">
        <v>158</v>
      </c>
      <c r="AC1116" t="s">
        <v>235</v>
      </c>
      <c r="AF1116" t="s">
        <v>59</v>
      </c>
      <c r="AG1116" s="1">
        <v>43838</v>
      </c>
      <c r="AH1116" t="s">
        <v>42</v>
      </c>
      <c r="AI1116" t="s">
        <v>55</v>
      </c>
      <c r="AJ1116">
        <v>12788092</v>
      </c>
      <c r="AK1116">
        <v>250000</v>
      </c>
      <c r="AL1116">
        <v>1500000</v>
      </c>
    </row>
    <row r="1117" spans="1:38" x14ac:dyDescent="0.25">
      <c r="A1117" t="s">
        <v>370</v>
      </c>
      <c r="B1117">
        <v>2302003268</v>
      </c>
      <c r="C1117" t="s">
        <v>71</v>
      </c>
      <c r="D1117" s="1">
        <v>43142</v>
      </c>
      <c r="E1117" s="1">
        <v>43506</v>
      </c>
      <c r="F1117" t="s">
        <v>77</v>
      </c>
      <c r="G1117">
        <v>1</v>
      </c>
      <c r="H1117" t="s">
        <v>42</v>
      </c>
      <c r="I1117" t="s">
        <v>43</v>
      </c>
      <c r="J1117" t="s">
        <v>77</v>
      </c>
      <c r="K1117" t="s">
        <v>127</v>
      </c>
      <c r="L1117">
        <v>23125</v>
      </c>
      <c r="M1117" s="1">
        <v>43142</v>
      </c>
      <c r="N1117" t="s">
        <v>45</v>
      </c>
      <c r="O1117" t="s">
        <v>46</v>
      </c>
      <c r="P1117" t="s">
        <v>47</v>
      </c>
      <c r="Q1117" s="1">
        <v>43852</v>
      </c>
      <c r="R1117" t="s">
        <v>48</v>
      </c>
      <c r="S1117" t="s">
        <v>233</v>
      </c>
      <c r="T1117" t="s">
        <v>234</v>
      </c>
      <c r="U1117" t="s">
        <v>42</v>
      </c>
      <c r="V1117">
        <v>0</v>
      </c>
      <c r="W1117">
        <v>100000</v>
      </c>
      <c r="X1117" s="1">
        <v>43982</v>
      </c>
      <c r="Y1117" t="s">
        <v>51</v>
      </c>
      <c r="Z1117" t="s">
        <v>43</v>
      </c>
      <c r="AA1117" t="s">
        <v>77</v>
      </c>
      <c r="AB1117" t="s">
        <v>158</v>
      </c>
      <c r="AC1117" t="s">
        <v>235</v>
      </c>
      <c r="AF1117" t="s">
        <v>54</v>
      </c>
      <c r="AG1117" s="1">
        <v>43832</v>
      </c>
      <c r="AH1117" t="s">
        <v>42</v>
      </c>
      <c r="AI1117" t="s">
        <v>55</v>
      </c>
      <c r="AJ1117">
        <v>12788092</v>
      </c>
      <c r="AK1117">
        <v>250000</v>
      </c>
      <c r="AL1117">
        <v>1500000</v>
      </c>
    </row>
    <row r="1118" spans="1:38" x14ac:dyDescent="0.25">
      <c r="A1118" t="s">
        <v>370</v>
      </c>
      <c r="B1118">
        <v>2302003268</v>
      </c>
      <c r="C1118" t="s">
        <v>71</v>
      </c>
      <c r="D1118" s="1">
        <v>43142</v>
      </c>
      <c r="E1118" s="1">
        <v>43506</v>
      </c>
      <c r="F1118" t="s">
        <v>77</v>
      </c>
      <c r="G1118">
        <v>1</v>
      </c>
      <c r="H1118" t="s">
        <v>42</v>
      </c>
      <c r="I1118" t="s">
        <v>43</v>
      </c>
      <c r="J1118" t="s">
        <v>77</v>
      </c>
      <c r="K1118" t="s">
        <v>127</v>
      </c>
      <c r="L1118">
        <v>23125</v>
      </c>
      <c r="M1118" s="1">
        <v>43142</v>
      </c>
      <c r="N1118" t="s">
        <v>45</v>
      </c>
      <c r="O1118" t="s">
        <v>46</v>
      </c>
      <c r="P1118" t="s">
        <v>47</v>
      </c>
      <c r="Q1118" s="1">
        <v>43852</v>
      </c>
      <c r="R1118" t="s">
        <v>48</v>
      </c>
      <c r="S1118" t="s">
        <v>233</v>
      </c>
      <c r="T1118" t="s">
        <v>234</v>
      </c>
      <c r="U1118" t="s">
        <v>42</v>
      </c>
      <c r="V1118">
        <v>0</v>
      </c>
      <c r="W1118">
        <v>100000</v>
      </c>
      <c r="X1118" s="1">
        <v>43982</v>
      </c>
      <c r="Y1118" t="s">
        <v>51</v>
      </c>
      <c r="Z1118" t="s">
        <v>43</v>
      </c>
      <c r="AA1118" t="s">
        <v>77</v>
      </c>
      <c r="AB1118" t="s">
        <v>158</v>
      </c>
      <c r="AC1118" t="s">
        <v>235</v>
      </c>
      <c r="AF1118" t="s">
        <v>56</v>
      </c>
      <c r="AG1118" s="1">
        <v>43833</v>
      </c>
      <c r="AH1118" t="s">
        <v>42</v>
      </c>
      <c r="AI1118" t="s">
        <v>55</v>
      </c>
      <c r="AJ1118">
        <v>12788092</v>
      </c>
      <c r="AK1118">
        <v>250000</v>
      </c>
      <c r="AL1118">
        <v>1500000</v>
      </c>
    </row>
    <row r="1119" spans="1:38" x14ac:dyDescent="0.25">
      <c r="A1119" t="s">
        <v>370</v>
      </c>
      <c r="B1119">
        <v>2302003268</v>
      </c>
      <c r="C1119" t="s">
        <v>71</v>
      </c>
      <c r="D1119" s="1">
        <v>43142</v>
      </c>
      <c r="E1119" s="1">
        <v>43506</v>
      </c>
      <c r="F1119" t="s">
        <v>77</v>
      </c>
      <c r="G1119">
        <v>1</v>
      </c>
      <c r="H1119" t="s">
        <v>42</v>
      </c>
      <c r="I1119" t="s">
        <v>43</v>
      </c>
      <c r="J1119" t="s">
        <v>77</v>
      </c>
      <c r="K1119" t="s">
        <v>127</v>
      </c>
      <c r="L1119">
        <v>23125</v>
      </c>
      <c r="M1119" s="1">
        <v>43142</v>
      </c>
      <c r="N1119" t="s">
        <v>45</v>
      </c>
      <c r="O1119" t="s">
        <v>46</v>
      </c>
      <c r="P1119" t="s">
        <v>47</v>
      </c>
      <c r="Q1119" s="1">
        <v>43852</v>
      </c>
      <c r="R1119" t="s">
        <v>48</v>
      </c>
      <c r="S1119" t="s">
        <v>233</v>
      </c>
      <c r="T1119" t="s">
        <v>234</v>
      </c>
      <c r="U1119" t="s">
        <v>42</v>
      </c>
      <c r="V1119">
        <v>0</v>
      </c>
      <c r="W1119">
        <v>100000</v>
      </c>
      <c r="X1119" s="1">
        <v>43982</v>
      </c>
      <c r="Y1119" t="s">
        <v>51</v>
      </c>
      <c r="Z1119" t="s">
        <v>43</v>
      </c>
      <c r="AA1119" t="s">
        <v>77</v>
      </c>
      <c r="AB1119" t="s">
        <v>158</v>
      </c>
      <c r="AC1119" t="s">
        <v>235</v>
      </c>
      <c r="AF1119" t="s">
        <v>57</v>
      </c>
      <c r="AG1119" s="1">
        <v>43836</v>
      </c>
      <c r="AH1119" t="s">
        <v>42</v>
      </c>
      <c r="AI1119" t="s">
        <v>55</v>
      </c>
      <c r="AJ1119">
        <v>12788092</v>
      </c>
      <c r="AK1119">
        <v>250000</v>
      </c>
      <c r="AL1119">
        <v>1500000</v>
      </c>
    </row>
    <row r="1120" spans="1:38" x14ac:dyDescent="0.25">
      <c r="A1120" t="s">
        <v>370</v>
      </c>
      <c r="B1120">
        <v>2302003268</v>
      </c>
      <c r="C1120" t="s">
        <v>71</v>
      </c>
      <c r="D1120" s="1">
        <v>43142</v>
      </c>
      <c r="E1120" s="1">
        <v>43506</v>
      </c>
      <c r="F1120" t="s">
        <v>77</v>
      </c>
      <c r="G1120">
        <v>1</v>
      </c>
      <c r="H1120" t="s">
        <v>42</v>
      </c>
      <c r="I1120" t="s">
        <v>43</v>
      </c>
      <c r="J1120" t="s">
        <v>77</v>
      </c>
      <c r="K1120" t="s">
        <v>127</v>
      </c>
      <c r="L1120">
        <v>23125</v>
      </c>
      <c r="M1120" s="1">
        <v>43142</v>
      </c>
      <c r="N1120" t="s">
        <v>45</v>
      </c>
      <c r="O1120" t="s">
        <v>46</v>
      </c>
      <c r="P1120" t="s">
        <v>47</v>
      </c>
      <c r="Q1120" s="1">
        <v>43852</v>
      </c>
      <c r="R1120" t="s">
        <v>48</v>
      </c>
      <c r="S1120" t="s">
        <v>233</v>
      </c>
      <c r="T1120" t="s">
        <v>234</v>
      </c>
      <c r="U1120" t="s">
        <v>42</v>
      </c>
      <c r="V1120">
        <v>0</v>
      </c>
      <c r="W1120">
        <v>100000</v>
      </c>
      <c r="X1120" s="1">
        <v>43982</v>
      </c>
      <c r="Y1120" t="s">
        <v>51</v>
      </c>
      <c r="Z1120" t="s">
        <v>43</v>
      </c>
      <c r="AA1120" t="s">
        <v>77</v>
      </c>
      <c r="AB1120" t="s">
        <v>158</v>
      </c>
      <c r="AC1120" t="s">
        <v>235</v>
      </c>
      <c r="AF1120" t="s">
        <v>58</v>
      </c>
      <c r="AG1120" s="1">
        <v>43837</v>
      </c>
      <c r="AH1120" t="s">
        <v>42</v>
      </c>
      <c r="AI1120" t="s">
        <v>55</v>
      </c>
      <c r="AJ1120">
        <v>12788092</v>
      </c>
      <c r="AK1120">
        <v>250000</v>
      </c>
      <c r="AL1120">
        <v>1500000</v>
      </c>
    </row>
    <row r="1121" spans="1:38" x14ac:dyDescent="0.25">
      <c r="A1121" t="s">
        <v>370</v>
      </c>
      <c r="B1121">
        <v>2302003268</v>
      </c>
      <c r="C1121" t="s">
        <v>71</v>
      </c>
      <c r="D1121" s="1">
        <v>43142</v>
      </c>
      <c r="E1121" s="1">
        <v>43506</v>
      </c>
      <c r="F1121" t="s">
        <v>77</v>
      </c>
      <c r="G1121">
        <v>1</v>
      </c>
      <c r="H1121" t="s">
        <v>42</v>
      </c>
      <c r="I1121" t="s">
        <v>43</v>
      </c>
      <c r="J1121" t="s">
        <v>77</v>
      </c>
      <c r="K1121" t="s">
        <v>127</v>
      </c>
      <c r="L1121">
        <v>23125</v>
      </c>
      <c r="M1121" s="1">
        <v>43142</v>
      </c>
      <c r="N1121" t="s">
        <v>45</v>
      </c>
      <c r="O1121" t="s">
        <v>46</v>
      </c>
      <c r="P1121" t="s">
        <v>47</v>
      </c>
      <c r="Q1121" s="1">
        <v>43852</v>
      </c>
      <c r="R1121" t="s">
        <v>48</v>
      </c>
      <c r="S1121" t="s">
        <v>233</v>
      </c>
      <c r="T1121" t="s">
        <v>234</v>
      </c>
      <c r="U1121" t="s">
        <v>42</v>
      </c>
      <c r="V1121">
        <v>0</v>
      </c>
      <c r="W1121">
        <v>100000</v>
      </c>
      <c r="X1121" s="1">
        <v>43982</v>
      </c>
      <c r="Y1121" t="s">
        <v>51</v>
      </c>
      <c r="Z1121" t="s">
        <v>43</v>
      </c>
      <c r="AA1121" t="s">
        <v>77</v>
      </c>
      <c r="AB1121" t="s">
        <v>158</v>
      </c>
      <c r="AC1121" t="s">
        <v>235</v>
      </c>
      <c r="AF1121" t="s">
        <v>59</v>
      </c>
      <c r="AG1121" s="1">
        <v>43838</v>
      </c>
      <c r="AH1121" t="s">
        <v>42</v>
      </c>
      <c r="AI1121" t="s">
        <v>55</v>
      </c>
      <c r="AJ1121">
        <v>12788092</v>
      </c>
      <c r="AK1121">
        <v>250000</v>
      </c>
      <c r="AL1121">
        <v>1500000</v>
      </c>
    </row>
    <row r="1122" spans="1:38" x14ac:dyDescent="0.25">
      <c r="A1122" t="s">
        <v>370</v>
      </c>
      <c r="B1122" t="s">
        <v>379</v>
      </c>
      <c r="C1122" t="s">
        <v>40</v>
      </c>
      <c r="D1122" s="1">
        <v>43507</v>
      </c>
      <c r="E1122" s="1">
        <v>43871</v>
      </c>
      <c r="F1122" t="s">
        <v>77</v>
      </c>
      <c r="G1122">
        <v>1</v>
      </c>
      <c r="H1122" t="s">
        <v>42</v>
      </c>
      <c r="I1122" t="s">
        <v>43</v>
      </c>
      <c r="J1122" t="s">
        <v>77</v>
      </c>
      <c r="K1122" t="s">
        <v>127</v>
      </c>
      <c r="L1122">
        <v>21875</v>
      </c>
      <c r="M1122" s="1">
        <v>43507</v>
      </c>
      <c r="N1122" t="s">
        <v>45</v>
      </c>
      <c r="O1122" t="s">
        <v>44</v>
      </c>
      <c r="P1122" t="s">
        <v>47</v>
      </c>
      <c r="Q1122" s="1">
        <v>43852</v>
      </c>
      <c r="R1122" t="s">
        <v>48</v>
      </c>
      <c r="S1122" t="s">
        <v>233</v>
      </c>
      <c r="T1122" t="s">
        <v>234</v>
      </c>
      <c r="U1122" t="s">
        <v>42</v>
      </c>
      <c r="V1122">
        <v>0</v>
      </c>
      <c r="W1122">
        <v>100000</v>
      </c>
      <c r="X1122" s="1">
        <v>43982</v>
      </c>
      <c r="Y1122" t="s">
        <v>51</v>
      </c>
      <c r="Z1122" t="s">
        <v>43</v>
      </c>
      <c r="AA1122" t="s">
        <v>77</v>
      </c>
      <c r="AB1122" t="s">
        <v>158</v>
      </c>
      <c r="AC1122" t="s">
        <v>235</v>
      </c>
      <c r="AF1122" t="s">
        <v>54</v>
      </c>
      <c r="AG1122" s="1">
        <v>43832</v>
      </c>
      <c r="AH1122" t="s">
        <v>42</v>
      </c>
      <c r="AI1122" t="s">
        <v>55</v>
      </c>
      <c r="AJ1122">
        <v>12788092</v>
      </c>
      <c r="AK1122">
        <v>250000</v>
      </c>
      <c r="AL1122">
        <v>1500000</v>
      </c>
    </row>
    <row r="1123" spans="1:38" x14ac:dyDescent="0.25">
      <c r="A1123" t="s">
        <v>370</v>
      </c>
      <c r="B1123" t="s">
        <v>379</v>
      </c>
      <c r="C1123" t="s">
        <v>40</v>
      </c>
      <c r="D1123" s="1">
        <v>43507</v>
      </c>
      <c r="E1123" s="1">
        <v>43871</v>
      </c>
      <c r="F1123" t="s">
        <v>77</v>
      </c>
      <c r="G1123">
        <v>1</v>
      </c>
      <c r="H1123" t="s">
        <v>42</v>
      </c>
      <c r="I1123" t="s">
        <v>43</v>
      </c>
      <c r="J1123" t="s">
        <v>77</v>
      </c>
      <c r="K1123" t="s">
        <v>127</v>
      </c>
      <c r="L1123">
        <v>21875</v>
      </c>
      <c r="M1123" s="1">
        <v>43507</v>
      </c>
      <c r="N1123" t="s">
        <v>45</v>
      </c>
      <c r="O1123" t="s">
        <v>44</v>
      </c>
      <c r="P1123" t="s">
        <v>47</v>
      </c>
      <c r="Q1123" s="1">
        <v>43852</v>
      </c>
      <c r="R1123" t="s">
        <v>48</v>
      </c>
      <c r="S1123" t="s">
        <v>233</v>
      </c>
      <c r="T1123" t="s">
        <v>234</v>
      </c>
      <c r="U1123" t="s">
        <v>42</v>
      </c>
      <c r="V1123">
        <v>0</v>
      </c>
      <c r="W1123">
        <v>100000</v>
      </c>
      <c r="X1123" s="1">
        <v>43982</v>
      </c>
      <c r="Y1123" t="s">
        <v>51</v>
      </c>
      <c r="Z1123" t="s">
        <v>43</v>
      </c>
      <c r="AA1123" t="s">
        <v>77</v>
      </c>
      <c r="AB1123" t="s">
        <v>158</v>
      </c>
      <c r="AC1123" t="s">
        <v>235</v>
      </c>
      <c r="AF1123" t="s">
        <v>56</v>
      </c>
      <c r="AG1123" s="1">
        <v>43833</v>
      </c>
      <c r="AH1123" t="s">
        <v>42</v>
      </c>
      <c r="AI1123" t="s">
        <v>55</v>
      </c>
      <c r="AJ1123">
        <v>12788092</v>
      </c>
      <c r="AK1123">
        <v>250000</v>
      </c>
      <c r="AL1123">
        <v>1500000</v>
      </c>
    </row>
    <row r="1124" spans="1:38" x14ac:dyDescent="0.25">
      <c r="A1124" t="s">
        <v>370</v>
      </c>
      <c r="B1124" t="s">
        <v>379</v>
      </c>
      <c r="C1124" t="s">
        <v>40</v>
      </c>
      <c r="D1124" s="1">
        <v>43507</v>
      </c>
      <c r="E1124" s="1">
        <v>43871</v>
      </c>
      <c r="F1124" t="s">
        <v>77</v>
      </c>
      <c r="G1124">
        <v>1</v>
      </c>
      <c r="H1124" t="s">
        <v>42</v>
      </c>
      <c r="I1124" t="s">
        <v>43</v>
      </c>
      <c r="J1124" t="s">
        <v>77</v>
      </c>
      <c r="K1124" t="s">
        <v>127</v>
      </c>
      <c r="L1124">
        <v>21875</v>
      </c>
      <c r="M1124" s="1">
        <v>43507</v>
      </c>
      <c r="N1124" t="s">
        <v>45</v>
      </c>
      <c r="O1124" t="s">
        <v>44</v>
      </c>
      <c r="P1124" t="s">
        <v>47</v>
      </c>
      <c r="Q1124" s="1">
        <v>43852</v>
      </c>
      <c r="R1124" t="s">
        <v>48</v>
      </c>
      <c r="S1124" t="s">
        <v>233</v>
      </c>
      <c r="T1124" t="s">
        <v>234</v>
      </c>
      <c r="U1124" t="s">
        <v>42</v>
      </c>
      <c r="V1124">
        <v>0</v>
      </c>
      <c r="W1124">
        <v>100000</v>
      </c>
      <c r="X1124" s="1">
        <v>43982</v>
      </c>
      <c r="Y1124" t="s">
        <v>51</v>
      </c>
      <c r="Z1124" t="s">
        <v>43</v>
      </c>
      <c r="AA1124" t="s">
        <v>77</v>
      </c>
      <c r="AB1124" t="s">
        <v>158</v>
      </c>
      <c r="AC1124" t="s">
        <v>235</v>
      </c>
      <c r="AF1124" t="s">
        <v>57</v>
      </c>
      <c r="AG1124" s="1">
        <v>43836</v>
      </c>
      <c r="AH1124" t="s">
        <v>42</v>
      </c>
      <c r="AI1124" t="s">
        <v>55</v>
      </c>
      <c r="AJ1124">
        <v>12788092</v>
      </c>
      <c r="AK1124">
        <v>250000</v>
      </c>
      <c r="AL1124">
        <v>1500000</v>
      </c>
    </row>
    <row r="1125" spans="1:38" x14ac:dyDescent="0.25">
      <c r="A1125" t="s">
        <v>370</v>
      </c>
      <c r="B1125" t="s">
        <v>379</v>
      </c>
      <c r="C1125" t="s">
        <v>40</v>
      </c>
      <c r="D1125" s="1">
        <v>43507</v>
      </c>
      <c r="E1125" s="1">
        <v>43871</v>
      </c>
      <c r="F1125" t="s">
        <v>77</v>
      </c>
      <c r="G1125">
        <v>1</v>
      </c>
      <c r="H1125" t="s">
        <v>42</v>
      </c>
      <c r="I1125" t="s">
        <v>43</v>
      </c>
      <c r="J1125" t="s">
        <v>77</v>
      </c>
      <c r="K1125" t="s">
        <v>127</v>
      </c>
      <c r="L1125">
        <v>21875</v>
      </c>
      <c r="M1125" s="1">
        <v>43507</v>
      </c>
      <c r="N1125" t="s">
        <v>45</v>
      </c>
      <c r="O1125" t="s">
        <v>44</v>
      </c>
      <c r="P1125" t="s">
        <v>47</v>
      </c>
      <c r="Q1125" s="1">
        <v>43852</v>
      </c>
      <c r="R1125" t="s">
        <v>48</v>
      </c>
      <c r="S1125" t="s">
        <v>233</v>
      </c>
      <c r="T1125" t="s">
        <v>234</v>
      </c>
      <c r="U1125" t="s">
        <v>42</v>
      </c>
      <c r="V1125">
        <v>0</v>
      </c>
      <c r="W1125">
        <v>100000</v>
      </c>
      <c r="X1125" s="1">
        <v>43982</v>
      </c>
      <c r="Y1125" t="s">
        <v>51</v>
      </c>
      <c r="Z1125" t="s">
        <v>43</v>
      </c>
      <c r="AA1125" t="s">
        <v>77</v>
      </c>
      <c r="AB1125" t="s">
        <v>158</v>
      </c>
      <c r="AC1125" t="s">
        <v>235</v>
      </c>
      <c r="AF1125" t="s">
        <v>58</v>
      </c>
      <c r="AG1125" s="1">
        <v>43837</v>
      </c>
      <c r="AH1125" t="s">
        <v>42</v>
      </c>
      <c r="AI1125" t="s">
        <v>55</v>
      </c>
      <c r="AJ1125">
        <v>12788092</v>
      </c>
      <c r="AK1125">
        <v>250000</v>
      </c>
      <c r="AL1125">
        <v>1500000</v>
      </c>
    </row>
    <row r="1126" spans="1:38" x14ac:dyDescent="0.25">
      <c r="A1126" t="s">
        <v>370</v>
      </c>
      <c r="B1126" t="s">
        <v>379</v>
      </c>
      <c r="C1126" t="s">
        <v>40</v>
      </c>
      <c r="D1126" s="1">
        <v>43507</v>
      </c>
      <c r="E1126" s="1">
        <v>43871</v>
      </c>
      <c r="F1126" t="s">
        <v>77</v>
      </c>
      <c r="G1126">
        <v>1</v>
      </c>
      <c r="H1126" t="s">
        <v>42</v>
      </c>
      <c r="I1126" t="s">
        <v>43</v>
      </c>
      <c r="J1126" t="s">
        <v>77</v>
      </c>
      <c r="K1126" t="s">
        <v>127</v>
      </c>
      <c r="L1126">
        <v>21875</v>
      </c>
      <c r="M1126" s="1">
        <v>43507</v>
      </c>
      <c r="N1126" t="s">
        <v>45</v>
      </c>
      <c r="O1126" t="s">
        <v>44</v>
      </c>
      <c r="P1126" t="s">
        <v>47</v>
      </c>
      <c r="Q1126" s="1">
        <v>43852</v>
      </c>
      <c r="R1126" t="s">
        <v>48</v>
      </c>
      <c r="S1126" t="s">
        <v>233</v>
      </c>
      <c r="T1126" t="s">
        <v>234</v>
      </c>
      <c r="U1126" t="s">
        <v>42</v>
      </c>
      <c r="V1126">
        <v>0</v>
      </c>
      <c r="W1126">
        <v>100000</v>
      </c>
      <c r="X1126" s="1">
        <v>43982</v>
      </c>
      <c r="Y1126" t="s">
        <v>51</v>
      </c>
      <c r="Z1126" t="s">
        <v>43</v>
      </c>
      <c r="AA1126" t="s">
        <v>77</v>
      </c>
      <c r="AB1126" t="s">
        <v>158</v>
      </c>
      <c r="AC1126" t="s">
        <v>235</v>
      </c>
      <c r="AF1126" t="s">
        <v>59</v>
      </c>
      <c r="AG1126" s="1">
        <v>43838</v>
      </c>
      <c r="AH1126" t="s">
        <v>42</v>
      </c>
      <c r="AI1126" t="s">
        <v>55</v>
      </c>
      <c r="AJ1126">
        <v>12788092</v>
      </c>
      <c r="AK1126">
        <v>250000</v>
      </c>
      <c r="AL1126">
        <v>1500000</v>
      </c>
    </row>
    <row r="1127" spans="1:38" x14ac:dyDescent="0.25">
      <c r="A1127" t="s">
        <v>370</v>
      </c>
      <c r="B1127">
        <v>2309003346</v>
      </c>
      <c r="C1127" t="s">
        <v>40</v>
      </c>
      <c r="D1127" s="1">
        <v>43332</v>
      </c>
      <c r="E1127" s="1">
        <v>45523</v>
      </c>
      <c r="F1127" t="s">
        <v>77</v>
      </c>
      <c r="G1127">
        <v>1</v>
      </c>
      <c r="H1127" t="s">
        <v>42</v>
      </c>
      <c r="I1127" t="s">
        <v>43</v>
      </c>
      <c r="J1127" t="s">
        <v>77</v>
      </c>
      <c r="K1127" t="s">
        <v>127</v>
      </c>
      <c r="L1127">
        <v>47500</v>
      </c>
      <c r="M1127" s="1">
        <v>43332</v>
      </c>
      <c r="N1127" t="s">
        <v>45</v>
      </c>
      <c r="O1127" t="s">
        <v>46</v>
      </c>
      <c r="P1127" t="s">
        <v>47</v>
      </c>
      <c r="Q1127" s="1">
        <v>43852</v>
      </c>
      <c r="R1127" t="s">
        <v>48</v>
      </c>
      <c r="S1127" t="s">
        <v>233</v>
      </c>
      <c r="T1127" t="s">
        <v>234</v>
      </c>
      <c r="U1127" t="s">
        <v>42</v>
      </c>
      <c r="V1127">
        <v>0</v>
      </c>
      <c r="W1127">
        <v>100000</v>
      </c>
      <c r="X1127" s="1">
        <v>43982</v>
      </c>
      <c r="Y1127" t="s">
        <v>51</v>
      </c>
      <c r="Z1127" t="s">
        <v>43</v>
      </c>
      <c r="AA1127" t="s">
        <v>77</v>
      </c>
      <c r="AB1127" t="s">
        <v>158</v>
      </c>
      <c r="AC1127" t="s">
        <v>235</v>
      </c>
      <c r="AF1127" t="s">
        <v>54</v>
      </c>
      <c r="AG1127" s="1">
        <v>43832</v>
      </c>
      <c r="AH1127" t="s">
        <v>42</v>
      </c>
      <c r="AI1127" t="s">
        <v>55</v>
      </c>
      <c r="AJ1127">
        <v>12788092</v>
      </c>
      <c r="AK1127">
        <v>250000</v>
      </c>
      <c r="AL1127">
        <v>1500000</v>
      </c>
    </row>
    <row r="1128" spans="1:38" x14ac:dyDescent="0.25">
      <c r="A1128" t="s">
        <v>370</v>
      </c>
      <c r="B1128">
        <v>2309003346</v>
      </c>
      <c r="C1128" t="s">
        <v>40</v>
      </c>
      <c r="D1128" s="1">
        <v>43332</v>
      </c>
      <c r="E1128" s="1">
        <v>45523</v>
      </c>
      <c r="F1128" t="s">
        <v>77</v>
      </c>
      <c r="G1128">
        <v>1</v>
      </c>
      <c r="H1128" t="s">
        <v>42</v>
      </c>
      <c r="I1128" t="s">
        <v>43</v>
      </c>
      <c r="J1128" t="s">
        <v>77</v>
      </c>
      <c r="K1128" t="s">
        <v>127</v>
      </c>
      <c r="L1128">
        <v>47500</v>
      </c>
      <c r="M1128" s="1">
        <v>43332</v>
      </c>
      <c r="N1128" t="s">
        <v>45</v>
      </c>
      <c r="O1128" t="s">
        <v>46</v>
      </c>
      <c r="P1128" t="s">
        <v>47</v>
      </c>
      <c r="Q1128" s="1">
        <v>43852</v>
      </c>
      <c r="R1128" t="s">
        <v>48</v>
      </c>
      <c r="S1128" t="s">
        <v>233</v>
      </c>
      <c r="T1128" t="s">
        <v>234</v>
      </c>
      <c r="U1128" t="s">
        <v>42</v>
      </c>
      <c r="V1128">
        <v>0</v>
      </c>
      <c r="W1128">
        <v>100000</v>
      </c>
      <c r="X1128" s="1">
        <v>43982</v>
      </c>
      <c r="Y1128" t="s">
        <v>51</v>
      </c>
      <c r="Z1128" t="s">
        <v>43</v>
      </c>
      <c r="AA1128" t="s">
        <v>77</v>
      </c>
      <c r="AB1128" t="s">
        <v>158</v>
      </c>
      <c r="AC1128" t="s">
        <v>235</v>
      </c>
      <c r="AF1128" t="s">
        <v>56</v>
      </c>
      <c r="AG1128" s="1">
        <v>43833</v>
      </c>
      <c r="AH1128" t="s">
        <v>42</v>
      </c>
      <c r="AI1128" t="s">
        <v>55</v>
      </c>
      <c r="AJ1128">
        <v>12788092</v>
      </c>
      <c r="AK1128">
        <v>250000</v>
      </c>
      <c r="AL1128">
        <v>1500000</v>
      </c>
    </row>
    <row r="1129" spans="1:38" x14ac:dyDescent="0.25">
      <c r="A1129" t="s">
        <v>370</v>
      </c>
      <c r="B1129">
        <v>2309003346</v>
      </c>
      <c r="C1129" t="s">
        <v>40</v>
      </c>
      <c r="D1129" s="1">
        <v>43332</v>
      </c>
      <c r="E1129" s="1">
        <v>45523</v>
      </c>
      <c r="F1129" t="s">
        <v>77</v>
      </c>
      <c r="G1129">
        <v>1</v>
      </c>
      <c r="H1129" t="s">
        <v>42</v>
      </c>
      <c r="I1129" t="s">
        <v>43</v>
      </c>
      <c r="J1129" t="s">
        <v>77</v>
      </c>
      <c r="K1129" t="s">
        <v>127</v>
      </c>
      <c r="L1129">
        <v>47500</v>
      </c>
      <c r="M1129" s="1">
        <v>43332</v>
      </c>
      <c r="N1129" t="s">
        <v>45</v>
      </c>
      <c r="O1129" t="s">
        <v>46</v>
      </c>
      <c r="P1129" t="s">
        <v>47</v>
      </c>
      <c r="Q1129" s="1">
        <v>43852</v>
      </c>
      <c r="R1129" t="s">
        <v>48</v>
      </c>
      <c r="S1129" t="s">
        <v>233</v>
      </c>
      <c r="T1129" t="s">
        <v>234</v>
      </c>
      <c r="U1129" t="s">
        <v>42</v>
      </c>
      <c r="V1129">
        <v>0</v>
      </c>
      <c r="W1129">
        <v>100000</v>
      </c>
      <c r="X1129" s="1">
        <v>43982</v>
      </c>
      <c r="Y1129" t="s">
        <v>51</v>
      </c>
      <c r="Z1129" t="s">
        <v>43</v>
      </c>
      <c r="AA1129" t="s">
        <v>77</v>
      </c>
      <c r="AB1129" t="s">
        <v>158</v>
      </c>
      <c r="AC1129" t="s">
        <v>235</v>
      </c>
      <c r="AF1129" t="s">
        <v>57</v>
      </c>
      <c r="AG1129" s="1">
        <v>43836</v>
      </c>
      <c r="AH1129" t="s">
        <v>42</v>
      </c>
      <c r="AI1129" t="s">
        <v>55</v>
      </c>
      <c r="AJ1129">
        <v>12788092</v>
      </c>
      <c r="AK1129">
        <v>250000</v>
      </c>
      <c r="AL1129">
        <v>1500000</v>
      </c>
    </row>
    <row r="1130" spans="1:38" x14ac:dyDescent="0.25">
      <c r="A1130" t="s">
        <v>370</v>
      </c>
      <c r="B1130">
        <v>2309003346</v>
      </c>
      <c r="C1130" t="s">
        <v>40</v>
      </c>
      <c r="D1130" s="1">
        <v>43332</v>
      </c>
      <c r="E1130" s="1">
        <v>45523</v>
      </c>
      <c r="F1130" t="s">
        <v>77</v>
      </c>
      <c r="G1130">
        <v>1</v>
      </c>
      <c r="H1130" t="s">
        <v>42</v>
      </c>
      <c r="I1130" t="s">
        <v>43</v>
      </c>
      <c r="J1130" t="s">
        <v>77</v>
      </c>
      <c r="K1130" t="s">
        <v>127</v>
      </c>
      <c r="L1130">
        <v>47500</v>
      </c>
      <c r="M1130" s="1">
        <v>43332</v>
      </c>
      <c r="N1130" t="s">
        <v>45</v>
      </c>
      <c r="O1130" t="s">
        <v>46</v>
      </c>
      <c r="P1130" t="s">
        <v>47</v>
      </c>
      <c r="Q1130" s="1">
        <v>43852</v>
      </c>
      <c r="R1130" t="s">
        <v>48</v>
      </c>
      <c r="S1130" t="s">
        <v>233</v>
      </c>
      <c r="T1130" t="s">
        <v>234</v>
      </c>
      <c r="U1130" t="s">
        <v>42</v>
      </c>
      <c r="V1130">
        <v>0</v>
      </c>
      <c r="W1130">
        <v>100000</v>
      </c>
      <c r="X1130" s="1">
        <v>43982</v>
      </c>
      <c r="Y1130" t="s">
        <v>51</v>
      </c>
      <c r="Z1130" t="s">
        <v>43</v>
      </c>
      <c r="AA1130" t="s">
        <v>77</v>
      </c>
      <c r="AB1130" t="s">
        <v>158</v>
      </c>
      <c r="AC1130" t="s">
        <v>235</v>
      </c>
      <c r="AF1130" t="s">
        <v>58</v>
      </c>
      <c r="AG1130" s="1">
        <v>43837</v>
      </c>
      <c r="AH1130" t="s">
        <v>42</v>
      </c>
      <c r="AI1130" t="s">
        <v>55</v>
      </c>
      <c r="AJ1130">
        <v>12788092</v>
      </c>
      <c r="AK1130">
        <v>250000</v>
      </c>
      <c r="AL1130">
        <v>1500000</v>
      </c>
    </row>
    <row r="1131" spans="1:38" x14ac:dyDescent="0.25">
      <c r="A1131" t="s">
        <v>370</v>
      </c>
      <c r="B1131">
        <v>2309003346</v>
      </c>
      <c r="C1131" t="s">
        <v>40</v>
      </c>
      <c r="D1131" s="1">
        <v>43332</v>
      </c>
      <c r="E1131" s="1">
        <v>45523</v>
      </c>
      <c r="F1131" t="s">
        <v>77</v>
      </c>
      <c r="G1131">
        <v>1</v>
      </c>
      <c r="H1131" t="s">
        <v>42</v>
      </c>
      <c r="I1131" t="s">
        <v>43</v>
      </c>
      <c r="J1131" t="s">
        <v>77</v>
      </c>
      <c r="K1131" t="s">
        <v>127</v>
      </c>
      <c r="L1131">
        <v>47500</v>
      </c>
      <c r="M1131" s="1">
        <v>43332</v>
      </c>
      <c r="N1131" t="s">
        <v>45</v>
      </c>
      <c r="O1131" t="s">
        <v>46</v>
      </c>
      <c r="P1131" t="s">
        <v>47</v>
      </c>
      <c r="Q1131" s="1">
        <v>43852</v>
      </c>
      <c r="R1131" t="s">
        <v>48</v>
      </c>
      <c r="S1131" t="s">
        <v>233</v>
      </c>
      <c r="T1131" t="s">
        <v>234</v>
      </c>
      <c r="U1131" t="s">
        <v>42</v>
      </c>
      <c r="V1131">
        <v>0</v>
      </c>
      <c r="W1131">
        <v>100000</v>
      </c>
      <c r="X1131" s="1">
        <v>43982</v>
      </c>
      <c r="Y1131" t="s">
        <v>51</v>
      </c>
      <c r="Z1131" t="s">
        <v>43</v>
      </c>
      <c r="AA1131" t="s">
        <v>77</v>
      </c>
      <c r="AB1131" t="s">
        <v>158</v>
      </c>
      <c r="AC1131" t="s">
        <v>235</v>
      </c>
      <c r="AF1131" t="s">
        <v>59</v>
      </c>
      <c r="AG1131" s="1">
        <v>43838</v>
      </c>
      <c r="AH1131" t="s">
        <v>42</v>
      </c>
      <c r="AI1131" t="s">
        <v>55</v>
      </c>
      <c r="AJ1131">
        <v>12788092</v>
      </c>
      <c r="AK1131">
        <v>250000</v>
      </c>
      <c r="AL1131">
        <v>1500000</v>
      </c>
    </row>
    <row r="1132" spans="1:38" x14ac:dyDescent="0.25">
      <c r="A1132" t="s">
        <v>370</v>
      </c>
      <c r="B1132">
        <v>2690000349</v>
      </c>
      <c r="C1132" t="s">
        <v>40</v>
      </c>
      <c r="D1132" s="1">
        <v>43100</v>
      </c>
      <c r="E1132" s="1">
        <v>43464</v>
      </c>
      <c r="F1132" t="s">
        <v>76</v>
      </c>
      <c r="G1132">
        <v>1</v>
      </c>
      <c r="H1132" t="s">
        <v>42</v>
      </c>
      <c r="I1132" t="s">
        <v>43</v>
      </c>
      <c r="J1132" t="s">
        <v>115</v>
      </c>
      <c r="K1132" t="s">
        <v>44</v>
      </c>
      <c r="L1132">
        <v>7632.55</v>
      </c>
      <c r="M1132" s="1">
        <v>43100</v>
      </c>
      <c r="N1132" t="s">
        <v>45</v>
      </c>
      <c r="O1132" t="s">
        <v>46</v>
      </c>
      <c r="P1132" t="s">
        <v>47</v>
      </c>
      <c r="Q1132" s="1">
        <v>43852</v>
      </c>
      <c r="R1132" t="s">
        <v>48</v>
      </c>
      <c r="S1132" t="s">
        <v>78</v>
      </c>
      <c r="T1132" t="s">
        <v>79</v>
      </c>
      <c r="U1132" t="s">
        <v>42</v>
      </c>
      <c r="V1132">
        <v>1200000</v>
      </c>
      <c r="W1132">
        <v>100000</v>
      </c>
      <c r="X1132" s="1">
        <v>43921</v>
      </c>
      <c r="Y1132" t="s">
        <v>51</v>
      </c>
      <c r="Z1132" t="s">
        <v>43</v>
      </c>
      <c r="AA1132" t="s">
        <v>80</v>
      </c>
      <c r="AB1132" t="s">
        <v>76</v>
      </c>
      <c r="AC1132" t="s">
        <v>81</v>
      </c>
      <c r="AF1132" t="s">
        <v>54</v>
      </c>
      <c r="AG1132" s="1">
        <v>43832</v>
      </c>
      <c r="AH1132" t="s">
        <v>42</v>
      </c>
      <c r="AI1132" t="s">
        <v>55</v>
      </c>
      <c r="AJ1132">
        <v>12788092</v>
      </c>
      <c r="AK1132">
        <v>250000</v>
      </c>
      <c r="AL1132">
        <v>1500000</v>
      </c>
    </row>
    <row r="1133" spans="1:38" x14ac:dyDescent="0.25">
      <c r="A1133" t="s">
        <v>370</v>
      </c>
      <c r="B1133">
        <v>2690000349</v>
      </c>
      <c r="C1133" t="s">
        <v>40</v>
      </c>
      <c r="D1133" s="1">
        <v>43100</v>
      </c>
      <c r="E1133" s="1">
        <v>43464</v>
      </c>
      <c r="F1133" t="s">
        <v>76</v>
      </c>
      <c r="G1133">
        <v>1</v>
      </c>
      <c r="H1133" t="s">
        <v>42</v>
      </c>
      <c r="I1133" t="s">
        <v>43</v>
      </c>
      <c r="J1133" t="s">
        <v>115</v>
      </c>
      <c r="K1133" t="s">
        <v>44</v>
      </c>
      <c r="L1133">
        <v>7632.55</v>
      </c>
      <c r="M1133" s="1">
        <v>43100</v>
      </c>
      <c r="N1133" t="s">
        <v>45</v>
      </c>
      <c r="O1133" t="s">
        <v>46</v>
      </c>
      <c r="P1133" t="s">
        <v>47</v>
      </c>
      <c r="Q1133" s="1">
        <v>43852</v>
      </c>
      <c r="R1133" t="s">
        <v>48</v>
      </c>
      <c r="S1133" t="s">
        <v>78</v>
      </c>
      <c r="T1133" t="s">
        <v>79</v>
      </c>
      <c r="U1133" t="s">
        <v>42</v>
      </c>
      <c r="V1133">
        <v>1200000</v>
      </c>
      <c r="W1133">
        <v>100000</v>
      </c>
      <c r="X1133" s="1">
        <v>43921</v>
      </c>
      <c r="Y1133" t="s">
        <v>51</v>
      </c>
      <c r="Z1133" t="s">
        <v>43</v>
      </c>
      <c r="AA1133" t="s">
        <v>80</v>
      </c>
      <c r="AB1133" t="s">
        <v>76</v>
      </c>
      <c r="AC1133" t="s">
        <v>81</v>
      </c>
      <c r="AF1133" t="s">
        <v>56</v>
      </c>
      <c r="AG1133" s="1">
        <v>43833</v>
      </c>
      <c r="AH1133" t="s">
        <v>42</v>
      </c>
      <c r="AI1133" t="s">
        <v>55</v>
      </c>
      <c r="AJ1133">
        <v>12788092</v>
      </c>
      <c r="AK1133">
        <v>250000</v>
      </c>
      <c r="AL1133">
        <v>1500000</v>
      </c>
    </row>
    <row r="1134" spans="1:38" x14ac:dyDescent="0.25">
      <c r="A1134" t="s">
        <v>370</v>
      </c>
      <c r="B1134">
        <v>2690000349</v>
      </c>
      <c r="C1134" t="s">
        <v>40</v>
      </c>
      <c r="D1134" s="1">
        <v>43100</v>
      </c>
      <c r="E1134" s="1">
        <v>43464</v>
      </c>
      <c r="F1134" t="s">
        <v>76</v>
      </c>
      <c r="G1134">
        <v>1</v>
      </c>
      <c r="H1134" t="s">
        <v>42</v>
      </c>
      <c r="I1134" t="s">
        <v>43</v>
      </c>
      <c r="J1134" t="s">
        <v>115</v>
      </c>
      <c r="K1134" t="s">
        <v>44</v>
      </c>
      <c r="L1134">
        <v>7632.55</v>
      </c>
      <c r="M1134" s="1">
        <v>43100</v>
      </c>
      <c r="N1134" t="s">
        <v>45</v>
      </c>
      <c r="O1134" t="s">
        <v>46</v>
      </c>
      <c r="P1134" t="s">
        <v>47</v>
      </c>
      <c r="Q1134" s="1">
        <v>43852</v>
      </c>
      <c r="R1134" t="s">
        <v>48</v>
      </c>
      <c r="S1134" t="s">
        <v>78</v>
      </c>
      <c r="T1134" t="s">
        <v>79</v>
      </c>
      <c r="U1134" t="s">
        <v>42</v>
      </c>
      <c r="V1134">
        <v>1200000</v>
      </c>
      <c r="W1134">
        <v>100000</v>
      </c>
      <c r="X1134" s="1">
        <v>43921</v>
      </c>
      <c r="Y1134" t="s">
        <v>51</v>
      </c>
      <c r="Z1134" t="s">
        <v>43</v>
      </c>
      <c r="AA1134" t="s">
        <v>80</v>
      </c>
      <c r="AB1134" t="s">
        <v>76</v>
      </c>
      <c r="AC1134" t="s">
        <v>81</v>
      </c>
      <c r="AF1134" t="s">
        <v>57</v>
      </c>
      <c r="AG1134" s="1">
        <v>43836</v>
      </c>
      <c r="AH1134" t="s">
        <v>42</v>
      </c>
      <c r="AI1134" t="s">
        <v>55</v>
      </c>
      <c r="AJ1134">
        <v>12788092</v>
      </c>
      <c r="AK1134">
        <v>250000</v>
      </c>
      <c r="AL1134">
        <v>1500000</v>
      </c>
    </row>
    <row r="1135" spans="1:38" x14ac:dyDescent="0.25">
      <c r="A1135" t="s">
        <v>370</v>
      </c>
      <c r="B1135">
        <v>2690000349</v>
      </c>
      <c r="C1135" t="s">
        <v>40</v>
      </c>
      <c r="D1135" s="1">
        <v>43100</v>
      </c>
      <c r="E1135" s="1">
        <v>43464</v>
      </c>
      <c r="F1135" t="s">
        <v>76</v>
      </c>
      <c r="G1135">
        <v>1</v>
      </c>
      <c r="H1135" t="s">
        <v>42</v>
      </c>
      <c r="I1135" t="s">
        <v>43</v>
      </c>
      <c r="J1135" t="s">
        <v>115</v>
      </c>
      <c r="K1135" t="s">
        <v>44</v>
      </c>
      <c r="L1135">
        <v>7632.55</v>
      </c>
      <c r="M1135" s="1">
        <v>43100</v>
      </c>
      <c r="N1135" t="s">
        <v>45</v>
      </c>
      <c r="O1135" t="s">
        <v>46</v>
      </c>
      <c r="P1135" t="s">
        <v>47</v>
      </c>
      <c r="Q1135" s="1">
        <v>43852</v>
      </c>
      <c r="R1135" t="s">
        <v>48</v>
      </c>
      <c r="S1135" t="s">
        <v>78</v>
      </c>
      <c r="T1135" t="s">
        <v>79</v>
      </c>
      <c r="U1135" t="s">
        <v>42</v>
      </c>
      <c r="V1135">
        <v>1200000</v>
      </c>
      <c r="W1135">
        <v>100000</v>
      </c>
      <c r="X1135" s="1">
        <v>43921</v>
      </c>
      <c r="Y1135" t="s">
        <v>51</v>
      </c>
      <c r="Z1135" t="s">
        <v>43</v>
      </c>
      <c r="AA1135" t="s">
        <v>80</v>
      </c>
      <c r="AB1135" t="s">
        <v>76</v>
      </c>
      <c r="AC1135" t="s">
        <v>81</v>
      </c>
      <c r="AF1135" t="s">
        <v>58</v>
      </c>
      <c r="AG1135" s="1">
        <v>43837</v>
      </c>
      <c r="AH1135" t="s">
        <v>42</v>
      </c>
      <c r="AI1135" t="s">
        <v>55</v>
      </c>
      <c r="AJ1135">
        <v>12788092</v>
      </c>
      <c r="AK1135">
        <v>250000</v>
      </c>
      <c r="AL1135">
        <v>1500000</v>
      </c>
    </row>
    <row r="1136" spans="1:38" x14ac:dyDescent="0.25">
      <c r="A1136" t="s">
        <v>370</v>
      </c>
      <c r="B1136">
        <v>2690000349</v>
      </c>
      <c r="C1136" t="s">
        <v>40</v>
      </c>
      <c r="D1136" s="1">
        <v>43100</v>
      </c>
      <c r="E1136" s="1">
        <v>43464</v>
      </c>
      <c r="F1136" t="s">
        <v>76</v>
      </c>
      <c r="G1136">
        <v>1</v>
      </c>
      <c r="H1136" t="s">
        <v>42</v>
      </c>
      <c r="I1136" t="s">
        <v>43</v>
      </c>
      <c r="J1136" t="s">
        <v>115</v>
      </c>
      <c r="K1136" t="s">
        <v>44</v>
      </c>
      <c r="L1136">
        <v>7632.55</v>
      </c>
      <c r="M1136" s="1">
        <v>43100</v>
      </c>
      <c r="N1136" t="s">
        <v>45</v>
      </c>
      <c r="O1136" t="s">
        <v>46</v>
      </c>
      <c r="P1136" t="s">
        <v>47</v>
      </c>
      <c r="Q1136" s="1">
        <v>43852</v>
      </c>
      <c r="R1136" t="s">
        <v>48</v>
      </c>
      <c r="S1136" t="s">
        <v>78</v>
      </c>
      <c r="T1136" t="s">
        <v>79</v>
      </c>
      <c r="U1136" t="s">
        <v>42</v>
      </c>
      <c r="V1136">
        <v>1200000</v>
      </c>
      <c r="W1136">
        <v>100000</v>
      </c>
      <c r="X1136" s="1">
        <v>43921</v>
      </c>
      <c r="Y1136" t="s">
        <v>51</v>
      </c>
      <c r="Z1136" t="s">
        <v>43</v>
      </c>
      <c r="AA1136" t="s">
        <v>80</v>
      </c>
      <c r="AB1136" t="s">
        <v>76</v>
      </c>
      <c r="AC1136" t="s">
        <v>81</v>
      </c>
      <c r="AF1136" t="s">
        <v>59</v>
      </c>
      <c r="AG1136" s="1">
        <v>43838</v>
      </c>
      <c r="AH1136" t="s">
        <v>42</v>
      </c>
      <c r="AI1136" t="s">
        <v>55</v>
      </c>
      <c r="AJ1136">
        <v>12788092</v>
      </c>
      <c r="AK1136">
        <v>250000</v>
      </c>
      <c r="AL1136">
        <v>1500000</v>
      </c>
    </row>
    <row r="1137" spans="1:38" x14ac:dyDescent="0.25">
      <c r="A1137" t="s">
        <v>370</v>
      </c>
      <c r="B1137">
        <v>55020309</v>
      </c>
      <c r="C1137" t="s">
        <v>40</v>
      </c>
      <c r="D1137" s="1">
        <v>43448</v>
      </c>
      <c r="E1137" s="1">
        <v>43812</v>
      </c>
      <c r="F1137" t="s">
        <v>76</v>
      </c>
      <c r="G1137">
        <v>1</v>
      </c>
      <c r="H1137" t="s">
        <v>42</v>
      </c>
      <c r="I1137" t="s">
        <v>43</v>
      </c>
      <c r="J1137" t="s">
        <v>115</v>
      </c>
      <c r="K1137" t="s">
        <v>44</v>
      </c>
      <c r="L1137">
        <v>2563.13</v>
      </c>
      <c r="M1137" s="1">
        <v>43448</v>
      </c>
      <c r="N1137" t="s">
        <v>45</v>
      </c>
      <c r="O1137" t="s">
        <v>46</v>
      </c>
      <c r="P1137" t="s">
        <v>47</v>
      </c>
      <c r="Q1137" s="1">
        <v>43852</v>
      </c>
      <c r="R1137" t="s">
        <v>48</v>
      </c>
      <c r="S1137" t="s">
        <v>78</v>
      </c>
      <c r="T1137" t="s">
        <v>79</v>
      </c>
      <c r="U1137" t="s">
        <v>42</v>
      </c>
      <c r="V1137">
        <v>1200000</v>
      </c>
      <c r="W1137">
        <v>100000</v>
      </c>
      <c r="X1137" s="1">
        <v>43921</v>
      </c>
      <c r="Y1137" t="s">
        <v>51</v>
      </c>
      <c r="Z1137" t="s">
        <v>43</v>
      </c>
      <c r="AA1137" t="s">
        <v>80</v>
      </c>
      <c r="AB1137" t="s">
        <v>76</v>
      </c>
      <c r="AC1137" t="s">
        <v>81</v>
      </c>
      <c r="AF1137" t="s">
        <v>54</v>
      </c>
      <c r="AG1137" s="1">
        <v>43832</v>
      </c>
      <c r="AH1137" t="s">
        <v>42</v>
      </c>
      <c r="AI1137" t="s">
        <v>55</v>
      </c>
      <c r="AJ1137">
        <v>12788092</v>
      </c>
      <c r="AK1137">
        <v>250000</v>
      </c>
      <c r="AL1137">
        <v>1500000</v>
      </c>
    </row>
    <row r="1138" spans="1:38" x14ac:dyDescent="0.25">
      <c r="A1138" t="s">
        <v>370</v>
      </c>
      <c r="B1138">
        <v>55020309</v>
      </c>
      <c r="C1138" t="s">
        <v>40</v>
      </c>
      <c r="D1138" s="1">
        <v>43448</v>
      </c>
      <c r="E1138" s="1">
        <v>43812</v>
      </c>
      <c r="F1138" t="s">
        <v>76</v>
      </c>
      <c r="G1138">
        <v>1</v>
      </c>
      <c r="H1138" t="s">
        <v>42</v>
      </c>
      <c r="I1138" t="s">
        <v>43</v>
      </c>
      <c r="J1138" t="s">
        <v>115</v>
      </c>
      <c r="K1138" t="s">
        <v>44</v>
      </c>
      <c r="L1138">
        <v>2563.13</v>
      </c>
      <c r="M1138" s="1">
        <v>43448</v>
      </c>
      <c r="N1138" t="s">
        <v>45</v>
      </c>
      <c r="O1138" t="s">
        <v>46</v>
      </c>
      <c r="P1138" t="s">
        <v>47</v>
      </c>
      <c r="Q1138" s="1">
        <v>43852</v>
      </c>
      <c r="R1138" t="s">
        <v>48</v>
      </c>
      <c r="S1138" t="s">
        <v>78</v>
      </c>
      <c r="T1138" t="s">
        <v>79</v>
      </c>
      <c r="U1138" t="s">
        <v>42</v>
      </c>
      <c r="V1138">
        <v>1200000</v>
      </c>
      <c r="W1138">
        <v>100000</v>
      </c>
      <c r="X1138" s="1">
        <v>43921</v>
      </c>
      <c r="Y1138" t="s">
        <v>51</v>
      </c>
      <c r="Z1138" t="s">
        <v>43</v>
      </c>
      <c r="AA1138" t="s">
        <v>80</v>
      </c>
      <c r="AB1138" t="s">
        <v>76</v>
      </c>
      <c r="AC1138" t="s">
        <v>81</v>
      </c>
      <c r="AF1138" t="s">
        <v>56</v>
      </c>
      <c r="AG1138" s="1">
        <v>43833</v>
      </c>
      <c r="AH1138" t="s">
        <v>42</v>
      </c>
      <c r="AI1138" t="s">
        <v>55</v>
      </c>
      <c r="AJ1138">
        <v>12788092</v>
      </c>
      <c r="AK1138">
        <v>250000</v>
      </c>
      <c r="AL1138">
        <v>1500000</v>
      </c>
    </row>
    <row r="1139" spans="1:38" x14ac:dyDescent="0.25">
      <c r="A1139" t="s">
        <v>370</v>
      </c>
      <c r="B1139">
        <v>55020309</v>
      </c>
      <c r="C1139" t="s">
        <v>40</v>
      </c>
      <c r="D1139" s="1">
        <v>43448</v>
      </c>
      <c r="E1139" s="1">
        <v>43812</v>
      </c>
      <c r="F1139" t="s">
        <v>76</v>
      </c>
      <c r="G1139">
        <v>1</v>
      </c>
      <c r="H1139" t="s">
        <v>42</v>
      </c>
      <c r="I1139" t="s">
        <v>43</v>
      </c>
      <c r="J1139" t="s">
        <v>115</v>
      </c>
      <c r="K1139" t="s">
        <v>44</v>
      </c>
      <c r="L1139">
        <v>2563.13</v>
      </c>
      <c r="M1139" s="1">
        <v>43448</v>
      </c>
      <c r="N1139" t="s">
        <v>45</v>
      </c>
      <c r="O1139" t="s">
        <v>46</v>
      </c>
      <c r="P1139" t="s">
        <v>47</v>
      </c>
      <c r="Q1139" s="1">
        <v>43852</v>
      </c>
      <c r="R1139" t="s">
        <v>48</v>
      </c>
      <c r="S1139" t="s">
        <v>78</v>
      </c>
      <c r="T1139" t="s">
        <v>79</v>
      </c>
      <c r="U1139" t="s">
        <v>42</v>
      </c>
      <c r="V1139">
        <v>1200000</v>
      </c>
      <c r="W1139">
        <v>100000</v>
      </c>
      <c r="X1139" s="1">
        <v>43921</v>
      </c>
      <c r="Y1139" t="s">
        <v>51</v>
      </c>
      <c r="Z1139" t="s">
        <v>43</v>
      </c>
      <c r="AA1139" t="s">
        <v>80</v>
      </c>
      <c r="AB1139" t="s">
        <v>76</v>
      </c>
      <c r="AC1139" t="s">
        <v>81</v>
      </c>
      <c r="AF1139" t="s">
        <v>57</v>
      </c>
      <c r="AG1139" s="1">
        <v>43836</v>
      </c>
      <c r="AH1139" t="s">
        <v>42</v>
      </c>
      <c r="AI1139" t="s">
        <v>55</v>
      </c>
      <c r="AJ1139">
        <v>12788092</v>
      </c>
      <c r="AK1139">
        <v>250000</v>
      </c>
      <c r="AL1139">
        <v>1500000</v>
      </c>
    </row>
    <row r="1140" spans="1:38" x14ac:dyDescent="0.25">
      <c r="A1140" t="s">
        <v>370</v>
      </c>
      <c r="B1140">
        <v>55020309</v>
      </c>
      <c r="C1140" t="s">
        <v>40</v>
      </c>
      <c r="D1140" s="1">
        <v>43448</v>
      </c>
      <c r="E1140" s="1">
        <v>43812</v>
      </c>
      <c r="F1140" t="s">
        <v>76</v>
      </c>
      <c r="G1140">
        <v>1</v>
      </c>
      <c r="H1140" t="s">
        <v>42</v>
      </c>
      <c r="I1140" t="s">
        <v>43</v>
      </c>
      <c r="J1140" t="s">
        <v>115</v>
      </c>
      <c r="K1140" t="s">
        <v>44</v>
      </c>
      <c r="L1140">
        <v>2563.13</v>
      </c>
      <c r="M1140" s="1">
        <v>43448</v>
      </c>
      <c r="N1140" t="s">
        <v>45</v>
      </c>
      <c r="O1140" t="s">
        <v>46</v>
      </c>
      <c r="P1140" t="s">
        <v>47</v>
      </c>
      <c r="Q1140" s="1">
        <v>43852</v>
      </c>
      <c r="R1140" t="s">
        <v>48</v>
      </c>
      <c r="S1140" t="s">
        <v>78</v>
      </c>
      <c r="T1140" t="s">
        <v>79</v>
      </c>
      <c r="U1140" t="s">
        <v>42</v>
      </c>
      <c r="V1140">
        <v>1200000</v>
      </c>
      <c r="W1140">
        <v>100000</v>
      </c>
      <c r="X1140" s="1">
        <v>43921</v>
      </c>
      <c r="Y1140" t="s">
        <v>51</v>
      </c>
      <c r="Z1140" t="s">
        <v>43</v>
      </c>
      <c r="AA1140" t="s">
        <v>80</v>
      </c>
      <c r="AB1140" t="s">
        <v>76</v>
      </c>
      <c r="AC1140" t="s">
        <v>81</v>
      </c>
      <c r="AF1140" t="s">
        <v>58</v>
      </c>
      <c r="AG1140" s="1">
        <v>43837</v>
      </c>
      <c r="AH1140" t="s">
        <v>42</v>
      </c>
      <c r="AI1140" t="s">
        <v>55</v>
      </c>
      <c r="AJ1140">
        <v>12788092</v>
      </c>
      <c r="AK1140">
        <v>250000</v>
      </c>
      <c r="AL1140">
        <v>1500000</v>
      </c>
    </row>
    <row r="1141" spans="1:38" x14ac:dyDescent="0.25">
      <c r="A1141" t="s">
        <v>370</v>
      </c>
      <c r="B1141">
        <v>55020309</v>
      </c>
      <c r="C1141" t="s">
        <v>40</v>
      </c>
      <c r="D1141" s="1">
        <v>43448</v>
      </c>
      <c r="E1141" s="1">
        <v>43812</v>
      </c>
      <c r="F1141" t="s">
        <v>76</v>
      </c>
      <c r="G1141">
        <v>1</v>
      </c>
      <c r="H1141" t="s">
        <v>42</v>
      </c>
      <c r="I1141" t="s">
        <v>43</v>
      </c>
      <c r="J1141" t="s">
        <v>115</v>
      </c>
      <c r="K1141" t="s">
        <v>44</v>
      </c>
      <c r="L1141">
        <v>2563.13</v>
      </c>
      <c r="M1141" s="1">
        <v>43448</v>
      </c>
      <c r="N1141" t="s">
        <v>45</v>
      </c>
      <c r="O1141" t="s">
        <v>46</v>
      </c>
      <c r="P1141" t="s">
        <v>47</v>
      </c>
      <c r="Q1141" s="1">
        <v>43852</v>
      </c>
      <c r="R1141" t="s">
        <v>48</v>
      </c>
      <c r="S1141" t="s">
        <v>78</v>
      </c>
      <c r="T1141" t="s">
        <v>79</v>
      </c>
      <c r="U1141" t="s">
        <v>42</v>
      </c>
      <c r="V1141">
        <v>1200000</v>
      </c>
      <c r="W1141">
        <v>100000</v>
      </c>
      <c r="X1141" s="1">
        <v>43921</v>
      </c>
      <c r="Y1141" t="s">
        <v>51</v>
      </c>
      <c r="Z1141" t="s">
        <v>43</v>
      </c>
      <c r="AA1141" t="s">
        <v>80</v>
      </c>
      <c r="AB1141" t="s">
        <v>76</v>
      </c>
      <c r="AC1141" t="s">
        <v>81</v>
      </c>
      <c r="AF1141" t="s">
        <v>59</v>
      </c>
      <c r="AG1141" s="1">
        <v>43838</v>
      </c>
      <c r="AH1141" t="s">
        <v>42</v>
      </c>
      <c r="AI1141" t="s">
        <v>55</v>
      </c>
      <c r="AJ1141">
        <v>12788092</v>
      </c>
      <c r="AK1141">
        <v>250000</v>
      </c>
      <c r="AL1141">
        <v>1500000</v>
      </c>
    </row>
    <row r="1142" spans="1:38" x14ac:dyDescent="0.25">
      <c r="A1142" t="s">
        <v>370</v>
      </c>
      <c r="B1142" t="s">
        <v>380</v>
      </c>
      <c r="C1142" t="s">
        <v>71</v>
      </c>
      <c r="D1142" s="1">
        <v>43274</v>
      </c>
      <c r="E1142" s="1">
        <v>43638</v>
      </c>
      <c r="F1142" t="s">
        <v>76</v>
      </c>
      <c r="G1142">
        <v>12</v>
      </c>
      <c r="H1142" t="s">
        <v>155</v>
      </c>
      <c r="I1142" t="s">
        <v>43</v>
      </c>
      <c r="J1142" t="s">
        <v>126</v>
      </c>
      <c r="K1142" t="s">
        <v>44</v>
      </c>
      <c r="L1142">
        <v>8269.74</v>
      </c>
      <c r="M1142" s="1">
        <v>43274</v>
      </c>
      <c r="N1142" t="s">
        <v>45</v>
      </c>
      <c r="O1142" t="s">
        <v>106</v>
      </c>
      <c r="P1142" t="s">
        <v>47</v>
      </c>
      <c r="Q1142" s="1">
        <v>43852</v>
      </c>
      <c r="R1142" t="s">
        <v>48</v>
      </c>
    </row>
    <row r="1143" spans="1:38" x14ac:dyDescent="0.25">
      <c r="A1143" t="s">
        <v>370</v>
      </c>
      <c r="B1143" t="s">
        <v>380</v>
      </c>
      <c r="C1143" t="s">
        <v>71</v>
      </c>
      <c r="D1143" s="1">
        <v>43274</v>
      </c>
      <c r="E1143" s="1">
        <v>43638</v>
      </c>
      <c r="F1143" t="s">
        <v>76</v>
      </c>
      <c r="G1143">
        <v>12</v>
      </c>
      <c r="H1143" t="s">
        <v>155</v>
      </c>
      <c r="I1143" t="s">
        <v>43</v>
      </c>
      <c r="J1143" t="s">
        <v>126</v>
      </c>
      <c r="K1143" t="s">
        <v>44</v>
      </c>
      <c r="L1143">
        <v>5891</v>
      </c>
      <c r="M1143" s="1">
        <v>43500</v>
      </c>
      <c r="N1143" t="s">
        <v>108</v>
      </c>
      <c r="O1143" t="s">
        <v>106</v>
      </c>
      <c r="P1143" t="s">
        <v>47</v>
      </c>
      <c r="Q1143" s="1">
        <v>43852</v>
      </c>
      <c r="R1143" t="s">
        <v>48</v>
      </c>
    </row>
    <row r="1144" spans="1:38" x14ac:dyDescent="0.25">
      <c r="A1144" t="s">
        <v>370</v>
      </c>
      <c r="B1144" t="s">
        <v>381</v>
      </c>
      <c r="C1144" t="s">
        <v>71</v>
      </c>
      <c r="D1144" s="1">
        <v>43274</v>
      </c>
      <c r="E1144" s="1">
        <v>43638</v>
      </c>
      <c r="F1144" t="s">
        <v>77</v>
      </c>
      <c r="G1144">
        <v>12</v>
      </c>
      <c r="H1144" t="s">
        <v>155</v>
      </c>
      <c r="I1144" t="s">
        <v>43</v>
      </c>
      <c r="J1144" t="s">
        <v>126</v>
      </c>
      <c r="K1144" t="s">
        <v>44</v>
      </c>
      <c r="L1144">
        <v>2720.25</v>
      </c>
      <c r="M1144" s="1">
        <v>43274</v>
      </c>
      <c r="N1144" t="s">
        <v>45</v>
      </c>
      <c r="O1144" t="s">
        <v>46</v>
      </c>
      <c r="P1144" t="s">
        <v>47</v>
      </c>
      <c r="Q1144" s="1">
        <v>43852</v>
      </c>
      <c r="R1144" t="s">
        <v>48</v>
      </c>
      <c r="S1144" t="s">
        <v>156</v>
      </c>
      <c r="T1144" t="s">
        <v>157</v>
      </c>
      <c r="U1144" t="s">
        <v>155</v>
      </c>
      <c r="V1144">
        <v>500000</v>
      </c>
      <c r="W1144">
        <v>75000</v>
      </c>
      <c r="X1144" s="1">
        <v>43982</v>
      </c>
      <c r="Y1144" t="s">
        <v>51</v>
      </c>
      <c r="Z1144" t="s">
        <v>43</v>
      </c>
      <c r="AA1144" t="s">
        <v>77</v>
      </c>
      <c r="AB1144" t="s">
        <v>158</v>
      </c>
      <c r="AC1144" t="s">
        <v>159</v>
      </c>
      <c r="AF1144" t="s">
        <v>160</v>
      </c>
      <c r="AG1144" s="1">
        <v>43851</v>
      </c>
    </row>
    <row r="1145" spans="1:38" x14ac:dyDescent="0.25">
      <c r="A1145" t="s">
        <v>370</v>
      </c>
      <c r="B1145" t="s">
        <v>381</v>
      </c>
      <c r="C1145" t="s">
        <v>71</v>
      </c>
      <c r="D1145" s="1">
        <v>43274</v>
      </c>
      <c r="E1145" s="1">
        <v>43638</v>
      </c>
      <c r="F1145" t="s">
        <v>77</v>
      </c>
      <c r="G1145">
        <v>12</v>
      </c>
      <c r="H1145" t="s">
        <v>155</v>
      </c>
      <c r="I1145" t="s">
        <v>43</v>
      </c>
      <c r="J1145" t="s">
        <v>126</v>
      </c>
      <c r="K1145" t="s">
        <v>44</v>
      </c>
      <c r="L1145">
        <v>2720.25</v>
      </c>
      <c r="M1145" s="1">
        <v>43274</v>
      </c>
      <c r="N1145" t="s">
        <v>45</v>
      </c>
      <c r="O1145" t="s">
        <v>46</v>
      </c>
      <c r="P1145" t="s">
        <v>47</v>
      </c>
      <c r="Q1145" s="1">
        <v>43852</v>
      </c>
      <c r="R1145" t="s">
        <v>48</v>
      </c>
      <c r="S1145" t="s">
        <v>156</v>
      </c>
      <c r="T1145" t="s">
        <v>157</v>
      </c>
      <c r="U1145" t="s">
        <v>155</v>
      </c>
      <c r="V1145">
        <v>500000</v>
      </c>
      <c r="W1145">
        <v>75000</v>
      </c>
      <c r="X1145" s="1">
        <v>43982</v>
      </c>
      <c r="Y1145" t="s">
        <v>51</v>
      </c>
      <c r="Z1145" t="s">
        <v>43</v>
      </c>
      <c r="AA1145" t="s">
        <v>77</v>
      </c>
      <c r="AB1145" t="s">
        <v>158</v>
      </c>
      <c r="AC1145" t="s">
        <v>159</v>
      </c>
      <c r="AF1145" t="s">
        <v>161</v>
      </c>
      <c r="AG1145" s="1">
        <v>43851</v>
      </c>
    </row>
    <row r="1146" spans="1:38" x14ac:dyDescent="0.25">
      <c r="A1146" t="s">
        <v>370</v>
      </c>
      <c r="B1146" t="s">
        <v>381</v>
      </c>
      <c r="C1146" t="s">
        <v>71</v>
      </c>
      <c r="D1146" s="1">
        <v>43274</v>
      </c>
      <c r="E1146" s="1">
        <v>43638</v>
      </c>
      <c r="F1146" t="s">
        <v>77</v>
      </c>
      <c r="G1146">
        <v>12</v>
      </c>
      <c r="H1146" t="s">
        <v>155</v>
      </c>
      <c r="I1146" t="s">
        <v>43</v>
      </c>
      <c r="J1146" t="s">
        <v>126</v>
      </c>
      <c r="K1146" t="s">
        <v>44</v>
      </c>
      <c r="L1146">
        <v>2720.25</v>
      </c>
      <c r="M1146" s="1">
        <v>43274</v>
      </c>
      <c r="N1146" t="s">
        <v>45</v>
      </c>
      <c r="O1146" t="s">
        <v>46</v>
      </c>
      <c r="P1146" t="s">
        <v>47</v>
      </c>
      <c r="Q1146" s="1">
        <v>43852</v>
      </c>
      <c r="R1146" t="s">
        <v>48</v>
      </c>
      <c r="S1146" t="s">
        <v>156</v>
      </c>
      <c r="T1146" t="s">
        <v>157</v>
      </c>
      <c r="U1146" t="s">
        <v>155</v>
      </c>
      <c r="V1146">
        <v>500000</v>
      </c>
      <c r="W1146">
        <v>75000</v>
      </c>
      <c r="X1146" s="1">
        <v>43982</v>
      </c>
      <c r="Y1146" t="s">
        <v>51</v>
      </c>
      <c r="Z1146" t="s">
        <v>43</v>
      </c>
      <c r="AA1146" t="s">
        <v>77</v>
      </c>
      <c r="AB1146" t="s">
        <v>158</v>
      </c>
      <c r="AC1146" t="s">
        <v>159</v>
      </c>
      <c r="AF1146" t="s">
        <v>162</v>
      </c>
      <c r="AG1146" s="1">
        <v>43851</v>
      </c>
    </row>
    <row r="1147" spans="1:38" x14ac:dyDescent="0.25">
      <c r="A1147" t="s">
        <v>370</v>
      </c>
      <c r="B1147" t="s">
        <v>381</v>
      </c>
      <c r="C1147" t="s">
        <v>71</v>
      </c>
      <c r="D1147" s="1">
        <v>43274</v>
      </c>
      <c r="E1147" s="1">
        <v>43638</v>
      </c>
      <c r="F1147" t="s">
        <v>77</v>
      </c>
      <c r="G1147">
        <v>12</v>
      </c>
      <c r="H1147" t="s">
        <v>155</v>
      </c>
      <c r="I1147" t="s">
        <v>43</v>
      </c>
      <c r="J1147" t="s">
        <v>126</v>
      </c>
      <c r="K1147" t="s">
        <v>44</v>
      </c>
      <c r="L1147">
        <v>2720.25</v>
      </c>
      <c r="M1147" s="1">
        <v>43274</v>
      </c>
      <c r="N1147" t="s">
        <v>45</v>
      </c>
      <c r="O1147" t="s">
        <v>46</v>
      </c>
      <c r="P1147" t="s">
        <v>47</v>
      </c>
      <c r="Q1147" s="1">
        <v>43852</v>
      </c>
      <c r="R1147" t="s">
        <v>48</v>
      </c>
      <c r="S1147" t="s">
        <v>156</v>
      </c>
      <c r="T1147" t="s">
        <v>157</v>
      </c>
      <c r="U1147" t="s">
        <v>155</v>
      </c>
      <c r="V1147">
        <v>500000</v>
      </c>
      <c r="W1147">
        <v>75000</v>
      </c>
      <c r="X1147" s="1">
        <v>43982</v>
      </c>
      <c r="Y1147" t="s">
        <v>51</v>
      </c>
      <c r="Z1147" t="s">
        <v>43</v>
      </c>
      <c r="AA1147" t="s">
        <v>77</v>
      </c>
      <c r="AB1147" t="s">
        <v>158</v>
      </c>
      <c r="AC1147" t="s">
        <v>159</v>
      </c>
      <c r="AF1147" t="s">
        <v>163</v>
      </c>
      <c r="AG1147" s="1">
        <v>43852</v>
      </c>
    </row>
    <row r="1148" spans="1:38" x14ac:dyDescent="0.25">
      <c r="A1148" t="s">
        <v>370</v>
      </c>
      <c r="B1148" t="s">
        <v>381</v>
      </c>
      <c r="C1148" t="s">
        <v>71</v>
      </c>
      <c r="D1148" s="1">
        <v>43274</v>
      </c>
      <c r="E1148" s="1">
        <v>43638</v>
      </c>
      <c r="F1148" t="s">
        <v>77</v>
      </c>
      <c r="G1148">
        <v>12</v>
      </c>
      <c r="H1148" t="s">
        <v>155</v>
      </c>
      <c r="I1148" t="s">
        <v>43</v>
      </c>
      <c r="J1148" t="s">
        <v>126</v>
      </c>
      <c r="K1148" t="s">
        <v>44</v>
      </c>
      <c r="L1148">
        <v>2720.25</v>
      </c>
      <c r="M1148" s="1">
        <v>43274</v>
      </c>
      <c r="N1148" t="s">
        <v>45</v>
      </c>
      <c r="O1148" t="s">
        <v>46</v>
      </c>
      <c r="P1148" t="s">
        <v>47</v>
      </c>
      <c r="Q1148" s="1">
        <v>43852</v>
      </c>
      <c r="R1148" t="s">
        <v>48</v>
      </c>
      <c r="S1148" t="s">
        <v>164</v>
      </c>
      <c r="T1148" t="s">
        <v>165</v>
      </c>
      <c r="U1148" t="s">
        <v>155</v>
      </c>
      <c r="V1148">
        <v>0</v>
      </c>
      <c r="W1148">
        <v>50000</v>
      </c>
      <c r="X1148" s="1">
        <v>43921</v>
      </c>
      <c r="Y1148" t="s">
        <v>51</v>
      </c>
      <c r="Z1148" t="s">
        <v>43</v>
      </c>
      <c r="AA1148" t="s">
        <v>77</v>
      </c>
      <c r="AB1148" t="s">
        <v>158</v>
      </c>
      <c r="AC1148" t="s">
        <v>166</v>
      </c>
      <c r="AF1148" t="s">
        <v>160</v>
      </c>
      <c r="AG1148" s="1">
        <v>43851</v>
      </c>
    </row>
    <row r="1149" spans="1:38" x14ac:dyDescent="0.25">
      <c r="A1149" t="s">
        <v>370</v>
      </c>
      <c r="B1149" t="s">
        <v>381</v>
      </c>
      <c r="C1149" t="s">
        <v>71</v>
      </c>
      <c r="D1149" s="1">
        <v>43274</v>
      </c>
      <c r="E1149" s="1">
        <v>43638</v>
      </c>
      <c r="F1149" t="s">
        <v>77</v>
      </c>
      <c r="G1149">
        <v>12</v>
      </c>
      <c r="H1149" t="s">
        <v>155</v>
      </c>
      <c r="I1149" t="s">
        <v>43</v>
      </c>
      <c r="J1149" t="s">
        <v>126</v>
      </c>
      <c r="K1149" t="s">
        <v>44</v>
      </c>
      <c r="L1149">
        <v>2720.25</v>
      </c>
      <c r="M1149" s="1">
        <v>43274</v>
      </c>
      <c r="N1149" t="s">
        <v>45</v>
      </c>
      <c r="O1149" t="s">
        <v>46</v>
      </c>
      <c r="P1149" t="s">
        <v>47</v>
      </c>
      <c r="Q1149" s="1">
        <v>43852</v>
      </c>
      <c r="R1149" t="s">
        <v>48</v>
      </c>
      <c r="S1149" t="s">
        <v>164</v>
      </c>
      <c r="T1149" t="s">
        <v>165</v>
      </c>
      <c r="U1149" t="s">
        <v>155</v>
      </c>
      <c r="V1149">
        <v>0</v>
      </c>
      <c r="W1149">
        <v>50000</v>
      </c>
      <c r="X1149" s="1">
        <v>43921</v>
      </c>
      <c r="Y1149" t="s">
        <v>51</v>
      </c>
      <c r="Z1149" t="s">
        <v>43</v>
      </c>
      <c r="AA1149" t="s">
        <v>77</v>
      </c>
      <c r="AB1149" t="s">
        <v>158</v>
      </c>
      <c r="AC1149" t="s">
        <v>166</v>
      </c>
      <c r="AF1149" t="s">
        <v>161</v>
      </c>
      <c r="AG1149" s="1">
        <v>43851</v>
      </c>
    </row>
    <row r="1150" spans="1:38" x14ac:dyDescent="0.25">
      <c r="A1150" t="s">
        <v>370</v>
      </c>
      <c r="B1150" t="s">
        <v>381</v>
      </c>
      <c r="C1150" t="s">
        <v>71</v>
      </c>
      <c r="D1150" s="1">
        <v>43274</v>
      </c>
      <c r="E1150" s="1">
        <v>43638</v>
      </c>
      <c r="F1150" t="s">
        <v>77</v>
      </c>
      <c r="G1150">
        <v>12</v>
      </c>
      <c r="H1150" t="s">
        <v>155</v>
      </c>
      <c r="I1150" t="s">
        <v>43</v>
      </c>
      <c r="J1150" t="s">
        <v>126</v>
      </c>
      <c r="K1150" t="s">
        <v>44</v>
      </c>
      <c r="L1150">
        <v>2720.25</v>
      </c>
      <c r="M1150" s="1">
        <v>43274</v>
      </c>
      <c r="N1150" t="s">
        <v>45</v>
      </c>
      <c r="O1150" t="s">
        <v>46</v>
      </c>
      <c r="P1150" t="s">
        <v>47</v>
      </c>
      <c r="Q1150" s="1">
        <v>43852</v>
      </c>
      <c r="R1150" t="s">
        <v>48</v>
      </c>
      <c r="S1150" t="s">
        <v>164</v>
      </c>
      <c r="T1150" t="s">
        <v>165</v>
      </c>
      <c r="U1150" t="s">
        <v>155</v>
      </c>
      <c r="V1150">
        <v>0</v>
      </c>
      <c r="W1150">
        <v>50000</v>
      </c>
      <c r="X1150" s="1">
        <v>43921</v>
      </c>
      <c r="Y1150" t="s">
        <v>51</v>
      </c>
      <c r="Z1150" t="s">
        <v>43</v>
      </c>
      <c r="AA1150" t="s">
        <v>77</v>
      </c>
      <c r="AB1150" t="s">
        <v>158</v>
      </c>
      <c r="AC1150" t="s">
        <v>166</v>
      </c>
      <c r="AF1150" t="s">
        <v>162</v>
      </c>
      <c r="AG1150" s="1">
        <v>43851</v>
      </c>
    </row>
    <row r="1151" spans="1:38" x14ac:dyDescent="0.25">
      <c r="A1151" t="s">
        <v>370</v>
      </c>
      <c r="B1151" t="s">
        <v>381</v>
      </c>
      <c r="C1151" t="s">
        <v>71</v>
      </c>
      <c r="D1151" s="1">
        <v>43274</v>
      </c>
      <c r="E1151" s="1">
        <v>43638</v>
      </c>
      <c r="F1151" t="s">
        <v>77</v>
      </c>
      <c r="G1151">
        <v>12</v>
      </c>
      <c r="H1151" t="s">
        <v>155</v>
      </c>
      <c r="I1151" t="s">
        <v>43</v>
      </c>
      <c r="J1151" t="s">
        <v>126</v>
      </c>
      <c r="K1151" t="s">
        <v>44</v>
      </c>
      <c r="L1151">
        <v>2720.25</v>
      </c>
      <c r="M1151" s="1">
        <v>43274</v>
      </c>
      <c r="N1151" t="s">
        <v>45</v>
      </c>
      <c r="O1151" t="s">
        <v>46</v>
      </c>
      <c r="P1151" t="s">
        <v>47</v>
      </c>
      <c r="Q1151" s="1">
        <v>43852</v>
      </c>
      <c r="R1151" t="s">
        <v>48</v>
      </c>
      <c r="S1151" t="s">
        <v>164</v>
      </c>
      <c r="T1151" t="s">
        <v>165</v>
      </c>
      <c r="U1151" t="s">
        <v>155</v>
      </c>
      <c r="V1151">
        <v>0</v>
      </c>
      <c r="W1151">
        <v>50000</v>
      </c>
      <c r="X1151" s="1">
        <v>43921</v>
      </c>
      <c r="Y1151" t="s">
        <v>51</v>
      </c>
      <c r="Z1151" t="s">
        <v>43</v>
      </c>
      <c r="AA1151" t="s">
        <v>77</v>
      </c>
      <c r="AB1151" t="s">
        <v>158</v>
      </c>
      <c r="AC1151" t="s">
        <v>166</v>
      </c>
      <c r="AF1151" t="s">
        <v>163</v>
      </c>
      <c r="AG1151" s="1">
        <v>43852</v>
      </c>
    </row>
    <row r="1152" spans="1:38" x14ac:dyDescent="0.25">
      <c r="A1152" t="s">
        <v>370</v>
      </c>
      <c r="B1152" t="s">
        <v>382</v>
      </c>
      <c r="C1152" t="s">
        <v>71</v>
      </c>
      <c r="D1152" s="1">
        <v>43274</v>
      </c>
      <c r="E1152" s="1">
        <v>43638</v>
      </c>
      <c r="F1152" t="s">
        <v>77</v>
      </c>
      <c r="G1152">
        <v>12</v>
      </c>
      <c r="H1152" t="s">
        <v>155</v>
      </c>
      <c r="I1152" t="s">
        <v>43</v>
      </c>
      <c r="J1152" t="s">
        <v>126</v>
      </c>
      <c r="K1152" t="s">
        <v>44</v>
      </c>
      <c r="L1152">
        <v>375</v>
      </c>
      <c r="M1152" s="1">
        <v>43274</v>
      </c>
      <c r="N1152" t="s">
        <v>45</v>
      </c>
      <c r="O1152" t="s">
        <v>46</v>
      </c>
      <c r="P1152" t="s">
        <v>47</v>
      </c>
      <c r="Q1152" s="1">
        <v>43852</v>
      </c>
      <c r="R1152" t="s">
        <v>48</v>
      </c>
      <c r="S1152" t="s">
        <v>156</v>
      </c>
      <c r="T1152" t="s">
        <v>157</v>
      </c>
      <c r="U1152" t="s">
        <v>155</v>
      </c>
      <c r="V1152">
        <v>500000</v>
      </c>
      <c r="W1152">
        <v>75000</v>
      </c>
      <c r="X1152" s="1">
        <v>43982</v>
      </c>
      <c r="Y1152" t="s">
        <v>51</v>
      </c>
      <c r="Z1152" t="s">
        <v>43</v>
      </c>
      <c r="AA1152" t="s">
        <v>77</v>
      </c>
      <c r="AB1152" t="s">
        <v>158</v>
      </c>
      <c r="AC1152" t="s">
        <v>159</v>
      </c>
      <c r="AF1152" t="s">
        <v>160</v>
      </c>
      <c r="AG1152" s="1">
        <v>43851</v>
      </c>
    </row>
    <row r="1153" spans="1:38" x14ac:dyDescent="0.25">
      <c r="A1153" t="s">
        <v>370</v>
      </c>
      <c r="B1153" t="s">
        <v>382</v>
      </c>
      <c r="C1153" t="s">
        <v>71</v>
      </c>
      <c r="D1153" s="1">
        <v>43274</v>
      </c>
      <c r="E1153" s="1">
        <v>43638</v>
      </c>
      <c r="F1153" t="s">
        <v>77</v>
      </c>
      <c r="G1153">
        <v>12</v>
      </c>
      <c r="H1153" t="s">
        <v>155</v>
      </c>
      <c r="I1153" t="s">
        <v>43</v>
      </c>
      <c r="J1153" t="s">
        <v>126</v>
      </c>
      <c r="K1153" t="s">
        <v>44</v>
      </c>
      <c r="L1153">
        <v>375</v>
      </c>
      <c r="M1153" s="1">
        <v>43274</v>
      </c>
      <c r="N1153" t="s">
        <v>45</v>
      </c>
      <c r="O1153" t="s">
        <v>46</v>
      </c>
      <c r="P1153" t="s">
        <v>47</v>
      </c>
      <c r="Q1153" s="1">
        <v>43852</v>
      </c>
      <c r="R1153" t="s">
        <v>48</v>
      </c>
      <c r="S1153" t="s">
        <v>156</v>
      </c>
      <c r="T1153" t="s">
        <v>157</v>
      </c>
      <c r="U1153" t="s">
        <v>155</v>
      </c>
      <c r="V1153">
        <v>500000</v>
      </c>
      <c r="W1153">
        <v>75000</v>
      </c>
      <c r="X1153" s="1">
        <v>43982</v>
      </c>
      <c r="Y1153" t="s">
        <v>51</v>
      </c>
      <c r="Z1153" t="s">
        <v>43</v>
      </c>
      <c r="AA1153" t="s">
        <v>77</v>
      </c>
      <c r="AB1153" t="s">
        <v>158</v>
      </c>
      <c r="AC1153" t="s">
        <v>159</v>
      </c>
      <c r="AF1153" t="s">
        <v>161</v>
      </c>
      <c r="AG1153" s="1">
        <v>43851</v>
      </c>
    </row>
    <row r="1154" spans="1:38" x14ac:dyDescent="0.25">
      <c r="A1154" t="s">
        <v>370</v>
      </c>
      <c r="B1154" t="s">
        <v>382</v>
      </c>
      <c r="C1154" t="s">
        <v>71</v>
      </c>
      <c r="D1154" s="1">
        <v>43274</v>
      </c>
      <c r="E1154" s="1">
        <v>43638</v>
      </c>
      <c r="F1154" t="s">
        <v>77</v>
      </c>
      <c r="G1154">
        <v>12</v>
      </c>
      <c r="H1154" t="s">
        <v>155</v>
      </c>
      <c r="I1154" t="s">
        <v>43</v>
      </c>
      <c r="J1154" t="s">
        <v>126</v>
      </c>
      <c r="K1154" t="s">
        <v>44</v>
      </c>
      <c r="L1154">
        <v>375</v>
      </c>
      <c r="M1154" s="1">
        <v>43274</v>
      </c>
      <c r="N1154" t="s">
        <v>45</v>
      </c>
      <c r="O1154" t="s">
        <v>46</v>
      </c>
      <c r="P1154" t="s">
        <v>47</v>
      </c>
      <c r="Q1154" s="1">
        <v>43852</v>
      </c>
      <c r="R1154" t="s">
        <v>48</v>
      </c>
      <c r="S1154" t="s">
        <v>156</v>
      </c>
      <c r="T1154" t="s">
        <v>157</v>
      </c>
      <c r="U1154" t="s">
        <v>155</v>
      </c>
      <c r="V1154">
        <v>500000</v>
      </c>
      <c r="W1154">
        <v>75000</v>
      </c>
      <c r="X1154" s="1">
        <v>43982</v>
      </c>
      <c r="Y1154" t="s">
        <v>51</v>
      </c>
      <c r="Z1154" t="s">
        <v>43</v>
      </c>
      <c r="AA1154" t="s">
        <v>77</v>
      </c>
      <c r="AB1154" t="s">
        <v>158</v>
      </c>
      <c r="AC1154" t="s">
        <v>159</v>
      </c>
      <c r="AF1154" t="s">
        <v>162</v>
      </c>
      <c r="AG1154" s="1">
        <v>43851</v>
      </c>
    </row>
    <row r="1155" spans="1:38" x14ac:dyDescent="0.25">
      <c r="A1155" t="s">
        <v>370</v>
      </c>
      <c r="B1155" t="s">
        <v>382</v>
      </c>
      <c r="C1155" t="s">
        <v>71</v>
      </c>
      <c r="D1155" s="1">
        <v>43274</v>
      </c>
      <c r="E1155" s="1">
        <v>43638</v>
      </c>
      <c r="F1155" t="s">
        <v>77</v>
      </c>
      <c r="G1155">
        <v>12</v>
      </c>
      <c r="H1155" t="s">
        <v>155</v>
      </c>
      <c r="I1155" t="s">
        <v>43</v>
      </c>
      <c r="J1155" t="s">
        <v>126</v>
      </c>
      <c r="K1155" t="s">
        <v>44</v>
      </c>
      <c r="L1155">
        <v>375</v>
      </c>
      <c r="M1155" s="1">
        <v>43274</v>
      </c>
      <c r="N1155" t="s">
        <v>45</v>
      </c>
      <c r="O1155" t="s">
        <v>46</v>
      </c>
      <c r="P1155" t="s">
        <v>47</v>
      </c>
      <c r="Q1155" s="1">
        <v>43852</v>
      </c>
      <c r="R1155" t="s">
        <v>48</v>
      </c>
      <c r="S1155" t="s">
        <v>156</v>
      </c>
      <c r="T1155" t="s">
        <v>157</v>
      </c>
      <c r="U1155" t="s">
        <v>155</v>
      </c>
      <c r="V1155">
        <v>500000</v>
      </c>
      <c r="W1155">
        <v>75000</v>
      </c>
      <c r="X1155" s="1">
        <v>43982</v>
      </c>
      <c r="Y1155" t="s">
        <v>51</v>
      </c>
      <c r="Z1155" t="s">
        <v>43</v>
      </c>
      <c r="AA1155" t="s">
        <v>77</v>
      </c>
      <c r="AB1155" t="s">
        <v>158</v>
      </c>
      <c r="AC1155" t="s">
        <v>159</v>
      </c>
      <c r="AF1155" t="s">
        <v>163</v>
      </c>
      <c r="AG1155" s="1">
        <v>43852</v>
      </c>
    </row>
    <row r="1156" spans="1:38" x14ac:dyDescent="0.25">
      <c r="A1156" t="s">
        <v>370</v>
      </c>
      <c r="B1156" t="s">
        <v>382</v>
      </c>
      <c r="C1156" t="s">
        <v>71</v>
      </c>
      <c r="D1156" s="1">
        <v>43274</v>
      </c>
      <c r="E1156" s="1">
        <v>43638</v>
      </c>
      <c r="F1156" t="s">
        <v>77</v>
      </c>
      <c r="G1156">
        <v>12</v>
      </c>
      <c r="H1156" t="s">
        <v>155</v>
      </c>
      <c r="I1156" t="s">
        <v>43</v>
      </c>
      <c r="J1156" t="s">
        <v>126</v>
      </c>
      <c r="K1156" t="s">
        <v>44</v>
      </c>
      <c r="L1156">
        <v>375</v>
      </c>
      <c r="M1156" s="1">
        <v>43274</v>
      </c>
      <c r="N1156" t="s">
        <v>45</v>
      </c>
      <c r="O1156" t="s">
        <v>46</v>
      </c>
      <c r="P1156" t="s">
        <v>47</v>
      </c>
      <c r="Q1156" s="1">
        <v>43852</v>
      </c>
      <c r="R1156" t="s">
        <v>48</v>
      </c>
      <c r="S1156" t="s">
        <v>164</v>
      </c>
      <c r="T1156" t="s">
        <v>165</v>
      </c>
      <c r="U1156" t="s">
        <v>155</v>
      </c>
      <c r="V1156">
        <v>0</v>
      </c>
      <c r="W1156">
        <v>50000</v>
      </c>
      <c r="X1156" s="1">
        <v>43921</v>
      </c>
      <c r="Y1156" t="s">
        <v>51</v>
      </c>
      <c r="Z1156" t="s">
        <v>43</v>
      </c>
      <c r="AA1156" t="s">
        <v>77</v>
      </c>
      <c r="AB1156" t="s">
        <v>158</v>
      </c>
      <c r="AC1156" t="s">
        <v>166</v>
      </c>
      <c r="AF1156" t="s">
        <v>160</v>
      </c>
      <c r="AG1156" s="1">
        <v>43851</v>
      </c>
    </row>
    <row r="1157" spans="1:38" x14ac:dyDescent="0.25">
      <c r="A1157" t="s">
        <v>370</v>
      </c>
      <c r="B1157" t="s">
        <v>382</v>
      </c>
      <c r="C1157" t="s">
        <v>71</v>
      </c>
      <c r="D1157" s="1">
        <v>43274</v>
      </c>
      <c r="E1157" s="1">
        <v>43638</v>
      </c>
      <c r="F1157" t="s">
        <v>77</v>
      </c>
      <c r="G1157">
        <v>12</v>
      </c>
      <c r="H1157" t="s">
        <v>155</v>
      </c>
      <c r="I1157" t="s">
        <v>43</v>
      </c>
      <c r="J1157" t="s">
        <v>126</v>
      </c>
      <c r="K1157" t="s">
        <v>44</v>
      </c>
      <c r="L1157">
        <v>375</v>
      </c>
      <c r="M1157" s="1">
        <v>43274</v>
      </c>
      <c r="N1157" t="s">
        <v>45</v>
      </c>
      <c r="O1157" t="s">
        <v>46</v>
      </c>
      <c r="P1157" t="s">
        <v>47</v>
      </c>
      <c r="Q1157" s="1">
        <v>43852</v>
      </c>
      <c r="R1157" t="s">
        <v>48</v>
      </c>
      <c r="S1157" t="s">
        <v>164</v>
      </c>
      <c r="T1157" t="s">
        <v>165</v>
      </c>
      <c r="U1157" t="s">
        <v>155</v>
      </c>
      <c r="V1157">
        <v>0</v>
      </c>
      <c r="W1157">
        <v>50000</v>
      </c>
      <c r="X1157" s="1">
        <v>43921</v>
      </c>
      <c r="Y1157" t="s">
        <v>51</v>
      </c>
      <c r="Z1157" t="s">
        <v>43</v>
      </c>
      <c r="AA1157" t="s">
        <v>77</v>
      </c>
      <c r="AB1157" t="s">
        <v>158</v>
      </c>
      <c r="AC1157" t="s">
        <v>166</v>
      </c>
      <c r="AF1157" t="s">
        <v>161</v>
      </c>
      <c r="AG1157" s="1">
        <v>43851</v>
      </c>
    </row>
    <row r="1158" spans="1:38" x14ac:dyDescent="0.25">
      <c r="A1158" t="s">
        <v>370</v>
      </c>
      <c r="B1158" t="s">
        <v>382</v>
      </c>
      <c r="C1158" t="s">
        <v>71</v>
      </c>
      <c r="D1158" s="1">
        <v>43274</v>
      </c>
      <c r="E1158" s="1">
        <v>43638</v>
      </c>
      <c r="F1158" t="s">
        <v>77</v>
      </c>
      <c r="G1158">
        <v>12</v>
      </c>
      <c r="H1158" t="s">
        <v>155</v>
      </c>
      <c r="I1158" t="s">
        <v>43</v>
      </c>
      <c r="J1158" t="s">
        <v>126</v>
      </c>
      <c r="K1158" t="s">
        <v>44</v>
      </c>
      <c r="L1158">
        <v>375</v>
      </c>
      <c r="M1158" s="1">
        <v>43274</v>
      </c>
      <c r="N1158" t="s">
        <v>45</v>
      </c>
      <c r="O1158" t="s">
        <v>46</v>
      </c>
      <c r="P1158" t="s">
        <v>47</v>
      </c>
      <c r="Q1158" s="1">
        <v>43852</v>
      </c>
      <c r="R1158" t="s">
        <v>48</v>
      </c>
      <c r="S1158" t="s">
        <v>164</v>
      </c>
      <c r="T1158" t="s">
        <v>165</v>
      </c>
      <c r="U1158" t="s">
        <v>155</v>
      </c>
      <c r="V1158">
        <v>0</v>
      </c>
      <c r="W1158">
        <v>50000</v>
      </c>
      <c r="X1158" s="1">
        <v>43921</v>
      </c>
      <c r="Y1158" t="s">
        <v>51</v>
      </c>
      <c r="Z1158" t="s">
        <v>43</v>
      </c>
      <c r="AA1158" t="s">
        <v>77</v>
      </c>
      <c r="AB1158" t="s">
        <v>158</v>
      </c>
      <c r="AC1158" t="s">
        <v>166</v>
      </c>
      <c r="AF1158" t="s">
        <v>162</v>
      </c>
      <c r="AG1158" s="1">
        <v>43851</v>
      </c>
    </row>
    <row r="1159" spans="1:38" x14ac:dyDescent="0.25">
      <c r="A1159" t="s">
        <v>370</v>
      </c>
      <c r="B1159" t="s">
        <v>382</v>
      </c>
      <c r="C1159" t="s">
        <v>71</v>
      </c>
      <c r="D1159" s="1">
        <v>43274</v>
      </c>
      <c r="E1159" s="1">
        <v>43638</v>
      </c>
      <c r="F1159" t="s">
        <v>77</v>
      </c>
      <c r="G1159">
        <v>12</v>
      </c>
      <c r="H1159" t="s">
        <v>155</v>
      </c>
      <c r="I1159" t="s">
        <v>43</v>
      </c>
      <c r="J1159" t="s">
        <v>126</v>
      </c>
      <c r="K1159" t="s">
        <v>44</v>
      </c>
      <c r="L1159">
        <v>375</v>
      </c>
      <c r="M1159" s="1">
        <v>43274</v>
      </c>
      <c r="N1159" t="s">
        <v>45</v>
      </c>
      <c r="O1159" t="s">
        <v>46</v>
      </c>
      <c r="P1159" t="s">
        <v>47</v>
      </c>
      <c r="Q1159" s="1">
        <v>43852</v>
      </c>
      <c r="R1159" t="s">
        <v>48</v>
      </c>
      <c r="S1159" t="s">
        <v>164</v>
      </c>
      <c r="T1159" t="s">
        <v>165</v>
      </c>
      <c r="U1159" t="s">
        <v>155</v>
      </c>
      <c r="V1159">
        <v>0</v>
      </c>
      <c r="W1159">
        <v>50000</v>
      </c>
      <c r="X1159" s="1">
        <v>43921</v>
      </c>
      <c r="Y1159" t="s">
        <v>51</v>
      </c>
      <c r="Z1159" t="s">
        <v>43</v>
      </c>
      <c r="AA1159" t="s">
        <v>77</v>
      </c>
      <c r="AB1159" t="s">
        <v>158</v>
      </c>
      <c r="AC1159" t="s">
        <v>166</v>
      </c>
      <c r="AF1159" t="s">
        <v>163</v>
      </c>
      <c r="AG1159" s="1">
        <v>43852</v>
      </c>
    </row>
    <row r="1160" spans="1:38" x14ac:dyDescent="0.25">
      <c r="A1160" t="s">
        <v>370</v>
      </c>
      <c r="B1160" t="s">
        <v>383</v>
      </c>
      <c r="C1160" t="s">
        <v>40</v>
      </c>
      <c r="D1160" s="1">
        <v>43639</v>
      </c>
      <c r="E1160" s="1">
        <v>44004</v>
      </c>
      <c r="F1160" t="s">
        <v>76</v>
      </c>
      <c r="G1160">
        <v>3</v>
      </c>
      <c r="H1160" t="s">
        <v>125</v>
      </c>
      <c r="I1160" t="s">
        <v>43</v>
      </c>
      <c r="J1160" t="s">
        <v>126</v>
      </c>
      <c r="K1160" t="s">
        <v>44</v>
      </c>
      <c r="L1160">
        <v>15047.5</v>
      </c>
      <c r="M1160" s="1">
        <v>43639</v>
      </c>
      <c r="N1160" t="s">
        <v>45</v>
      </c>
      <c r="O1160" t="s">
        <v>44</v>
      </c>
      <c r="P1160" t="s">
        <v>47</v>
      </c>
      <c r="Q1160" s="1">
        <v>43852</v>
      </c>
      <c r="R1160" t="s">
        <v>48</v>
      </c>
    </row>
    <row r="1161" spans="1:38" x14ac:dyDescent="0.25">
      <c r="A1161" t="s">
        <v>370</v>
      </c>
      <c r="B1161" t="s">
        <v>384</v>
      </c>
      <c r="C1161" t="s">
        <v>40</v>
      </c>
      <c r="D1161" s="1">
        <v>43639</v>
      </c>
      <c r="E1161" s="1">
        <v>44004</v>
      </c>
      <c r="F1161" t="s">
        <v>77</v>
      </c>
      <c r="G1161">
        <v>3</v>
      </c>
      <c r="H1161" t="s">
        <v>125</v>
      </c>
      <c r="I1161" t="s">
        <v>43</v>
      </c>
      <c r="J1161" t="s">
        <v>126</v>
      </c>
      <c r="K1161" t="s">
        <v>44</v>
      </c>
      <c r="L1161">
        <v>2852.5</v>
      </c>
      <c r="M1161" s="1">
        <v>43639</v>
      </c>
      <c r="N1161" t="s">
        <v>45</v>
      </c>
      <c r="O1161" t="s">
        <v>44</v>
      </c>
      <c r="P1161" t="s">
        <v>47</v>
      </c>
      <c r="Q1161" s="1">
        <v>43852</v>
      </c>
      <c r="R1161" t="s">
        <v>48</v>
      </c>
    </row>
    <row r="1162" spans="1:38" x14ac:dyDescent="0.25">
      <c r="A1162" t="s">
        <v>370</v>
      </c>
      <c r="B1162" t="s">
        <v>385</v>
      </c>
      <c r="C1162" t="s">
        <v>40</v>
      </c>
      <c r="D1162" s="1">
        <v>43639</v>
      </c>
      <c r="E1162" s="1">
        <v>44004</v>
      </c>
      <c r="F1162" t="s">
        <v>77</v>
      </c>
      <c r="G1162">
        <v>3</v>
      </c>
      <c r="H1162" t="s">
        <v>125</v>
      </c>
      <c r="I1162" t="s">
        <v>43</v>
      </c>
      <c r="J1162" t="s">
        <v>126</v>
      </c>
      <c r="K1162" t="s">
        <v>44</v>
      </c>
      <c r="L1162">
        <v>495</v>
      </c>
      <c r="M1162" s="1">
        <v>43639</v>
      </c>
      <c r="N1162" t="s">
        <v>45</v>
      </c>
      <c r="O1162" t="s">
        <v>44</v>
      </c>
      <c r="P1162" t="s">
        <v>47</v>
      </c>
      <c r="Q1162" s="1">
        <v>43852</v>
      </c>
      <c r="R1162" t="s">
        <v>48</v>
      </c>
    </row>
    <row r="1163" spans="1:38" x14ac:dyDescent="0.25">
      <c r="A1163" t="s">
        <v>370</v>
      </c>
      <c r="B1163">
        <v>505613</v>
      </c>
      <c r="C1163" t="s">
        <v>40</v>
      </c>
      <c r="D1163" s="1">
        <v>43580</v>
      </c>
      <c r="E1163" s="1">
        <v>43945</v>
      </c>
      <c r="F1163" t="s">
        <v>84</v>
      </c>
      <c r="G1163">
        <v>10</v>
      </c>
      <c r="H1163" t="s">
        <v>85</v>
      </c>
      <c r="I1163" t="s">
        <v>43</v>
      </c>
      <c r="J1163" t="s">
        <v>86</v>
      </c>
      <c r="K1163" t="s">
        <v>44</v>
      </c>
      <c r="L1163">
        <v>9294.35</v>
      </c>
      <c r="M1163" s="1">
        <v>43580</v>
      </c>
      <c r="N1163" t="s">
        <v>45</v>
      </c>
      <c r="O1163" t="s">
        <v>46</v>
      </c>
      <c r="P1163" t="s">
        <v>47</v>
      </c>
      <c r="Q1163" s="1">
        <v>43852</v>
      </c>
      <c r="R1163" t="s">
        <v>48</v>
      </c>
      <c r="S1163" t="s">
        <v>87</v>
      </c>
      <c r="T1163" t="s">
        <v>88</v>
      </c>
      <c r="U1163" t="s">
        <v>85</v>
      </c>
      <c r="V1163">
        <v>1400000</v>
      </c>
      <c r="W1163">
        <v>100000</v>
      </c>
      <c r="X1163" s="1">
        <v>43808</v>
      </c>
      <c r="Y1163" t="s">
        <v>51</v>
      </c>
      <c r="Z1163" t="s">
        <v>43</v>
      </c>
      <c r="AA1163" t="s">
        <v>86</v>
      </c>
      <c r="AB1163" t="s">
        <v>89</v>
      </c>
      <c r="AC1163" t="s">
        <v>90</v>
      </c>
      <c r="AF1163" t="s">
        <v>91</v>
      </c>
      <c r="AG1163" s="1">
        <v>43852</v>
      </c>
      <c r="AH1163" t="s">
        <v>85</v>
      </c>
      <c r="AI1163" t="s">
        <v>92</v>
      </c>
      <c r="AJ1163">
        <v>19888</v>
      </c>
      <c r="AK1163">
        <v>128777</v>
      </c>
      <c r="AL1163">
        <v>198882</v>
      </c>
    </row>
    <row r="1164" spans="1:38" x14ac:dyDescent="0.25">
      <c r="A1164" t="s">
        <v>370</v>
      </c>
      <c r="B1164">
        <v>505613</v>
      </c>
      <c r="C1164" t="s">
        <v>40</v>
      </c>
      <c r="D1164" s="1">
        <v>43580</v>
      </c>
      <c r="E1164" s="1">
        <v>43945</v>
      </c>
      <c r="F1164" t="s">
        <v>84</v>
      </c>
      <c r="G1164">
        <v>10</v>
      </c>
      <c r="H1164" t="s">
        <v>85</v>
      </c>
      <c r="I1164" t="s">
        <v>43</v>
      </c>
      <c r="J1164" t="s">
        <v>86</v>
      </c>
      <c r="K1164" t="s">
        <v>44</v>
      </c>
      <c r="L1164">
        <v>9294.35</v>
      </c>
      <c r="M1164" s="1">
        <v>43580</v>
      </c>
      <c r="N1164" t="s">
        <v>45</v>
      </c>
      <c r="O1164" t="s">
        <v>46</v>
      </c>
      <c r="P1164" t="s">
        <v>47</v>
      </c>
      <c r="Q1164" s="1">
        <v>43852</v>
      </c>
      <c r="R1164" t="s">
        <v>48</v>
      </c>
      <c r="S1164" t="s">
        <v>87</v>
      </c>
      <c r="T1164" t="s">
        <v>88</v>
      </c>
      <c r="U1164" t="s">
        <v>85</v>
      </c>
      <c r="V1164">
        <v>1400000</v>
      </c>
      <c r="W1164">
        <v>100000</v>
      </c>
      <c r="X1164" s="1">
        <v>43808</v>
      </c>
      <c r="Y1164" t="s">
        <v>51</v>
      </c>
      <c r="Z1164" t="s">
        <v>43</v>
      </c>
      <c r="AA1164" t="s">
        <v>86</v>
      </c>
      <c r="AB1164" t="s">
        <v>89</v>
      </c>
      <c r="AC1164" t="s">
        <v>90</v>
      </c>
      <c r="AF1164" t="s">
        <v>93</v>
      </c>
      <c r="AG1164" s="1">
        <v>43843</v>
      </c>
      <c r="AH1164" t="s">
        <v>85</v>
      </c>
      <c r="AI1164" t="s">
        <v>92</v>
      </c>
      <c r="AJ1164">
        <v>19888</v>
      </c>
      <c r="AK1164">
        <v>128777</v>
      </c>
      <c r="AL1164">
        <v>198882</v>
      </c>
    </row>
    <row r="1165" spans="1:38" x14ac:dyDescent="0.25">
      <c r="A1165" t="s">
        <v>370</v>
      </c>
      <c r="B1165">
        <v>505613</v>
      </c>
      <c r="C1165" t="s">
        <v>40</v>
      </c>
      <c r="D1165" s="1">
        <v>43580</v>
      </c>
      <c r="E1165" s="1">
        <v>43945</v>
      </c>
      <c r="F1165" t="s">
        <v>84</v>
      </c>
      <c r="G1165">
        <v>10</v>
      </c>
      <c r="H1165" t="s">
        <v>85</v>
      </c>
      <c r="I1165" t="s">
        <v>43</v>
      </c>
      <c r="J1165" t="s">
        <v>86</v>
      </c>
      <c r="K1165" t="s">
        <v>44</v>
      </c>
      <c r="L1165">
        <v>9294.35</v>
      </c>
      <c r="M1165" s="1">
        <v>43580</v>
      </c>
      <c r="N1165" t="s">
        <v>45</v>
      </c>
      <c r="O1165" t="s">
        <v>46</v>
      </c>
      <c r="P1165" t="s">
        <v>47</v>
      </c>
      <c r="Q1165" s="1">
        <v>43852</v>
      </c>
      <c r="R1165" t="s">
        <v>48</v>
      </c>
      <c r="S1165" t="s">
        <v>94</v>
      </c>
      <c r="T1165" t="s">
        <v>95</v>
      </c>
      <c r="U1165" t="s">
        <v>85</v>
      </c>
      <c r="V1165">
        <v>4500000</v>
      </c>
      <c r="W1165">
        <v>300000</v>
      </c>
      <c r="X1165" s="1">
        <v>43767</v>
      </c>
      <c r="Y1165" t="s">
        <v>51</v>
      </c>
      <c r="Z1165" t="s">
        <v>43</v>
      </c>
      <c r="AA1165" t="s">
        <v>86</v>
      </c>
      <c r="AB1165" t="s">
        <v>89</v>
      </c>
      <c r="AC1165" t="s">
        <v>90</v>
      </c>
      <c r="AF1165" t="s">
        <v>91</v>
      </c>
      <c r="AG1165" s="1">
        <v>43852</v>
      </c>
      <c r="AH1165" t="s">
        <v>85</v>
      </c>
      <c r="AI1165" t="s">
        <v>92</v>
      </c>
      <c r="AJ1165">
        <v>19888</v>
      </c>
      <c r="AK1165">
        <v>128777</v>
      </c>
      <c r="AL1165">
        <v>198882</v>
      </c>
    </row>
    <row r="1166" spans="1:38" x14ac:dyDescent="0.25">
      <c r="A1166" t="s">
        <v>370</v>
      </c>
      <c r="B1166">
        <v>505613</v>
      </c>
      <c r="C1166" t="s">
        <v>40</v>
      </c>
      <c r="D1166" s="1">
        <v>43580</v>
      </c>
      <c r="E1166" s="1">
        <v>43945</v>
      </c>
      <c r="F1166" t="s">
        <v>84</v>
      </c>
      <c r="G1166">
        <v>10</v>
      </c>
      <c r="H1166" t="s">
        <v>85</v>
      </c>
      <c r="I1166" t="s">
        <v>43</v>
      </c>
      <c r="J1166" t="s">
        <v>86</v>
      </c>
      <c r="K1166" t="s">
        <v>44</v>
      </c>
      <c r="L1166">
        <v>9294.35</v>
      </c>
      <c r="M1166" s="1">
        <v>43580</v>
      </c>
      <c r="N1166" t="s">
        <v>45</v>
      </c>
      <c r="O1166" t="s">
        <v>46</v>
      </c>
      <c r="P1166" t="s">
        <v>47</v>
      </c>
      <c r="Q1166" s="1">
        <v>43852</v>
      </c>
      <c r="R1166" t="s">
        <v>48</v>
      </c>
      <c r="S1166" t="s">
        <v>94</v>
      </c>
      <c r="T1166" t="s">
        <v>95</v>
      </c>
      <c r="U1166" t="s">
        <v>85</v>
      </c>
      <c r="V1166">
        <v>4500000</v>
      </c>
      <c r="W1166">
        <v>300000</v>
      </c>
      <c r="X1166" s="1">
        <v>43767</v>
      </c>
      <c r="Y1166" t="s">
        <v>51</v>
      </c>
      <c r="Z1166" t="s">
        <v>43</v>
      </c>
      <c r="AA1166" t="s">
        <v>86</v>
      </c>
      <c r="AB1166" t="s">
        <v>89</v>
      </c>
      <c r="AC1166" t="s">
        <v>90</v>
      </c>
      <c r="AF1166" t="s">
        <v>93</v>
      </c>
      <c r="AG1166" s="1">
        <v>43843</v>
      </c>
      <c r="AH1166" t="s">
        <v>85</v>
      </c>
      <c r="AI1166" t="s">
        <v>92</v>
      </c>
      <c r="AJ1166">
        <v>19888</v>
      </c>
      <c r="AK1166">
        <v>128777</v>
      </c>
      <c r="AL1166">
        <v>198882</v>
      </c>
    </row>
    <row r="1167" spans="1:38" x14ac:dyDescent="0.25">
      <c r="A1167" t="s">
        <v>370</v>
      </c>
      <c r="B1167">
        <v>505613</v>
      </c>
      <c r="C1167" t="s">
        <v>40</v>
      </c>
      <c r="D1167" s="1">
        <v>43580</v>
      </c>
      <c r="E1167" s="1">
        <v>43945</v>
      </c>
      <c r="F1167" t="s">
        <v>84</v>
      </c>
      <c r="G1167">
        <v>10</v>
      </c>
      <c r="H1167" t="s">
        <v>85</v>
      </c>
      <c r="I1167" t="s">
        <v>43</v>
      </c>
      <c r="J1167" t="s">
        <v>86</v>
      </c>
      <c r="K1167" t="s">
        <v>44</v>
      </c>
      <c r="L1167">
        <v>9294.35</v>
      </c>
      <c r="M1167" s="1">
        <v>43580</v>
      </c>
      <c r="N1167" t="s">
        <v>45</v>
      </c>
      <c r="O1167" t="s">
        <v>46</v>
      </c>
      <c r="P1167" t="s">
        <v>47</v>
      </c>
      <c r="Q1167" s="1">
        <v>43852</v>
      </c>
      <c r="R1167" t="s">
        <v>48</v>
      </c>
      <c r="S1167" t="s">
        <v>96</v>
      </c>
      <c r="T1167" t="s">
        <v>97</v>
      </c>
      <c r="U1167" t="s">
        <v>85</v>
      </c>
      <c r="V1167">
        <v>600000</v>
      </c>
      <c r="W1167">
        <v>100000</v>
      </c>
      <c r="X1167" s="1">
        <v>43799</v>
      </c>
      <c r="Y1167" t="s">
        <v>51</v>
      </c>
      <c r="Z1167" t="s">
        <v>43</v>
      </c>
      <c r="AA1167" t="s">
        <v>98</v>
      </c>
      <c r="AB1167" t="s">
        <v>89</v>
      </c>
      <c r="AC1167" t="s">
        <v>90</v>
      </c>
      <c r="AF1167" t="s">
        <v>91</v>
      </c>
      <c r="AG1167" s="1">
        <v>43852</v>
      </c>
      <c r="AH1167" t="s">
        <v>85</v>
      </c>
      <c r="AI1167" t="s">
        <v>92</v>
      </c>
      <c r="AJ1167">
        <v>19888</v>
      </c>
      <c r="AK1167">
        <v>128777</v>
      </c>
      <c r="AL1167">
        <v>198882</v>
      </c>
    </row>
    <row r="1168" spans="1:38" x14ac:dyDescent="0.25">
      <c r="A1168" t="s">
        <v>370</v>
      </c>
      <c r="B1168">
        <v>505613</v>
      </c>
      <c r="C1168" t="s">
        <v>40</v>
      </c>
      <c r="D1168" s="1">
        <v>43580</v>
      </c>
      <c r="E1168" s="1">
        <v>43945</v>
      </c>
      <c r="F1168" t="s">
        <v>84</v>
      </c>
      <c r="G1168">
        <v>10</v>
      </c>
      <c r="H1168" t="s">
        <v>85</v>
      </c>
      <c r="I1168" t="s">
        <v>43</v>
      </c>
      <c r="J1168" t="s">
        <v>86</v>
      </c>
      <c r="K1168" t="s">
        <v>44</v>
      </c>
      <c r="L1168">
        <v>9294.35</v>
      </c>
      <c r="M1168" s="1">
        <v>43580</v>
      </c>
      <c r="N1168" t="s">
        <v>45</v>
      </c>
      <c r="O1168" t="s">
        <v>46</v>
      </c>
      <c r="P1168" t="s">
        <v>47</v>
      </c>
      <c r="Q1168" s="1">
        <v>43852</v>
      </c>
      <c r="R1168" t="s">
        <v>48</v>
      </c>
      <c r="S1168" t="s">
        <v>96</v>
      </c>
      <c r="T1168" t="s">
        <v>97</v>
      </c>
      <c r="U1168" t="s">
        <v>85</v>
      </c>
      <c r="V1168">
        <v>600000</v>
      </c>
      <c r="W1168">
        <v>100000</v>
      </c>
      <c r="X1168" s="1">
        <v>43799</v>
      </c>
      <c r="Y1168" t="s">
        <v>51</v>
      </c>
      <c r="Z1168" t="s">
        <v>43</v>
      </c>
      <c r="AA1168" t="s">
        <v>98</v>
      </c>
      <c r="AB1168" t="s">
        <v>89</v>
      </c>
      <c r="AC1168" t="s">
        <v>90</v>
      </c>
      <c r="AF1168" t="s">
        <v>93</v>
      </c>
      <c r="AG1168" s="1">
        <v>43843</v>
      </c>
      <c r="AH1168" t="s">
        <v>85</v>
      </c>
      <c r="AI1168" t="s">
        <v>92</v>
      </c>
      <c r="AJ1168">
        <v>19888</v>
      </c>
      <c r="AK1168">
        <v>128777</v>
      </c>
      <c r="AL1168">
        <v>198882</v>
      </c>
    </row>
    <row r="1169" spans="1:38" x14ac:dyDescent="0.25">
      <c r="A1169" t="s">
        <v>370</v>
      </c>
      <c r="B1169">
        <v>505613</v>
      </c>
      <c r="C1169" t="s">
        <v>40</v>
      </c>
      <c r="D1169" s="1">
        <v>43580</v>
      </c>
      <c r="E1169" s="1">
        <v>43945</v>
      </c>
      <c r="F1169" t="s">
        <v>84</v>
      </c>
      <c r="G1169">
        <v>10</v>
      </c>
      <c r="H1169" t="s">
        <v>85</v>
      </c>
      <c r="I1169" t="s">
        <v>43</v>
      </c>
      <c r="J1169" t="s">
        <v>86</v>
      </c>
      <c r="K1169" t="s">
        <v>44</v>
      </c>
      <c r="L1169">
        <v>9294.35</v>
      </c>
      <c r="M1169" s="1">
        <v>43580</v>
      </c>
      <c r="N1169" t="s">
        <v>45</v>
      </c>
      <c r="O1169" t="s">
        <v>46</v>
      </c>
      <c r="P1169" t="s">
        <v>47</v>
      </c>
      <c r="Q1169" s="1">
        <v>43852</v>
      </c>
      <c r="R1169" t="s">
        <v>48</v>
      </c>
      <c r="S1169" t="s">
        <v>99</v>
      </c>
      <c r="T1169" t="s">
        <v>100</v>
      </c>
      <c r="U1169" t="s">
        <v>85</v>
      </c>
      <c r="V1169">
        <v>210000</v>
      </c>
      <c r="W1169">
        <v>35000</v>
      </c>
      <c r="X1169" s="1">
        <v>43799</v>
      </c>
      <c r="Y1169" t="s">
        <v>51</v>
      </c>
      <c r="Z1169" t="s">
        <v>43</v>
      </c>
      <c r="AA1169" t="s">
        <v>98</v>
      </c>
      <c r="AB1169" t="s">
        <v>89</v>
      </c>
      <c r="AC1169" t="s">
        <v>101</v>
      </c>
      <c r="AF1169" t="s">
        <v>91</v>
      </c>
      <c r="AG1169" s="1">
        <v>43852</v>
      </c>
      <c r="AH1169" t="s">
        <v>85</v>
      </c>
      <c r="AI1169" t="s">
        <v>92</v>
      </c>
      <c r="AJ1169">
        <v>19888</v>
      </c>
      <c r="AK1169">
        <v>128777</v>
      </c>
      <c r="AL1169">
        <v>198882</v>
      </c>
    </row>
    <row r="1170" spans="1:38" x14ac:dyDescent="0.25">
      <c r="A1170" t="s">
        <v>370</v>
      </c>
      <c r="B1170">
        <v>505613</v>
      </c>
      <c r="C1170" t="s">
        <v>40</v>
      </c>
      <c r="D1170" s="1">
        <v>43580</v>
      </c>
      <c r="E1170" s="1">
        <v>43945</v>
      </c>
      <c r="F1170" t="s">
        <v>84</v>
      </c>
      <c r="G1170">
        <v>10</v>
      </c>
      <c r="H1170" t="s">
        <v>85</v>
      </c>
      <c r="I1170" t="s">
        <v>43</v>
      </c>
      <c r="J1170" t="s">
        <v>86</v>
      </c>
      <c r="K1170" t="s">
        <v>44</v>
      </c>
      <c r="L1170">
        <v>9294.35</v>
      </c>
      <c r="M1170" s="1">
        <v>43580</v>
      </c>
      <c r="N1170" t="s">
        <v>45</v>
      </c>
      <c r="O1170" t="s">
        <v>46</v>
      </c>
      <c r="P1170" t="s">
        <v>47</v>
      </c>
      <c r="Q1170" s="1">
        <v>43852</v>
      </c>
      <c r="R1170" t="s">
        <v>48</v>
      </c>
      <c r="S1170" t="s">
        <v>99</v>
      </c>
      <c r="T1170" t="s">
        <v>100</v>
      </c>
      <c r="U1170" t="s">
        <v>85</v>
      </c>
      <c r="V1170">
        <v>210000</v>
      </c>
      <c r="W1170">
        <v>35000</v>
      </c>
      <c r="X1170" s="1">
        <v>43799</v>
      </c>
      <c r="Y1170" t="s">
        <v>51</v>
      </c>
      <c r="Z1170" t="s">
        <v>43</v>
      </c>
      <c r="AA1170" t="s">
        <v>98</v>
      </c>
      <c r="AB1170" t="s">
        <v>89</v>
      </c>
      <c r="AC1170" t="s">
        <v>101</v>
      </c>
      <c r="AF1170" t="s">
        <v>93</v>
      </c>
      <c r="AG1170" s="1">
        <v>43843</v>
      </c>
      <c r="AH1170" t="s">
        <v>85</v>
      </c>
      <c r="AI1170" t="s">
        <v>92</v>
      </c>
      <c r="AJ1170">
        <v>19888</v>
      </c>
      <c r="AK1170">
        <v>128777</v>
      </c>
      <c r="AL1170">
        <v>198882</v>
      </c>
    </row>
    <row r="1171" spans="1:38" x14ac:dyDescent="0.25">
      <c r="A1171" t="s">
        <v>370</v>
      </c>
      <c r="B1171">
        <v>505613</v>
      </c>
      <c r="C1171" t="s">
        <v>40</v>
      </c>
      <c r="D1171" s="1">
        <v>43580</v>
      </c>
      <c r="E1171" s="1">
        <v>43945</v>
      </c>
      <c r="F1171" t="s">
        <v>84</v>
      </c>
      <c r="G1171">
        <v>10</v>
      </c>
      <c r="H1171" t="s">
        <v>85</v>
      </c>
      <c r="I1171" t="s">
        <v>43</v>
      </c>
      <c r="J1171" t="s">
        <v>86</v>
      </c>
      <c r="K1171" t="s">
        <v>44</v>
      </c>
      <c r="L1171">
        <v>9294.35</v>
      </c>
      <c r="M1171" s="1">
        <v>43580</v>
      </c>
      <c r="N1171" t="s">
        <v>45</v>
      </c>
      <c r="O1171" t="s">
        <v>46</v>
      </c>
      <c r="P1171" t="s">
        <v>47</v>
      </c>
      <c r="Q1171" s="1">
        <v>43852</v>
      </c>
      <c r="R1171" t="s">
        <v>48</v>
      </c>
      <c r="S1171" t="s">
        <v>102</v>
      </c>
      <c r="T1171" t="s">
        <v>103</v>
      </c>
      <c r="U1171" t="s">
        <v>85</v>
      </c>
      <c r="V1171">
        <v>5000000</v>
      </c>
      <c r="W1171">
        <v>250000</v>
      </c>
      <c r="X1171" s="1">
        <v>43799</v>
      </c>
      <c r="Y1171" t="s">
        <v>51</v>
      </c>
      <c r="Z1171" t="s">
        <v>43</v>
      </c>
      <c r="AA1171" t="s">
        <v>86</v>
      </c>
      <c r="AB1171" t="s">
        <v>89</v>
      </c>
      <c r="AC1171" t="s">
        <v>90</v>
      </c>
      <c r="AF1171" t="s">
        <v>91</v>
      </c>
      <c r="AG1171" s="1">
        <v>43852</v>
      </c>
      <c r="AH1171" t="s">
        <v>85</v>
      </c>
      <c r="AI1171" t="s">
        <v>92</v>
      </c>
      <c r="AJ1171">
        <v>19888</v>
      </c>
      <c r="AK1171">
        <v>128777</v>
      </c>
      <c r="AL1171">
        <v>198882</v>
      </c>
    </row>
    <row r="1172" spans="1:38" x14ac:dyDescent="0.25">
      <c r="A1172" t="s">
        <v>370</v>
      </c>
      <c r="B1172">
        <v>505613</v>
      </c>
      <c r="C1172" t="s">
        <v>40</v>
      </c>
      <c r="D1172" s="1">
        <v>43580</v>
      </c>
      <c r="E1172" s="1">
        <v>43945</v>
      </c>
      <c r="F1172" t="s">
        <v>84</v>
      </c>
      <c r="G1172">
        <v>10</v>
      </c>
      <c r="H1172" t="s">
        <v>85</v>
      </c>
      <c r="I1172" t="s">
        <v>43</v>
      </c>
      <c r="J1172" t="s">
        <v>86</v>
      </c>
      <c r="K1172" t="s">
        <v>44</v>
      </c>
      <c r="L1172">
        <v>9294.35</v>
      </c>
      <c r="M1172" s="1">
        <v>43580</v>
      </c>
      <c r="N1172" t="s">
        <v>45</v>
      </c>
      <c r="O1172" t="s">
        <v>46</v>
      </c>
      <c r="P1172" t="s">
        <v>47</v>
      </c>
      <c r="Q1172" s="1">
        <v>43852</v>
      </c>
      <c r="R1172" t="s">
        <v>48</v>
      </c>
      <c r="S1172" t="s">
        <v>102</v>
      </c>
      <c r="T1172" t="s">
        <v>103</v>
      </c>
      <c r="U1172" t="s">
        <v>85</v>
      </c>
      <c r="V1172">
        <v>5000000</v>
      </c>
      <c r="W1172">
        <v>250000</v>
      </c>
      <c r="X1172" s="1">
        <v>43799</v>
      </c>
      <c r="Y1172" t="s">
        <v>51</v>
      </c>
      <c r="Z1172" t="s">
        <v>43</v>
      </c>
      <c r="AA1172" t="s">
        <v>86</v>
      </c>
      <c r="AB1172" t="s">
        <v>89</v>
      </c>
      <c r="AC1172" t="s">
        <v>90</v>
      </c>
      <c r="AF1172" t="s">
        <v>93</v>
      </c>
      <c r="AG1172" s="1">
        <v>43843</v>
      </c>
      <c r="AH1172" t="s">
        <v>85</v>
      </c>
      <c r="AI1172" t="s">
        <v>92</v>
      </c>
      <c r="AJ1172">
        <v>19888</v>
      </c>
      <c r="AK1172">
        <v>128777</v>
      </c>
      <c r="AL1172">
        <v>198882</v>
      </c>
    </row>
    <row r="1173" spans="1:38" x14ac:dyDescent="0.25">
      <c r="A1173" t="s">
        <v>370</v>
      </c>
      <c r="B1173" t="s">
        <v>386</v>
      </c>
      <c r="C1173" t="s">
        <v>71</v>
      </c>
      <c r="D1173" s="1">
        <v>43274</v>
      </c>
      <c r="E1173" s="1">
        <v>43638</v>
      </c>
      <c r="F1173" t="s">
        <v>84</v>
      </c>
      <c r="G1173">
        <v>12</v>
      </c>
      <c r="H1173" t="s">
        <v>155</v>
      </c>
      <c r="I1173" t="s">
        <v>43</v>
      </c>
      <c r="J1173" t="s">
        <v>126</v>
      </c>
      <c r="K1173" t="s">
        <v>44</v>
      </c>
      <c r="L1173">
        <v>2440.25</v>
      </c>
      <c r="M1173" s="1">
        <v>43274</v>
      </c>
      <c r="N1173" t="s">
        <v>45</v>
      </c>
      <c r="O1173" t="s">
        <v>46</v>
      </c>
      <c r="P1173" t="s">
        <v>47</v>
      </c>
      <c r="Q1173" s="1">
        <v>43852</v>
      </c>
      <c r="R1173" t="s">
        <v>48</v>
      </c>
      <c r="S1173" t="s">
        <v>387</v>
      </c>
      <c r="T1173" t="s">
        <v>388</v>
      </c>
      <c r="U1173" t="s">
        <v>155</v>
      </c>
      <c r="V1173">
        <v>0</v>
      </c>
      <c r="W1173">
        <v>75000</v>
      </c>
      <c r="X1173" s="1">
        <v>43921</v>
      </c>
      <c r="Y1173" t="s">
        <v>51</v>
      </c>
      <c r="Z1173" t="s">
        <v>43</v>
      </c>
      <c r="AA1173" t="s">
        <v>86</v>
      </c>
      <c r="AB1173" t="s">
        <v>89</v>
      </c>
      <c r="AC1173" t="s">
        <v>90</v>
      </c>
      <c r="AF1173" t="s">
        <v>160</v>
      </c>
      <c r="AG1173" s="1">
        <v>43851</v>
      </c>
    </row>
    <row r="1174" spans="1:38" x14ac:dyDescent="0.25">
      <c r="A1174" t="s">
        <v>370</v>
      </c>
      <c r="B1174" t="s">
        <v>386</v>
      </c>
      <c r="C1174" t="s">
        <v>71</v>
      </c>
      <c r="D1174" s="1">
        <v>43274</v>
      </c>
      <c r="E1174" s="1">
        <v>43638</v>
      </c>
      <c r="F1174" t="s">
        <v>84</v>
      </c>
      <c r="G1174">
        <v>12</v>
      </c>
      <c r="H1174" t="s">
        <v>155</v>
      </c>
      <c r="I1174" t="s">
        <v>43</v>
      </c>
      <c r="J1174" t="s">
        <v>126</v>
      </c>
      <c r="K1174" t="s">
        <v>44</v>
      </c>
      <c r="L1174">
        <v>2440.25</v>
      </c>
      <c r="M1174" s="1">
        <v>43274</v>
      </c>
      <c r="N1174" t="s">
        <v>45</v>
      </c>
      <c r="O1174" t="s">
        <v>46</v>
      </c>
      <c r="P1174" t="s">
        <v>47</v>
      </c>
      <c r="Q1174" s="1">
        <v>43852</v>
      </c>
      <c r="R1174" t="s">
        <v>48</v>
      </c>
      <c r="S1174" t="s">
        <v>387</v>
      </c>
      <c r="T1174" t="s">
        <v>388</v>
      </c>
      <c r="U1174" t="s">
        <v>155</v>
      </c>
      <c r="V1174">
        <v>0</v>
      </c>
      <c r="W1174">
        <v>75000</v>
      </c>
      <c r="X1174" s="1">
        <v>43921</v>
      </c>
      <c r="Y1174" t="s">
        <v>51</v>
      </c>
      <c r="Z1174" t="s">
        <v>43</v>
      </c>
      <c r="AA1174" t="s">
        <v>86</v>
      </c>
      <c r="AB1174" t="s">
        <v>89</v>
      </c>
      <c r="AC1174" t="s">
        <v>90</v>
      </c>
      <c r="AF1174" t="s">
        <v>161</v>
      </c>
      <c r="AG1174" s="1">
        <v>43851</v>
      </c>
    </row>
    <row r="1175" spans="1:38" x14ac:dyDescent="0.25">
      <c r="A1175" t="s">
        <v>370</v>
      </c>
      <c r="B1175" t="s">
        <v>386</v>
      </c>
      <c r="C1175" t="s">
        <v>71</v>
      </c>
      <c r="D1175" s="1">
        <v>43274</v>
      </c>
      <c r="E1175" s="1">
        <v>43638</v>
      </c>
      <c r="F1175" t="s">
        <v>84</v>
      </c>
      <c r="G1175">
        <v>12</v>
      </c>
      <c r="H1175" t="s">
        <v>155</v>
      </c>
      <c r="I1175" t="s">
        <v>43</v>
      </c>
      <c r="J1175" t="s">
        <v>126</v>
      </c>
      <c r="K1175" t="s">
        <v>44</v>
      </c>
      <c r="L1175">
        <v>2440.25</v>
      </c>
      <c r="M1175" s="1">
        <v>43274</v>
      </c>
      <c r="N1175" t="s">
        <v>45</v>
      </c>
      <c r="O1175" t="s">
        <v>46</v>
      </c>
      <c r="P1175" t="s">
        <v>47</v>
      </c>
      <c r="Q1175" s="1">
        <v>43852</v>
      </c>
      <c r="R1175" t="s">
        <v>48</v>
      </c>
      <c r="S1175" t="s">
        <v>387</v>
      </c>
      <c r="T1175" t="s">
        <v>388</v>
      </c>
      <c r="U1175" t="s">
        <v>155</v>
      </c>
      <c r="V1175">
        <v>0</v>
      </c>
      <c r="W1175">
        <v>75000</v>
      </c>
      <c r="X1175" s="1">
        <v>43921</v>
      </c>
      <c r="Y1175" t="s">
        <v>51</v>
      </c>
      <c r="Z1175" t="s">
        <v>43</v>
      </c>
      <c r="AA1175" t="s">
        <v>86</v>
      </c>
      <c r="AB1175" t="s">
        <v>89</v>
      </c>
      <c r="AC1175" t="s">
        <v>90</v>
      </c>
      <c r="AF1175" t="s">
        <v>162</v>
      </c>
      <c r="AG1175" s="1">
        <v>43851</v>
      </c>
    </row>
    <row r="1176" spans="1:38" x14ac:dyDescent="0.25">
      <c r="A1176" t="s">
        <v>370</v>
      </c>
      <c r="B1176" t="s">
        <v>386</v>
      </c>
      <c r="C1176" t="s">
        <v>71</v>
      </c>
      <c r="D1176" s="1">
        <v>43274</v>
      </c>
      <c r="E1176" s="1">
        <v>43638</v>
      </c>
      <c r="F1176" t="s">
        <v>84</v>
      </c>
      <c r="G1176">
        <v>12</v>
      </c>
      <c r="H1176" t="s">
        <v>155</v>
      </c>
      <c r="I1176" t="s">
        <v>43</v>
      </c>
      <c r="J1176" t="s">
        <v>126</v>
      </c>
      <c r="K1176" t="s">
        <v>44</v>
      </c>
      <c r="L1176">
        <v>2440.25</v>
      </c>
      <c r="M1176" s="1">
        <v>43274</v>
      </c>
      <c r="N1176" t="s">
        <v>45</v>
      </c>
      <c r="O1176" t="s">
        <v>46</v>
      </c>
      <c r="P1176" t="s">
        <v>47</v>
      </c>
      <c r="Q1176" s="1">
        <v>43852</v>
      </c>
      <c r="R1176" t="s">
        <v>48</v>
      </c>
      <c r="S1176" t="s">
        <v>387</v>
      </c>
      <c r="T1176" t="s">
        <v>388</v>
      </c>
      <c r="U1176" t="s">
        <v>155</v>
      </c>
      <c r="V1176">
        <v>0</v>
      </c>
      <c r="W1176">
        <v>75000</v>
      </c>
      <c r="X1176" s="1">
        <v>43921</v>
      </c>
      <c r="Y1176" t="s">
        <v>51</v>
      </c>
      <c r="Z1176" t="s">
        <v>43</v>
      </c>
      <c r="AA1176" t="s">
        <v>86</v>
      </c>
      <c r="AB1176" t="s">
        <v>89</v>
      </c>
      <c r="AC1176" t="s">
        <v>90</v>
      </c>
      <c r="AF1176" t="s">
        <v>163</v>
      </c>
      <c r="AG1176" s="1">
        <v>43852</v>
      </c>
    </row>
    <row r="1177" spans="1:38" x14ac:dyDescent="0.25">
      <c r="A1177" t="s">
        <v>370</v>
      </c>
      <c r="B1177" t="s">
        <v>386</v>
      </c>
      <c r="C1177" t="s">
        <v>71</v>
      </c>
      <c r="D1177" s="1">
        <v>43274</v>
      </c>
      <c r="E1177" s="1">
        <v>43638</v>
      </c>
      <c r="F1177" t="s">
        <v>84</v>
      </c>
      <c r="G1177">
        <v>12</v>
      </c>
      <c r="H1177" t="s">
        <v>155</v>
      </c>
      <c r="I1177" t="s">
        <v>43</v>
      </c>
      <c r="J1177" t="s">
        <v>126</v>
      </c>
      <c r="K1177" t="s">
        <v>44</v>
      </c>
      <c r="L1177">
        <v>2440.25</v>
      </c>
      <c r="M1177" s="1">
        <v>43274</v>
      </c>
      <c r="N1177" t="s">
        <v>45</v>
      </c>
      <c r="O1177" t="s">
        <v>46</v>
      </c>
      <c r="P1177" t="s">
        <v>47</v>
      </c>
      <c r="Q1177" s="1">
        <v>43852</v>
      </c>
      <c r="R1177" t="s">
        <v>48</v>
      </c>
      <c r="S1177" t="s">
        <v>389</v>
      </c>
      <c r="T1177" t="s">
        <v>390</v>
      </c>
      <c r="U1177" t="s">
        <v>155</v>
      </c>
      <c r="V1177">
        <v>0</v>
      </c>
      <c r="W1177">
        <v>25000</v>
      </c>
      <c r="X1177" s="1">
        <v>43921</v>
      </c>
      <c r="Y1177" t="s">
        <v>51</v>
      </c>
      <c r="Z1177" t="s">
        <v>43</v>
      </c>
      <c r="AA1177" t="s">
        <v>86</v>
      </c>
      <c r="AB1177" t="s">
        <v>89</v>
      </c>
      <c r="AC1177" t="s">
        <v>101</v>
      </c>
      <c r="AF1177" t="s">
        <v>160</v>
      </c>
      <c r="AG1177" s="1">
        <v>43851</v>
      </c>
    </row>
    <row r="1178" spans="1:38" x14ac:dyDescent="0.25">
      <c r="A1178" t="s">
        <v>370</v>
      </c>
      <c r="B1178" t="s">
        <v>386</v>
      </c>
      <c r="C1178" t="s">
        <v>71</v>
      </c>
      <c r="D1178" s="1">
        <v>43274</v>
      </c>
      <c r="E1178" s="1">
        <v>43638</v>
      </c>
      <c r="F1178" t="s">
        <v>84</v>
      </c>
      <c r="G1178">
        <v>12</v>
      </c>
      <c r="H1178" t="s">
        <v>155</v>
      </c>
      <c r="I1178" t="s">
        <v>43</v>
      </c>
      <c r="J1178" t="s">
        <v>126</v>
      </c>
      <c r="K1178" t="s">
        <v>44</v>
      </c>
      <c r="L1178">
        <v>2440.25</v>
      </c>
      <c r="M1178" s="1">
        <v>43274</v>
      </c>
      <c r="N1178" t="s">
        <v>45</v>
      </c>
      <c r="O1178" t="s">
        <v>46</v>
      </c>
      <c r="P1178" t="s">
        <v>47</v>
      </c>
      <c r="Q1178" s="1">
        <v>43852</v>
      </c>
      <c r="R1178" t="s">
        <v>48</v>
      </c>
      <c r="S1178" t="s">
        <v>389</v>
      </c>
      <c r="T1178" t="s">
        <v>390</v>
      </c>
      <c r="U1178" t="s">
        <v>155</v>
      </c>
      <c r="V1178">
        <v>0</v>
      </c>
      <c r="W1178">
        <v>25000</v>
      </c>
      <c r="X1178" s="1">
        <v>43921</v>
      </c>
      <c r="Y1178" t="s">
        <v>51</v>
      </c>
      <c r="Z1178" t="s">
        <v>43</v>
      </c>
      <c r="AA1178" t="s">
        <v>86</v>
      </c>
      <c r="AB1178" t="s">
        <v>89</v>
      </c>
      <c r="AC1178" t="s">
        <v>101</v>
      </c>
      <c r="AF1178" t="s">
        <v>161</v>
      </c>
      <c r="AG1178" s="1">
        <v>43851</v>
      </c>
    </row>
    <row r="1179" spans="1:38" x14ac:dyDescent="0.25">
      <c r="A1179" t="s">
        <v>370</v>
      </c>
      <c r="B1179" t="s">
        <v>386</v>
      </c>
      <c r="C1179" t="s">
        <v>71</v>
      </c>
      <c r="D1179" s="1">
        <v>43274</v>
      </c>
      <c r="E1179" s="1">
        <v>43638</v>
      </c>
      <c r="F1179" t="s">
        <v>84</v>
      </c>
      <c r="G1179">
        <v>12</v>
      </c>
      <c r="H1179" t="s">
        <v>155</v>
      </c>
      <c r="I1179" t="s">
        <v>43</v>
      </c>
      <c r="J1179" t="s">
        <v>126</v>
      </c>
      <c r="K1179" t="s">
        <v>44</v>
      </c>
      <c r="L1179">
        <v>2440.25</v>
      </c>
      <c r="M1179" s="1">
        <v>43274</v>
      </c>
      <c r="N1179" t="s">
        <v>45</v>
      </c>
      <c r="O1179" t="s">
        <v>46</v>
      </c>
      <c r="P1179" t="s">
        <v>47</v>
      </c>
      <c r="Q1179" s="1">
        <v>43852</v>
      </c>
      <c r="R1179" t="s">
        <v>48</v>
      </c>
      <c r="S1179" t="s">
        <v>389</v>
      </c>
      <c r="T1179" t="s">
        <v>390</v>
      </c>
      <c r="U1179" t="s">
        <v>155</v>
      </c>
      <c r="V1179">
        <v>0</v>
      </c>
      <c r="W1179">
        <v>25000</v>
      </c>
      <c r="X1179" s="1">
        <v>43921</v>
      </c>
      <c r="Y1179" t="s">
        <v>51</v>
      </c>
      <c r="Z1179" t="s">
        <v>43</v>
      </c>
      <c r="AA1179" t="s">
        <v>86</v>
      </c>
      <c r="AB1179" t="s">
        <v>89</v>
      </c>
      <c r="AC1179" t="s">
        <v>101</v>
      </c>
      <c r="AF1179" t="s">
        <v>162</v>
      </c>
      <c r="AG1179" s="1">
        <v>43851</v>
      </c>
    </row>
    <row r="1180" spans="1:38" x14ac:dyDescent="0.25">
      <c r="A1180" t="s">
        <v>370</v>
      </c>
      <c r="B1180" t="s">
        <v>386</v>
      </c>
      <c r="C1180" t="s">
        <v>71</v>
      </c>
      <c r="D1180" s="1">
        <v>43274</v>
      </c>
      <c r="E1180" s="1">
        <v>43638</v>
      </c>
      <c r="F1180" t="s">
        <v>84</v>
      </c>
      <c r="G1180">
        <v>12</v>
      </c>
      <c r="H1180" t="s">
        <v>155</v>
      </c>
      <c r="I1180" t="s">
        <v>43</v>
      </c>
      <c r="J1180" t="s">
        <v>126</v>
      </c>
      <c r="K1180" t="s">
        <v>44</v>
      </c>
      <c r="L1180">
        <v>2440.25</v>
      </c>
      <c r="M1180" s="1">
        <v>43274</v>
      </c>
      <c r="N1180" t="s">
        <v>45</v>
      </c>
      <c r="O1180" t="s">
        <v>46</v>
      </c>
      <c r="P1180" t="s">
        <v>47</v>
      </c>
      <c r="Q1180" s="1">
        <v>43852</v>
      </c>
      <c r="R1180" t="s">
        <v>48</v>
      </c>
      <c r="S1180" t="s">
        <v>389</v>
      </c>
      <c r="T1180" t="s">
        <v>390</v>
      </c>
      <c r="U1180" t="s">
        <v>155</v>
      </c>
      <c r="V1180">
        <v>0</v>
      </c>
      <c r="W1180">
        <v>25000</v>
      </c>
      <c r="X1180" s="1">
        <v>43921</v>
      </c>
      <c r="Y1180" t="s">
        <v>51</v>
      </c>
      <c r="Z1180" t="s">
        <v>43</v>
      </c>
      <c r="AA1180" t="s">
        <v>86</v>
      </c>
      <c r="AB1180" t="s">
        <v>89</v>
      </c>
      <c r="AC1180" t="s">
        <v>101</v>
      </c>
      <c r="AF1180" t="s">
        <v>163</v>
      </c>
      <c r="AG1180" s="1">
        <v>43852</v>
      </c>
    </row>
    <row r="1181" spans="1:38" x14ac:dyDescent="0.25">
      <c r="A1181" t="s">
        <v>370</v>
      </c>
      <c r="B1181" t="s">
        <v>386</v>
      </c>
      <c r="C1181" t="s">
        <v>71</v>
      </c>
      <c r="D1181" s="1">
        <v>43274</v>
      </c>
      <c r="E1181" s="1">
        <v>43638</v>
      </c>
      <c r="F1181" t="s">
        <v>84</v>
      </c>
      <c r="G1181">
        <v>12</v>
      </c>
      <c r="H1181" t="s">
        <v>155</v>
      </c>
      <c r="I1181" t="s">
        <v>43</v>
      </c>
      <c r="J1181" t="s">
        <v>126</v>
      </c>
      <c r="K1181" t="s">
        <v>44</v>
      </c>
      <c r="L1181">
        <v>2440.25</v>
      </c>
      <c r="M1181" s="1">
        <v>43274</v>
      </c>
      <c r="N1181" t="s">
        <v>45</v>
      </c>
      <c r="O1181" t="s">
        <v>46</v>
      </c>
      <c r="P1181" t="s">
        <v>47</v>
      </c>
      <c r="Q1181" s="1">
        <v>43852</v>
      </c>
      <c r="R1181" t="s">
        <v>48</v>
      </c>
      <c r="S1181" t="s">
        <v>391</v>
      </c>
      <c r="T1181" t="s">
        <v>392</v>
      </c>
      <c r="U1181" t="s">
        <v>155</v>
      </c>
      <c r="V1181">
        <v>2000000</v>
      </c>
      <c r="W1181">
        <v>150000</v>
      </c>
      <c r="X1181" s="1">
        <v>43982</v>
      </c>
      <c r="Y1181" t="s">
        <v>51</v>
      </c>
      <c r="Z1181" t="s">
        <v>43</v>
      </c>
      <c r="AA1181" t="s">
        <v>86</v>
      </c>
      <c r="AB1181" t="s">
        <v>89</v>
      </c>
      <c r="AC1181" t="s">
        <v>90</v>
      </c>
      <c r="AF1181" t="s">
        <v>160</v>
      </c>
      <c r="AG1181" s="1">
        <v>43851</v>
      </c>
    </row>
    <row r="1182" spans="1:38" x14ac:dyDescent="0.25">
      <c r="A1182" t="s">
        <v>370</v>
      </c>
      <c r="B1182" t="s">
        <v>386</v>
      </c>
      <c r="C1182" t="s">
        <v>71</v>
      </c>
      <c r="D1182" s="1">
        <v>43274</v>
      </c>
      <c r="E1182" s="1">
        <v>43638</v>
      </c>
      <c r="F1182" t="s">
        <v>84</v>
      </c>
      <c r="G1182">
        <v>12</v>
      </c>
      <c r="H1182" t="s">
        <v>155</v>
      </c>
      <c r="I1182" t="s">
        <v>43</v>
      </c>
      <c r="J1182" t="s">
        <v>126</v>
      </c>
      <c r="K1182" t="s">
        <v>44</v>
      </c>
      <c r="L1182">
        <v>2440.25</v>
      </c>
      <c r="M1182" s="1">
        <v>43274</v>
      </c>
      <c r="N1182" t="s">
        <v>45</v>
      </c>
      <c r="O1182" t="s">
        <v>46</v>
      </c>
      <c r="P1182" t="s">
        <v>47</v>
      </c>
      <c r="Q1182" s="1">
        <v>43852</v>
      </c>
      <c r="R1182" t="s">
        <v>48</v>
      </c>
      <c r="S1182" t="s">
        <v>391</v>
      </c>
      <c r="T1182" t="s">
        <v>392</v>
      </c>
      <c r="U1182" t="s">
        <v>155</v>
      </c>
      <c r="V1182">
        <v>2000000</v>
      </c>
      <c r="W1182">
        <v>150000</v>
      </c>
      <c r="X1182" s="1">
        <v>43982</v>
      </c>
      <c r="Y1182" t="s">
        <v>51</v>
      </c>
      <c r="Z1182" t="s">
        <v>43</v>
      </c>
      <c r="AA1182" t="s">
        <v>86</v>
      </c>
      <c r="AB1182" t="s">
        <v>89</v>
      </c>
      <c r="AC1182" t="s">
        <v>90</v>
      </c>
      <c r="AF1182" t="s">
        <v>161</v>
      </c>
      <c r="AG1182" s="1">
        <v>43851</v>
      </c>
    </row>
    <row r="1183" spans="1:38" x14ac:dyDescent="0.25">
      <c r="A1183" t="s">
        <v>370</v>
      </c>
      <c r="B1183" t="s">
        <v>386</v>
      </c>
      <c r="C1183" t="s">
        <v>71</v>
      </c>
      <c r="D1183" s="1">
        <v>43274</v>
      </c>
      <c r="E1183" s="1">
        <v>43638</v>
      </c>
      <c r="F1183" t="s">
        <v>84</v>
      </c>
      <c r="G1183">
        <v>12</v>
      </c>
      <c r="H1183" t="s">
        <v>155</v>
      </c>
      <c r="I1183" t="s">
        <v>43</v>
      </c>
      <c r="J1183" t="s">
        <v>126</v>
      </c>
      <c r="K1183" t="s">
        <v>44</v>
      </c>
      <c r="L1183">
        <v>2440.25</v>
      </c>
      <c r="M1183" s="1">
        <v>43274</v>
      </c>
      <c r="N1183" t="s">
        <v>45</v>
      </c>
      <c r="O1183" t="s">
        <v>46</v>
      </c>
      <c r="P1183" t="s">
        <v>47</v>
      </c>
      <c r="Q1183" s="1">
        <v>43852</v>
      </c>
      <c r="R1183" t="s">
        <v>48</v>
      </c>
      <c r="S1183" t="s">
        <v>391</v>
      </c>
      <c r="T1183" t="s">
        <v>392</v>
      </c>
      <c r="U1183" t="s">
        <v>155</v>
      </c>
      <c r="V1183">
        <v>2000000</v>
      </c>
      <c r="W1183">
        <v>150000</v>
      </c>
      <c r="X1183" s="1">
        <v>43982</v>
      </c>
      <c r="Y1183" t="s">
        <v>51</v>
      </c>
      <c r="Z1183" t="s">
        <v>43</v>
      </c>
      <c r="AA1183" t="s">
        <v>86</v>
      </c>
      <c r="AB1183" t="s">
        <v>89</v>
      </c>
      <c r="AC1183" t="s">
        <v>90</v>
      </c>
      <c r="AF1183" t="s">
        <v>162</v>
      </c>
      <c r="AG1183" s="1">
        <v>43851</v>
      </c>
    </row>
    <row r="1184" spans="1:38" x14ac:dyDescent="0.25">
      <c r="A1184" t="s">
        <v>370</v>
      </c>
      <c r="B1184" t="s">
        <v>386</v>
      </c>
      <c r="C1184" t="s">
        <v>71</v>
      </c>
      <c r="D1184" s="1">
        <v>43274</v>
      </c>
      <c r="E1184" s="1">
        <v>43638</v>
      </c>
      <c r="F1184" t="s">
        <v>84</v>
      </c>
      <c r="G1184">
        <v>12</v>
      </c>
      <c r="H1184" t="s">
        <v>155</v>
      </c>
      <c r="I1184" t="s">
        <v>43</v>
      </c>
      <c r="J1184" t="s">
        <v>126</v>
      </c>
      <c r="K1184" t="s">
        <v>44</v>
      </c>
      <c r="L1184">
        <v>2440.25</v>
      </c>
      <c r="M1184" s="1">
        <v>43274</v>
      </c>
      <c r="N1184" t="s">
        <v>45</v>
      </c>
      <c r="O1184" t="s">
        <v>46</v>
      </c>
      <c r="P1184" t="s">
        <v>47</v>
      </c>
      <c r="Q1184" s="1">
        <v>43852</v>
      </c>
      <c r="R1184" t="s">
        <v>48</v>
      </c>
      <c r="S1184" t="s">
        <v>391</v>
      </c>
      <c r="T1184" t="s">
        <v>392</v>
      </c>
      <c r="U1184" t="s">
        <v>155</v>
      </c>
      <c r="V1184">
        <v>2000000</v>
      </c>
      <c r="W1184">
        <v>150000</v>
      </c>
      <c r="X1184" s="1">
        <v>43982</v>
      </c>
      <c r="Y1184" t="s">
        <v>51</v>
      </c>
      <c r="Z1184" t="s">
        <v>43</v>
      </c>
      <c r="AA1184" t="s">
        <v>86</v>
      </c>
      <c r="AB1184" t="s">
        <v>89</v>
      </c>
      <c r="AC1184" t="s">
        <v>90</v>
      </c>
      <c r="AF1184" t="s">
        <v>163</v>
      </c>
      <c r="AG1184" s="1">
        <v>43852</v>
      </c>
    </row>
    <row r="1185" spans="1:38" x14ac:dyDescent="0.25">
      <c r="A1185" t="s">
        <v>370</v>
      </c>
      <c r="B1185" t="s">
        <v>393</v>
      </c>
      <c r="C1185" t="s">
        <v>40</v>
      </c>
      <c r="D1185" s="1">
        <v>43639</v>
      </c>
      <c r="E1185" s="1">
        <v>44004</v>
      </c>
      <c r="F1185" t="s">
        <v>84</v>
      </c>
      <c r="G1185">
        <v>3</v>
      </c>
      <c r="H1185" t="s">
        <v>125</v>
      </c>
      <c r="I1185" t="s">
        <v>43</v>
      </c>
      <c r="J1185" t="s">
        <v>126</v>
      </c>
      <c r="K1185" t="s">
        <v>44</v>
      </c>
      <c r="L1185">
        <v>1412.55</v>
      </c>
      <c r="M1185" s="1">
        <v>43639</v>
      </c>
      <c r="N1185" t="s">
        <v>45</v>
      </c>
      <c r="O1185" t="s">
        <v>44</v>
      </c>
      <c r="P1185" t="s">
        <v>47</v>
      </c>
      <c r="Q1185" s="1">
        <v>43852</v>
      </c>
      <c r="R1185" t="s">
        <v>48</v>
      </c>
      <c r="S1185" t="s">
        <v>286</v>
      </c>
      <c r="T1185" t="s">
        <v>287</v>
      </c>
      <c r="U1185" t="s">
        <v>125</v>
      </c>
      <c r="V1185">
        <v>8000000</v>
      </c>
      <c r="W1185">
        <v>400000</v>
      </c>
      <c r="X1185" s="1">
        <v>43782</v>
      </c>
      <c r="Y1185" t="s">
        <v>51</v>
      </c>
      <c r="Z1185" t="s">
        <v>43</v>
      </c>
      <c r="AA1185" t="s">
        <v>86</v>
      </c>
      <c r="AB1185" t="s">
        <v>89</v>
      </c>
      <c r="AC1185" t="s">
        <v>90</v>
      </c>
      <c r="AF1185" t="s">
        <v>134</v>
      </c>
      <c r="AG1185" s="1">
        <v>43843</v>
      </c>
      <c r="AH1185" t="s">
        <v>125</v>
      </c>
      <c r="AI1185" t="s">
        <v>92</v>
      </c>
      <c r="AJ1185">
        <v>1278023</v>
      </c>
      <c r="AK1185">
        <v>12365300</v>
      </c>
      <c r="AL1185">
        <v>12900</v>
      </c>
    </row>
    <row r="1186" spans="1:38" x14ac:dyDescent="0.25">
      <c r="A1186" t="s">
        <v>370</v>
      </c>
      <c r="B1186" t="s">
        <v>393</v>
      </c>
      <c r="C1186" t="s">
        <v>40</v>
      </c>
      <c r="D1186" s="1">
        <v>43639</v>
      </c>
      <c r="E1186" s="1">
        <v>44004</v>
      </c>
      <c r="F1186" t="s">
        <v>84</v>
      </c>
      <c r="G1186">
        <v>3</v>
      </c>
      <c r="H1186" t="s">
        <v>125</v>
      </c>
      <c r="I1186" t="s">
        <v>43</v>
      </c>
      <c r="J1186" t="s">
        <v>126</v>
      </c>
      <c r="K1186" t="s">
        <v>44</v>
      </c>
      <c r="L1186">
        <v>1412.55</v>
      </c>
      <c r="M1186" s="1">
        <v>43639</v>
      </c>
      <c r="N1186" t="s">
        <v>45</v>
      </c>
      <c r="O1186" t="s">
        <v>44</v>
      </c>
      <c r="P1186" t="s">
        <v>47</v>
      </c>
      <c r="Q1186" s="1">
        <v>43852</v>
      </c>
      <c r="R1186" t="s">
        <v>48</v>
      </c>
      <c r="S1186" t="s">
        <v>286</v>
      </c>
      <c r="T1186" t="s">
        <v>287</v>
      </c>
      <c r="U1186" t="s">
        <v>125</v>
      </c>
      <c r="V1186">
        <v>8000000</v>
      </c>
      <c r="W1186">
        <v>400000</v>
      </c>
      <c r="X1186" s="1">
        <v>43782</v>
      </c>
      <c r="Y1186" t="s">
        <v>51</v>
      </c>
      <c r="Z1186" t="s">
        <v>43</v>
      </c>
      <c r="AA1186" t="s">
        <v>86</v>
      </c>
      <c r="AB1186" t="s">
        <v>89</v>
      </c>
      <c r="AC1186" t="s">
        <v>90</v>
      </c>
      <c r="AF1186" t="s">
        <v>135</v>
      </c>
      <c r="AG1186" s="1">
        <v>43843</v>
      </c>
      <c r="AH1186" t="s">
        <v>125</v>
      </c>
      <c r="AI1186" t="s">
        <v>92</v>
      </c>
      <c r="AJ1186">
        <v>1278023</v>
      </c>
      <c r="AK1186">
        <v>12365300</v>
      </c>
      <c r="AL1186">
        <v>12900</v>
      </c>
    </row>
    <row r="1187" spans="1:38" x14ac:dyDescent="0.25">
      <c r="A1187" t="s">
        <v>370</v>
      </c>
      <c r="B1187" t="s">
        <v>393</v>
      </c>
      <c r="C1187" t="s">
        <v>40</v>
      </c>
      <c r="D1187" s="1">
        <v>43639</v>
      </c>
      <c r="E1187" s="1">
        <v>44004</v>
      </c>
      <c r="F1187" t="s">
        <v>84</v>
      </c>
      <c r="G1187">
        <v>3</v>
      </c>
      <c r="H1187" t="s">
        <v>125</v>
      </c>
      <c r="I1187" t="s">
        <v>43</v>
      </c>
      <c r="J1187" t="s">
        <v>126</v>
      </c>
      <c r="K1187" t="s">
        <v>44</v>
      </c>
      <c r="L1187">
        <v>1412.55</v>
      </c>
      <c r="M1187" s="1">
        <v>43639</v>
      </c>
      <c r="N1187" t="s">
        <v>45</v>
      </c>
      <c r="O1187" t="s">
        <v>44</v>
      </c>
      <c r="P1187" t="s">
        <v>47</v>
      </c>
      <c r="Q1187" s="1">
        <v>43852</v>
      </c>
      <c r="R1187" t="s">
        <v>48</v>
      </c>
      <c r="S1187" t="s">
        <v>286</v>
      </c>
      <c r="T1187" t="s">
        <v>287</v>
      </c>
      <c r="U1187" t="s">
        <v>125</v>
      </c>
      <c r="V1187">
        <v>8000000</v>
      </c>
      <c r="W1187">
        <v>400000</v>
      </c>
      <c r="X1187" s="1">
        <v>43782</v>
      </c>
      <c r="Y1187" t="s">
        <v>51</v>
      </c>
      <c r="Z1187" t="s">
        <v>43</v>
      </c>
      <c r="AA1187" t="s">
        <v>86</v>
      </c>
      <c r="AB1187" t="s">
        <v>89</v>
      </c>
      <c r="AC1187" t="s">
        <v>90</v>
      </c>
      <c r="AF1187" t="s">
        <v>136</v>
      </c>
      <c r="AG1187" s="1">
        <v>43839</v>
      </c>
      <c r="AH1187" t="s">
        <v>125</v>
      </c>
      <c r="AI1187" t="s">
        <v>92</v>
      </c>
      <c r="AJ1187">
        <v>1278023</v>
      </c>
      <c r="AK1187">
        <v>12365300</v>
      </c>
      <c r="AL1187">
        <v>12900</v>
      </c>
    </row>
    <row r="1188" spans="1:38" x14ac:dyDescent="0.25">
      <c r="A1188" t="s">
        <v>370</v>
      </c>
      <c r="B1188" t="s">
        <v>393</v>
      </c>
      <c r="C1188" t="s">
        <v>40</v>
      </c>
      <c r="D1188" s="1">
        <v>43639</v>
      </c>
      <c r="E1188" s="1">
        <v>44004</v>
      </c>
      <c r="F1188" t="s">
        <v>84</v>
      </c>
      <c r="G1188">
        <v>3</v>
      </c>
      <c r="H1188" t="s">
        <v>125</v>
      </c>
      <c r="I1188" t="s">
        <v>43</v>
      </c>
      <c r="J1188" t="s">
        <v>126</v>
      </c>
      <c r="K1188" t="s">
        <v>44</v>
      </c>
      <c r="L1188">
        <v>1412.55</v>
      </c>
      <c r="M1188" s="1">
        <v>43639</v>
      </c>
      <c r="N1188" t="s">
        <v>45</v>
      </c>
      <c r="O1188" t="s">
        <v>44</v>
      </c>
      <c r="P1188" t="s">
        <v>47</v>
      </c>
      <c r="Q1188" s="1">
        <v>43852</v>
      </c>
      <c r="R1188" t="s">
        <v>48</v>
      </c>
      <c r="S1188" t="s">
        <v>286</v>
      </c>
      <c r="T1188" t="s">
        <v>287</v>
      </c>
      <c r="U1188" t="s">
        <v>125</v>
      </c>
      <c r="V1188">
        <v>8000000</v>
      </c>
      <c r="W1188">
        <v>400000</v>
      </c>
      <c r="X1188" s="1">
        <v>43782</v>
      </c>
      <c r="Y1188" t="s">
        <v>51</v>
      </c>
      <c r="Z1188" t="s">
        <v>43</v>
      </c>
      <c r="AA1188" t="s">
        <v>86</v>
      </c>
      <c r="AB1188" t="s">
        <v>89</v>
      </c>
      <c r="AC1188" t="s">
        <v>90</v>
      </c>
      <c r="AF1188" t="s">
        <v>137</v>
      </c>
      <c r="AG1188" s="1">
        <v>43840</v>
      </c>
      <c r="AH1188" t="s">
        <v>125</v>
      </c>
      <c r="AI1188" t="s">
        <v>92</v>
      </c>
      <c r="AJ1188">
        <v>1278023</v>
      </c>
      <c r="AK1188">
        <v>12365300</v>
      </c>
      <c r="AL1188">
        <v>12900</v>
      </c>
    </row>
    <row r="1189" spans="1:38" x14ac:dyDescent="0.25">
      <c r="A1189" t="s">
        <v>370</v>
      </c>
      <c r="B1189" t="s">
        <v>393</v>
      </c>
      <c r="C1189" t="s">
        <v>40</v>
      </c>
      <c r="D1189" s="1">
        <v>43639</v>
      </c>
      <c r="E1189" s="1">
        <v>44004</v>
      </c>
      <c r="F1189" t="s">
        <v>84</v>
      </c>
      <c r="G1189">
        <v>3</v>
      </c>
      <c r="H1189" t="s">
        <v>125</v>
      </c>
      <c r="I1189" t="s">
        <v>43</v>
      </c>
      <c r="J1189" t="s">
        <v>126</v>
      </c>
      <c r="K1189" t="s">
        <v>44</v>
      </c>
      <c r="L1189">
        <v>1412.55</v>
      </c>
      <c r="M1189" s="1">
        <v>43639</v>
      </c>
      <c r="N1189" t="s">
        <v>45</v>
      </c>
      <c r="O1189" t="s">
        <v>44</v>
      </c>
      <c r="P1189" t="s">
        <v>47</v>
      </c>
      <c r="Q1189" s="1">
        <v>43852</v>
      </c>
      <c r="R1189" t="s">
        <v>48</v>
      </c>
      <c r="S1189" t="s">
        <v>288</v>
      </c>
      <c r="T1189" t="s">
        <v>289</v>
      </c>
      <c r="U1189" t="s">
        <v>125</v>
      </c>
      <c r="V1189">
        <v>2500000</v>
      </c>
      <c r="W1189">
        <v>125000</v>
      </c>
      <c r="X1189" s="1">
        <v>43800</v>
      </c>
      <c r="Y1189" t="s">
        <v>51</v>
      </c>
      <c r="Z1189" t="s">
        <v>43</v>
      </c>
      <c r="AA1189" t="s">
        <v>86</v>
      </c>
      <c r="AB1189" t="s">
        <v>89</v>
      </c>
      <c r="AC1189" t="s">
        <v>90</v>
      </c>
      <c r="AF1189" t="s">
        <v>134</v>
      </c>
      <c r="AG1189" s="1">
        <v>43843</v>
      </c>
      <c r="AH1189" t="s">
        <v>125</v>
      </c>
      <c r="AI1189" t="s">
        <v>92</v>
      </c>
      <c r="AJ1189">
        <v>1278023</v>
      </c>
      <c r="AK1189">
        <v>12365300</v>
      </c>
      <c r="AL1189">
        <v>12900</v>
      </c>
    </row>
    <row r="1190" spans="1:38" x14ac:dyDescent="0.25">
      <c r="A1190" t="s">
        <v>370</v>
      </c>
      <c r="B1190" t="s">
        <v>393</v>
      </c>
      <c r="C1190" t="s">
        <v>40</v>
      </c>
      <c r="D1190" s="1">
        <v>43639</v>
      </c>
      <c r="E1190" s="1">
        <v>44004</v>
      </c>
      <c r="F1190" t="s">
        <v>84</v>
      </c>
      <c r="G1190">
        <v>3</v>
      </c>
      <c r="H1190" t="s">
        <v>125</v>
      </c>
      <c r="I1190" t="s">
        <v>43</v>
      </c>
      <c r="J1190" t="s">
        <v>126</v>
      </c>
      <c r="K1190" t="s">
        <v>44</v>
      </c>
      <c r="L1190">
        <v>1412.55</v>
      </c>
      <c r="M1190" s="1">
        <v>43639</v>
      </c>
      <c r="N1190" t="s">
        <v>45</v>
      </c>
      <c r="O1190" t="s">
        <v>44</v>
      </c>
      <c r="P1190" t="s">
        <v>47</v>
      </c>
      <c r="Q1190" s="1">
        <v>43852</v>
      </c>
      <c r="R1190" t="s">
        <v>48</v>
      </c>
      <c r="S1190" t="s">
        <v>288</v>
      </c>
      <c r="T1190" t="s">
        <v>289</v>
      </c>
      <c r="U1190" t="s">
        <v>125</v>
      </c>
      <c r="V1190">
        <v>2500000</v>
      </c>
      <c r="W1190">
        <v>125000</v>
      </c>
      <c r="X1190" s="1">
        <v>43800</v>
      </c>
      <c r="Y1190" t="s">
        <v>51</v>
      </c>
      <c r="Z1190" t="s">
        <v>43</v>
      </c>
      <c r="AA1190" t="s">
        <v>86</v>
      </c>
      <c r="AB1190" t="s">
        <v>89</v>
      </c>
      <c r="AC1190" t="s">
        <v>90</v>
      </c>
      <c r="AF1190" t="s">
        <v>135</v>
      </c>
      <c r="AG1190" s="1">
        <v>43843</v>
      </c>
      <c r="AH1190" t="s">
        <v>125</v>
      </c>
      <c r="AI1190" t="s">
        <v>92</v>
      </c>
      <c r="AJ1190">
        <v>1278023</v>
      </c>
      <c r="AK1190">
        <v>12365300</v>
      </c>
      <c r="AL1190">
        <v>12900</v>
      </c>
    </row>
    <row r="1191" spans="1:38" x14ac:dyDescent="0.25">
      <c r="A1191" t="s">
        <v>370</v>
      </c>
      <c r="B1191" t="s">
        <v>393</v>
      </c>
      <c r="C1191" t="s">
        <v>40</v>
      </c>
      <c r="D1191" s="1">
        <v>43639</v>
      </c>
      <c r="E1191" s="1">
        <v>44004</v>
      </c>
      <c r="F1191" t="s">
        <v>84</v>
      </c>
      <c r="G1191">
        <v>3</v>
      </c>
      <c r="H1191" t="s">
        <v>125</v>
      </c>
      <c r="I1191" t="s">
        <v>43</v>
      </c>
      <c r="J1191" t="s">
        <v>126</v>
      </c>
      <c r="K1191" t="s">
        <v>44</v>
      </c>
      <c r="L1191">
        <v>1412.55</v>
      </c>
      <c r="M1191" s="1">
        <v>43639</v>
      </c>
      <c r="N1191" t="s">
        <v>45</v>
      </c>
      <c r="O1191" t="s">
        <v>44</v>
      </c>
      <c r="P1191" t="s">
        <v>47</v>
      </c>
      <c r="Q1191" s="1">
        <v>43852</v>
      </c>
      <c r="R1191" t="s">
        <v>48</v>
      </c>
      <c r="S1191" t="s">
        <v>288</v>
      </c>
      <c r="T1191" t="s">
        <v>289</v>
      </c>
      <c r="U1191" t="s">
        <v>125</v>
      </c>
      <c r="V1191">
        <v>2500000</v>
      </c>
      <c r="W1191">
        <v>125000</v>
      </c>
      <c r="X1191" s="1">
        <v>43800</v>
      </c>
      <c r="Y1191" t="s">
        <v>51</v>
      </c>
      <c r="Z1191" t="s">
        <v>43</v>
      </c>
      <c r="AA1191" t="s">
        <v>86</v>
      </c>
      <c r="AB1191" t="s">
        <v>89</v>
      </c>
      <c r="AC1191" t="s">
        <v>90</v>
      </c>
      <c r="AF1191" t="s">
        <v>136</v>
      </c>
      <c r="AG1191" s="1">
        <v>43839</v>
      </c>
      <c r="AH1191" t="s">
        <v>125</v>
      </c>
      <c r="AI1191" t="s">
        <v>92</v>
      </c>
      <c r="AJ1191">
        <v>1278023</v>
      </c>
      <c r="AK1191">
        <v>12365300</v>
      </c>
      <c r="AL1191">
        <v>12900</v>
      </c>
    </row>
    <row r="1192" spans="1:38" x14ac:dyDescent="0.25">
      <c r="A1192" t="s">
        <v>370</v>
      </c>
      <c r="B1192" t="s">
        <v>393</v>
      </c>
      <c r="C1192" t="s">
        <v>40</v>
      </c>
      <c r="D1192" s="1">
        <v>43639</v>
      </c>
      <c r="E1192" s="1">
        <v>44004</v>
      </c>
      <c r="F1192" t="s">
        <v>84</v>
      </c>
      <c r="G1192">
        <v>3</v>
      </c>
      <c r="H1192" t="s">
        <v>125</v>
      </c>
      <c r="I1192" t="s">
        <v>43</v>
      </c>
      <c r="J1192" t="s">
        <v>126</v>
      </c>
      <c r="K1192" t="s">
        <v>44</v>
      </c>
      <c r="L1192">
        <v>1412.55</v>
      </c>
      <c r="M1192" s="1">
        <v>43639</v>
      </c>
      <c r="N1192" t="s">
        <v>45</v>
      </c>
      <c r="O1192" t="s">
        <v>44</v>
      </c>
      <c r="P1192" t="s">
        <v>47</v>
      </c>
      <c r="Q1192" s="1">
        <v>43852</v>
      </c>
      <c r="R1192" t="s">
        <v>48</v>
      </c>
      <c r="S1192" t="s">
        <v>288</v>
      </c>
      <c r="T1192" t="s">
        <v>289</v>
      </c>
      <c r="U1192" t="s">
        <v>125</v>
      </c>
      <c r="V1192">
        <v>2500000</v>
      </c>
      <c r="W1192">
        <v>125000</v>
      </c>
      <c r="X1192" s="1">
        <v>43800</v>
      </c>
      <c r="Y1192" t="s">
        <v>51</v>
      </c>
      <c r="Z1192" t="s">
        <v>43</v>
      </c>
      <c r="AA1192" t="s">
        <v>86</v>
      </c>
      <c r="AB1192" t="s">
        <v>89</v>
      </c>
      <c r="AC1192" t="s">
        <v>90</v>
      </c>
      <c r="AF1192" t="s">
        <v>137</v>
      </c>
      <c r="AG1192" s="1">
        <v>43840</v>
      </c>
      <c r="AH1192" t="s">
        <v>125</v>
      </c>
      <c r="AI1192" t="s">
        <v>92</v>
      </c>
      <c r="AJ1192">
        <v>1278023</v>
      </c>
      <c r="AK1192">
        <v>12365300</v>
      </c>
      <c r="AL1192">
        <v>12900</v>
      </c>
    </row>
    <row r="1193" spans="1:38" x14ac:dyDescent="0.25">
      <c r="A1193" t="s">
        <v>370</v>
      </c>
      <c r="B1193" t="s">
        <v>393</v>
      </c>
      <c r="C1193" t="s">
        <v>40</v>
      </c>
      <c r="D1193" s="1">
        <v>43639</v>
      </c>
      <c r="E1193" s="1">
        <v>44004</v>
      </c>
      <c r="F1193" t="s">
        <v>84</v>
      </c>
      <c r="G1193">
        <v>3</v>
      </c>
      <c r="H1193" t="s">
        <v>125</v>
      </c>
      <c r="I1193" t="s">
        <v>43</v>
      </c>
      <c r="J1193" t="s">
        <v>126</v>
      </c>
      <c r="K1193" t="s">
        <v>44</v>
      </c>
      <c r="L1193">
        <v>1412.55</v>
      </c>
      <c r="M1193" s="1">
        <v>43639</v>
      </c>
      <c r="N1193" t="s">
        <v>45</v>
      </c>
      <c r="O1193" t="s">
        <v>44</v>
      </c>
      <c r="P1193" t="s">
        <v>47</v>
      </c>
      <c r="Q1193" s="1">
        <v>43852</v>
      </c>
      <c r="R1193" t="s">
        <v>48</v>
      </c>
      <c r="S1193" t="s">
        <v>290</v>
      </c>
      <c r="T1193" t="s">
        <v>291</v>
      </c>
      <c r="U1193" t="s">
        <v>125</v>
      </c>
      <c r="V1193">
        <v>9500000</v>
      </c>
      <c r="W1193">
        <v>200000</v>
      </c>
      <c r="X1193" s="1">
        <v>43738</v>
      </c>
      <c r="Y1193" t="s">
        <v>131</v>
      </c>
      <c r="Z1193" t="s">
        <v>43</v>
      </c>
      <c r="AA1193" t="s">
        <v>86</v>
      </c>
      <c r="AB1193" t="s">
        <v>89</v>
      </c>
      <c r="AC1193" t="s">
        <v>90</v>
      </c>
      <c r="AF1193" t="s">
        <v>134</v>
      </c>
      <c r="AG1193" s="1">
        <v>43843</v>
      </c>
      <c r="AH1193" t="s">
        <v>125</v>
      </c>
      <c r="AI1193" t="s">
        <v>92</v>
      </c>
      <c r="AJ1193">
        <v>1278023</v>
      </c>
      <c r="AK1193">
        <v>12365300</v>
      </c>
      <c r="AL1193">
        <v>12900</v>
      </c>
    </row>
    <row r="1194" spans="1:38" x14ac:dyDescent="0.25">
      <c r="A1194" t="s">
        <v>370</v>
      </c>
      <c r="B1194" t="s">
        <v>393</v>
      </c>
      <c r="C1194" t="s">
        <v>40</v>
      </c>
      <c r="D1194" s="1">
        <v>43639</v>
      </c>
      <c r="E1194" s="1">
        <v>44004</v>
      </c>
      <c r="F1194" t="s">
        <v>84</v>
      </c>
      <c r="G1194">
        <v>3</v>
      </c>
      <c r="H1194" t="s">
        <v>125</v>
      </c>
      <c r="I1194" t="s">
        <v>43</v>
      </c>
      <c r="J1194" t="s">
        <v>126</v>
      </c>
      <c r="K1194" t="s">
        <v>44</v>
      </c>
      <c r="L1194">
        <v>1412.55</v>
      </c>
      <c r="M1194" s="1">
        <v>43639</v>
      </c>
      <c r="N1194" t="s">
        <v>45</v>
      </c>
      <c r="O1194" t="s">
        <v>44</v>
      </c>
      <c r="P1194" t="s">
        <v>47</v>
      </c>
      <c r="Q1194" s="1">
        <v>43852</v>
      </c>
      <c r="R1194" t="s">
        <v>48</v>
      </c>
      <c r="S1194" t="s">
        <v>290</v>
      </c>
      <c r="T1194" t="s">
        <v>291</v>
      </c>
      <c r="U1194" t="s">
        <v>125</v>
      </c>
      <c r="V1194">
        <v>9500000</v>
      </c>
      <c r="W1194">
        <v>200000</v>
      </c>
      <c r="X1194" s="1">
        <v>43738</v>
      </c>
      <c r="Y1194" t="s">
        <v>131</v>
      </c>
      <c r="Z1194" t="s">
        <v>43</v>
      </c>
      <c r="AA1194" t="s">
        <v>86</v>
      </c>
      <c r="AB1194" t="s">
        <v>89</v>
      </c>
      <c r="AC1194" t="s">
        <v>90</v>
      </c>
      <c r="AF1194" t="s">
        <v>135</v>
      </c>
      <c r="AG1194" s="1">
        <v>43843</v>
      </c>
      <c r="AH1194" t="s">
        <v>125</v>
      </c>
      <c r="AI1194" t="s">
        <v>92</v>
      </c>
      <c r="AJ1194">
        <v>1278023</v>
      </c>
      <c r="AK1194">
        <v>12365300</v>
      </c>
      <c r="AL1194">
        <v>12900</v>
      </c>
    </row>
    <row r="1195" spans="1:38" x14ac:dyDescent="0.25">
      <c r="A1195" t="s">
        <v>370</v>
      </c>
      <c r="B1195" t="s">
        <v>393</v>
      </c>
      <c r="C1195" t="s">
        <v>40</v>
      </c>
      <c r="D1195" s="1">
        <v>43639</v>
      </c>
      <c r="E1195" s="1">
        <v>44004</v>
      </c>
      <c r="F1195" t="s">
        <v>84</v>
      </c>
      <c r="G1195">
        <v>3</v>
      </c>
      <c r="H1195" t="s">
        <v>125</v>
      </c>
      <c r="I1195" t="s">
        <v>43</v>
      </c>
      <c r="J1195" t="s">
        <v>126</v>
      </c>
      <c r="K1195" t="s">
        <v>44</v>
      </c>
      <c r="L1195">
        <v>1412.55</v>
      </c>
      <c r="M1195" s="1">
        <v>43639</v>
      </c>
      <c r="N1195" t="s">
        <v>45</v>
      </c>
      <c r="O1195" t="s">
        <v>44</v>
      </c>
      <c r="P1195" t="s">
        <v>47</v>
      </c>
      <c r="Q1195" s="1">
        <v>43852</v>
      </c>
      <c r="R1195" t="s">
        <v>48</v>
      </c>
      <c r="S1195" t="s">
        <v>290</v>
      </c>
      <c r="T1195" t="s">
        <v>291</v>
      </c>
      <c r="U1195" t="s">
        <v>125</v>
      </c>
      <c r="V1195">
        <v>9500000</v>
      </c>
      <c r="W1195">
        <v>200000</v>
      </c>
      <c r="X1195" s="1">
        <v>43738</v>
      </c>
      <c r="Y1195" t="s">
        <v>131</v>
      </c>
      <c r="Z1195" t="s">
        <v>43</v>
      </c>
      <c r="AA1195" t="s">
        <v>86</v>
      </c>
      <c r="AB1195" t="s">
        <v>89</v>
      </c>
      <c r="AC1195" t="s">
        <v>90</v>
      </c>
      <c r="AF1195" t="s">
        <v>136</v>
      </c>
      <c r="AG1195" s="1">
        <v>43839</v>
      </c>
      <c r="AH1195" t="s">
        <v>125</v>
      </c>
      <c r="AI1195" t="s">
        <v>92</v>
      </c>
      <c r="AJ1195">
        <v>1278023</v>
      </c>
      <c r="AK1195">
        <v>12365300</v>
      </c>
      <c r="AL1195">
        <v>12900</v>
      </c>
    </row>
    <row r="1196" spans="1:38" x14ac:dyDescent="0.25">
      <c r="A1196" t="s">
        <v>370</v>
      </c>
      <c r="B1196" t="s">
        <v>393</v>
      </c>
      <c r="C1196" t="s">
        <v>40</v>
      </c>
      <c r="D1196" s="1">
        <v>43639</v>
      </c>
      <c r="E1196" s="1">
        <v>44004</v>
      </c>
      <c r="F1196" t="s">
        <v>84</v>
      </c>
      <c r="G1196">
        <v>3</v>
      </c>
      <c r="H1196" t="s">
        <v>125</v>
      </c>
      <c r="I1196" t="s">
        <v>43</v>
      </c>
      <c r="J1196" t="s">
        <v>126</v>
      </c>
      <c r="K1196" t="s">
        <v>44</v>
      </c>
      <c r="L1196">
        <v>1412.55</v>
      </c>
      <c r="M1196" s="1">
        <v>43639</v>
      </c>
      <c r="N1196" t="s">
        <v>45</v>
      </c>
      <c r="O1196" t="s">
        <v>44</v>
      </c>
      <c r="P1196" t="s">
        <v>47</v>
      </c>
      <c r="Q1196" s="1">
        <v>43852</v>
      </c>
      <c r="R1196" t="s">
        <v>48</v>
      </c>
      <c r="S1196" t="s">
        <v>290</v>
      </c>
      <c r="T1196" t="s">
        <v>291</v>
      </c>
      <c r="U1196" t="s">
        <v>125</v>
      </c>
      <c r="V1196">
        <v>9500000</v>
      </c>
      <c r="W1196">
        <v>200000</v>
      </c>
      <c r="X1196" s="1">
        <v>43738</v>
      </c>
      <c r="Y1196" t="s">
        <v>131</v>
      </c>
      <c r="Z1196" t="s">
        <v>43</v>
      </c>
      <c r="AA1196" t="s">
        <v>86</v>
      </c>
      <c r="AB1196" t="s">
        <v>89</v>
      </c>
      <c r="AC1196" t="s">
        <v>90</v>
      </c>
      <c r="AF1196" t="s">
        <v>137</v>
      </c>
      <c r="AG1196" s="1">
        <v>43840</v>
      </c>
      <c r="AH1196" t="s">
        <v>125</v>
      </c>
      <c r="AI1196" t="s">
        <v>92</v>
      </c>
      <c r="AJ1196">
        <v>1278023</v>
      </c>
      <c r="AK1196">
        <v>12365300</v>
      </c>
      <c r="AL1196">
        <v>12900</v>
      </c>
    </row>
    <row r="1197" spans="1:38" x14ac:dyDescent="0.25">
      <c r="A1197" t="s">
        <v>370</v>
      </c>
      <c r="B1197" t="s">
        <v>393</v>
      </c>
      <c r="C1197" t="s">
        <v>40</v>
      </c>
      <c r="D1197" s="1">
        <v>43639</v>
      </c>
      <c r="E1197" s="1">
        <v>44004</v>
      </c>
      <c r="F1197" t="s">
        <v>84</v>
      </c>
      <c r="G1197">
        <v>3</v>
      </c>
      <c r="H1197" t="s">
        <v>125</v>
      </c>
      <c r="I1197" t="s">
        <v>43</v>
      </c>
      <c r="J1197" t="s">
        <v>126</v>
      </c>
      <c r="K1197" t="s">
        <v>44</v>
      </c>
      <c r="L1197">
        <v>1412.55</v>
      </c>
      <c r="M1197" s="1">
        <v>43639</v>
      </c>
      <c r="N1197" t="s">
        <v>45</v>
      </c>
      <c r="O1197" t="s">
        <v>44</v>
      </c>
      <c r="P1197" t="s">
        <v>47</v>
      </c>
      <c r="Q1197" s="1">
        <v>43852</v>
      </c>
      <c r="R1197" t="s">
        <v>48</v>
      </c>
      <c r="S1197" t="s">
        <v>292</v>
      </c>
      <c r="T1197" t="s">
        <v>293</v>
      </c>
      <c r="U1197" t="s">
        <v>125</v>
      </c>
      <c r="V1197">
        <v>0</v>
      </c>
      <c r="W1197">
        <v>100000</v>
      </c>
      <c r="X1197" s="1">
        <v>43784</v>
      </c>
      <c r="Y1197" t="s">
        <v>51</v>
      </c>
      <c r="Z1197" t="s">
        <v>43</v>
      </c>
      <c r="AA1197" t="s">
        <v>86</v>
      </c>
      <c r="AB1197" t="s">
        <v>89</v>
      </c>
      <c r="AC1197" t="s">
        <v>90</v>
      </c>
      <c r="AF1197" t="s">
        <v>134</v>
      </c>
      <c r="AG1197" s="1">
        <v>43843</v>
      </c>
      <c r="AH1197" t="s">
        <v>125</v>
      </c>
      <c r="AI1197" t="s">
        <v>92</v>
      </c>
      <c r="AJ1197">
        <v>1278023</v>
      </c>
      <c r="AK1197">
        <v>12365300</v>
      </c>
      <c r="AL1197">
        <v>12900</v>
      </c>
    </row>
    <row r="1198" spans="1:38" x14ac:dyDescent="0.25">
      <c r="A1198" t="s">
        <v>370</v>
      </c>
      <c r="B1198" t="s">
        <v>393</v>
      </c>
      <c r="C1198" t="s">
        <v>40</v>
      </c>
      <c r="D1198" s="1">
        <v>43639</v>
      </c>
      <c r="E1198" s="1">
        <v>44004</v>
      </c>
      <c r="F1198" t="s">
        <v>84</v>
      </c>
      <c r="G1198">
        <v>3</v>
      </c>
      <c r="H1198" t="s">
        <v>125</v>
      </c>
      <c r="I1198" t="s">
        <v>43</v>
      </c>
      <c r="J1198" t="s">
        <v>126</v>
      </c>
      <c r="K1198" t="s">
        <v>44</v>
      </c>
      <c r="L1198">
        <v>1412.55</v>
      </c>
      <c r="M1198" s="1">
        <v>43639</v>
      </c>
      <c r="N1198" t="s">
        <v>45</v>
      </c>
      <c r="O1198" t="s">
        <v>44</v>
      </c>
      <c r="P1198" t="s">
        <v>47</v>
      </c>
      <c r="Q1198" s="1">
        <v>43852</v>
      </c>
      <c r="R1198" t="s">
        <v>48</v>
      </c>
      <c r="S1198" t="s">
        <v>292</v>
      </c>
      <c r="T1198" t="s">
        <v>293</v>
      </c>
      <c r="U1198" t="s">
        <v>125</v>
      </c>
      <c r="V1198">
        <v>0</v>
      </c>
      <c r="W1198">
        <v>100000</v>
      </c>
      <c r="X1198" s="1">
        <v>43784</v>
      </c>
      <c r="Y1198" t="s">
        <v>51</v>
      </c>
      <c r="Z1198" t="s">
        <v>43</v>
      </c>
      <c r="AA1198" t="s">
        <v>86</v>
      </c>
      <c r="AB1198" t="s">
        <v>89</v>
      </c>
      <c r="AC1198" t="s">
        <v>90</v>
      </c>
      <c r="AF1198" t="s">
        <v>135</v>
      </c>
      <c r="AG1198" s="1">
        <v>43843</v>
      </c>
      <c r="AH1198" t="s">
        <v>125</v>
      </c>
      <c r="AI1198" t="s">
        <v>92</v>
      </c>
      <c r="AJ1198">
        <v>1278023</v>
      </c>
      <c r="AK1198">
        <v>12365300</v>
      </c>
      <c r="AL1198">
        <v>12900</v>
      </c>
    </row>
    <row r="1199" spans="1:38" x14ac:dyDescent="0.25">
      <c r="A1199" t="s">
        <v>370</v>
      </c>
      <c r="B1199" t="s">
        <v>393</v>
      </c>
      <c r="C1199" t="s">
        <v>40</v>
      </c>
      <c r="D1199" s="1">
        <v>43639</v>
      </c>
      <c r="E1199" s="1">
        <v>44004</v>
      </c>
      <c r="F1199" t="s">
        <v>84</v>
      </c>
      <c r="G1199">
        <v>3</v>
      </c>
      <c r="H1199" t="s">
        <v>125</v>
      </c>
      <c r="I1199" t="s">
        <v>43</v>
      </c>
      <c r="J1199" t="s">
        <v>126</v>
      </c>
      <c r="K1199" t="s">
        <v>44</v>
      </c>
      <c r="L1199">
        <v>1412.55</v>
      </c>
      <c r="M1199" s="1">
        <v>43639</v>
      </c>
      <c r="N1199" t="s">
        <v>45</v>
      </c>
      <c r="O1199" t="s">
        <v>44</v>
      </c>
      <c r="P1199" t="s">
        <v>47</v>
      </c>
      <c r="Q1199" s="1">
        <v>43852</v>
      </c>
      <c r="R1199" t="s">
        <v>48</v>
      </c>
      <c r="S1199" t="s">
        <v>292</v>
      </c>
      <c r="T1199" t="s">
        <v>293</v>
      </c>
      <c r="U1199" t="s">
        <v>125</v>
      </c>
      <c r="V1199">
        <v>0</v>
      </c>
      <c r="W1199">
        <v>100000</v>
      </c>
      <c r="X1199" s="1">
        <v>43784</v>
      </c>
      <c r="Y1199" t="s">
        <v>51</v>
      </c>
      <c r="Z1199" t="s">
        <v>43</v>
      </c>
      <c r="AA1199" t="s">
        <v>86</v>
      </c>
      <c r="AB1199" t="s">
        <v>89</v>
      </c>
      <c r="AC1199" t="s">
        <v>90</v>
      </c>
      <c r="AF1199" t="s">
        <v>136</v>
      </c>
      <c r="AG1199" s="1">
        <v>43839</v>
      </c>
      <c r="AH1199" t="s">
        <v>125</v>
      </c>
      <c r="AI1199" t="s">
        <v>92</v>
      </c>
      <c r="AJ1199">
        <v>1278023</v>
      </c>
      <c r="AK1199">
        <v>12365300</v>
      </c>
      <c r="AL1199">
        <v>12900</v>
      </c>
    </row>
    <row r="1200" spans="1:38" x14ac:dyDescent="0.25">
      <c r="A1200" t="s">
        <v>370</v>
      </c>
      <c r="B1200" t="s">
        <v>393</v>
      </c>
      <c r="C1200" t="s">
        <v>40</v>
      </c>
      <c r="D1200" s="1">
        <v>43639</v>
      </c>
      <c r="E1200" s="1">
        <v>44004</v>
      </c>
      <c r="F1200" t="s">
        <v>84</v>
      </c>
      <c r="G1200">
        <v>3</v>
      </c>
      <c r="H1200" t="s">
        <v>125</v>
      </c>
      <c r="I1200" t="s">
        <v>43</v>
      </c>
      <c r="J1200" t="s">
        <v>126</v>
      </c>
      <c r="K1200" t="s">
        <v>44</v>
      </c>
      <c r="L1200">
        <v>1412.55</v>
      </c>
      <c r="M1200" s="1">
        <v>43639</v>
      </c>
      <c r="N1200" t="s">
        <v>45</v>
      </c>
      <c r="O1200" t="s">
        <v>44</v>
      </c>
      <c r="P1200" t="s">
        <v>47</v>
      </c>
      <c r="Q1200" s="1">
        <v>43852</v>
      </c>
      <c r="R1200" t="s">
        <v>48</v>
      </c>
      <c r="S1200" t="s">
        <v>292</v>
      </c>
      <c r="T1200" t="s">
        <v>293</v>
      </c>
      <c r="U1200" t="s">
        <v>125</v>
      </c>
      <c r="V1200">
        <v>0</v>
      </c>
      <c r="W1200">
        <v>100000</v>
      </c>
      <c r="X1200" s="1">
        <v>43784</v>
      </c>
      <c r="Y1200" t="s">
        <v>51</v>
      </c>
      <c r="Z1200" t="s">
        <v>43</v>
      </c>
      <c r="AA1200" t="s">
        <v>86</v>
      </c>
      <c r="AB1200" t="s">
        <v>89</v>
      </c>
      <c r="AC1200" t="s">
        <v>90</v>
      </c>
      <c r="AF1200" t="s">
        <v>137</v>
      </c>
      <c r="AG1200" s="1">
        <v>43840</v>
      </c>
      <c r="AH1200" t="s">
        <v>125</v>
      </c>
      <c r="AI1200" t="s">
        <v>92</v>
      </c>
      <c r="AJ1200">
        <v>1278023</v>
      </c>
      <c r="AK1200">
        <v>12365300</v>
      </c>
      <c r="AL1200">
        <v>12900</v>
      </c>
    </row>
    <row r="1201" spans="1:38" x14ac:dyDescent="0.25">
      <c r="A1201" t="s">
        <v>370</v>
      </c>
      <c r="B1201" t="s">
        <v>393</v>
      </c>
      <c r="C1201" t="s">
        <v>40</v>
      </c>
      <c r="D1201" s="1">
        <v>43639</v>
      </c>
      <c r="E1201" s="1">
        <v>44004</v>
      </c>
      <c r="F1201" t="s">
        <v>84</v>
      </c>
      <c r="G1201">
        <v>3</v>
      </c>
      <c r="H1201" t="s">
        <v>125</v>
      </c>
      <c r="I1201" t="s">
        <v>43</v>
      </c>
      <c r="J1201" t="s">
        <v>126</v>
      </c>
      <c r="K1201" t="s">
        <v>44</v>
      </c>
      <c r="L1201">
        <v>1412.55</v>
      </c>
      <c r="M1201" s="1">
        <v>43639</v>
      </c>
      <c r="N1201" t="s">
        <v>45</v>
      </c>
      <c r="O1201" t="s">
        <v>44</v>
      </c>
      <c r="P1201" t="s">
        <v>47</v>
      </c>
      <c r="Q1201" s="1">
        <v>43852</v>
      </c>
      <c r="R1201" t="s">
        <v>48</v>
      </c>
      <c r="S1201" t="s">
        <v>294</v>
      </c>
      <c r="T1201" t="s">
        <v>295</v>
      </c>
      <c r="U1201" t="s">
        <v>125</v>
      </c>
      <c r="V1201">
        <v>6000000</v>
      </c>
      <c r="W1201">
        <v>300000</v>
      </c>
      <c r="X1201" s="1">
        <v>43800</v>
      </c>
      <c r="Y1201" t="s">
        <v>51</v>
      </c>
      <c r="Z1201" t="s">
        <v>43</v>
      </c>
      <c r="AA1201" t="s">
        <v>86</v>
      </c>
      <c r="AB1201" t="s">
        <v>89</v>
      </c>
      <c r="AC1201" t="s">
        <v>90</v>
      </c>
      <c r="AF1201" t="s">
        <v>134</v>
      </c>
      <c r="AG1201" s="1">
        <v>43843</v>
      </c>
      <c r="AH1201" t="s">
        <v>125</v>
      </c>
      <c r="AI1201" t="s">
        <v>92</v>
      </c>
      <c r="AJ1201">
        <v>1278023</v>
      </c>
      <c r="AK1201">
        <v>12365300</v>
      </c>
      <c r="AL1201">
        <v>12900</v>
      </c>
    </row>
    <row r="1202" spans="1:38" x14ac:dyDescent="0.25">
      <c r="A1202" t="s">
        <v>370</v>
      </c>
      <c r="B1202" t="s">
        <v>393</v>
      </c>
      <c r="C1202" t="s">
        <v>40</v>
      </c>
      <c r="D1202" s="1">
        <v>43639</v>
      </c>
      <c r="E1202" s="1">
        <v>44004</v>
      </c>
      <c r="F1202" t="s">
        <v>84</v>
      </c>
      <c r="G1202">
        <v>3</v>
      </c>
      <c r="H1202" t="s">
        <v>125</v>
      </c>
      <c r="I1202" t="s">
        <v>43</v>
      </c>
      <c r="J1202" t="s">
        <v>126</v>
      </c>
      <c r="K1202" t="s">
        <v>44</v>
      </c>
      <c r="L1202">
        <v>1412.55</v>
      </c>
      <c r="M1202" s="1">
        <v>43639</v>
      </c>
      <c r="N1202" t="s">
        <v>45</v>
      </c>
      <c r="O1202" t="s">
        <v>44</v>
      </c>
      <c r="P1202" t="s">
        <v>47</v>
      </c>
      <c r="Q1202" s="1">
        <v>43852</v>
      </c>
      <c r="R1202" t="s">
        <v>48</v>
      </c>
      <c r="S1202" t="s">
        <v>294</v>
      </c>
      <c r="T1202" t="s">
        <v>295</v>
      </c>
      <c r="U1202" t="s">
        <v>125</v>
      </c>
      <c r="V1202">
        <v>6000000</v>
      </c>
      <c r="W1202">
        <v>300000</v>
      </c>
      <c r="X1202" s="1">
        <v>43800</v>
      </c>
      <c r="Y1202" t="s">
        <v>51</v>
      </c>
      <c r="Z1202" t="s">
        <v>43</v>
      </c>
      <c r="AA1202" t="s">
        <v>86</v>
      </c>
      <c r="AB1202" t="s">
        <v>89</v>
      </c>
      <c r="AC1202" t="s">
        <v>90</v>
      </c>
      <c r="AF1202" t="s">
        <v>135</v>
      </c>
      <c r="AG1202" s="1">
        <v>43843</v>
      </c>
      <c r="AH1202" t="s">
        <v>125</v>
      </c>
      <c r="AI1202" t="s">
        <v>92</v>
      </c>
      <c r="AJ1202">
        <v>1278023</v>
      </c>
      <c r="AK1202">
        <v>12365300</v>
      </c>
      <c r="AL1202">
        <v>12900</v>
      </c>
    </row>
    <row r="1203" spans="1:38" x14ac:dyDescent="0.25">
      <c r="A1203" t="s">
        <v>370</v>
      </c>
      <c r="B1203" t="s">
        <v>393</v>
      </c>
      <c r="C1203" t="s">
        <v>40</v>
      </c>
      <c r="D1203" s="1">
        <v>43639</v>
      </c>
      <c r="E1203" s="1">
        <v>44004</v>
      </c>
      <c r="F1203" t="s">
        <v>84</v>
      </c>
      <c r="G1203">
        <v>3</v>
      </c>
      <c r="H1203" t="s">
        <v>125</v>
      </c>
      <c r="I1203" t="s">
        <v>43</v>
      </c>
      <c r="J1203" t="s">
        <v>126</v>
      </c>
      <c r="K1203" t="s">
        <v>44</v>
      </c>
      <c r="L1203">
        <v>1412.55</v>
      </c>
      <c r="M1203" s="1">
        <v>43639</v>
      </c>
      <c r="N1203" t="s">
        <v>45</v>
      </c>
      <c r="O1203" t="s">
        <v>44</v>
      </c>
      <c r="P1203" t="s">
        <v>47</v>
      </c>
      <c r="Q1203" s="1">
        <v>43852</v>
      </c>
      <c r="R1203" t="s">
        <v>48</v>
      </c>
      <c r="S1203" t="s">
        <v>294</v>
      </c>
      <c r="T1203" t="s">
        <v>295</v>
      </c>
      <c r="U1203" t="s">
        <v>125</v>
      </c>
      <c r="V1203">
        <v>6000000</v>
      </c>
      <c r="W1203">
        <v>300000</v>
      </c>
      <c r="X1203" s="1">
        <v>43800</v>
      </c>
      <c r="Y1203" t="s">
        <v>51</v>
      </c>
      <c r="Z1203" t="s">
        <v>43</v>
      </c>
      <c r="AA1203" t="s">
        <v>86</v>
      </c>
      <c r="AB1203" t="s">
        <v>89</v>
      </c>
      <c r="AC1203" t="s">
        <v>90</v>
      </c>
      <c r="AF1203" t="s">
        <v>136</v>
      </c>
      <c r="AG1203" s="1">
        <v>43839</v>
      </c>
      <c r="AH1203" t="s">
        <v>125</v>
      </c>
      <c r="AI1203" t="s">
        <v>92</v>
      </c>
      <c r="AJ1203">
        <v>1278023</v>
      </c>
      <c r="AK1203">
        <v>12365300</v>
      </c>
      <c r="AL1203">
        <v>12900</v>
      </c>
    </row>
    <row r="1204" spans="1:38" x14ac:dyDescent="0.25">
      <c r="A1204" t="s">
        <v>370</v>
      </c>
      <c r="B1204" t="s">
        <v>393</v>
      </c>
      <c r="C1204" t="s">
        <v>40</v>
      </c>
      <c r="D1204" s="1">
        <v>43639</v>
      </c>
      <c r="E1204" s="1">
        <v>44004</v>
      </c>
      <c r="F1204" t="s">
        <v>84</v>
      </c>
      <c r="G1204">
        <v>3</v>
      </c>
      <c r="H1204" t="s">
        <v>125</v>
      </c>
      <c r="I1204" t="s">
        <v>43</v>
      </c>
      <c r="J1204" t="s">
        <v>126</v>
      </c>
      <c r="K1204" t="s">
        <v>44</v>
      </c>
      <c r="L1204">
        <v>1412.55</v>
      </c>
      <c r="M1204" s="1">
        <v>43639</v>
      </c>
      <c r="N1204" t="s">
        <v>45</v>
      </c>
      <c r="O1204" t="s">
        <v>44</v>
      </c>
      <c r="P1204" t="s">
        <v>47</v>
      </c>
      <c r="Q1204" s="1">
        <v>43852</v>
      </c>
      <c r="R1204" t="s">
        <v>48</v>
      </c>
      <c r="S1204" t="s">
        <v>294</v>
      </c>
      <c r="T1204" t="s">
        <v>295</v>
      </c>
      <c r="U1204" t="s">
        <v>125</v>
      </c>
      <c r="V1204">
        <v>6000000</v>
      </c>
      <c r="W1204">
        <v>300000</v>
      </c>
      <c r="X1204" s="1">
        <v>43800</v>
      </c>
      <c r="Y1204" t="s">
        <v>51</v>
      </c>
      <c r="Z1204" t="s">
        <v>43</v>
      </c>
      <c r="AA1204" t="s">
        <v>86</v>
      </c>
      <c r="AB1204" t="s">
        <v>89</v>
      </c>
      <c r="AC1204" t="s">
        <v>90</v>
      </c>
      <c r="AF1204" t="s">
        <v>137</v>
      </c>
      <c r="AG1204" s="1">
        <v>43840</v>
      </c>
      <c r="AH1204" t="s">
        <v>125</v>
      </c>
      <c r="AI1204" t="s">
        <v>92</v>
      </c>
      <c r="AJ1204">
        <v>1278023</v>
      </c>
      <c r="AK1204">
        <v>12365300</v>
      </c>
      <c r="AL1204">
        <v>12900</v>
      </c>
    </row>
    <row r="1205" spans="1:38" x14ac:dyDescent="0.25">
      <c r="A1205" t="s">
        <v>370</v>
      </c>
      <c r="B1205" t="s">
        <v>394</v>
      </c>
      <c r="C1205" t="s">
        <v>40</v>
      </c>
      <c r="D1205" s="1">
        <v>43579</v>
      </c>
      <c r="E1205" s="1">
        <v>43944</v>
      </c>
      <c r="F1205" t="s">
        <v>84</v>
      </c>
      <c r="G1205">
        <v>10</v>
      </c>
      <c r="H1205" t="s">
        <v>85</v>
      </c>
      <c r="I1205" t="s">
        <v>43</v>
      </c>
      <c r="J1205" t="s">
        <v>86</v>
      </c>
      <c r="K1205" t="s">
        <v>44</v>
      </c>
      <c r="L1205">
        <v>63750</v>
      </c>
      <c r="M1205" s="1">
        <v>43579</v>
      </c>
      <c r="N1205" t="s">
        <v>45</v>
      </c>
      <c r="O1205" t="s">
        <v>106</v>
      </c>
      <c r="P1205" t="s">
        <v>47</v>
      </c>
      <c r="Q1205" s="1">
        <v>43852</v>
      </c>
      <c r="R1205" t="s">
        <v>48</v>
      </c>
      <c r="S1205" t="s">
        <v>87</v>
      </c>
      <c r="T1205" t="s">
        <v>88</v>
      </c>
      <c r="U1205" t="s">
        <v>85</v>
      </c>
      <c r="V1205">
        <v>1400000</v>
      </c>
      <c r="W1205">
        <v>100000</v>
      </c>
      <c r="X1205" s="1">
        <v>43808</v>
      </c>
      <c r="Y1205" t="s">
        <v>51</v>
      </c>
      <c r="Z1205" t="s">
        <v>43</v>
      </c>
      <c r="AA1205" t="s">
        <v>86</v>
      </c>
      <c r="AB1205" t="s">
        <v>89</v>
      </c>
      <c r="AC1205" t="s">
        <v>90</v>
      </c>
      <c r="AF1205" t="s">
        <v>91</v>
      </c>
      <c r="AG1205" s="1">
        <v>43852</v>
      </c>
      <c r="AH1205" t="s">
        <v>85</v>
      </c>
      <c r="AI1205" t="s">
        <v>92</v>
      </c>
      <c r="AJ1205">
        <v>19888</v>
      </c>
      <c r="AK1205">
        <v>128777</v>
      </c>
      <c r="AL1205">
        <v>198882</v>
      </c>
    </row>
    <row r="1206" spans="1:38" x14ac:dyDescent="0.25">
      <c r="A1206" t="s">
        <v>370</v>
      </c>
      <c r="B1206" t="s">
        <v>394</v>
      </c>
      <c r="C1206" t="s">
        <v>40</v>
      </c>
      <c r="D1206" s="1">
        <v>43579</v>
      </c>
      <c r="E1206" s="1">
        <v>43944</v>
      </c>
      <c r="F1206" t="s">
        <v>84</v>
      </c>
      <c r="G1206">
        <v>10</v>
      </c>
      <c r="H1206" t="s">
        <v>85</v>
      </c>
      <c r="I1206" t="s">
        <v>43</v>
      </c>
      <c r="J1206" t="s">
        <v>86</v>
      </c>
      <c r="K1206" t="s">
        <v>44</v>
      </c>
      <c r="L1206">
        <v>63750</v>
      </c>
      <c r="M1206" s="1">
        <v>43579</v>
      </c>
      <c r="N1206" t="s">
        <v>45</v>
      </c>
      <c r="O1206" t="s">
        <v>106</v>
      </c>
      <c r="P1206" t="s">
        <v>47</v>
      </c>
      <c r="Q1206" s="1">
        <v>43852</v>
      </c>
      <c r="R1206" t="s">
        <v>48</v>
      </c>
      <c r="S1206" t="s">
        <v>87</v>
      </c>
      <c r="T1206" t="s">
        <v>88</v>
      </c>
      <c r="U1206" t="s">
        <v>85</v>
      </c>
      <c r="V1206">
        <v>1400000</v>
      </c>
      <c r="W1206">
        <v>100000</v>
      </c>
      <c r="X1206" s="1">
        <v>43808</v>
      </c>
      <c r="Y1206" t="s">
        <v>51</v>
      </c>
      <c r="Z1206" t="s">
        <v>43</v>
      </c>
      <c r="AA1206" t="s">
        <v>86</v>
      </c>
      <c r="AB1206" t="s">
        <v>89</v>
      </c>
      <c r="AC1206" t="s">
        <v>90</v>
      </c>
      <c r="AF1206" t="s">
        <v>93</v>
      </c>
      <c r="AG1206" s="1">
        <v>43843</v>
      </c>
      <c r="AH1206" t="s">
        <v>85</v>
      </c>
      <c r="AI1206" t="s">
        <v>92</v>
      </c>
      <c r="AJ1206">
        <v>19888</v>
      </c>
      <c r="AK1206">
        <v>128777</v>
      </c>
      <c r="AL1206">
        <v>198882</v>
      </c>
    </row>
    <row r="1207" spans="1:38" x14ac:dyDescent="0.25">
      <c r="A1207" t="s">
        <v>370</v>
      </c>
      <c r="B1207" t="s">
        <v>394</v>
      </c>
      <c r="C1207" t="s">
        <v>40</v>
      </c>
      <c r="D1207" s="1">
        <v>43579</v>
      </c>
      <c r="E1207" s="1">
        <v>43944</v>
      </c>
      <c r="F1207" t="s">
        <v>84</v>
      </c>
      <c r="G1207">
        <v>10</v>
      </c>
      <c r="H1207" t="s">
        <v>85</v>
      </c>
      <c r="I1207" t="s">
        <v>43</v>
      </c>
      <c r="J1207" t="s">
        <v>86</v>
      </c>
      <c r="K1207" t="s">
        <v>44</v>
      </c>
      <c r="L1207">
        <v>63750</v>
      </c>
      <c r="M1207" s="1">
        <v>43579</v>
      </c>
      <c r="N1207" t="s">
        <v>45</v>
      </c>
      <c r="O1207" t="s">
        <v>106</v>
      </c>
      <c r="P1207" t="s">
        <v>47</v>
      </c>
      <c r="Q1207" s="1">
        <v>43852</v>
      </c>
      <c r="R1207" t="s">
        <v>48</v>
      </c>
      <c r="S1207" t="s">
        <v>94</v>
      </c>
      <c r="T1207" t="s">
        <v>95</v>
      </c>
      <c r="U1207" t="s">
        <v>85</v>
      </c>
      <c r="V1207">
        <v>4500000</v>
      </c>
      <c r="W1207">
        <v>300000</v>
      </c>
      <c r="X1207" s="1">
        <v>43767</v>
      </c>
      <c r="Y1207" t="s">
        <v>51</v>
      </c>
      <c r="Z1207" t="s">
        <v>43</v>
      </c>
      <c r="AA1207" t="s">
        <v>86</v>
      </c>
      <c r="AB1207" t="s">
        <v>89</v>
      </c>
      <c r="AC1207" t="s">
        <v>90</v>
      </c>
      <c r="AF1207" t="s">
        <v>91</v>
      </c>
      <c r="AG1207" s="1">
        <v>43852</v>
      </c>
      <c r="AH1207" t="s">
        <v>85</v>
      </c>
      <c r="AI1207" t="s">
        <v>92</v>
      </c>
      <c r="AJ1207">
        <v>19888</v>
      </c>
      <c r="AK1207">
        <v>128777</v>
      </c>
      <c r="AL1207">
        <v>198882</v>
      </c>
    </row>
    <row r="1208" spans="1:38" x14ac:dyDescent="0.25">
      <c r="A1208" t="s">
        <v>370</v>
      </c>
      <c r="B1208" t="s">
        <v>394</v>
      </c>
      <c r="C1208" t="s">
        <v>40</v>
      </c>
      <c r="D1208" s="1">
        <v>43579</v>
      </c>
      <c r="E1208" s="1">
        <v>43944</v>
      </c>
      <c r="F1208" t="s">
        <v>84</v>
      </c>
      <c r="G1208">
        <v>10</v>
      </c>
      <c r="H1208" t="s">
        <v>85</v>
      </c>
      <c r="I1208" t="s">
        <v>43</v>
      </c>
      <c r="J1208" t="s">
        <v>86</v>
      </c>
      <c r="K1208" t="s">
        <v>44</v>
      </c>
      <c r="L1208">
        <v>63750</v>
      </c>
      <c r="M1208" s="1">
        <v>43579</v>
      </c>
      <c r="N1208" t="s">
        <v>45</v>
      </c>
      <c r="O1208" t="s">
        <v>106</v>
      </c>
      <c r="P1208" t="s">
        <v>47</v>
      </c>
      <c r="Q1208" s="1">
        <v>43852</v>
      </c>
      <c r="R1208" t="s">
        <v>48</v>
      </c>
      <c r="S1208" t="s">
        <v>94</v>
      </c>
      <c r="T1208" t="s">
        <v>95</v>
      </c>
      <c r="U1208" t="s">
        <v>85</v>
      </c>
      <c r="V1208">
        <v>4500000</v>
      </c>
      <c r="W1208">
        <v>300000</v>
      </c>
      <c r="X1208" s="1">
        <v>43767</v>
      </c>
      <c r="Y1208" t="s">
        <v>51</v>
      </c>
      <c r="Z1208" t="s">
        <v>43</v>
      </c>
      <c r="AA1208" t="s">
        <v>86</v>
      </c>
      <c r="AB1208" t="s">
        <v>89</v>
      </c>
      <c r="AC1208" t="s">
        <v>90</v>
      </c>
      <c r="AF1208" t="s">
        <v>93</v>
      </c>
      <c r="AG1208" s="1">
        <v>43843</v>
      </c>
      <c r="AH1208" t="s">
        <v>85</v>
      </c>
      <c r="AI1208" t="s">
        <v>92</v>
      </c>
      <c r="AJ1208">
        <v>19888</v>
      </c>
      <c r="AK1208">
        <v>128777</v>
      </c>
      <c r="AL1208">
        <v>198882</v>
      </c>
    </row>
    <row r="1209" spans="1:38" x14ac:dyDescent="0.25">
      <c r="A1209" t="s">
        <v>370</v>
      </c>
      <c r="B1209" t="s">
        <v>394</v>
      </c>
      <c r="C1209" t="s">
        <v>40</v>
      </c>
      <c r="D1209" s="1">
        <v>43579</v>
      </c>
      <c r="E1209" s="1">
        <v>43944</v>
      </c>
      <c r="F1209" t="s">
        <v>84</v>
      </c>
      <c r="G1209">
        <v>10</v>
      </c>
      <c r="H1209" t="s">
        <v>85</v>
      </c>
      <c r="I1209" t="s">
        <v>43</v>
      </c>
      <c r="J1209" t="s">
        <v>86</v>
      </c>
      <c r="K1209" t="s">
        <v>44</v>
      </c>
      <c r="L1209">
        <v>63750</v>
      </c>
      <c r="M1209" s="1">
        <v>43579</v>
      </c>
      <c r="N1209" t="s">
        <v>45</v>
      </c>
      <c r="O1209" t="s">
        <v>106</v>
      </c>
      <c r="P1209" t="s">
        <v>47</v>
      </c>
      <c r="Q1209" s="1">
        <v>43852</v>
      </c>
      <c r="R1209" t="s">
        <v>48</v>
      </c>
      <c r="S1209" t="s">
        <v>96</v>
      </c>
      <c r="T1209" t="s">
        <v>97</v>
      </c>
      <c r="U1209" t="s">
        <v>85</v>
      </c>
      <c r="V1209">
        <v>600000</v>
      </c>
      <c r="W1209">
        <v>100000</v>
      </c>
      <c r="X1209" s="1">
        <v>43799</v>
      </c>
      <c r="Y1209" t="s">
        <v>51</v>
      </c>
      <c r="Z1209" t="s">
        <v>43</v>
      </c>
      <c r="AA1209" t="s">
        <v>98</v>
      </c>
      <c r="AB1209" t="s">
        <v>89</v>
      </c>
      <c r="AC1209" t="s">
        <v>90</v>
      </c>
      <c r="AF1209" t="s">
        <v>91</v>
      </c>
      <c r="AG1209" s="1">
        <v>43852</v>
      </c>
      <c r="AH1209" t="s">
        <v>85</v>
      </c>
      <c r="AI1209" t="s">
        <v>92</v>
      </c>
      <c r="AJ1209">
        <v>19888</v>
      </c>
      <c r="AK1209">
        <v>128777</v>
      </c>
      <c r="AL1209">
        <v>198882</v>
      </c>
    </row>
    <row r="1210" spans="1:38" x14ac:dyDescent="0.25">
      <c r="A1210" t="s">
        <v>370</v>
      </c>
      <c r="B1210" t="s">
        <v>394</v>
      </c>
      <c r="C1210" t="s">
        <v>40</v>
      </c>
      <c r="D1210" s="1">
        <v>43579</v>
      </c>
      <c r="E1210" s="1">
        <v>43944</v>
      </c>
      <c r="F1210" t="s">
        <v>84</v>
      </c>
      <c r="G1210">
        <v>10</v>
      </c>
      <c r="H1210" t="s">
        <v>85</v>
      </c>
      <c r="I1210" t="s">
        <v>43</v>
      </c>
      <c r="J1210" t="s">
        <v>86</v>
      </c>
      <c r="K1210" t="s">
        <v>44</v>
      </c>
      <c r="L1210">
        <v>63750</v>
      </c>
      <c r="M1210" s="1">
        <v>43579</v>
      </c>
      <c r="N1210" t="s">
        <v>45</v>
      </c>
      <c r="O1210" t="s">
        <v>106</v>
      </c>
      <c r="P1210" t="s">
        <v>47</v>
      </c>
      <c r="Q1210" s="1">
        <v>43852</v>
      </c>
      <c r="R1210" t="s">
        <v>48</v>
      </c>
      <c r="S1210" t="s">
        <v>96</v>
      </c>
      <c r="T1210" t="s">
        <v>97</v>
      </c>
      <c r="U1210" t="s">
        <v>85</v>
      </c>
      <c r="V1210">
        <v>600000</v>
      </c>
      <c r="W1210">
        <v>100000</v>
      </c>
      <c r="X1210" s="1">
        <v>43799</v>
      </c>
      <c r="Y1210" t="s">
        <v>51</v>
      </c>
      <c r="Z1210" t="s">
        <v>43</v>
      </c>
      <c r="AA1210" t="s">
        <v>98</v>
      </c>
      <c r="AB1210" t="s">
        <v>89</v>
      </c>
      <c r="AC1210" t="s">
        <v>90</v>
      </c>
      <c r="AF1210" t="s">
        <v>93</v>
      </c>
      <c r="AG1210" s="1">
        <v>43843</v>
      </c>
      <c r="AH1210" t="s">
        <v>85</v>
      </c>
      <c r="AI1210" t="s">
        <v>92</v>
      </c>
      <c r="AJ1210">
        <v>19888</v>
      </c>
      <c r="AK1210">
        <v>128777</v>
      </c>
      <c r="AL1210">
        <v>198882</v>
      </c>
    </row>
    <row r="1211" spans="1:38" x14ac:dyDescent="0.25">
      <c r="A1211" t="s">
        <v>370</v>
      </c>
      <c r="B1211" t="s">
        <v>394</v>
      </c>
      <c r="C1211" t="s">
        <v>40</v>
      </c>
      <c r="D1211" s="1">
        <v>43579</v>
      </c>
      <c r="E1211" s="1">
        <v>43944</v>
      </c>
      <c r="F1211" t="s">
        <v>84</v>
      </c>
      <c r="G1211">
        <v>10</v>
      </c>
      <c r="H1211" t="s">
        <v>85</v>
      </c>
      <c r="I1211" t="s">
        <v>43</v>
      </c>
      <c r="J1211" t="s">
        <v>86</v>
      </c>
      <c r="K1211" t="s">
        <v>44</v>
      </c>
      <c r="L1211">
        <v>63750</v>
      </c>
      <c r="M1211" s="1">
        <v>43579</v>
      </c>
      <c r="N1211" t="s">
        <v>45</v>
      </c>
      <c r="O1211" t="s">
        <v>106</v>
      </c>
      <c r="P1211" t="s">
        <v>47</v>
      </c>
      <c r="Q1211" s="1">
        <v>43852</v>
      </c>
      <c r="R1211" t="s">
        <v>48</v>
      </c>
      <c r="S1211" t="s">
        <v>99</v>
      </c>
      <c r="T1211" t="s">
        <v>100</v>
      </c>
      <c r="U1211" t="s">
        <v>85</v>
      </c>
      <c r="V1211">
        <v>210000</v>
      </c>
      <c r="W1211">
        <v>35000</v>
      </c>
      <c r="X1211" s="1">
        <v>43799</v>
      </c>
      <c r="Y1211" t="s">
        <v>51</v>
      </c>
      <c r="Z1211" t="s">
        <v>43</v>
      </c>
      <c r="AA1211" t="s">
        <v>98</v>
      </c>
      <c r="AB1211" t="s">
        <v>89</v>
      </c>
      <c r="AC1211" t="s">
        <v>101</v>
      </c>
      <c r="AF1211" t="s">
        <v>91</v>
      </c>
      <c r="AG1211" s="1">
        <v>43852</v>
      </c>
      <c r="AH1211" t="s">
        <v>85</v>
      </c>
      <c r="AI1211" t="s">
        <v>92</v>
      </c>
      <c r="AJ1211">
        <v>19888</v>
      </c>
      <c r="AK1211">
        <v>128777</v>
      </c>
      <c r="AL1211">
        <v>198882</v>
      </c>
    </row>
    <row r="1212" spans="1:38" x14ac:dyDescent="0.25">
      <c r="A1212" t="s">
        <v>370</v>
      </c>
      <c r="B1212" t="s">
        <v>394</v>
      </c>
      <c r="C1212" t="s">
        <v>40</v>
      </c>
      <c r="D1212" s="1">
        <v>43579</v>
      </c>
      <c r="E1212" s="1">
        <v>43944</v>
      </c>
      <c r="F1212" t="s">
        <v>84</v>
      </c>
      <c r="G1212">
        <v>10</v>
      </c>
      <c r="H1212" t="s">
        <v>85</v>
      </c>
      <c r="I1212" t="s">
        <v>43</v>
      </c>
      <c r="J1212" t="s">
        <v>86</v>
      </c>
      <c r="K1212" t="s">
        <v>44</v>
      </c>
      <c r="L1212">
        <v>63750</v>
      </c>
      <c r="M1212" s="1">
        <v>43579</v>
      </c>
      <c r="N1212" t="s">
        <v>45</v>
      </c>
      <c r="O1212" t="s">
        <v>106</v>
      </c>
      <c r="P1212" t="s">
        <v>47</v>
      </c>
      <c r="Q1212" s="1">
        <v>43852</v>
      </c>
      <c r="R1212" t="s">
        <v>48</v>
      </c>
      <c r="S1212" t="s">
        <v>99</v>
      </c>
      <c r="T1212" t="s">
        <v>100</v>
      </c>
      <c r="U1212" t="s">
        <v>85</v>
      </c>
      <c r="V1212">
        <v>210000</v>
      </c>
      <c r="W1212">
        <v>35000</v>
      </c>
      <c r="X1212" s="1">
        <v>43799</v>
      </c>
      <c r="Y1212" t="s">
        <v>51</v>
      </c>
      <c r="Z1212" t="s">
        <v>43</v>
      </c>
      <c r="AA1212" t="s">
        <v>98</v>
      </c>
      <c r="AB1212" t="s">
        <v>89</v>
      </c>
      <c r="AC1212" t="s">
        <v>101</v>
      </c>
      <c r="AF1212" t="s">
        <v>93</v>
      </c>
      <c r="AG1212" s="1">
        <v>43843</v>
      </c>
      <c r="AH1212" t="s">
        <v>85</v>
      </c>
      <c r="AI1212" t="s">
        <v>92</v>
      </c>
      <c r="AJ1212">
        <v>19888</v>
      </c>
      <c r="AK1212">
        <v>128777</v>
      </c>
      <c r="AL1212">
        <v>198882</v>
      </c>
    </row>
    <row r="1213" spans="1:38" x14ac:dyDescent="0.25">
      <c r="A1213" t="s">
        <v>370</v>
      </c>
      <c r="B1213" t="s">
        <v>394</v>
      </c>
      <c r="C1213" t="s">
        <v>40</v>
      </c>
      <c r="D1213" s="1">
        <v>43579</v>
      </c>
      <c r="E1213" s="1">
        <v>43944</v>
      </c>
      <c r="F1213" t="s">
        <v>84</v>
      </c>
      <c r="G1213">
        <v>10</v>
      </c>
      <c r="H1213" t="s">
        <v>85</v>
      </c>
      <c r="I1213" t="s">
        <v>43</v>
      </c>
      <c r="J1213" t="s">
        <v>86</v>
      </c>
      <c r="K1213" t="s">
        <v>44</v>
      </c>
      <c r="L1213">
        <v>63750</v>
      </c>
      <c r="M1213" s="1">
        <v>43579</v>
      </c>
      <c r="N1213" t="s">
        <v>45</v>
      </c>
      <c r="O1213" t="s">
        <v>106</v>
      </c>
      <c r="P1213" t="s">
        <v>47</v>
      </c>
      <c r="Q1213" s="1">
        <v>43852</v>
      </c>
      <c r="R1213" t="s">
        <v>48</v>
      </c>
      <c r="S1213" t="s">
        <v>102</v>
      </c>
      <c r="T1213" t="s">
        <v>103</v>
      </c>
      <c r="U1213" t="s">
        <v>85</v>
      </c>
      <c r="V1213">
        <v>5000000</v>
      </c>
      <c r="W1213">
        <v>250000</v>
      </c>
      <c r="X1213" s="1">
        <v>43799</v>
      </c>
      <c r="Y1213" t="s">
        <v>51</v>
      </c>
      <c r="Z1213" t="s">
        <v>43</v>
      </c>
      <c r="AA1213" t="s">
        <v>86</v>
      </c>
      <c r="AB1213" t="s">
        <v>89</v>
      </c>
      <c r="AC1213" t="s">
        <v>90</v>
      </c>
      <c r="AF1213" t="s">
        <v>91</v>
      </c>
      <c r="AG1213" s="1">
        <v>43852</v>
      </c>
      <c r="AH1213" t="s">
        <v>85</v>
      </c>
      <c r="AI1213" t="s">
        <v>92</v>
      </c>
      <c r="AJ1213">
        <v>19888</v>
      </c>
      <c r="AK1213">
        <v>128777</v>
      </c>
      <c r="AL1213">
        <v>198882</v>
      </c>
    </row>
    <row r="1214" spans="1:38" x14ac:dyDescent="0.25">
      <c r="A1214" t="s">
        <v>370</v>
      </c>
      <c r="B1214" t="s">
        <v>394</v>
      </c>
      <c r="C1214" t="s">
        <v>40</v>
      </c>
      <c r="D1214" s="1">
        <v>43579</v>
      </c>
      <c r="E1214" s="1">
        <v>43944</v>
      </c>
      <c r="F1214" t="s">
        <v>84</v>
      </c>
      <c r="G1214">
        <v>10</v>
      </c>
      <c r="H1214" t="s">
        <v>85</v>
      </c>
      <c r="I1214" t="s">
        <v>43</v>
      </c>
      <c r="J1214" t="s">
        <v>86</v>
      </c>
      <c r="K1214" t="s">
        <v>44</v>
      </c>
      <c r="L1214">
        <v>63750</v>
      </c>
      <c r="M1214" s="1">
        <v>43579</v>
      </c>
      <c r="N1214" t="s">
        <v>45</v>
      </c>
      <c r="O1214" t="s">
        <v>106</v>
      </c>
      <c r="P1214" t="s">
        <v>47</v>
      </c>
      <c r="Q1214" s="1">
        <v>43852</v>
      </c>
      <c r="R1214" t="s">
        <v>48</v>
      </c>
      <c r="S1214" t="s">
        <v>102</v>
      </c>
      <c r="T1214" t="s">
        <v>103</v>
      </c>
      <c r="U1214" t="s">
        <v>85</v>
      </c>
      <c r="V1214">
        <v>5000000</v>
      </c>
      <c r="W1214">
        <v>250000</v>
      </c>
      <c r="X1214" s="1">
        <v>43799</v>
      </c>
      <c r="Y1214" t="s">
        <v>51</v>
      </c>
      <c r="Z1214" t="s">
        <v>43</v>
      </c>
      <c r="AA1214" t="s">
        <v>86</v>
      </c>
      <c r="AB1214" t="s">
        <v>89</v>
      </c>
      <c r="AC1214" t="s">
        <v>90</v>
      </c>
      <c r="AF1214" t="s">
        <v>93</v>
      </c>
      <c r="AG1214" s="1">
        <v>43843</v>
      </c>
      <c r="AH1214" t="s">
        <v>85</v>
      </c>
      <c r="AI1214" t="s">
        <v>92</v>
      </c>
      <c r="AJ1214">
        <v>19888</v>
      </c>
      <c r="AK1214">
        <v>128777</v>
      </c>
      <c r="AL1214">
        <v>198882</v>
      </c>
    </row>
    <row r="1215" spans="1:38" x14ac:dyDescent="0.25">
      <c r="A1215" t="s">
        <v>370</v>
      </c>
      <c r="B1215" t="s">
        <v>394</v>
      </c>
      <c r="C1215" t="s">
        <v>40</v>
      </c>
      <c r="D1215" s="1">
        <v>43579</v>
      </c>
      <c r="E1215" s="1">
        <v>43944</v>
      </c>
      <c r="F1215" t="s">
        <v>84</v>
      </c>
      <c r="G1215">
        <v>10</v>
      </c>
      <c r="H1215" t="s">
        <v>85</v>
      </c>
      <c r="I1215" t="s">
        <v>43</v>
      </c>
      <c r="J1215" t="s">
        <v>86</v>
      </c>
      <c r="K1215" t="s">
        <v>44</v>
      </c>
      <c r="L1215">
        <v>3098.63</v>
      </c>
      <c r="M1215" s="1">
        <v>43659</v>
      </c>
      <c r="N1215" t="s">
        <v>108</v>
      </c>
      <c r="O1215" t="s">
        <v>106</v>
      </c>
      <c r="P1215" t="s">
        <v>47</v>
      </c>
      <c r="Q1215" s="1">
        <v>43852</v>
      </c>
      <c r="R1215" t="s">
        <v>48</v>
      </c>
      <c r="S1215" t="s">
        <v>87</v>
      </c>
      <c r="T1215" t="s">
        <v>88</v>
      </c>
      <c r="U1215" t="s">
        <v>85</v>
      </c>
      <c r="V1215">
        <v>1400000</v>
      </c>
      <c r="W1215">
        <v>100000</v>
      </c>
      <c r="X1215" s="1">
        <v>43808</v>
      </c>
      <c r="Y1215" t="s">
        <v>51</v>
      </c>
      <c r="Z1215" t="s">
        <v>43</v>
      </c>
      <c r="AA1215" t="s">
        <v>86</v>
      </c>
      <c r="AB1215" t="s">
        <v>89</v>
      </c>
      <c r="AC1215" t="s">
        <v>90</v>
      </c>
      <c r="AF1215" t="s">
        <v>91</v>
      </c>
      <c r="AG1215" s="1">
        <v>43852</v>
      </c>
      <c r="AH1215" t="s">
        <v>85</v>
      </c>
      <c r="AI1215" t="s">
        <v>92</v>
      </c>
      <c r="AJ1215">
        <v>19888</v>
      </c>
      <c r="AK1215">
        <v>128777</v>
      </c>
      <c r="AL1215">
        <v>198882</v>
      </c>
    </row>
    <row r="1216" spans="1:38" x14ac:dyDescent="0.25">
      <c r="A1216" t="s">
        <v>370</v>
      </c>
      <c r="B1216" t="s">
        <v>394</v>
      </c>
      <c r="C1216" t="s">
        <v>40</v>
      </c>
      <c r="D1216" s="1">
        <v>43579</v>
      </c>
      <c r="E1216" s="1">
        <v>43944</v>
      </c>
      <c r="F1216" t="s">
        <v>84</v>
      </c>
      <c r="G1216">
        <v>10</v>
      </c>
      <c r="H1216" t="s">
        <v>85</v>
      </c>
      <c r="I1216" t="s">
        <v>43</v>
      </c>
      <c r="J1216" t="s">
        <v>86</v>
      </c>
      <c r="K1216" t="s">
        <v>44</v>
      </c>
      <c r="L1216">
        <v>3098.63</v>
      </c>
      <c r="M1216" s="1">
        <v>43659</v>
      </c>
      <c r="N1216" t="s">
        <v>108</v>
      </c>
      <c r="O1216" t="s">
        <v>106</v>
      </c>
      <c r="P1216" t="s">
        <v>47</v>
      </c>
      <c r="Q1216" s="1">
        <v>43852</v>
      </c>
      <c r="R1216" t="s">
        <v>48</v>
      </c>
      <c r="S1216" t="s">
        <v>87</v>
      </c>
      <c r="T1216" t="s">
        <v>88</v>
      </c>
      <c r="U1216" t="s">
        <v>85</v>
      </c>
      <c r="V1216">
        <v>1400000</v>
      </c>
      <c r="W1216">
        <v>100000</v>
      </c>
      <c r="X1216" s="1">
        <v>43808</v>
      </c>
      <c r="Y1216" t="s">
        <v>51</v>
      </c>
      <c r="Z1216" t="s">
        <v>43</v>
      </c>
      <c r="AA1216" t="s">
        <v>86</v>
      </c>
      <c r="AB1216" t="s">
        <v>89</v>
      </c>
      <c r="AC1216" t="s">
        <v>90</v>
      </c>
      <c r="AF1216" t="s">
        <v>93</v>
      </c>
      <c r="AG1216" s="1">
        <v>43843</v>
      </c>
      <c r="AH1216" t="s">
        <v>85</v>
      </c>
      <c r="AI1216" t="s">
        <v>92</v>
      </c>
      <c r="AJ1216">
        <v>19888</v>
      </c>
      <c r="AK1216">
        <v>128777</v>
      </c>
      <c r="AL1216">
        <v>198882</v>
      </c>
    </row>
    <row r="1217" spans="1:38" x14ac:dyDescent="0.25">
      <c r="A1217" t="s">
        <v>370</v>
      </c>
      <c r="B1217" t="s">
        <v>394</v>
      </c>
      <c r="C1217" t="s">
        <v>40</v>
      </c>
      <c r="D1217" s="1">
        <v>43579</v>
      </c>
      <c r="E1217" s="1">
        <v>43944</v>
      </c>
      <c r="F1217" t="s">
        <v>84</v>
      </c>
      <c r="G1217">
        <v>10</v>
      </c>
      <c r="H1217" t="s">
        <v>85</v>
      </c>
      <c r="I1217" t="s">
        <v>43</v>
      </c>
      <c r="J1217" t="s">
        <v>86</v>
      </c>
      <c r="K1217" t="s">
        <v>44</v>
      </c>
      <c r="L1217">
        <v>3098.63</v>
      </c>
      <c r="M1217" s="1">
        <v>43659</v>
      </c>
      <c r="N1217" t="s">
        <v>108</v>
      </c>
      <c r="O1217" t="s">
        <v>106</v>
      </c>
      <c r="P1217" t="s">
        <v>47</v>
      </c>
      <c r="Q1217" s="1">
        <v>43852</v>
      </c>
      <c r="R1217" t="s">
        <v>48</v>
      </c>
      <c r="S1217" t="s">
        <v>94</v>
      </c>
      <c r="T1217" t="s">
        <v>95</v>
      </c>
      <c r="U1217" t="s">
        <v>85</v>
      </c>
      <c r="V1217">
        <v>4500000</v>
      </c>
      <c r="W1217">
        <v>300000</v>
      </c>
      <c r="X1217" s="1">
        <v>43767</v>
      </c>
      <c r="Y1217" t="s">
        <v>51</v>
      </c>
      <c r="Z1217" t="s">
        <v>43</v>
      </c>
      <c r="AA1217" t="s">
        <v>86</v>
      </c>
      <c r="AB1217" t="s">
        <v>89</v>
      </c>
      <c r="AC1217" t="s">
        <v>90</v>
      </c>
      <c r="AF1217" t="s">
        <v>91</v>
      </c>
      <c r="AG1217" s="1">
        <v>43852</v>
      </c>
      <c r="AH1217" t="s">
        <v>85</v>
      </c>
      <c r="AI1217" t="s">
        <v>92</v>
      </c>
      <c r="AJ1217">
        <v>19888</v>
      </c>
      <c r="AK1217">
        <v>128777</v>
      </c>
      <c r="AL1217">
        <v>198882</v>
      </c>
    </row>
    <row r="1218" spans="1:38" x14ac:dyDescent="0.25">
      <c r="A1218" t="s">
        <v>370</v>
      </c>
      <c r="B1218" t="s">
        <v>394</v>
      </c>
      <c r="C1218" t="s">
        <v>40</v>
      </c>
      <c r="D1218" s="1">
        <v>43579</v>
      </c>
      <c r="E1218" s="1">
        <v>43944</v>
      </c>
      <c r="F1218" t="s">
        <v>84</v>
      </c>
      <c r="G1218">
        <v>10</v>
      </c>
      <c r="H1218" t="s">
        <v>85</v>
      </c>
      <c r="I1218" t="s">
        <v>43</v>
      </c>
      <c r="J1218" t="s">
        <v>86</v>
      </c>
      <c r="K1218" t="s">
        <v>44</v>
      </c>
      <c r="L1218">
        <v>3098.63</v>
      </c>
      <c r="M1218" s="1">
        <v>43659</v>
      </c>
      <c r="N1218" t="s">
        <v>108</v>
      </c>
      <c r="O1218" t="s">
        <v>106</v>
      </c>
      <c r="P1218" t="s">
        <v>47</v>
      </c>
      <c r="Q1218" s="1">
        <v>43852</v>
      </c>
      <c r="R1218" t="s">
        <v>48</v>
      </c>
      <c r="S1218" t="s">
        <v>94</v>
      </c>
      <c r="T1218" t="s">
        <v>95</v>
      </c>
      <c r="U1218" t="s">
        <v>85</v>
      </c>
      <c r="V1218">
        <v>4500000</v>
      </c>
      <c r="W1218">
        <v>300000</v>
      </c>
      <c r="X1218" s="1">
        <v>43767</v>
      </c>
      <c r="Y1218" t="s">
        <v>51</v>
      </c>
      <c r="Z1218" t="s">
        <v>43</v>
      </c>
      <c r="AA1218" t="s">
        <v>86</v>
      </c>
      <c r="AB1218" t="s">
        <v>89</v>
      </c>
      <c r="AC1218" t="s">
        <v>90</v>
      </c>
      <c r="AF1218" t="s">
        <v>93</v>
      </c>
      <c r="AG1218" s="1">
        <v>43843</v>
      </c>
      <c r="AH1218" t="s">
        <v>85</v>
      </c>
      <c r="AI1218" t="s">
        <v>92</v>
      </c>
      <c r="AJ1218">
        <v>19888</v>
      </c>
      <c r="AK1218">
        <v>128777</v>
      </c>
      <c r="AL1218">
        <v>198882</v>
      </c>
    </row>
    <row r="1219" spans="1:38" x14ac:dyDescent="0.25">
      <c r="A1219" t="s">
        <v>370</v>
      </c>
      <c r="B1219" t="s">
        <v>394</v>
      </c>
      <c r="C1219" t="s">
        <v>40</v>
      </c>
      <c r="D1219" s="1">
        <v>43579</v>
      </c>
      <c r="E1219" s="1">
        <v>43944</v>
      </c>
      <c r="F1219" t="s">
        <v>84</v>
      </c>
      <c r="G1219">
        <v>10</v>
      </c>
      <c r="H1219" t="s">
        <v>85</v>
      </c>
      <c r="I1219" t="s">
        <v>43</v>
      </c>
      <c r="J1219" t="s">
        <v>86</v>
      </c>
      <c r="K1219" t="s">
        <v>44</v>
      </c>
      <c r="L1219">
        <v>3098.63</v>
      </c>
      <c r="M1219" s="1">
        <v>43659</v>
      </c>
      <c r="N1219" t="s">
        <v>108</v>
      </c>
      <c r="O1219" t="s">
        <v>106</v>
      </c>
      <c r="P1219" t="s">
        <v>47</v>
      </c>
      <c r="Q1219" s="1">
        <v>43852</v>
      </c>
      <c r="R1219" t="s">
        <v>48</v>
      </c>
      <c r="S1219" t="s">
        <v>96</v>
      </c>
      <c r="T1219" t="s">
        <v>97</v>
      </c>
      <c r="U1219" t="s">
        <v>85</v>
      </c>
      <c r="V1219">
        <v>600000</v>
      </c>
      <c r="W1219">
        <v>100000</v>
      </c>
      <c r="X1219" s="1">
        <v>43799</v>
      </c>
      <c r="Y1219" t="s">
        <v>51</v>
      </c>
      <c r="Z1219" t="s">
        <v>43</v>
      </c>
      <c r="AA1219" t="s">
        <v>98</v>
      </c>
      <c r="AB1219" t="s">
        <v>89</v>
      </c>
      <c r="AC1219" t="s">
        <v>90</v>
      </c>
      <c r="AF1219" t="s">
        <v>91</v>
      </c>
      <c r="AG1219" s="1">
        <v>43852</v>
      </c>
      <c r="AH1219" t="s">
        <v>85</v>
      </c>
      <c r="AI1219" t="s">
        <v>92</v>
      </c>
      <c r="AJ1219">
        <v>19888</v>
      </c>
      <c r="AK1219">
        <v>128777</v>
      </c>
      <c r="AL1219">
        <v>198882</v>
      </c>
    </row>
    <row r="1220" spans="1:38" x14ac:dyDescent="0.25">
      <c r="A1220" t="s">
        <v>370</v>
      </c>
      <c r="B1220" t="s">
        <v>394</v>
      </c>
      <c r="C1220" t="s">
        <v>40</v>
      </c>
      <c r="D1220" s="1">
        <v>43579</v>
      </c>
      <c r="E1220" s="1">
        <v>43944</v>
      </c>
      <c r="F1220" t="s">
        <v>84</v>
      </c>
      <c r="G1220">
        <v>10</v>
      </c>
      <c r="H1220" t="s">
        <v>85</v>
      </c>
      <c r="I1220" t="s">
        <v>43</v>
      </c>
      <c r="J1220" t="s">
        <v>86</v>
      </c>
      <c r="K1220" t="s">
        <v>44</v>
      </c>
      <c r="L1220">
        <v>3098.63</v>
      </c>
      <c r="M1220" s="1">
        <v>43659</v>
      </c>
      <c r="N1220" t="s">
        <v>108</v>
      </c>
      <c r="O1220" t="s">
        <v>106</v>
      </c>
      <c r="P1220" t="s">
        <v>47</v>
      </c>
      <c r="Q1220" s="1">
        <v>43852</v>
      </c>
      <c r="R1220" t="s">
        <v>48</v>
      </c>
      <c r="S1220" t="s">
        <v>96</v>
      </c>
      <c r="T1220" t="s">
        <v>97</v>
      </c>
      <c r="U1220" t="s">
        <v>85</v>
      </c>
      <c r="V1220">
        <v>600000</v>
      </c>
      <c r="W1220">
        <v>100000</v>
      </c>
      <c r="X1220" s="1">
        <v>43799</v>
      </c>
      <c r="Y1220" t="s">
        <v>51</v>
      </c>
      <c r="Z1220" t="s">
        <v>43</v>
      </c>
      <c r="AA1220" t="s">
        <v>98</v>
      </c>
      <c r="AB1220" t="s">
        <v>89</v>
      </c>
      <c r="AC1220" t="s">
        <v>90</v>
      </c>
      <c r="AF1220" t="s">
        <v>93</v>
      </c>
      <c r="AG1220" s="1">
        <v>43843</v>
      </c>
      <c r="AH1220" t="s">
        <v>85</v>
      </c>
      <c r="AI1220" t="s">
        <v>92</v>
      </c>
      <c r="AJ1220">
        <v>19888</v>
      </c>
      <c r="AK1220">
        <v>128777</v>
      </c>
      <c r="AL1220">
        <v>198882</v>
      </c>
    </row>
    <row r="1221" spans="1:38" x14ac:dyDescent="0.25">
      <c r="A1221" t="s">
        <v>370</v>
      </c>
      <c r="B1221" t="s">
        <v>394</v>
      </c>
      <c r="C1221" t="s">
        <v>40</v>
      </c>
      <c r="D1221" s="1">
        <v>43579</v>
      </c>
      <c r="E1221" s="1">
        <v>43944</v>
      </c>
      <c r="F1221" t="s">
        <v>84</v>
      </c>
      <c r="G1221">
        <v>10</v>
      </c>
      <c r="H1221" t="s">
        <v>85</v>
      </c>
      <c r="I1221" t="s">
        <v>43</v>
      </c>
      <c r="J1221" t="s">
        <v>86</v>
      </c>
      <c r="K1221" t="s">
        <v>44</v>
      </c>
      <c r="L1221">
        <v>3098.63</v>
      </c>
      <c r="M1221" s="1">
        <v>43659</v>
      </c>
      <c r="N1221" t="s">
        <v>108</v>
      </c>
      <c r="O1221" t="s">
        <v>106</v>
      </c>
      <c r="P1221" t="s">
        <v>47</v>
      </c>
      <c r="Q1221" s="1">
        <v>43852</v>
      </c>
      <c r="R1221" t="s">
        <v>48</v>
      </c>
      <c r="S1221" t="s">
        <v>99</v>
      </c>
      <c r="T1221" t="s">
        <v>100</v>
      </c>
      <c r="U1221" t="s">
        <v>85</v>
      </c>
      <c r="V1221">
        <v>210000</v>
      </c>
      <c r="W1221">
        <v>35000</v>
      </c>
      <c r="X1221" s="1">
        <v>43799</v>
      </c>
      <c r="Y1221" t="s">
        <v>51</v>
      </c>
      <c r="Z1221" t="s">
        <v>43</v>
      </c>
      <c r="AA1221" t="s">
        <v>98</v>
      </c>
      <c r="AB1221" t="s">
        <v>89</v>
      </c>
      <c r="AC1221" t="s">
        <v>101</v>
      </c>
      <c r="AF1221" t="s">
        <v>91</v>
      </c>
      <c r="AG1221" s="1">
        <v>43852</v>
      </c>
      <c r="AH1221" t="s">
        <v>85</v>
      </c>
      <c r="AI1221" t="s">
        <v>92</v>
      </c>
      <c r="AJ1221">
        <v>19888</v>
      </c>
      <c r="AK1221">
        <v>128777</v>
      </c>
      <c r="AL1221">
        <v>198882</v>
      </c>
    </row>
    <row r="1222" spans="1:38" x14ac:dyDescent="0.25">
      <c r="A1222" t="s">
        <v>370</v>
      </c>
      <c r="B1222" t="s">
        <v>394</v>
      </c>
      <c r="C1222" t="s">
        <v>40</v>
      </c>
      <c r="D1222" s="1">
        <v>43579</v>
      </c>
      <c r="E1222" s="1">
        <v>43944</v>
      </c>
      <c r="F1222" t="s">
        <v>84</v>
      </c>
      <c r="G1222">
        <v>10</v>
      </c>
      <c r="H1222" t="s">
        <v>85</v>
      </c>
      <c r="I1222" t="s">
        <v>43</v>
      </c>
      <c r="J1222" t="s">
        <v>86</v>
      </c>
      <c r="K1222" t="s">
        <v>44</v>
      </c>
      <c r="L1222">
        <v>3098.63</v>
      </c>
      <c r="M1222" s="1">
        <v>43659</v>
      </c>
      <c r="N1222" t="s">
        <v>108</v>
      </c>
      <c r="O1222" t="s">
        <v>106</v>
      </c>
      <c r="P1222" t="s">
        <v>47</v>
      </c>
      <c r="Q1222" s="1">
        <v>43852</v>
      </c>
      <c r="R1222" t="s">
        <v>48</v>
      </c>
      <c r="S1222" t="s">
        <v>99</v>
      </c>
      <c r="T1222" t="s">
        <v>100</v>
      </c>
      <c r="U1222" t="s">
        <v>85</v>
      </c>
      <c r="V1222">
        <v>210000</v>
      </c>
      <c r="W1222">
        <v>35000</v>
      </c>
      <c r="X1222" s="1">
        <v>43799</v>
      </c>
      <c r="Y1222" t="s">
        <v>51</v>
      </c>
      <c r="Z1222" t="s">
        <v>43</v>
      </c>
      <c r="AA1222" t="s">
        <v>98</v>
      </c>
      <c r="AB1222" t="s">
        <v>89</v>
      </c>
      <c r="AC1222" t="s">
        <v>101</v>
      </c>
      <c r="AF1222" t="s">
        <v>93</v>
      </c>
      <c r="AG1222" s="1">
        <v>43843</v>
      </c>
      <c r="AH1222" t="s">
        <v>85</v>
      </c>
      <c r="AI1222" t="s">
        <v>92</v>
      </c>
      <c r="AJ1222">
        <v>19888</v>
      </c>
      <c r="AK1222">
        <v>128777</v>
      </c>
      <c r="AL1222">
        <v>198882</v>
      </c>
    </row>
    <row r="1223" spans="1:38" x14ac:dyDescent="0.25">
      <c r="A1223" t="s">
        <v>370</v>
      </c>
      <c r="B1223" t="s">
        <v>394</v>
      </c>
      <c r="C1223" t="s">
        <v>40</v>
      </c>
      <c r="D1223" s="1">
        <v>43579</v>
      </c>
      <c r="E1223" s="1">
        <v>43944</v>
      </c>
      <c r="F1223" t="s">
        <v>84</v>
      </c>
      <c r="G1223">
        <v>10</v>
      </c>
      <c r="H1223" t="s">
        <v>85</v>
      </c>
      <c r="I1223" t="s">
        <v>43</v>
      </c>
      <c r="J1223" t="s">
        <v>86</v>
      </c>
      <c r="K1223" t="s">
        <v>44</v>
      </c>
      <c r="L1223">
        <v>3098.63</v>
      </c>
      <c r="M1223" s="1">
        <v>43659</v>
      </c>
      <c r="N1223" t="s">
        <v>108</v>
      </c>
      <c r="O1223" t="s">
        <v>106</v>
      </c>
      <c r="P1223" t="s">
        <v>47</v>
      </c>
      <c r="Q1223" s="1">
        <v>43852</v>
      </c>
      <c r="R1223" t="s">
        <v>48</v>
      </c>
      <c r="S1223" t="s">
        <v>102</v>
      </c>
      <c r="T1223" t="s">
        <v>103</v>
      </c>
      <c r="U1223" t="s">
        <v>85</v>
      </c>
      <c r="V1223">
        <v>5000000</v>
      </c>
      <c r="W1223">
        <v>250000</v>
      </c>
      <c r="X1223" s="1">
        <v>43799</v>
      </c>
      <c r="Y1223" t="s">
        <v>51</v>
      </c>
      <c r="Z1223" t="s">
        <v>43</v>
      </c>
      <c r="AA1223" t="s">
        <v>86</v>
      </c>
      <c r="AB1223" t="s">
        <v>89</v>
      </c>
      <c r="AC1223" t="s">
        <v>90</v>
      </c>
      <c r="AF1223" t="s">
        <v>91</v>
      </c>
      <c r="AG1223" s="1">
        <v>43852</v>
      </c>
      <c r="AH1223" t="s">
        <v>85</v>
      </c>
      <c r="AI1223" t="s">
        <v>92</v>
      </c>
      <c r="AJ1223">
        <v>19888</v>
      </c>
      <c r="AK1223">
        <v>128777</v>
      </c>
      <c r="AL1223">
        <v>198882</v>
      </c>
    </row>
    <row r="1224" spans="1:38" x14ac:dyDescent="0.25">
      <c r="A1224" t="s">
        <v>370</v>
      </c>
      <c r="B1224" t="s">
        <v>394</v>
      </c>
      <c r="C1224" t="s">
        <v>40</v>
      </c>
      <c r="D1224" s="1">
        <v>43579</v>
      </c>
      <c r="E1224" s="1">
        <v>43944</v>
      </c>
      <c r="F1224" t="s">
        <v>84</v>
      </c>
      <c r="G1224">
        <v>10</v>
      </c>
      <c r="H1224" t="s">
        <v>85</v>
      </c>
      <c r="I1224" t="s">
        <v>43</v>
      </c>
      <c r="J1224" t="s">
        <v>86</v>
      </c>
      <c r="K1224" t="s">
        <v>44</v>
      </c>
      <c r="L1224">
        <v>3098.63</v>
      </c>
      <c r="M1224" s="1">
        <v>43659</v>
      </c>
      <c r="N1224" t="s">
        <v>108</v>
      </c>
      <c r="O1224" t="s">
        <v>106</v>
      </c>
      <c r="P1224" t="s">
        <v>47</v>
      </c>
      <c r="Q1224" s="1">
        <v>43852</v>
      </c>
      <c r="R1224" t="s">
        <v>48</v>
      </c>
      <c r="S1224" t="s">
        <v>102</v>
      </c>
      <c r="T1224" t="s">
        <v>103</v>
      </c>
      <c r="U1224" t="s">
        <v>85</v>
      </c>
      <c r="V1224">
        <v>5000000</v>
      </c>
      <c r="W1224">
        <v>250000</v>
      </c>
      <c r="X1224" s="1">
        <v>43799</v>
      </c>
      <c r="Y1224" t="s">
        <v>51</v>
      </c>
      <c r="Z1224" t="s">
        <v>43</v>
      </c>
      <c r="AA1224" t="s">
        <v>86</v>
      </c>
      <c r="AB1224" t="s">
        <v>89</v>
      </c>
      <c r="AC1224" t="s">
        <v>90</v>
      </c>
      <c r="AF1224" t="s">
        <v>93</v>
      </c>
      <c r="AG1224" s="1">
        <v>43843</v>
      </c>
      <c r="AH1224" t="s">
        <v>85</v>
      </c>
      <c r="AI1224" t="s">
        <v>92</v>
      </c>
      <c r="AJ1224">
        <v>19888</v>
      </c>
      <c r="AK1224">
        <v>128777</v>
      </c>
      <c r="AL1224">
        <v>198882</v>
      </c>
    </row>
    <row r="1225" spans="1:38" x14ac:dyDescent="0.25">
      <c r="A1225" t="s">
        <v>370</v>
      </c>
      <c r="B1225" t="s">
        <v>394</v>
      </c>
      <c r="C1225" t="s">
        <v>40</v>
      </c>
      <c r="D1225" s="1">
        <v>43579</v>
      </c>
      <c r="E1225" s="1">
        <v>43944</v>
      </c>
      <c r="F1225" t="s">
        <v>84</v>
      </c>
      <c r="G1225">
        <v>10</v>
      </c>
      <c r="H1225" t="s">
        <v>85</v>
      </c>
      <c r="I1225" t="s">
        <v>43</v>
      </c>
      <c r="J1225" t="s">
        <v>86</v>
      </c>
      <c r="K1225" t="s">
        <v>44</v>
      </c>
      <c r="L1225">
        <v>1747.2</v>
      </c>
      <c r="M1225" s="1">
        <v>43663</v>
      </c>
      <c r="N1225" t="s">
        <v>108</v>
      </c>
      <c r="O1225" t="s">
        <v>106</v>
      </c>
      <c r="P1225" t="s">
        <v>47</v>
      </c>
      <c r="Q1225" s="1">
        <v>43852</v>
      </c>
      <c r="R1225" t="s">
        <v>48</v>
      </c>
      <c r="S1225" t="s">
        <v>87</v>
      </c>
      <c r="T1225" t="s">
        <v>88</v>
      </c>
      <c r="U1225" t="s">
        <v>85</v>
      </c>
      <c r="V1225">
        <v>1400000</v>
      </c>
      <c r="W1225">
        <v>100000</v>
      </c>
      <c r="X1225" s="1">
        <v>43808</v>
      </c>
      <c r="Y1225" t="s">
        <v>51</v>
      </c>
      <c r="Z1225" t="s">
        <v>43</v>
      </c>
      <c r="AA1225" t="s">
        <v>86</v>
      </c>
      <c r="AB1225" t="s">
        <v>89</v>
      </c>
      <c r="AC1225" t="s">
        <v>90</v>
      </c>
      <c r="AF1225" t="s">
        <v>91</v>
      </c>
      <c r="AG1225" s="1">
        <v>43852</v>
      </c>
      <c r="AH1225" t="s">
        <v>85</v>
      </c>
      <c r="AI1225" t="s">
        <v>92</v>
      </c>
      <c r="AJ1225">
        <v>19888</v>
      </c>
      <c r="AK1225">
        <v>128777</v>
      </c>
      <c r="AL1225">
        <v>198882</v>
      </c>
    </row>
    <row r="1226" spans="1:38" x14ac:dyDescent="0.25">
      <c r="A1226" t="s">
        <v>370</v>
      </c>
      <c r="B1226" t="s">
        <v>394</v>
      </c>
      <c r="C1226" t="s">
        <v>40</v>
      </c>
      <c r="D1226" s="1">
        <v>43579</v>
      </c>
      <c r="E1226" s="1">
        <v>43944</v>
      </c>
      <c r="F1226" t="s">
        <v>84</v>
      </c>
      <c r="G1226">
        <v>10</v>
      </c>
      <c r="H1226" t="s">
        <v>85</v>
      </c>
      <c r="I1226" t="s">
        <v>43</v>
      </c>
      <c r="J1226" t="s">
        <v>86</v>
      </c>
      <c r="K1226" t="s">
        <v>44</v>
      </c>
      <c r="L1226">
        <v>1747.2</v>
      </c>
      <c r="M1226" s="1">
        <v>43663</v>
      </c>
      <c r="N1226" t="s">
        <v>108</v>
      </c>
      <c r="O1226" t="s">
        <v>106</v>
      </c>
      <c r="P1226" t="s">
        <v>47</v>
      </c>
      <c r="Q1226" s="1">
        <v>43852</v>
      </c>
      <c r="R1226" t="s">
        <v>48</v>
      </c>
      <c r="S1226" t="s">
        <v>87</v>
      </c>
      <c r="T1226" t="s">
        <v>88</v>
      </c>
      <c r="U1226" t="s">
        <v>85</v>
      </c>
      <c r="V1226">
        <v>1400000</v>
      </c>
      <c r="W1226">
        <v>100000</v>
      </c>
      <c r="X1226" s="1">
        <v>43808</v>
      </c>
      <c r="Y1226" t="s">
        <v>51</v>
      </c>
      <c r="Z1226" t="s">
        <v>43</v>
      </c>
      <c r="AA1226" t="s">
        <v>86</v>
      </c>
      <c r="AB1226" t="s">
        <v>89</v>
      </c>
      <c r="AC1226" t="s">
        <v>90</v>
      </c>
      <c r="AF1226" t="s">
        <v>93</v>
      </c>
      <c r="AG1226" s="1">
        <v>43843</v>
      </c>
      <c r="AH1226" t="s">
        <v>85</v>
      </c>
      <c r="AI1226" t="s">
        <v>92</v>
      </c>
      <c r="AJ1226">
        <v>19888</v>
      </c>
      <c r="AK1226">
        <v>128777</v>
      </c>
      <c r="AL1226">
        <v>198882</v>
      </c>
    </row>
    <row r="1227" spans="1:38" x14ac:dyDescent="0.25">
      <c r="A1227" t="s">
        <v>370</v>
      </c>
      <c r="B1227" t="s">
        <v>394</v>
      </c>
      <c r="C1227" t="s">
        <v>40</v>
      </c>
      <c r="D1227" s="1">
        <v>43579</v>
      </c>
      <c r="E1227" s="1">
        <v>43944</v>
      </c>
      <c r="F1227" t="s">
        <v>84</v>
      </c>
      <c r="G1227">
        <v>10</v>
      </c>
      <c r="H1227" t="s">
        <v>85</v>
      </c>
      <c r="I1227" t="s">
        <v>43</v>
      </c>
      <c r="J1227" t="s">
        <v>86</v>
      </c>
      <c r="K1227" t="s">
        <v>44</v>
      </c>
      <c r="L1227">
        <v>1747.2</v>
      </c>
      <c r="M1227" s="1">
        <v>43663</v>
      </c>
      <c r="N1227" t="s">
        <v>108</v>
      </c>
      <c r="O1227" t="s">
        <v>106</v>
      </c>
      <c r="P1227" t="s">
        <v>47</v>
      </c>
      <c r="Q1227" s="1">
        <v>43852</v>
      </c>
      <c r="R1227" t="s">
        <v>48</v>
      </c>
      <c r="S1227" t="s">
        <v>94</v>
      </c>
      <c r="T1227" t="s">
        <v>95</v>
      </c>
      <c r="U1227" t="s">
        <v>85</v>
      </c>
      <c r="V1227">
        <v>4500000</v>
      </c>
      <c r="W1227">
        <v>300000</v>
      </c>
      <c r="X1227" s="1">
        <v>43767</v>
      </c>
      <c r="Y1227" t="s">
        <v>51</v>
      </c>
      <c r="Z1227" t="s">
        <v>43</v>
      </c>
      <c r="AA1227" t="s">
        <v>86</v>
      </c>
      <c r="AB1227" t="s">
        <v>89</v>
      </c>
      <c r="AC1227" t="s">
        <v>90</v>
      </c>
      <c r="AF1227" t="s">
        <v>91</v>
      </c>
      <c r="AG1227" s="1">
        <v>43852</v>
      </c>
      <c r="AH1227" t="s">
        <v>85</v>
      </c>
      <c r="AI1227" t="s">
        <v>92</v>
      </c>
      <c r="AJ1227">
        <v>19888</v>
      </c>
      <c r="AK1227">
        <v>128777</v>
      </c>
      <c r="AL1227">
        <v>198882</v>
      </c>
    </row>
    <row r="1228" spans="1:38" x14ac:dyDescent="0.25">
      <c r="A1228" t="s">
        <v>370</v>
      </c>
      <c r="B1228" t="s">
        <v>394</v>
      </c>
      <c r="C1228" t="s">
        <v>40</v>
      </c>
      <c r="D1228" s="1">
        <v>43579</v>
      </c>
      <c r="E1228" s="1">
        <v>43944</v>
      </c>
      <c r="F1228" t="s">
        <v>84</v>
      </c>
      <c r="G1228">
        <v>10</v>
      </c>
      <c r="H1228" t="s">
        <v>85</v>
      </c>
      <c r="I1228" t="s">
        <v>43</v>
      </c>
      <c r="J1228" t="s">
        <v>86</v>
      </c>
      <c r="K1228" t="s">
        <v>44</v>
      </c>
      <c r="L1228">
        <v>1747.2</v>
      </c>
      <c r="M1228" s="1">
        <v>43663</v>
      </c>
      <c r="N1228" t="s">
        <v>108</v>
      </c>
      <c r="O1228" t="s">
        <v>106</v>
      </c>
      <c r="P1228" t="s">
        <v>47</v>
      </c>
      <c r="Q1228" s="1">
        <v>43852</v>
      </c>
      <c r="R1228" t="s">
        <v>48</v>
      </c>
      <c r="S1228" t="s">
        <v>94</v>
      </c>
      <c r="T1228" t="s">
        <v>95</v>
      </c>
      <c r="U1228" t="s">
        <v>85</v>
      </c>
      <c r="V1228">
        <v>4500000</v>
      </c>
      <c r="W1228">
        <v>300000</v>
      </c>
      <c r="X1228" s="1">
        <v>43767</v>
      </c>
      <c r="Y1228" t="s">
        <v>51</v>
      </c>
      <c r="Z1228" t="s">
        <v>43</v>
      </c>
      <c r="AA1228" t="s">
        <v>86</v>
      </c>
      <c r="AB1228" t="s">
        <v>89</v>
      </c>
      <c r="AC1228" t="s">
        <v>90</v>
      </c>
      <c r="AF1228" t="s">
        <v>93</v>
      </c>
      <c r="AG1228" s="1">
        <v>43843</v>
      </c>
      <c r="AH1228" t="s">
        <v>85</v>
      </c>
      <c r="AI1228" t="s">
        <v>92</v>
      </c>
      <c r="AJ1228">
        <v>19888</v>
      </c>
      <c r="AK1228">
        <v>128777</v>
      </c>
      <c r="AL1228">
        <v>198882</v>
      </c>
    </row>
    <row r="1229" spans="1:38" x14ac:dyDescent="0.25">
      <c r="A1229" t="s">
        <v>370</v>
      </c>
      <c r="B1229" t="s">
        <v>394</v>
      </c>
      <c r="C1229" t="s">
        <v>40</v>
      </c>
      <c r="D1229" s="1">
        <v>43579</v>
      </c>
      <c r="E1229" s="1">
        <v>43944</v>
      </c>
      <c r="F1229" t="s">
        <v>84</v>
      </c>
      <c r="G1229">
        <v>10</v>
      </c>
      <c r="H1229" t="s">
        <v>85</v>
      </c>
      <c r="I1229" t="s">
        <v>43</v>
      </c>
      <c r="J1229" t="s">
        <v>86</v>
      </c>
      <c r="K1229" t="s">
        <v>44</v>
      </c>
      <c r="L1229">
        <v>1747.2</v>
      </c>
      <c r="M1229" s="1">
        <v>43663</v>
      </c>
      <c r="N1229" t="s">
        <v>108</v>
      </c>
      <c r="O1229" t="s">
        <v>106</v>
      </c>
      <c r="P1229" t="s">
        <v>47</v>
      </c>
      <c r="Q1229" s="1">
        <v>43852</v>
      </c>
      <c r="R1229" t="s">
        <v>48</v>
      </c>
      <c r="S1229" t="s">
        <v>96</v>
      </c>
      <c r="T1229" t="s">
        <v>97</v>
      </c>
      <c r="U1229" t="s">
        <v>85</v>
      </c>
      <c r="V1229">
        <v>600000</v>
      </c>
      <c r="W1229">
        <v>100000</v>
      </c>
      <c r="X1229" s="1">
        <v>43799</v>
      </c>
      <c r="Y1229" t="s">
        <v>51</v>
      </c>
      <c r="Z1229" t="s">
        <v>43</v>
      </c>
      <c r="AA1229" t="s">
        <v>98</v>
      </c>
      <c r="AB1229" t="s">
        <v>89</v>
      </c>
      <c r="AC1229" t="s">
        <v>90</v>
      </c>
      <c r="AF1229" t="s">
        <v>91</v>
      </c>
      <c r="AG1229" s="1">
        <v>43852</v>
      </c>
      <c r="AH1229" t="s">
        <v>85</v>
      </c>
      <c r="AI1229" t="s">
        <v>92</v>
      </c>
      <c r="AJ1229">
        <v>19888</v>
      </c>
      <c r="AK1229">
        <v>128777</v>
      </c>
      <c r="AL1229">
        <v>198882</v>
      </c>
    </row>
    <row r="1230" spans="1:38" x14ac:dyDescent="0.25">
      <c r="A1230" t="s">
        <v>370</v>
      </c>
      <c r="B1230" t="s">
        <v>394</v>
      </c>
      <c r="C1230" t="s">
        <v>40</v>
      </c>
      <c r="D1230" s="1">
        <v>43579</v>
      </c>
      <c r="E1230" s="1">
        <v>43944</v>
      </c>
      <c r="F1230" t="s">
        <v>84</v>
      </c>
      <c r="G1230">
        <v>10</v>
      </c>
      <c r="H1230" t="s">
        <v>85</v>
      </c>
      <c r="I1230" t="s">
        <v>43</v>
      </c>
      <c r="J1230" t="s">
        <v>86</v>
      </c>
      <c r="K1230" t="s">
        <v>44</v>
      </c>
      <c r="L1230">
        <v>1747.2</v>
      </c>
      <c r="M1230" s="1">
        <v>43663</v>
      </c>
      <c r="N1230" t="s">
        <v>108</v>
      </c>
      <c r="O1230" t="s">
        <v>106</v>
      </c>
      <c r="P1230" t="s">
        <v>47</v>
      </c>
      <c r="Q1230" s="1">
        <v>43852</v>
      </c>
      <c r="R1230" t="s">
        <v>48</v>
      </c>
      <c r="S1230" t="s">
        <v>96</v>
      </c>
      <c r="T1230" t="s">
        <v>97</v>
      </c>
      <c r="U1230" t="s">
        <v>85</v>
      </c>
      <c r="V1230">
        <v>600000</v>
      </c>
      <c r="W1230">
        <v>100000</v>
      </c>
      <c r="X1230" s="1">
        <v>43799</v>
      </c>
      <c r="Y1230" t="s">
        <v>51</v>
      </c>
      <c r="Z1230" t="s">
        <v>43</v>
      </c>
      <c r="AA1230" t="s">
        <v>98</v>
      </c>
      <c r="AB1230" t="s">
        <v>89</v>
      </c>
      <c r="AC1230" t="s">
        <v>90</v>
      </c>
      <c r="AF1230" t="s">
        <v>93</v>
      </c>
      <c r="AG1230" s="1">
        <v>43843</v>
      </c>
      <c r="AH1230" t="s">
        <v>85</v>
      </c>
      <c r="AI1230" t="s">
        <v>92</v>
      </c>
      <c r="AJ1230">
        <v>19888</v>
      </c>
      <c r="AK1230">
        <v>128777</v>
      </c>
      <c r="AL1230">
        <v>198882</v>
      </c>
    </row>
    <row r="1231" spans="1:38" x14ac:dyDescent="0.25">
      <c r="A1231" t="s">
        <v>370</v>
      </c>
      <c r="B1231" t="s">
        <v>394</v>
      </c>
      <c r="C1231" t="s">
        <v>40</v>
      </c>
      <c r="D1231" s="1">
        <v>43579</v>
      </c>
      <c r="E1231" s="1">
        <v>43944</v>
      </c>
      <c r="F1231" t="s">
        <v>84</v>
      </c>
      <c r="G1231">
        <v>10</v>
      </c>
      <c r="H1231" t="s">
        <v>85</v>
      </c>
      <c r="I1231" t="s">
        <v>43</v>
      </c>
      <c r="J1231" t="s">
        <v>86</v>
      </c>
      <c r="K1231" t="s">
        <v>44</v>
      </c>
      <c r="L1231">
        <v>1747.2</v>
      </c>
      <c r="M1231" s="1">
        <v>43663</v>
      </c>
      <c r="N1231" t="s">
        <v>108</v>
      </c>
      <c r="O1231" t="s">
        <v>106</v>
      </c>
      <c r="P1231" t="s">
        <v>47</v>
      </c>
      <c r="Q1231" s="1">
        <v>43852</v>
      </c>
      <c r="R1231" t="s">
        <v>48</v>
      </c>
      <c r="S1231" t="s">
        <v>99</v>
      </c>
      <c r="T1231" t="s">
        <v>100</v>
      </c>
      <c r="U1231" t="s">
        <v>85</v>
      </c>
      <c r="V1231">
        <v>210000</v>
      </c>
      <c r="W1231">
        <v>35000</v>
      </c>
      <c r="X1231" s="1">
        <v>43799</v>
      </c>
      <c r="Y1231" t="s">
        <v>51</v>
      </c>
      <c r="Z1231" t="s">
        <v>43</v>
      </c>
      <c r="AA1231" t="s">
        <v>98</v>
      </c>
      <c r="AB1231" t="s">
        <v>89</v>
      </c>
      <c r="AC1231" t="s">
        <v>101</v>
      </c>
      <c r="AF1231" t="s">
        <v>91</v>
      </c>
      <c r="AG1231" s="1">
        <v>43852</v>
      </c>
      <c r="AH1231" t="s">
        <v>85</v>
      </c>
      <c r="AI1231" t="s">
        <v>92</v>
      </c>
      <c r="AJ1231">
        <v>19888</v>
      </c>
      <c r="AK1231">
        <v>128777</v>
      </c>
      <c r="AL1231">
        <v>198882</v>
      </c>
    </row>
    <row r="1232" spans="1:38" x14ac:dyDescent="0.25">
      <c r="A1232" t="s">
        <v>370</v>
      </c>
      <c r="B1232" t="s">
        <v>394</v>
      </c>
      <c r="C1232" t="s">
        <v>40</v>
      </c>
      <c r="D1232" s="1">
        <v>43579</v>
      </c>
      <c r="E1232" s="1">
        <v>43944</v>
      </c>
      <c r="F1232" t="s">
        <v>84</v>
      </c>
      <c r="G1232">
        <v>10</v>
      </c>
      <c r="H1232" t="s">
        <v>85</v>
      </c>
      <c r="I1232" t="s">
        <v>43</v>
      </c>
      <c r="J1232" t="s">
        <v>86</v>
      </c>
      <c r="K1232" t="s">
        <v>44</v>
      </c>
      <c r="L1232">
        <v>1747.2</v>
      </c>
      <c r="M1232" s="1">
        <v>43663</v>
      </c>
      <c r="N1232" t="s">
        <v>108</v>
      </c>
      <c r="O1232" t="s">
        <v>106</v>
      </c>
      <c r="P1232" t="s">
        <v>47</v>
      </c>
      <c r="Q1232" s="1">
        <v>43852</v>
      </c>
      <c r="R1232" t="s">
        <v>48</v>
      </c>
      <c r="S1232" t="s">
        <v>99</v>
      </c>
      <c r="T1232" t="s">
        <v>100</v>
      </c>
      <c r="U1232" t="s">
        <v>85</v>
      </c>
      <c r="V1232">
        <v>210000</v>
      </c>
      <c r="W1232">
        <v>35000</v>
      </c>
      <c r="X1232" s="1">
        <v>43799</v>
      </c>
      <c r="Y1232" t="s">
        <v>51</v>
      </c>
      <c r="Z1232" t="s">
        <v>43</v>
      </c>
      <c r="AA1232" t="s">
        <v>98</v>
      </c>
      <c r="AB1232" t="s">
        <v>89</v>
      </c>
      <c r="AC1232" t="s">
        <v>101</v>
      </c>
      <c r="AF1232" t="s">
        <v>93</v>
      </c>
      <c r="AG1232" s="1">
        <v>43843</v>
      </c>
      <c r="AH1232" t="s">
        <v>85</v>
      </c>
      <c r="AI1232" t="s">
        <v>92</v>
      </c>
      <c r="AJ1232">
        <v>19888</v>
      </c>
      <c r="AK1232">
        <v>128777</v>
      </c>
      <c r="AL1232">
        <v>198882</v>
      </c>
    </row>
    <row r="1233" spans="1:38" x14ac:dyDescent="0.25">
      <c r="A1233" t="s">
        <v>370</v>
      </c>
      <c r="B1233" t="s">
        <v>394</v>
      </c>
      <c r="C1233" t="s">
        <v>40</v>
      </c>
      <c r="D1233" s="1">
        <v>43579</v>
      </c>
      <c r="E1233" s="1">
        <v>43944</v>
      </c>
      <c r="F1233" t="s">
        <v>84</v>
      </c>
      <c r="G1233">
        <v>10</v>
      </c>
      <c r="H1233" t="s">
        <v>85</v>
      </c>
      <c r="I1233" t="s">
        <v>43</v>
      </c>
      <c r="J1233" t="s">
        <v>86</v>
      </c>
      <c r="K1233" t="s">
        <v>44</v>
      </c>
      <c r="L1233">
        <v>1747.2</v>
      </c>
      <c r="M1233" s="1">
        <v>43663</v>
      </c>
      <c r="N1233" t="s">
        <v>108</v>
      </c>
      <c r="O1233" t="s">
        <v>106</v>
      </c>
      <c r="P1233" t="s">
        <v>47</v>
      </c>
      <c r="Q1233" s="1">
        <v>43852</v>
      </c>
      <c r="R1233" t="s">
        <v>48</v>
      </c>
      <c r="S1233" t="s">
        <v>102</v>
      </c>
      <c r="T1233" t="s">
        <v>103</v>
      </c>
      <c r="U1233" t="s">
        <v>85</v>
      </c>
      <c r="V1233">
        <v>5000000</v>
      </c>
      <c r="W1233">
        <v>250000</v>
      </c>
      <c r="X1233" s="1">
        <v>43799</v>
      </c>
      <c r="Y1233" t="s">
        <v>51</v>
      </c>
      <c r="Z1233" t="s">
        <v>43</v>
      </c>
      <c r="AA1233" t="s">
        <v>86</v>
      </c>
      <c r="AB1233" t="s">
        <v>89</v>
      </c>
      <c r="AC1233" t="s">
        <v>90</v>
      </c>
      <c r="AF1233" t="s">
        <v>91</v>
      </c>
      <c r="AG1233" s="1">
        <v>43852</v>
      </c>
      <c r="AH1233" t="s">
        <v>85</v>
      </c>
      <c r="AI1233" t="s">
        <v>92</v>
      </c>
      <c r="AJ1233">
        <v>19888</v>
      </c>
      <c r="AK1233">
        <v>128777</v>
      </c>
      <c r="AL1233">
        <v>198882</v>
      </c>
    </row>
    <row r="1234" spans="1:38" x14ac:dyDescent="0.25">
      <c r="A1234" t="s">
        <v>370</v>
      </c>
      <c r="B1234" t="s">
        <v>394</v>
      </c>
      <c r="C1234" t="s">
        <v>40</v>
      </c>
      <c r="D1234" s="1">
        <v>43579</v>
      </c>
      <c r="E1234" s="1">
        <v>43944</v>
      </c>
      <c r="F1234" t="s">
        <v>84</v>
      </c>
      <c r="G1234">
        <v>10</v>
      </c>
      <c r="H1234" t="s">
        <v>85</v>
      </c>
      <c r="I1234" t="s">
        <v>43</v>
      </c>
      <c r="J1234" t="s">
        <v>86</v>
      </c>
      <c r="K1234" t="s">
        <v>44</v>
      </c>
      <c r="L1234">
        <v>1747.2</v>
      </c>
      <c r="M1234" s="1">
        <v>43663</v>
      </c>
      <c r="N1234" t="s">
        <v>108</v>
      </c>
      <c r="O1234" t="s">
        <v>106</v>
      </c>
      <c r="P1234" t="s">
        <v>47</v>
      </c>
      <c r="Q1234" s="1">
        <v>43852</v>
      </c>
      <c r="R1234" t="s">
        <v>48</v>
      </c>
      <c r="S1234" t="s">
        <v>102</v>
      </c>
      <c r="T1234" t="s">
        <v>103</v>
      </c>
      <c r="U1234" t="s">
        <v>85</v>
      </c>
      <c r="V1234">
        <v>5000000</v>
      </c>
      <c r="W1234">
        <v>250000</v>
      </c>
      <c r="X1234" s="1">
        <v>43799</v>
      </c>
      <c r="Y1234" t="s">
        <v>51</v>
      </c>
      <c r="Z1234" t="s">
        <v>43</v>
      </c>
      <c r="AA1234" t="s">
        <v>86</v>
      </c>
      <c r="AB1234" t="s">
        <v>89</v>
      </c>
      <c r="AC1234" t="s">
        <v>90</v>
      </c>
      <c r="AF1234" t="s">
        <v>93</v>
      </c>
      <c r="AG1234" s="1">
        <v>43843</v>
      </c>
      <c r="AH1234" t="s">
        <v>85</v>
      </c>
      <c r="AI1234" t="s">
        <v>92</v>
      </c>
      <c r="AJ1234">
        <v>19888</v>
      </c>
      <c r="AK1234">
        <v>128777</v>
      </c>
      <c r="AL1234">
        <v>198882</v>
      </c>
    </row>
    <row r="1235" spans="1:38" x14ac:dyDescent="0.25">
      <c r="A1235" t="s">
        <v>370</v>
      </c>
      <c r="B1235" t="s">
        <v>394</v>
      </c>
      <c r="C1235" t="s">
        <v>40</v>
      </c>
      <c r="D1235" s="1">
        <v>43579</v>
      </c>
      <c r="E1235" s="1">
        <v>43944</v>
      </c>
      <c r="F1235" t="s">
        <v>84</v>
      </c>
      <c r="G1235">
        <v>10</v>
      </c>
      <c r="H1235" t="s">
        <v>85</v>
      </c>
      <c r="I1235" t="s">
        <v>43</v>
      </c>
      <c r="J1235" t="s">
        <v>86</v>
      </c>
      <c r="K1235" t="s">
        <v>44</v>
      </c>
      <c r="L1235">
        <v>2458.58</v>
      </c>
      <c r="M1235" s="1">
        <v>43599</v>
      </c>
      <c r="N1235" t="s">
        <v>108</v>
      </c>
      <c r="O1235" t="s">
        <v>106</v>
      </c>
      <c r="P1235" t="s">
        <v>47</v>
      </c>
      <c r="Q1235" s="1">
        <v>43852</v>
      </c>
      <c r="R1235" t="s">
        <v>48</v>
      </c>
      <c r="S1235" t="s">
        <v>87</v>
      </c>
      <c r="T1235" t="s">
        <v>88</v>
      </c>
      <c r="U1235" t="s">
        <v>85</v>
      </c>
      <c r="V1235">
        <v>1400000</v>
      </c>
      <c r="W1235">
        <v>100000</v>
      </c>
      <c r="X1235" s="1">
        <v>43808</v>
      </c>
      <c r="Y1235" t="s">
        <v>51</v>
      </c>
      <c r="Z1235" t="s">
        <v>43</v>
      </c>
      <c r="AA1235" t="s">
        <v>86</v>
      </c>
      <c r="AB1235" t="s">
        <v>89</v>
      </c>
      <c r="AC1235" t="s">
        <v>90</v>
      </c>
      <c r="AF1235" t="s">
        <v>91</v>
      </c>
      <c r="AG1235" s="1">
        <v>43852</v>
      </c>
      <c r="AH1235" t="s">
        <v>85</v>
      </c>
      <c r="AI1235" t="s">
        <v>92</v>
      </c>
      <c r="AJ1235">
        <v>19888</v>
      </c>
      <c r="AK1235">
        <v>128777</v>
      </c>
      <c r="AL1235">
        <v>198882</v>
      </c>
    </row>
    <row r="1236" spans="1:38" x14ac:dyDescent="0.25">
      <c r="A1236" t="s">
        <v>370</v>
      </c>
      <c r="B1236" t="s">
        <v>394</v>
      </c>
      <c r="C1236" t="s">
        <v>40</v>
      </c>
      <c r="D1236" s="1">
        <v>43579</v>
      </c>
      <c r="E1236" s="1">
        <v>43944</v>
      </c>
      <c r="F1236" t="s">
        <v>84</v>
      </c>
      <c r="G1236">
        <v>10</v>
      </c>
      <c r="H1236" t="s">
        <v>85</v>
      </c>
      <c r="I1236" t="s">
        <v>43</v>
      </c>
      <c r="J1236" t="s">
        <v>86</v>
      </c>
      <c r="K1236" t="s">
        <v>44</v>
      </c>
      <c r="L1236">
        <v>2458.58</v>
      </c>
      <c r="M1236" s="1">
        <v>43599</v>
      </c>
      <c r="N1236" t="s">
        <v>108</v>
      </c>
      <c r="O1236" t="s">
        <v>106</v>
      </c>
      <c r="P1236" t="s">
        <v>47</v>
      </c>
      <c r="Q1236" s="1">
        <v>43852</v>
      </c>
      <c r="R1236" t="s">
        <v>48</v>
      </c>
      <c r="S1236" t="s">
        <v>87</v>
      </c>
      <c r="T1236" t="s">
        <v>88</v>
      </c>
      <c r="U1236" t="s">
        <v>85</v>
      </c>
      <c r="V1236">
        <v>1400000</v>
      </c>
      <c r="W1236">
        <v>100000</v>
      </c>
      <c r="X1236" s="1">
        <v>43808</v>
      </c>
      <c r="Y1236" t="s">
        <v>51</v>
      </c>
      <c r="Z1236" t="s">
        <v>43</v>
      </c>
      <c r="AA1236" t="s">
        <v>86</v>
      </c>
      <c r="AB1236" t="s">
        <v>89</v>
      </c>
      <c r="AC1236" t="s">
        <v>90</v>
      </c>
      <c r="AF1236" t="s">
        <v>93</v>
      </c>
      <c r="AG1236" s="1">
        <v>43843</v>
      </c>
      <c r="AH1236" t="s">
        <v>85</v>
      </c>
      <c r="AI1236" t="s">
        <v>92</v>
      </c>
      <c r="AJ1236">
        <v>19888</v>
      </c>
      <c r="AK1236">
        <v>128777</v>
      </c>
      <c r="AL1236">
        <v>198882</v>
      </c>
    </row>
    <row r="1237" spans="1:38" x14ac:dyDescent="0.25">
      <c r="A1237" t="s">
        <v>370</v>
      </c>
      <c r="B1237" t="s">
        <v>394</v>
      </c>
      <c r="C1237" t="s">
        <v>40</v>
      </c>
      <c r="D1237" s="1">
        <v>43579</v>
      </c>
      <c r="E1237" s="1">
        <v>43944</v>
      </c>
      <c r="F1237" t="s">
        <v>84</v>
      </c>
      <c r="G1237">
        <v>10</v>
      </c>
      <c r="H1237" t="s">
        <v>85</v>
      </c>
      <c r="I1237" t="s">
        <v>43</v>
      </c>
      <c r="J1237" t="s">
        <v>86</v>
      </c>
      <c r="K1237" t="s">
        <v>44</v>
      </c>
      <c r="L1237">
        <v>2458.58</v>
      </c>
      <c r="M1237" s="1">
        <v>43599</v>
      </c>
      <c r="N1237" t="s">
        <v>108</v>
      </c>
      <c r="O1237" t="s">
        <v>106</v>
      </c>
      <c r="P1237" t="s">
        <v>47</v>
      </c>
      <c r="Q1237" s="1">
        <v>43852</v>
      </c>
      <c r="R1237" t="s">
        <v>48</v>
      </c>
      <c r="S1237" t="s">
        <v>94</v>
      </c>
      <c r="T1237" t="s">
        <v>95</v>
      </c>
      <c r="U1237" t="s">
        <v>85</v>
      </c>
      <c r="V1237">
        <v>4500000</v>
      </c>
      <c r="W1237">
        <v>300000</v>
      </c>
      <c r="X1237" s="1">
        <v>43767</v>
      </c>
      <c r="Y1237" t="s">
        <v>51</v>
      </c>
      <c r="Z1237" t="s">
        <v>43</v>
      </c>
      <c r="AA1237" t="s">
        <v>86</v>
      </c>
      <c r="AB1237" t="s">
        <v>89</v>
      </c>
      <c r="AC1237" t="s">
        <v>90</v>
      </c>
      <c r="AF1237" t="s">
        <v>91</v>
      </c>
      <c r="AG1237" s="1">
        <v>43852</v>
      </c>
      <c r="AH1237" t="s">
        <v>85</v>
      </c>
      <c r="AI1237" t="s">
        <v>92</v>
      </c>
      <c r="AJ1237">
        <v>19888</v>
      </c>
      <c r="AK1237">
        <v>128777</v>
      </c>
      <c r="AL1237">
        <v>198882</v>
      </c>
    </row>
    <row r="1238" spans="1:38" x14ac:dyDescent="0.25">
      <c r="A1238" t="s">
        <v>370</v>
      </c>
      <c r="B1238" t="s">
        <v>394</v>
      </c>
      <c r="C1238" t="s">
        <v>40</v>
      </c>
      <c r="D1238" s="1">
        <v>43579</v>
      </c>
      <c r="E1238" s="1">
        <v>43944</v>
      </c>
      <c r="F1238" t="s">
        <v>84</v>
      </c>
      <c r="G1238">
        <v>10</v>
      </c>
      <c r="H1238" t="s">
        <v>85</v>
      </c>
      <c r="I1238" t="s">
        <v>43</v>
      </c>
      <c r="J1238" t="s">
        <v>86</v>
      </c>
      <c r="K1238" t="s">
        <v>44</v>
      </c>
      <c r="L1238">
        <v>2458.58</v>
      </c>
      <c r="M1238" s="1">
        <v>43599</v>
      </c>
      <c r="N1238" t="s">
        <v>108</v>
      </c>
      <c r="O1238" t="s">
        <v>106</v>
      </c>
      <c r="P1238" t="s">
        <v>47</v>
      </c>
      <c r="Q1238" s="1">
        <v>43852</v>
      </c>
      <c r="R1238" t="s">
        <v>48</v>
      </c>
      <c r="S1238" t="s">
        <v>94</v>
      </c>
      <c r="T1238" t="s">
        <v>95</v>
      </c>
      <c r="U1238" t="s">
        <v>85</v>
      </c>
      <c r="V1238">
        <v>4500000</v>
      </c>
      <c r="W1238">
        <v>300000</v>
      </c>
      <c r="X1238" s="1">
        <v>43767</v>
      </c>
      <c r="Y1238" t="s">
        <v>51</v>
      </c>
      <c r="Z1238" t="s">
        <v>43</v>
      </c>
      <c r="AA1238" t="s">
        <v>86</v>
      </c>
      <c r="AB1238" t="s">
        <v>89</v>
      </c>
      <c r="AC1238" t="s">
        <v>90</v>
      </c>
      <c r="AF1238" t="s">
        <v>93</v>
      </c>
      <c r="AG1238" s="1">
        <v>43843</v>
      </c>
      <c r="AH1238" t="s">
        <v>85</v>
      </c>
      <c r="AI1238" t="s">
        <v>92</v>
      </c>
      <c r="AJ1238">
        <v>19888</v>
      </c>
      <c r="AK1238">
        <v>128777</v>
      </c>
      <c r="AL1238">
        <v>198882</v>
      </c>
    </row>
    <row r="1239" spans="1:38" x14ac:dyDescent="0.25">
      <c r="A1239" t="s">
        <v>370</v>
      </c>
      <c r="B1239" t="s">
        <v>394</v>
      </c>
      <c r="C1239" t="s">
        <v>40</v>
      </c>
      <c r="D1239" s="1">
        <v>43579</v>
      </c>
      <c r="E1239" s="1">
        <v>43944</v>
      </c>
      <c r="F1239" t="s">
        <v>84</v>
      </c>
      <c r="G1239">
        <v>10</v>
      </c>
      <c r="H1239" t="s">
        <v>85</v>
      </c>
      <c r="I1239" t="s">
        <v>43</v>
      </c>
      <c r="J1239" t="s">
        <v>86</v>
      </c>
      <c r="K1239" t="s">
        <v>44</v>
      </c>
      <c r="L1239">
        <v>2458.58</v>
      </c>
      <c r="M1239" s="1">
        <v>43599</v>
      </c>
      <c r="N1239" t="s">
        <v>108</v>
      </c>
      <c r="O1239" t="s">
        <v>106</v>
      </c>
      <c r="P1239" t="s">
        <v>47</v>
      </c>
      <c r="Q1239" s="1">
        <v>43852</v>
      </c>
      <c r="R1239" t="s">
        <v>48</v>
      </c>
      <c r="S1239" t="s">
        <v>96</v>
      </c>
      <c r="T1239" t="s">
        <v>97</v>
      </c>
      <c r="U1239" t="s">
        <v>85</v>
      </c>
      <c r="V1239">
        <v>600000</v>
      </c>
      <c r="W1239">
        <v>100000</v>
      </c>
      <c r="X1239" s="1">
        <v>43799</v>
      </c>
      <c r="Y1239" t="s">
        <v>51</v>
      </c>
      <c r="Z1239" t="s">
        <v>43</v>
      </c>
      <c r="AA1239" t="s">
        <v>98</v>
      </c>
      <c r="AB1239" t="s">
        <v>89</v>
      </c>
      <c r="AC1239" t="s">
        <v>90</v>
      </c>
      <c r="AF1239" t="s">
        <v>91</v>
      </c>
      <c r="AG1239" s="1">
        <v>43852</v>
      </c>
      <c r="AH1239" t="s">
        <v>85</v>
      </c>
      <c r="AI1239" t="s">
        <v>92</v>
      </c>
      <c r="AJ1239">
        <v>19888</v>
      </c>
      <c r="AK1239">
        <v>128777</v>
      </c>
      <c r="AL1239">
        <v>198882</v>
      </c>
    </row>
    <row r="1240" spans="1:38" x14ac:dyDescent="0.25">
      <c r="A1240" t="s">
        <v>370</v>
      </c>
      <c r="B1240" t="s">
        <v>394</v>
      </c>
      <c r="C1240" t="s">
        <v>40</v>
      </c>
      <c r="D1240" s="1">
        <v>43579</v>
      </c>
      <c r="E1240" s="1">
        <v>43944</v>
      </c>
      <c r="F1240" t="s">
        <v>84</v>
      </c>
      <c r="G1240">
        <v>10</v>
      </c>
      <c r="H1240" t="s">
        <v>85</v>
      </c>
      <c r="I1240" t="s">
        <v>43</v>
      </c>
      <c r="J1240" t="s">
        <v>86</v>
      </c>
      <c r="K1240" t="s">
        <v>44</v>
      </c>
      <c r="L1240">
        <v>2458.58</v>
      </c>
      <c r="M1240" s="1">
        <v>43599</v>
      </c>
      <c r="N1240" t="s">
        <v>108</v>
      </c>
      <c r="O1240" t="s">
        <v>106</v>
      </c>
      <c r="P1240" t="s">
        <v>47</v>
      </c>
      <c r="Q1240" s="1">
        <v>43852</v>
      </c>
      <c r="R1240" t="s">
        <v>48</v>
      </c>
      <c r="S1240" t="s">
        <v>96</v>
      </c>
      <c r="T1240" t="s">
        <v>97</v>
      </c>
      <c r="U1240" t="s">
        <v>85</v>
      </c>
      <c r="V1240">
        <v>600000</v>
      </c>
      <c r="W1240">
        <v>100000</v>
      </c>
      <c r="X1240" s="1">
        <v>43799</v>
      </c>
      <c r="Y1240" t="s">
        <v>51</v>
      </c>
      <c r="Z1240" t="s">
        <v>43</v>
      </c>
      <c r="AA1240" t="s">
        <v>98</v>
      </c>
      <c r="AB1240" t="s">
        <v>89</v>
      </c>
      <c r="AC1240" t="s">
        <v>90</v>
      </c>
      <c r="AF1240" t="s">
        <v>93</v>
      </c>
      <c r="AG1240" s="1">
        <v>43843</v>
      </c>
      <c r="AH1240" t="s">
        <v>85</v>
      </c>
      <c r="AI1240" t="s">
        <v>92</v>
      </c>
      <c r="AJ1240">
        <v>19888</v>
      </c>
      <c r="AK1240">
        <v>128777</v>
      </c>
      <c r="AL1240">
        <v>198882</v>
      </c>
    </row>
    <row r="1241" spans="1:38" x14ac:dyDescent="0.25">
      <c r="A1241" t="s">
        <v>370</v>
      </c>
      <c r="B1241" t="s">
        <v>394</v>
      </c>
      <c r="C1241" t="s">
        <v>40</v>
      </c>
      <c r="D1241" s="1">
        <v>43579</v>
      </c>
      <c r="E1241" s="1">
        <v>43944</v>
      </c>
      <c r="F1241" t="s">
        <v>84</v>
      </c>
      <c r="G1241">
        <v>10</v>
      </c>
      <c r="H1241" t="s">
        <v>85</v>
      </c>
      <c r="I1241" t="s">
        <v>43</v>
      </c>
      <c r="J1241" t="s">
        <v>86</v>
      </c>
      <c r="K1241" t="s">
        <v>44</v>
      </c>
      <c r="L1241">
        <v>2458.58</v>
      </c>
      <c r="M1241" s="1">
        <v>43599</v>
      </c>
      <c r="N1241" t="s">
        <v>108</v>
      </c>
      <c r="O1241" t="s">
        <v>106</v>
      </c>
      <c r="P1241" t="s">
        <v>47</v>
      </c>
      <c r="Q1241" s="1">
        <v>43852</v>
      </c>
      <c r="R1241" t="s">
        <v>48</v>
      </c>
      <c r="S1241" t="s">
        <v>99</v>
      </c>
      <c r="T1241" t="s">
        <v>100</v>
      </c>
      <c r="U1241" t="s">
        <v>85</v>
      </c>
      <c r="V1241">
        <v>210000</v>
      </c>
      <c r="W1241">
        <v>35000</v>
      </c>
      <c r="X1241" s="1">
        <v>43799</v>
      </c>
      <c r="Y1241" t="s">
        <v>51</v>
      </c>
      <c r="Z1241" t="s">
        <v>43</v>
      </c>
      <c r="AA1241" t="s">
        <v>98</v>
      </c>
      <c r="AB1241" t="s">
        <v>89</v>
      </c>
      <c r="AC1241" t="s">
        <v>101</v>
      </c>
      <c r="AF1241" t="s">
        <v>91</v>
      </c>
      <c r="AG1241" s="1">
        <v>43852</v>
      </c>
      <c r="AH1241" t="s">
        <v>85</v>
      </c>
      <c r="AI1241" t="s">
        <v>92</v>
      </c>
      <c r="AJ1241">
        <v>19888</v>
      </c>
      <c r="AK1241">
        <v>128777</v>
      </c>
      <c r="AL1241">
        <v>198882</v>
      </c>
    </row>
    <row r="1242" spans="1:38" x14ac:dyDescent="0.25">
      <c r="A1242" t="s">
        <v>370</v>
      </c>
      <c r="B1242" t="s">
        <v>394</v>
      </c>
      <c r="C1242" t="s">
        <v>40</v>
      </c>
      <c r="D1242" s="1">
        <v>43579</v>
      </c>
      <c r="E1242" s="1">
        <v>43944</v>
      </c>
      <c r="F1242" t="s">
        <v>84</v>
      </c>
      <c r="G1242">
        <v>10</v>
      </c>
      <c r="H1242" t="s">
        <v>85</v>
      </c>
      <c r="I1242" t="s">
        <v>43</v>
      </c>
      <c r="J1242" t="s">
        <v>86</v>
      </c>
      <c r="K1242" t="s">
        <v>44</v>
      </c>
      <c r="L1242">
        <v>2458.58</v>
      </c>
      <c r="M1242" s="1">
        <v>43599</v>
      </c>
      <c r="N1242" t="s">
        <v>108</v>
      </c>
      <c r="O1242" t="s">
        <v>106</v>
      </c>
      <c r="P1242" t="s">
        <v>47</v>
      </c>
      <c r="Q1242" s="1">
        <v>43852</v>
      </c>
      <c r="R1242" t="s">
        <v>48</v>
      </c>
      <c r="S1242" t="s">
        <v>99</v>
      </c>
      <c r="T1242" t="s">
        <v>100</v>
      </c>
      <c r="U1242" t="s">
        <v>85</v>
      </c>
      <c r="V1242">
        <v>210000</v>
      </c>
      <c r="W1242">
        <v>35000</v>
      </c>
      <c r="X1242" s="1">
        <v>43799</v>
      </c>
      <c r="Y1242" t="s">
        <v>51</v>
      </c>
      <c r="Z1242" t="s">
        <v>43</v>
      </c>
      <c r="AA1242" t="s">
        <v>98</v>
      </c>
      <c r="AB1242" t="s">
        <v>89</v>
      </c>
      <c r="AC1242" t="s">
        <v>101</v>
      </c>
      <c r="AF1242" t="s">
        <v>93</v>
      </c>
      <c r="AG1242" s="1">
        <v>43843</v>
      </c>
      <c r="AH1242" t="s">
        <v>85</v>
      </c>
      <c r="AI1242" t="s">
        <v>92</v>
      </c>
      <c r="AJ1242">
        <v>19888</v>
      </c>
      <c r="AK1242">
        <v>128777</v>
      </c>
      <c r="AL1242">
        <v>198882</v>
      </c>
    </row>
    <row r="1243" spans="1:38" x14ac:dyDescent="0.25">
      <c r="A1243" t="s">
        <v>370</v>
      </c>
      <c r="B1243" t="s">
        <v>394</v>
      </c>
      <c r="C1243" t="s">
        <v>40</v>
      </c>
      <c r="D1243" s="1">
        <v>43579</v>
      </c>
      <c r="E1243" s="1">
        <v>43944</v>
      </c>
      <c r="F1243" t="s">
        <v>84</v>
      </c>
      <c r="G1243">
        <v>10</v>
      </c>
      <c r="H1243" t="s">
        <v>85</v>
      </c>
      <c r="I1243" t="s">
        <v>43</v>
      </c>
      <c r="J1243" t="s">
        <v>86</v>
      </c>
      <c r="K1243" t="s">
        <v>44</v>
      </c>
      <c r="L1243">
        <v>2458.58</v>
      </c>
      <c r="M1243" s="1">
        <v>43599</v>
      </c>
      <c r="N1243" t="s">
        <v>108</v>
      </c>
      <c r="O1243" t="s">
        <v>106</v>
      </c>
      <c r="P1243" t="s">
        <v>47</v>
      </c>
      <c r="Q1243" s="1">
        <v>43852</v>
      </c>
      <c r="R1243" t="s">
        <v>48</v>
      </c>
      <c r="S1243" t="s">
        <v>102</v>
      </c>
      <c r="T1243" t="s">
        <v>103</v>
      </c>
      <c r="U1243" t="s">
        <v>85</v>
      </c>
      <c r="V1243">
        <v>5000000</v>
      </c>
      <c r="W1243">
        <v>250000</v>
      </c>
      <c r="X1243" s="1">
        <v>43799</v>
      </c>
      <c r="Y1243" t="s">
        <v>51</v>
      </c>
      <c r="Z1243" t="s">
        <v>43</v>
      </c>
      <c r="AA1243" t="s">
        <v>86</v>
      </c>
      <c r="AB1243" t="s">
        <v>89</v>
      </c>
      <c r="AC1243" t="s">
        <v>90</v>
      </c>
      <c r="AF1243" t="s">
        <v>91</v>
      </c>
      <c r="AG1243" s="1">
        <v>43852</v>
      </c>
      <c r="AH1243" t="s">
        <v>85</v>
      </c>
      <c r="AI1243" t="s">
        <v>92</v>
      </c>
      <c r="AJ1243">
        <v>19888</v>
      </c>
      <c r="AK1243">
        <v>128777</v>
      </c>
      <c r="AL1243">
        <v>198882</v>
      </c>
    </row>
    <row r="1244" spans="1:38" x14ac:dyDescent="0.25">
      <c r="A1244" t="s">
        <v>370</v>
      </c>
      <c r="B1244" t="s">
        <v>394</v>
      </c>
      <c r="C1244" t="s">
        <v>40</v>
      </c>
      <c r="D1244" s="1">
        <v>43579</v>
      </c>
      <c r="E1244" s="1">
        <v>43944</v>
      </c>
      <c r="F1244" t="s">
        <v>84</v>
      </c>
      <c r="G1244">
        <v>10</v>
      </c>
      <c r="H1244" t="s">
        <v>85</v>
      </c>
      <c r="I1244" t="s">
        <v>43</v>
      </c>
      <c r="J1244" t="s">
        <v>86</v>
      </c>
      <c r="K1244" t="s">
        <v>44</v>
      </c>
      <c r="L1244">
        <v>2458.58</v>
      </c>
      <c r="M1244" s="1">
        <v>43599</v>
      </c>
      <c r="N1244" t="s">
        <v>108</v>
      </c>
      <c r="O1244" t="s">
        <v>106</v>
      </c>
      <c r="P1244" t="s">
        <v>47</v>
      </c>
      <c r="Q1244" s="1">
        <v>43852</v>
      </c>
      <c r="R1244" t="s">
        <v>48</v>
      </c>
      <c r="S1244" t="s">
        <v>102</v>
      </c>
      <c r="T1244" t="s">
        <v>103</v>
      </c>
      <c r="U1244" t="s">
        <v>85</v>
      </c>
      <c r="V1244">
        <v>5000000</v>
      </c>
      <c r="W1244">
        <v>250000</v>
      </c>
      <c r="X1244" s="1">
        <v>43799</v>
      </c>
      <c r="Y1244" t="s">
        <v>51</v>
      </c>
      <c r="Z1244" t="s">
        <v>43</v>
      </c>
      <c r="AA1244" t="s">
        <v>86</v>
      </c>
      <c r="AB1244" t="s">
        <v>89</v>
      </c>
      <c r="AC1244" t="s">
        <v>90</v>
      </c>
      <c r="AF1244" t="s">
        <v>93</v>
      </c>
      <c r="AG1244" s="1">
        <v>43843</v>
      </c>
      <c r="AH1244" t="s">
        <v>85</v>
      </c>
      <c r="AI1244" t="s">
        <v>92</v>
      </c>
      <c r="AJ1244">
        <v>19888</v>
      </c>
      <c r="AK1244">
        <v>128777</v>
      </c>
      <c r="AL1244">
        <v>198882</v>
      </c>
    </row>
    <row r="1245" spans="1:38" x14ac:dyDescent="0.25">
      <c r="A1245" t="s">
        <v>370</v>
      </c>
      <c r="B1245" t="s">
        <v>395</v>
      </c>
      <c r="C1245" t="s">
        <v>71</v>
      </c>
      <c r="D1245" s="1">
        <v>43191</v>
      </c>
      <c r="E1245" s="1">
        <v>43555</v>
      </c>
      <c r="F1245" t="s">
        <v>84</v>
      </c>
      <c r="G1245">
        <v>10</v>
      </c>
      <c r="H1245" t="s">
        <v>85</v>
      </c>
      <c r="I1245" t="s">
        <v>43</v>
      </c>
      <c r="J1245" t="s">
        <v>86</v>
      </c>
      <c r="K1245" t="s">
        <v>44</v>
      </c>
      <c r="L1245">
        <v>11249.93</v>
      </c>
      <c r="M1245" s="1">
        <v>43191</v>
      </c>
      <c r="N1245" t="s">
        <v>45</v>
      </c>
      <c r="O1245" t="s">
        <v>361</v>
      </c>
      <c r="P1245" t="s">
        <v>396</v>
      </c>
      <c r="Q1245" s="1">
        <v>43852</v>
      </c>
      <c r="R1245" t="s">
        <v>396</v>
      </c>
      <c r="S1245" t="s">
        <v>87</v>
      </c>
      <c r="T1245" t="s">
        <v>88</v>
      </c>
      <c r="U1245" t="s">
        <v>85</v>
      </c>
      <c r="V1245">
        <v>1400000</v>
      </c>
      <c r="W1245">
        <v>100000</v>
      </c>
      <c r="X1245" s="1">
        <v>43808</v>
      </c>
      <c r="Y1245" t="s">
        <v>51</v>
      </c>
      <c r="Z1245" t="s">
        <v>43</v>
      </c>
      <c r="AA1245" t="s">
        <v>86</v>
      </c>
      <c r="AB1245" t="s">
        <v>89</v>
      </c>
      <c r="AC1245" t="s">
        <v>90</v>
      </c>
      <c r="AF1245" t="s">
        <v>91</v>
      </c>
      <c r="AG1245" s="1">
        <v>43852</v>
      </c>
      <c r="AH1245" t="s">
        <v>85</v>
      </c>
      <c r="AI1245" t="s">
        <v>92</v>
      </c>
      <c r="AJ1245">
        <v>19888</v>
      </c>
      <c r="AK1245">
        <v>128777</v>
      </c>
      <c r="AL1245">
        <v>198882</v>
      </c>
    </row>
    <row r="1246" spans="1:38" x14ac:dyDescent="0.25">
      <c r="A1246" t="s">
        <v>370</v>
      </c>
      <c r="B1246" t="s">
        <v>395</v>
      </c>
      <c r="C1246" t="s">
        <v>71</v>
      </c>
      <c r="D1246" s="1">
        <v>43191</v>
      </c>
      <c r="E1246" s="1">
        <v>43555</v>
      </c>
      <c r="F1246" t="s">
        <v>84</v>
      </c>
      <c r="G1246">
        <v>10</v>
      </c>
      <c r="H1246" t="s">
        <v>85</v>
      </c>
      <c r="I1246" t="s">
        <v>43</v>
      </c>
      <c r="J1246" t="s">
        <v>86</v>
      </c>
      <c r="K1246" t="s">
        <v>44</v>
      </c>
      <c r="L1246">
        <v>11249.93</v>
      </c>
      <c r="M1246" s="1">
        <v>43191</v>
      </c>
      <c r="N1246" t="s">
        <v>45</v>
      </c>
      <c r="O1246" t="s">
        <v>361</v>
      </c>
      <c r="P1246" t="s">
        <v>396</v>
      </c>
      <c r="Q1246" s="1">
        <v>43852</v>
      </c>
      <c r="R1246" t="s">
        <v>396</v>
      </c>
      <c r="S1246" t="s">
        <v>87</v>
      </c>
      <c r="T1246" t="s">
        <v>88</v>
      </c>
      <c r="U1246" t="s">
        <v>85</v>
      </c>
      <c r="V1246">
        <v>1400000</v>
      </c>
      <c r="W1246">
        <v>100000</v>
      </c>
      <c r="X1246" s="1">
        <v>43808</v>
      </c>
      <c r="Y1246" t="s">
        <v>51</v>
      </c>
      <c r="Z1246" t="s">
        <v>43</v>
      </c>
      <c r="AA1246" t="s">
        <v>86</v>
      </c>
      <c r="AB1246" t="s">
        <v>89</v>
      </c>
      <c r="AC1246" t="s">
        <v>90</v>
      </c>
      <c r="AF1246" t="s">
        <v>93</v>
      </c>
      <c r="AG1246" s="1">
        <v>43843</v>
      </c>
      <c r="AH1246" t="s">
        <v>85</v>
      </c>
      <c r="AI1246" t="s">
        <v>92</v>
      </c>
      <c r="AJ1246">
        <v>19888</v>
      </c>
      <c r="AK1246">
        <v>128777</v>
      </c>
      <c r="AL1246">
        <v>198882</v>
      </c>
    </row>
    <row r="1247" spans="1:38" x14ac:dyDescent="0.25">
      <c r="A1247" t="s">
        <v>370</v>
      </c>
      <c r="B1247" t="s">
        <v>395</v>
      </c>
      <c r="C1247" t="s">
        <v>71</v>
      </c>
      <c r="D1247" s="1">
        <v>43191</v>
      </c>
      <c r="E1247" s="1">
        <v>43555</v>
      </c>
      <c r="F1247" t="s">
        <v>84</v>
      </c>
      <c r="G1247">
        <v>10</v>
      </c>
      <c r="H1247" t="s">
        <v>85</v>
      </c>
      <c r="I1247" t="s">
        <v>43</v>
      </c>
      <c r="J1247" t="s">
        <v>86</v>
      </c>
      <c r="K1247" t="s">
        <v>44</v>
      </c>
      <c r="L1247">
        <v>11249.93</v>
      </c>
      <c r="M1247" s="1">
        <v>43191</v>
      </c>
      <c r="N1247" t="s">
        <v>45</v>
      </c>
      <c r="O1247" t="s">
        <v>361</v>
      </c>
      <c r="P1247" t="s">
        <v>396</v>
      </c>
      <c r="Q1247" s="1">
        <v>43852</v>
      </c>
      <c r="R1247" t="s">
        <v>396</v>
      </c>
      <c r="S1247" t="s">
        <v>94</v>
      </c>
      <c r="T1247" t="s">
        <v>95</v>
      </c>
      <c r="U1247" t="s">
        <v>85</v>
      </c>
      <c r="V1247">
        <v>4500000</v>
      </c>
      <c r="W1247">
        <v>300000</v>
      </c>
      <c r="X1247" s="1">
        <v>43767</v>
      </c>
      <c r="Y1247" t="s">
        <v>51</v>
      </c>
      <c r="Z1247" t="s">
        <v>43</v>
      </c>
      <c r="AA1247" t="s">
        <v>86</v>
      </c>
      <c r="AB1247" t="s">
        <v>89</v>
      </c>
      <c r="AC1247" t="s">
        <v>90</v>
      </c>
      <c r="AF1247" t="s">
        <v>91</v>
      </c>
      <c r="AG1247" s="1">
        <v>43852</v>
      </c>
      <c r="AH1247" t="s">
        <v>85</v>
      </c>
      <c r="AI1247" t="s">
        <v>92</v>
      </c>
      <c r="AJ1247">
        <v>19888</v>
      </c>
      <c r="AK1247">
        <v>128777</v>
      </c>
      <c r="AL1247">
        <v>198882</v>
      </c>
    </row>
    <row r="1248" spans="1:38" x14ac:dyDescent="0.25">
      <c r="A1248" t="s">
        <v>370</v>
      </c>
      <c r="B1248" t="s">
        <v>395</v>
      </c>
      <c r="C1248" t="s">
        <v>71</v>
      </c>
      <c r="D1248" s="1">
        <v>43191</v>
      </c>
      <c r="E1248" s="1">
        <v>43555</v>
      </c>
      <c r="F1248" t="s">
        <v>84</v>
      </c>
      <c r="G1248">
        <v>10</v>
      </c>
      <c r="H1248" t="s">
        <v>85</v>
      </c>
      <c r="I1248" t="s">
        <v>43</v>
      </c>
      <c r="J1248" t="s">
        <v>86</v>
      </c>
      <c r="K1248" t="s">
        <v>44</v>
      </c>
      <c r="L1248">
        <v>11249.93</v>
      </c>
      <c r="M1248" s="1">
        <v>43191</v>
      </c>
      <c r="N1248" t="s">
        <v>45</v>
      </c>
      <c r="O1248" t="s">
        <v>361</v>
      </c>
      <c r="P1248" t="s">
        <v>396</v>
      </c>
      <c r="Q1248" s="1">
        <v>43852</v>
      </c>
      <c r="R1248" t="s">
        <v>396</v>
      </c>
      <c r="S1248" t="s">
        <v>94</v>
      </c>
      <c r="T1248" t="s">
        <v>95</v>
      </c>
      <c r="U1248" t="s">
        <v>85</v>
      </c>
      <c r="V1248">
        <v>4500000</v>
      </c>
      <c r="W1248">
        <v>300000</v>
      </c>
      <c r="X1248" s="1">
        <v>43767</v>
      </c>
      <c r="Y1248" t="s">
        <v>51</v>
      </c>
      <c r="Z1248" t="s">
        <v>43</v>
      </c>
      <c r="AA1248" t="s">
        <v>86</v>
      </c>
      <c r="AB1248" t="s">
        <v>89</v>
      </c>
      <c r="AC1248" t="s">
        <v>90</v>
      </c>
      <c r="AF1248" t="s">
        <v>93</v>
      </c>
      <c r="AG1248" s="1">
        <v>43843</v>
      </c>
      <c r="AH1248" t="s">
        <v>85</v>
      </c>
      <c r="AI1248" t="s">
        <v>92</v>
      </c>
      <c r="AJ1248">
        <v>19888</v>
      </c>
      <c r="AK1248">
        <v>128777</v>
      </c>
      <c r="AL1248">
        <v>198882</v>
      </c>
    </row>
    <row r="1249" spans="1:38" x14ac:dyDescent="0.25">
      <c r="A1249" t="s">
        <v>370</v>
      </c>
      <c r="B1249" t="s">
        <v>395</v>
      </c>
      <c r="C1249" t="s">
        <v>71</v>
      </c>
      <c r="D1249" s="1">
        <v>43191</v>
      </c>
      <c r="E1249" s="1">
        <v>43555</v>
      </c>
      <c r="F1249" t="s">
        <v>84</v>
      </c>
      <c r="G1249">
        <v>10</v>
      </c>
      <c r="H1249" t="s">
        <v>85</v>
      </c>
      <c r="I1249" t="s">
        <v>43</v>
      </c>
      <c r="J1249" t="s">
        <v>86</v>
      </c>
      <c r="K1249" t="s">
        <v>44</v>
      </c>
      <c r="L1249">
        <v>11249.93</v>
      </c>
      <c r="M1249" s="1">
        <v>43191</v>
      </c>
      <c r="N1249" t="s">
        <v>45</v>
      </c>
      <c r="O1249" t="s">
        <v>361</v>
      </c>
      <c r="P1249" t="s">
        <v>396</v>
      </c>
      <c r="Q1249" s="1">
        <v>43852</v>
      </c>
      <c r="R1249" t="s">
        <v>396</v>
      </c>
      <c r="S1249" t="s">
        <v>96</v>
      </c>
      <c r="T1249" t="s">
        <v>97</v>
      </c>
      <c r="U1249" t="s">
        <v>85</v>
      </c>
      <c r="V1249">
        <v>600000</v>
      </c>
      <c r="W1249">
        <v>100000</v>
      </c>
      <c r="X1249" s="1">
        <v>43799</v>
      </c>
      <c r="Y1249" t="s">
        <v>51</v>
      </c>
      <c r="Z1249" t="s">
        <v>43</v>
      </c>
      <c r="AA1249" t="s">
        <v>98</v>
      </c>
      <c r="AB1249" t="s">
        <v>89</v>
      </c>
      <c r="AC1249" t="s">
        <v>90</v>
      </c>
      <c r="AF1249" t="s">
        <v>91</v>
      </c>
      <c r="AG1249" s="1">
        <v>43852</v>
      </c>
      <c r="AH1249" t="s">
        <v>85</v>
      </c>
      <c r="AI1249" t="s">
        <v>92</v>
      </c>
      <c r="AJ1249">
        <v>19888</v>
      </c>
      <c r="AK1249">
        <v>128777</v>
      </c>
      <c r="AL1249">
        <v>198882</v>
      </c>
    </row>
    <row r="1250" spans="1:38" x14ac:dyDescent="0.25">
      <c r="A1250" t="s">
        <v>370</v>
      </c>
      <c r="B1250" t="s">
        <v>395</v>
      </c>
      <c r="C1250" t="s">
        <v>71</v>
      </c>
      <c r="D1250" s="1">
        <v>43191</v>
      </c>
      <c r="E1250" s="1">
        <v>43555</v>
      </c>
      <c r="F1250" t="s">
        <v>84</v>
      </c>
      <c r="G1250">
        <v>10</v>
      </c>
      <c r="H1250" t="s">
        <v>85</v>
      </c>
      <c r="I1250" t="s">
        <v>43</v>
      </c>
      <c r="J1250" t="s">
        <v>86</v>
      </c>
      <c r="K1250" t="s">
        <v>44</v>
      </c>
      <c r="L1250">
        <v>11249.93</v>
      </c>
      <c r="M1250" s="1">
        <v>43191</v>
      </c>
      <c r="N1250" t="s">
        <v>45</v>
      </c>
      <c r="O1250" t="s">
        <v>361</v>
      </c>
      <c r="P1250" t="s">
        <v>396</v>
      </c>
      <c r="Q1250" s="1">
        <v>43852</v>
      </c>
      <c r="R1250" t="s">
        <v>396</v>
      </c>
      <c r="S1250" t="s">
        <v>96</v>
      </c>
      <c r="T1250" t="s">
        <v>97</v>
      </c>
      <c r="U1250" t="s">
        <v>85</v>
      </c>
      <c r="V1250">
        <v>600000</v>
      </c>
      <c r="W1250">
        <v>100000</v>
      </c>
      <c r="X1250" s="1">
        <v>43799</v>
      </c>
      <c r="Y1250" t="s">
        <v>51</v>
      </c>
      <c r="Z1250" t="s">
        <v>43</v>
      </c>
      <c r="AA1250" t="s">
        <v>98</v>
      </c>
      <c r="AB1250" t="s">
        <v>89</v>
      </c>
      <c r="AC1250" t="s">
        <v>90</v>
      </c>
      <c r="AF1250" t="s">
        <v>93</v>
      </c>
      <c r="AG1250" s="1">
        <v>43843</v>
      </c>
      <c r="AH1250" t="s">
        <v>85</v>
      </c>
      <c r="AI1250" t="s">
        <v>92</v>
      </c>
      <c r="AJ1250">
        <v>19888</v>
      </c>
      <c r="AK1250">
        <v>128777</v>
      </c>
      <c r="AL1250">
        <v>198882</v>
      </c>
    </row>
    <row r="1251" spans="1:38" x14ac:dyDescent="0.25">
      <c r="A1251" t="s">
        <v>370</v>
      </c>
      <c r="B1251" t="s">
        <v>395</v>
      </c>
      <c r="C1251" t="s">
        <v>71</v>
      </c>
      <c r="D1251" s="1">
        <v>43191</v>
      </c>
      <c r="E1251" s="1">
        <v>43555</v>
      </c>
      <c r="F1251" t="s">
        <v>84</v>
      </c>
      <c r="G1251">
        <v>10</v>
      </c>
      <c r="H1251" t="s">
        <v>85</v>
      </c>
      <c r="I1251" t="s">
        <v>43</v>
      </c>
      <c r="J1251" t="s">
        <v>86</v>
      </c>
      <c r="K1251" t="s">
        <v>44</v>
      </c>
      <c r="L1251">
        <v>11249.93</v>
      </c>
      <c r="M1251" s="1">
        <v>43191</v>
      </c>
      <c r="N1251" t="s">
        <v>45</v>
      </c>
      <c r="O1251" t="s">
        <v>361</v>
      </c>
      <c r="P1251" t="s">
        <v>396</v>
      </c>
      <c r="Q1251" s="1">
        <v>43852</v>
      </c>
      <c r="R1251" t="s">
        <v>396</v>
      </c>
      <c r="S1251" t="s">
        <v>99</v>
      </c>
      <c r="T1251" t="s">
        <v>100</v>
      </c>
      <c r="U1251" t="s">
        <v>85</v>
      </c>
      <c r="V1251">
        <v>210000</v>
      </c>
      <c r="W1251">
        <v>35000</v>
      </c>
      <c r="X1251" s="1">
        <v>43799</v>
      </c>
      <c r="Y1251" t="s">
        <v>51</v>
      </c>
      <c r="Z1251" t="s">
        <v>43</v>
      </c>
      <c r="AA1251" t="s">
        <v>98</v>
      </c>
      <c r="AB1251" t="s">
        <v>89</v>
      </c>
      <c r="AC1251" t="s">
        <v>101</v>
      </c>
      <c r="AF1251" t="s">
        <v>91</v>
      </c>
      <c r="AG1251" s="1">
        <v>43852</v>
      </c>
      <c r="AH1251" t="s">
        <v>85</v>
      </c>
      <c r="AI1251" t="s">
        <v>92</v>
      </c>
      <c r="AJ1251">
        <v>19888</v>
      </c>
      <c r="AK1251">
        <v>128777</v>
      </c>
      <c r="AL1251">
        <v>198882</v>
      </c>
    </row>
    <row r="1252" spans="1:38" x14ac:dyDescent="0.25">
      <c r="A1252" t="s">
        <v>370</v>
      </c>
      <c r="B1252" t="s">
        <v>395</v>
      </c>
      <c r="C1252" t="s">
        <v>71</v>
      </c>
      <c r="D1252" s="1">
        <v>43191</v>
      </c>
      <c r="E1252" s="1">
        <v>43555</v>
      </c>
      <c r="F1252" t="s">
        <v>84</v>
      </c>
      <c r="G1252">
        <v>10</v>
      </c>
      <c r="H1252" t="s">
        <v>85</v>
      </c>
      <c r="I1252" t="s">
        <v>43</v>
      </c>
      <c r="J1252" t="s">
        <v>86</v>
      </c>
      <c r="K1252" t="s">
        <v>44</v>
      </c>
      <c r="L1252">
        <v>11249.93</v>
      </c>
      <c r="M1252" s="1">
        <v>43191</v>
      </c>
      <c r="N1252" t="s">
        <v>45</v>
      </c>
      <c r="O1252" t="s">
        <v>361</v>
      </c>
      <c r="P1252" t="s">
        <v>396</v>
      </c>
      <c r="Q1252" s="1">
        <v>43852</v>
      </c>
      <c r="R1252" t="s">
        <v>396</v>
      </c>
      <c r="S1252" t="s">
        <v>99</v>
      </c>
      <c r="T1252" t="s">
        <v>100</v>
      </c>
      <c r="U1252" t="s">
        <v>85</v>
      </c>
      <c r="V1252">
        <v>210000</v>
      </c>
      <c r="W1252">
        <v>35000</v>
      </c>
      <c r="X1252" s="1">
        <v>43799</v>
      </c>
      <c r="Y1252" t="s">
        <v>51</v>
      </c>
      <c r="Z1252" t="s">
        <v>43</v>
      </c>
      <c r="AA1252" t="s">
        <v>98</v>
      </c>
      <c r="AB1252" t="s">
        <v>89</v>
      </c>
      <c r="AC1252" t="s">
        <v>101</v>
      </c>
      <c r="AF1252" t="s">
        <v>93</v>
      </c>
      <c r="AG1252" s="1">
        <v>43843</v>
      </c>
      <c r="AH1252" t="s">
        <v>85</v>
      </c>
      <c r="AI1252" t="s">
        <v>92</v>
      </c>
      <c r="AJ1252">
        <v>19888</v>
      </c>
      <c r="AK1252">
        <v>128777</v>
      </c>
      <c r="AL1252">
        <v>198882</v>
      </c>
    </row>
    <row r="1253" spans="1:38" x14ac:dyDescent="0.25">
      <c r="A1253" t="s">
        <v>370</v>
      </c>
      <c r="B1253" t="s">
        <v>395</v>
      </c>
      <c r="C1253" t="s">
        <v>71</v>
      </c>
      <c r="D1253" s="1">
        <v>43191</v>
      </c>
      <c r="E1253" s="1">
        <v>43555</v>
      </c>
      <c r="F1253" t="s">
        <v>84</v>
      </c>
      <c r="G1253">
        <v>10</v>
      </c>
      <c r="H1253" t="s">
        <v>85</v>
      </c>
      <c r="I1253" t="s">
        <v>43</v>
      </c>
      <c r="J1253" t="s">
        <v>86</v>
      </c>
      <c r="K1253" t="s">
        <v>44</v>
      </c>
      <c r="L1253">
        <v>11249.93</v>
      </c>
      <c r="M1253" s="1">
        <v>43191</v>
      </c>
      <c r="N1253" t="s">
        <v>45</v>
      </c>
      <c r="O1253" t="s">
        <v>361</v>
      </c>
      <c r="P1253" t="s">
        <v>396</v>
      </c>
      <c r="Q1253" s="1">
        <v>43852</v>
      </c>
      <c r="R1253" t="s">
        <v>396</v>
      </c>
      <c r="S1253" t="s">
        <v>102</v>
      </c>
      <c r="T1253" t="s">
        <v>103</v>
      </c>
      <c r="U1253" t="s">
        <v>85</v>
      </c>
      <c r="V1253">
        <v>5000000</v>
      </c>
      <c r="W1253">
        <v>250000</v>
      </c>
      <c r="X1253" s="1">
        <v>43799</v>
      </c>
      <c r="Y1253" t="s">
        <v>51</v>
      </c>
      <c r="Z1253" t="s">
        <v>43</v>
      </c>
      <c r="AA1253" t="s">
        <v>86</v>
      </c>
      <c r="AB1253" t="s">
        <v>89</v>
      </c>
      <c r="AC1253" t="s">
        <v>90</v>
      </c>
      <c r="AF1253" t="s">
        <v>91</v>
      </c>
      <c r="AG1253" s="1">
        <v>43852</v>
      </c>
      <c r="AH1253" t="s">
        <v>85</v>
      </c>
      <c r="AI1253" t="s">
        <v>92</v>
      </c>
      <c r="AJ1253">
        <v>19888</v>
      </c>
      <c r="AK1253">
        <v>128777</v>
      </c>
      <c r="AL1253">
        <v>198882</v>
      </c>
    </row>
    <row r="1254" spans="1:38" x14ac:dyDescent="0.25">
      <c r="A1254" t="s">
        <v>370</v>
      </c>
      <c r="B1254" t="s">
        <v>395</v>
      </c>
      <c r="C1254" t="s">
        <v>71</v>
      </c>
      <c r="D1254" s="1">
        <v>43191</v>
      </c>
      <c r="E1254" s="1">
        <v>43555</v>
      </c>
      <c r="F1254" t="s">
        <v>84</v>
      </c>
      <c r="G1254">
        <v>10</v>
      </c>
      <c r="H1254" t="s">
        <v>85</v>
      </c>
      <c r="I1254" t="s">
        <v>43</v>
      </c>
      <c r="J1254" t="s">
        <v>86</v>
      </c>
      <c r="K1254" t="s">
        <v>44</v>
      </c>
      <c r="L1254">
        <v>11249.93</v>
      </c>
      <c r="M1254" s="1">
        <v>43191</v>
      </c>
      <c r="N1254" t="s">
        <v>45</v>
      </c>
      <c r="O1254" t="s">
        <v>361</v>
      </c>
      <c r="P1254" t="s">
        <v>396</v>
      </c>
      <c r="Q1254" s="1">
        <v>43852</v>
      </c>
      <c r="R1254" t="s">
        <v>396</v>
      </c>
      <c r="S1254" t="s">
        <v>102</v>
      </c>
      <c r="T1254" t="s">
        <v>103</v>
      </c>
      <c r="U1254" t="s">
        <v>85</v>
      </c>
      <c r="V1254">
        <v>5000000</v>
      </c>
      <c r="W1254">
        <v>250000</v>
      </c>
      <c r="X1254" s="1">
        <v>43799</v>
      </c>
      <c r="Y1254" t="s">
        <v>51</v>
      </c>
      <c r="Z1254" t="s">
        <v>43</v>
      </c>
      <c r="AA1254" t="s">
        <v>86</v>
      </c>
      <c r="AB1254" t="s">
        <v>89</v>
      </c>
      <c r="AC1254" t="s">
        <v>90</v>
      </c>
      <c r="AF1254" t="s">
        <v>93</v>
      </c>
      <c r="AG1254" s="1">
        <v>43843</v>
      </c>
      <c r="AH1254" t="s">
        <v>85</v>
      </c>
      <c r="AI1254" t="s">
        <v>92</v>
      </c>
      <c r="AJ1254">
        <v>19888</v>
      </c>
      <c r="AK1254">
        <v>128777</v>
      </c>
      <c r="AL1254">
        <v>198882</v>
      </c>
    </row>
    <row r="1255" spans="1:38" x14ac:dyDescent="0.25">
      <c r="A1255" t="s">
        <v>370</v>
      </c>
      <c r="B1255" t="s">
        <v>397</v>
      </c>
      <c r="C1255" t="s">
        <v>71</v>
      </c>
      <c r="D1255" s="1">
        <v>43191</v>
      </c>
      <c r="E1255" s="1">
        <v>43555</v>
      </c>
      <c r="F1255" t="s">
        <v>84</v>
      </c>
      <c r="G1255">
        <v>10</v>
      </c>
      <c r="H1255" t="s">
        <v>85</v>
      </c>
      <c r="I1255" t="s">
        <v>43</v>
      </c>
      <c r="J1255" t="s">
        <v>86</v>
      </c>
      <c r="K1255" t="s">
        <v>44</v>
      </c>
      <c r="L1255">
        <v>14603.3</v>
      </c>
      <c r="M1255" s="1">
        <v>43191</v>
      </c>
      <c r="N1255" t="s">
        <v>45</v>
      </c>
      <c r="O1255" t="s">
        <v>361</v>
      </c>
      <c r="P1255" t="s">
        <v>396</v>
      </c>
      <c r="Q1255" s="1">
        <v>43852</v>
      </c>
      <c r="R1255" t="s">
        <v>396</v>
      </c>
      <c r="S1255" t="s">
        <v>87</v>
      </c>
      <c r="T1255" t="s">
        <v>88</v>
      </c>
      <c r="U1255" t="s">
        <v>85</v>
      </c>
      <c r="V1255">
        <v>1400000</v>
      </c>
      <c r="W1255">
        <v>100000</v>
      </c>
      <c r="X1255" s="1">
        <v>43808</v>
      </c>
      <c r="Y1255" t="s">
        <v>51</v>
      </c>
      <c r="Z1255" t="s">
        <v>43</v>
      </c>
      <c r="AA1255" t="s">
        <v>86</v>
      </c>
      <c r="AB1255" t="s">
        <v>89</v>
      </c>
      <c r="AC1255" t="s">
        <v>90</v>
      </c>
      <c r="AF1255" t="s">
        <v>91</v>
      </c>
      <c r="AG1255" s="1">
        <v>43852</v>
      </c>
      <c r="AH1255" t="s">
        <v>85</v>
      </c>
      <c r="AI1255" t="s">
        <v>92</v>
      </c>
      <c r="AJ1255">
        <v>19888</v>
      </c>
      <c r="AK1255">
        <v>128777</v>
      </c>
      <c r="AL1255">
        <v>198882</v>
      </c>
    </row>
    <row r="1256" spans="1:38" x14ac:dyDescent="0.25">
      <c r="A1256" t="s">
        <v>370</v>
      </c>
      <c r="B1256" t="s">
        <v>397</v>
      </c>
      <c r="C1256" t="s">
        <v>71</v>
      </c>
      <c r="D1256" s="1">
        <v>43191</v>
      </c>
      <c r="E1256" s="1">
        <v>43555</v>
      </c>
      <c r="F1256" t="s">
        <v>84</v>
      </c>
      <c r="G1256">
        <v>10</v>
      </c>
      <c r="H1256" t="s">
        <v>85</v>
      </c>
      <c r="I1256" t="s">
        <v>43</v>
      </c>
      <c r="J1256" t="s">
        <v>86</v>
      </c>
      <c r="K1256" t="s">
        <v>44</v>
      </c>
      <c r="L1256">
        <v>14603.3</v>
      </c>
      <c r="M1256" s="1">
        <v>43191</v>
      </c>
      <c r="N1256" t="s">
        <v>45</v>
      </c>
      <c r="O1256" t="s">
        <v>361</v>
      </c>
      <c r="P1256" t="s">
        <v>396</v>
      </c>
      <c r="Q1256" s="1">
        <v>43852</v>
      </c>
      <c r="R1256" t="s">
        <v>396</v>
      </c>
      <c r="S1256" t="s">
        <v>87</v>
      </c>
      <c r="T1256" t="s">
        <v>88</v>
      </c>
      <c r="U1256" t="s">
        <v>85</v>
      </c>
      <c r="V1256">
        <v>1400000</v>
      </c>
      <c r="W1256">
        <v>100000</v>
      </c>
      <c r="X1256" s="1">
        <v>43808</v>
      </c>
      <c r="Y1256" t="s">
        <v>51</v>
      </c>
      <c r="Z1256" t="s">
        <v>43</v>
      </c>
      <c r="AA1256" t="s">
        <v>86</v>
      </c>
      <c r="AB1256" t="s">
        <v>89</v>
      </c>
      <c r="AC1256" t="s">
        <v>90</v>
      </c>
      <c r="AF1256" t="s">
        <v>93</v>
      </c>
      <c r="AG1256" s="1">
        <v>43843</v>
      </c>
      <c r="AH1256" t="s">
        <v>85</v>
      </c>
      <c r="AI1256" t="s">
        <v>92</v>
      </c>
      <c r="AJ1256">
        <v>19888</v>
      </c>
      <c r="AK1256">
        <v>128777</v>
      </c>
      <c r="AL1256">
        <v>198882</v>
      </c>
    </row>
    <row r="1257" spans="1:38" x14ac:dyDescent="0.25">
      <c r="A1257" t="s">
        <v>370</v>
      </c>
      <c r="B1257" t="s">
        <v>397</v>
      </c>
      <c r="C1257" t="s">
        <v>71</v>
      </c>
      <c r="D1257" s="1">
        <v>43191</v>
      </c>
      <c r="E1257" s="1">
        <v>43555</v>
      </c>
      <c r="F1257" t="s">
        <v>84</v>
      </c>
      <c r="G1257">
        <v>10</v>
      </c>
      <c r="H1257" t="s">
        <v>85</v>
      </c>
      <c r="I1257" t="s">
        <v>43</v>
      </c>
      <c r="J1257" t="s">
        <v>86</v>
      </c>
      <c r="K1257" t="s">
        <v>44</v>
      </c>
      <c r="L1257">
        <v>14603.3</v>
      </c>
      <c r="M1257" s="1">
        <v>43191</v>
      </c>
      <c r="N1257" t="s">
        <v>45</v>
      </c>
      <c r="O1257" t="s">
        <v>361</v>
      </c>
      <c r="P1257" t="s">
        <v>396</v>
      </c>
      <c r="Q1257" s="1">
        <v>43852</v>
      </c>
      <c r="R1257" t="s">
        <v>396</v>
      </c>
      <c r="S1257" t="s">
        <v>94</v>
      </c>
      <c r="T1257" t="s">
        <v>95</v>
      </c>
      <c r="U1257" t="s">
        <v>85</v>
      </c>
      <c r="V1257">
        <v>4500000</v>
      </c>
      <c r="W1257">
        <v>300000</v>
      </c>
      <c r="X1257" s="1">
        <v>43767</v>
      </c>
      <c r="Y1257" t="s">
        <v>51</v>
      </c>
      <c r="Z1257" t="s">
        <v>43</v>
      </c>
      <c r="AA1257" t="s">
        <v>86</v>
      </c>
      <c r="AB1257" t="s">
        <v>89</v>
      </c>
      <c r="AC1257" t="s">
        <v>90</v>
      </c>
      <c r="AF1257" t="s">
        <v>91</v>
      </c>
      <c r="AG1257" s="1">
        <v>43852</v>
      </c>
      <c r="AH1257" t="s">
        <v>85</v>
      </c>
      <c r="AI1257" t="s">
        <v>92</v>
      </c>
      <c r="AJ1257">
        <v>19888</v>
      </c>
      <c r="AK1257">
        <v>128777</v>
      </c>
      <c r="AL1257">
        <v>198882</v>
      </c>
    </row>
    <row r="1258" spans="1:38" x14ac:dyDescent="0.25">
      <c r="A1258" t="s">
        <v>370</v>
      </c>
      <c r="B1258" t="s">
        <v>397</v>
      </c>
      <c r="C1258" t="s">
        <v>71</v>
      </c>
      <c r="D1258" s="1">
        <v>43191</v>
      </c>
      <c r="E1258" s="1">
        <v>43555</v>
      </c>
      <c r="F1258" t="s">
        <v>84</v>
      </c>
      <c r="G1258">
        <v>10</v>
      </c>
      <c r="H1258" t="s">
        <v>85</v>
      </c>
      <c r="I1258" t="s">
        <v>43</v>
      </c>
      <c r="J1258" t="s">
        <v>86</v>
      </c>
      <c r="K1258" t="s">
        <v>44</v>
      </c>
      <c r="L1258">
        <v>14603.3</v>
      </c>
      <c r="M1258" s="1">
        <v>43191</v>
      </c>
      <c r="N1258" t="s">
        <v>45</v>
      </c>
      <c r="O1258" t="s">
        <v>361</v>
      </c>
      <c r="P1258" t="s">
        <v>396</v>
      </c>
      <c r="Q1258" s="1">
        <v>43852</v>
      </c>
      <c r="R1258" t="s">
        <v>396</v>
      </c>
      <c r="S1258" t="s">
        <v>94</v>
      </c>
      <c r="T1258" t="s">
        <v>95</v>
      </c>
      <c r="U1258" t="s">
        <v>85</v>
      </c>
      <c r="V1258">
        <v>4500000</v>
      </c>
      <c r="W1258">
        <v>300000</v>
      </c>
      <c r="X1258" s="1">
        <v>43767</v>
      </c>
      <c r="Y1258" t="s">
        <v>51</v>
      </c>
      <c r="Z1258" t="s">
        <v>43</v>
      </c>
      <c r="AA1258" t="s">
        <v>86</v>
      </c>
      <c r="AB1258" t="s">
        <v>89</v>
      </c>
      <c r="AC1258" t="s">
        <v>90</v>
      </c>
      <c r="AF1258" t="s">
        <v>93</v>
      </c>
      <c r="AG1258" s="1">
        <v>43843</v>
      </c>
      <c r="AH1258" t="s">
        <v>85</v>
      </c>
      <c r="AI1258" t="s">
        <v>92</v>
      </c>
      <c r="AJ1258">
        <v>19888</v>
      </c>
      <c r="AK1258">
        <v>128777</v>
      </c>
      <c r="AL1258">
        <v>198882</v>
      </c>
    </row>
    <row r="1259" spans="1:38" x14ac:dyDescent="0.25">
      <c r="A1259" t="s">
        <v>370</v>
      </c>
      <c r="B1259" t="s">
        <v>397</v>
      </c>
      <c r="C1259" t="s">
        <v>71</v>
      </c>
      <c r="D1259" s="1">
        <v>43191</v>
      </c>
      <c r="E1259" s="1">
        <v>43555</v>
      </c>
      <c r="F1259" t="s">
        <v>84</v>
      </c>
      <c r="G1259">
        <v>10</v>
      </c>
      <c r="H1259" t="s">
        <v>85</v>
      </c>
      <c r="I1259" t="s">
        <v>43</v>
      </c>
      <c r="J1259" t="s">
        <v>86</v>
      </c>
      <c r="K1259" t="s">
        <v>44</v>
      </c>
      <c r="L1259">
        <v>14603.3</v>
      </c>
      <c r="M1259" s="1">
        <v>43191</v>
      </c>
      <c r="N1259" t="s">
        <v>45</v>
      </c>
      <c r="O1259" t="s">
        <v>361</v>
      </c>
      <c r="P1259" t="s">
        <v>396</v>
      </c>
      <c r="Q1259" s="1">
        <v>43852</v>
      </c>
      <c r="R1259" t="s">
        <v>396</v>
      </c>
      <c r="S1259" t="s">
        <v>96</v>
      </c>
      <c r="T1259" t="s">
        <v>97</v>
      </c>
      <c r="U1259" t="s">
        <v>85</v>
      </c>
      <c r="V1259">
        <v>600000</v>
      </c>
      <c r="W1259">
        <v>100000</v>
      </c>
      <c r="X1259" s="1">
        <v>43799</v>
      </c>
      <c r="Y1259" t="s">
        <v>51</v>
      </c>
      <c r="Z1259" t="s">
        <v>43</v>
      </c>
      <c r="AA1259" t="s">
        <v>98</v>
      </c>
      <c r="AB1259" t="s">
        <v>89</v>
      </c>
      <c r="AC1259" t="s">
        <v>90</v>
      </c>
      <c r="AF1259" t="s">
        <v>91</v>
      </c>
      <c r="AG1259" s="1">
        <v>43852</v>
      </c>
      <c r="AH1259" t="s">
        <v>85</v>
      </c>
      <c r="AI1259" t="s">
        <v>92</v>
      </c>
      <c r="AJ1259">
        <v>19888</v>
      </c>
      <c r="AK1259">
        <v>128777</v>
      </c>
      <c r="AL1259">
        <v>198882</v>
      </c>
    </row>
    <row r="1260" spans="1:38" x14ac:dyDescent="0.25">
      <c r="A1260" t="s">
        <v>370</v>
      </c>
      <c r="B1260" t="s">
        <v>397</v>
      </c>
      <c r="C1260" t="s">
        <v>71</v>
      </c>
      <c r="D1260" s="1">
        <v>43191</v>
      </c>
      <c r="E1260" s="1">
        <v>43555</v>
      </c>
      <c r="F1260" t="s">
        <v>84</v>
      </c>
      <c r="G1260">
        <v>10</v>
      </c>
      <c r="H1260" t="s">
        <v>85</v>
      </c>
      <c r="I1260" t="s">
        <v>43</v>
      </c>
      <c r="J1260" t="s">
        <v>86</v>
      </c>
      <c r="K1260" t="s">
        <v>44</v>
      </c>
      <c r="L1260">
        <v>14603.3</v>
      </c>
      <c r="M1260" s="1">
        <v>43191</v>
      </c>
      <c r="N1260" t="s">
        <v>45</v>
      </c>
      <c r="O1260" t="s">
        <v>361</v>
      </c>
      <c r="P1260" t="s">
        <v>396</v>
      </c>
      <c r="Q1260" s="1">
        <v>43852</v>
      </c>
      <c r="R1260" t="s">
        <v>396</v>
      </c>
      <c r="S1260" t="s">
        <v>96</v>
      </c>
      <c r="T1260" t="s">
        <v>97</v>
      </c>
      <c r="U1260" t="s">
        <v>85</v>
      </c>
      <c r="V1260">
        <v>600000</v>
      </c>
      <c r="W1260">
        <v>100000</v>
      </c>
      <c r="X1260" s="1">
        <v>43799</v>
      </c>
      <c r="Y1260" t="s">
        <v>51</v>
      </c>
      <c r="Z1260" t="s">
        <v>43</v>
      </c>
      <c r="AA1260" t="s">
        <v>98</v>
      </c>
      <c r="AB1260" t="s">
        <v>89</v>
      </c>
      <c r="AC1260" t="s">
        <v>90</v>
      </c>
      <c r="AF1260" t="s">
        <v>93</v>
      </c>
      <c r="AG1260" s="1">
        <v>43843</v>
      </c>
      <c r="AH1260" t="s">
        <v>85</v>
      </c>
      <c r="AI1260" t="s">
        <v>92</v>
      </c>
      <c r="AJ1260">
        <v>19888</v>
      </c>
      <c r="AK1260">
        <v>128777</v>
      </c>
      <c r="AL1260">
        <v>198882</v>
      </c>
    </row>
    <row r="1261" spans="1:38" x14ac:dyDescent="0.25">
      <c r="A1261" t="s">
        <v>370</v>
      </c>
      <c r="B1261" t="s">
        <v>397</v>
      </c>
      <c r="C1261" t="s">
        <v>71</v>
      </c>
      <c r="D1261" s="1">
        <v>43191</v>
      </c>
      <c r="E1261" s="1">
        <v>43555</v>
      </c>
      <c r="F1261" t="s">
        <v>84</v>
      </c>
      <c r="G1261">
        <v>10</v>
      </c>
      <c r="H1261" t="s">
        <v>85</v>
      </c>
      <c r="I1261" t="s">
        <v>43</v>
      </c>
      <c r="J1261" t="s">
        <v>86</v>
      </c>
      <c r="K1261" t="s">
        <v>44</v>
      </c>
      <c r="L1261">
        <v>14603.3</v>
      </c>
      <c r="M1261" s="1">
        <v>43191</v>
      </c>
      <c r="N1261" t="s">
        <v>45</v>
      </c>
      <c r="O1261" t="s">
        <v>361</v>
      </c>
      <c r="P1261" t="s">
        <v>396</v>
      </c>
      <c r="Q1261" s="1">
        <v>43852</v>
      </c>
      <c r="R1261" t="s">
        <v>396</v>
      </c>
      <c r="S1261" t="s">
        <v>99</v>
      </c>
      <c r="T1261" t="s">
        <v>100</v>
      </c>
      <c r="U1261" t="s">
        <v>85</v>
      </c>
      <c r="V1261">
        <v>210000</v>
      </c>
      <c r="W1261">
        <v>35000</v>
      </c>
      <c r="X1261" s="1">
        <v>43799</v>
      </c>
      <c r="Y1261" t="s">
        <v>51</v>
      </c>
      <c r="Z1261" t="s">
        <v>43</v>
      </c>
      <c r="AA1261" t="s">
        <v>98</v>
      </c>
      <c r="AB1261" t="s">
        <v>89</v>
      </c>
      <c r="AC1261" t="s">
        <v>101</v>
      </c>
      <c r="AF1261" t="s">
        <v>91</v>
      </c>
      <c r="AG1261" s="1">
        <v>43852</v>
      </c>
      <c r="AH1261" t="s">
        <v>85</v>
      </c>
      <c r="AI1261" t="s">
        <v>92</v>
      </c>
      <c r="AJ1261">
        <v>19888</v>
      </c>
      <c r="AK1261">
        <v>128777</v>
      </c>
      <c r="AL1261">
        <v>198882</v>
      </c>
    </row>
    <row r="1262" spans="1:38" x14ac:dyDescent="0.25">
      <c r="A1262" t="s">
        <v>370</v>
      </c>
      <c r="B1262" t="s">
        <v>397</v>
      </c>
      <c r="C1262" t="s">
        <v>71</v>
      </c>
      <c r="D1262" s="1">
        <v>43191</v>
      </c>
      <c r="E1262" s="1">
        <v>43555</v>
      </c>
      <c r="F1262" t="s">
        <v>84</v>
      </c>
      <c r="G1262">
        <v>10</v>
      </c>
      <c r="H1262" t="s">
        <v>85</v>
      </c>
      <c r="I1262" t="s">
        <v>43</v>
      </c>
      <c r="J1262" t="s">
        <v>86</v>
      </c>
      <c r="K1262" t="s">
        <v>44</v>
      </c>
      <c r="L1262">
        <v>14603.3</v>
      </c>
      <c r="M1262" s="1">
        <v>43191</v>
      </c>
      <c r="N1262" t="s">
        <v>45</v>
      </c>
      <c r="O1262" t="s">
        <v>361</v>
      </c>
      <c r="P1262" t="s">
        <v>396</v>
      </c>
      <c r="Q1262" s="1">
        <v>43852</v>
      </c>
      <c r="R1262" t="s">
        <v>396</v>
      </c>
      <c r="S1262" t="s">
        <v>99</v>
      </c>
      <c r="T1262" t="s">
        <v>100</v>
      </c>
      <c r="U1262" t="s">
        <v>85</v>
      </c>
      <c r="V1262">
        <v>210000</v>
      </c>
      <c r="W1262">
        <v>35000</v>
      </c>
      <c r="X1262" s="1">
        <v>43799</v>
      </c>
      <c r="Y1262" t="s">
        <v>51</v>
      </c>
      <c r="Z1262" t="s">
        <v>43</v>
      </c>
      <c r="AA1262" t="s">
        <v>98</v>
      </c>
      <c r="AB1262" t="s">
        <v>89</v>
      </c>
      <c r="AC1262" t="s">
        <v>101</v>
      </c>
      <c r="AF1262" t="s">
        <v>93</v>
      </c>
      <c r="AG1262" s="1">
        <v>43843</v>
      </c>
      <c r="AH1262" t="s">
        <v>85</v>
      </c>
      <c r="AI1262" t="s">
        <v>92</v>
      </c>
      <c r="AJ1262">
        <v>19888</v>
      </c>
      <c r="AK1262">
        <v>128777</v>
      </c>
      <c r="AL1262">
        <v>198882</v>
      </c>
    </row>
    <row r="1263" spans="1:38" x14ac:dyDescent="0.25">
      <c r="A1263" t="s">
        <v>370</v>
      </c>
      <c r="B1263" t="s">
        <v>397</v>
      </c>
      <c r="C1263" t="s">
        <v>71</v>
      </c>
      <c r="D1263" s="1">
        <v>43191</v>
      </c>
      <c r="E1263" s="1">
        <v>43555</v>
      </c>
      <c r="F1263" t="s">
        <v>84</v>
      </c>
      <c r="G1263">
        <v>10</v>
      </c>
      <c r="H1263" t="s">
        <v>85</v>
      </c>
      <c r="I1263" t="s">
        <v>43</v>
      </c>
      <c r="J1263" t="s">
        <v>86</v>
      </c>
      <c r="K1263" t="s">
        <v>44</v>
      </c>
      <c r="L1263">
        <v>14603.3</v>
      </c>
      <c r="M1263" s="1">
        <v>43191</v>
      </c>
      <c r="N1263" t="s">
        <v>45</v>
      </c>
      <c r="O1263" t="s">
        <v>361</v>
      </c>
      <c r="P1263" t="s">
        <v>396</v>
      </c>
      <c r="Q1263" s="1">
        <v>43852</v>
      </c>
      <c r="R1263" t="s">
        <v>396</v>
      </c>
      <c r="S1263" t="s">
        <v>102</v>
      </c>
      <c r="T1263" t="s">
        <v>103</v>
      </c>
      <c r="U1263" t="s">
        <v>85</v>
      </c>
      <c r="V1263">
        <v>5000000</v>
      </c>
      <c r="W1263">
        <v>250000</v>
      </c>
      <c r="X1263" s="1">
        <v>43799</v>
      </c>
      <c r="Y1263" t="s">
        <v>51</v>
      </c>
      <c r="Z1263" t="s">
        <v>43</v>
      </c>
      <c r="AA1263" t="s">
        <v>86</v>
      </c>
      <c r="AB1263" t="s">
        <v>89</v>
      </c>
      <c r="AC1263" t="s">
        <v>90</v>
      </c>
      <c r="AF1263" t="s">
        <v>91</v>
      </c>
      <c r="AG1263" s="1">
        <v>43852</v>
      </c>
      <c r="AH1263" t="s">
        <v>85</v>
      </c>
      <c r="AI1263" t="s">
        <v>92</v>
      </c>
      <c r="AJ1263">
        <v>19888</v>
      </c>
      <c r="AK1263">
        <v>128777</v>
      </c>
      <c r="AL1263">
        <v>198882</v>
      </c>
    </row>
    <row r="1264" spans="1:38" x14ac:dyDescent="0.25">
      <c r="A1264" t="s">
        <v>370</v>
      </c>
      <c r="B1264" t="s">
        <v>397</v>
      </c>
      <c r="C1264" t="s">
        <v>71</v>
      </c>
      <c r="D1264" s="1">
        <v>43191</v>
      </c>
      <c r="E1264" s="1">
        <v>43555</v>
      </c>
      <c r="F1264" t="s">
        <v>84</v>
      </c>
      <c r="G1264">
        <v>10</v>
      </c>
      <c r="H1264" t="s">
        <v>85</v>
      </c>
      <c r="I1264" t="s">
        <v>43</v>
      </c>
      <c r="J1264" t="s">
        <v>86</v>
      </c>
      <c r="K1264" t="s">
        <v>44</v>
      </c>
      <c r="L1264">
        <v>14603.3</v>
      </c>
      <c r="M1264" s="1">
        <v>43191</v>
      </c>
      <c r="N1264" t="s">
        <v>45</v>
      </c>
      <c r="O1264" t="s">
        <v>361</v>
      </c>
      <c r="P1264" t="s">
        <v>396</v>
      </c>
      <c r="Q1264" s="1">
        <v>43852</v>
      </c>
      <c r="R1264" t="s">
        <v>396</v>
      </c>
      <c r="S1264" t="s">
        <v>102</v>
      </c>
      <c r="T1264" t="s">
        <v>103</v>
      </c>
      <c r="U1264" t="s">
        <v>85</v>
      </c>
      <c r="V1264">
        <v>5000000</v>
      </c>
      <c r="W1264">
        <v>250000</v>
      </c>
      <c r="X1264" s="1">
        <v>43799</v>
      </c>
      <c r="Y1264" t="s">
        <v>51</v>
      </c>
      <c r="Z1264" t="s">
        <v>43</v>
      </c>
      <c r="AA1264" t="s">
        <v>86</v>
      </c>
      <c r="AB1264" t="s">
        <v>89</v>
      </c>
      <c r="AC1264" t="s">
        <v>90</v>
      </c>
      <c r="AF1264" t="s">
        <v>93</v>
      </c>
      <c r="AG1264" s="1">
        <v>43843</v>
      </c>
      <c r="AH1264" t="s">
        <v>85</v>
      </c>
      <c r="AI1264" t="s">
        <v>92</v>
      </c>
      <c r="AJ1264">
        <v>19888</v>
      </c>
      <c r="AK1264">
        <v>128777</v>
      </c>
      <c r="AL1264">
        <v>198882</v>
      </c>
    </row>
    <row r="1265" spans="1:38" x14ac:dyDescent="0.25">
      <c r="A1265" t="s">
        <v>370</v>
      </c>
      <c r="B1265" t="s">
        <v>398</v>
      </c>
      <c r="C1265" t="s">
        <v>71</v>
      </c>
      <c r="D1265" s="1">
        <v>43264</v>
      </c>
      <c r="E1265" s="1">
        <v>43628</v>
      </c>
      <c r="F1265" t="s">
        <v>84</v>
      </c>
      <c r="G1265">
        <v>10</v>
      </c>
      <c r="H1265" t="s">
        <v>85</v>
      </c>
      <c r="I1265" t="s">
        <v>43</v>
      </c>
      <c r="J1265" t="s">
        <v>86</v>
      </c>
      <c r="K1265" t="s">
        <v>44</v>
      </c>
      <c r="L1265">
        <v>28940.65</v>
      </c>
      <c r="M1265" s="1">
        <v>43264</v>
      </c>
      <c r="N1265" t="s">
        <v>45</v>
      </c>
      <c r="O1265" t="s">
        <v>361</v>
      </c>
      <c r="P1265" t="s">
        <v>396</v>
      </c>
      <c r="Q1265" s="1">
        <v>43852</v>
      </c>
      <c r="R1265" t="s">
        <v>396</v>
      </c>
      <c r="S1265" t="s">
        <v>87</v>
      </c>
      <c r="T1265" t="s">
        <v>88</v>
      </c>
      <c r="U1265" t="s">
        <v>85</v>
      </c>
      <c r="V1265">
        <v>1400000</v>
      </c>
      <c r="W1265">
        <v>100000</v>
      </c>
      <c r="X1265" s="1">
        <v>43808</v>
      </c>
      <c r="Y1265" t="s">
        <v>51</v>
      </c>
      <c r="Z1265" t="s">
        <v>43</v>
      </c>
      <c r="AA1265" t="s">
        <v>86</v>
      </c>
      <c r="AB1265" t="s">
        <v>89</v>
      </c>
      <c r="AC1265" t="s">
        <v>90</v>
      </c>
      <c r="AF1265" t="s">
        <v>91</v>
      </c>
      <c r="AG1265" s="1">
        <v>43852</v>
      </c>
      <c r="AH1265" t="s">
        <v>85</v>
      </c>
      <c r="AI1265" t="s">
        <v>92</v>
      </c>
      <c r="AJ1265">
        <v>19888</v>
      </c>
      <c r="AK1265">
        <v>128777</v>
      </c>
      <c r="AL1265">
        <v>198882</v>
      </c>
    </row>
    <row r="1266" spans="1:38" x14ac:dyDescent="0.25">
      <c r="A1266" t="s">
        <v>370</v>
      </c>
      <c r="B1266" t="s">
        <v>398</v>
      </c>
      <c r="C1266" t="s">
        <v>71</v>
      </c>
      <c r="D1266" s="1">
        <v>43264</v>
      </c>
      <c r="E1266" s="1">
        <v>43628</v>
      </c>
      <c r="F1266" t="s">
        <v>84</v>
      </c>
      <c r="G1266">
        <v>10</v>
      </c>
      <c r="H1266" t="s">
        <v>85</v>
      </c>
      <c r="I1266" t="s">
        <v>43</v>
      </c>
      <c r="J1266" t="s">
        <v>86</v>
      </c>
      <c r="K1266" t="s">
        <v>44</v>
      </c>
      <c r="L1266">
        <v>28940.65</v>
      </c>
      <c r="M1266" s="1">
        <v>43264</v>
      </c>
      <c r="N1266" t="s">
        <v>45</v>
      </c>
      <c r="O1266" t="s">
        <v>361</v>
      </c>
      <c r="P1266" t="s">
        <v>396</v>
      </c>
      <c r="Q1266" s="1">
        <v>43852</v>
      </c>
      <c r="R1266" t="s">
        <v>396</v>
      </c>
      <c r="S1266" t="s">
        <v>87</v>
      </c>
      <c r="T1266" t="s">
        <v>88</v>
      </c>
      <c r="U1266" t="s">
        <v>85</v>
      </c>
      <c r="V1266">
        <v>1400000</v>
      </c>
      <c r="W1266">
        <v>100000</v>
      </c>
      <c r="X1266" s="1">
        <v>43808</v>
      </c>
      <c r="Y1266" t="s">
        <v>51</v>
      </c>
      <c r="Z1266" t="s">
        <v>43</v>
      </c>
      <c r="AA1266" t="s">
        <v>86</v>
      </c>
      <c r="AB1266" t="s">
        <v>89</v>
      </c>
      <c r="AC1266" t="s">
        <v>90</v>
      </c>
      <c r="AF1266" t="s">
        <v>93</v>
      </c>
      <c r="AG1266" s="1">
        <v>43843</v>
      </c>
      <c r="AH1266" t="s">
        <v>85</v>
      </c>
      <c r="AI1266" t="s">
        <v>92</v>
      </c>
      <c r="AJ1266">
        <v>19888</v>
      </c>
      <c r="AK1266">
        <v>128777</v>
      </c>
      <c r="AL1266">
        <v>198882</v>
      </c>
    </row>
    <row r="1267" spans="1:38" x14ac:dyDescent="0.25">
      <c r="A1267" t="s">
        <v>370</v>
      </c>
      <c r="B1267" t="s">
        <v>398</v>
      </c>
      <c r="C1267" t="s">
        <v>71</v>
      </c>
      <c r="D1267" s="1">
        <v>43264</v>
      </c>
      <c r="E1267" s="1">
        <v>43628</v>
      </c>
      <c r="F1267" t="s">
        <v>84</v>
      </c>
      <c r="G1267">
        <v>10</v>
      </c>
      <c r="H1267" t="s">
        <v>85</v>
      </c>
      <c r="I1267" t="s">
        <v>43</v>
      </c>
      <c r="J1267" t="s">
        <v>86</v>
      </c>
      <c r="K1267" t="s">
        <v>44</v>
      </c>
      <c r="L1267">
        <v>28940.65</v>
      </c>
      <c r="M1267" s="1">
        <v>43264</v>
      </c>
      <c r="N1267" t="s">
        <v>45</v>
      </c>
      <c r="O1267" t="s">
        <v>361</v>
      </c>
      <c r="P1267" t="s">
        <v>396</v>
      </c>
      <c r="Q1267" s="1">
        <v>43852</v>
      </c>
      <c r="R1267" t="s">
        <v>396</v>
      </c>
      <c r="S1267" t="s">
        <v>94</v>
      </c>
      <c r="T1267" t="s">
        <v>95</v>
      </c>
      <c r="U1267" t="s">
        <v>85</v>
      </c>
      <c r="V1267">
        <v>4500000</v>
      </c>
      <c r="W1267">
        <v>300000</v>
      </c>
      <c r="X1267" s="1">
        <v>43767</v>
      </c>
      <c r="Y1267" t="s">
        <v>51</v>
      </c>
      <c r="Z1267" t="s">
        <v>43</v>
      </c>
      <c r="AA1267" t="s">
        <v>86</v>
      </c>
      <c r="AB1267" t="s">
        <v>89</v>
      </c>
      <c r="AC1267" t="s">
        <v>90</v>
      </c>
      <c r="AF1267" t="s">
        <v>91</v>
      </c>
      <c r="AG1267" s="1">
        <v>43852</v>
      </c>
      <c r="AH1267" t="s">
        <v>85</v>
      </c>
      <c r="AI1267" t="s">
        <v>92</v>
      </c>
      <c r="AJ1267">
        <v>19888</v>
      </c>
      <c r="AK1267">
        <v>128777</v>
      </c>
      <c r="AL1267">
        <v>198882</v>
      </c>
    </row>
    <row r="1268" spans="1:38" x14ac:dyDescent="0.25">
      <c r="A1268" t="s">
        <v>370</v>
      </c>
      <c r="B1268" t="s">
        <v>398</v>
      </c>
      <c r="C1268" t="s">
        <v>71</v>
      </c>
      <c r="D1268" s="1">
        <v>43264</v>
      </c>
      <c r="E1268" s="1">
        <v>43628</v>
      </c>
      <c r="F1268" t="s">
        <v>84</v>
      </c>
      <c r="G1268">
        <v>10</v>
      </c>
      <c r="H1268" t="s">
        <v>85</v>
      </c>
      <c r="I1268" t="s">
        <v>43</v>
      </c>
      <c r="J1268" t="s">
        <v>86</v>
      </c>
      <c r="K1268" t="s">
        <v>44</v>
      </c>
      <c r="L1268">
        <v>28940.65</v>
      </c>
      <c r="M1268" s="1">
        <v>43264</v>
      </c>
      <c r="N1268" t="s">
        <v>45</v>
      </c>
      <c r="O1268" t="s">
        <v>361</v>
      </c>
      <c r="P1268" t="s">
        <v>396</v>
      </c>
      <c r="Q1268" s="1">
        <v>43852</v>
      </c>
      <c r="R1268" t="s">
        <v>396</v>
      </c>
      <c r="S1268" t="s">
        <v>94</v>
      </c>
      <c r="T1268" t="s">
        <v>95</v>
      </c>
      <c r="U1268" t="s">
        <v>85</v>
      </c>
      <c r="V1268">
        <v>4500000</v>
      </c>
      <c r="W1268">
        <v>300000</v>
      </c>
      <c r="X1268" s="1">
        <v>43767</v>
      </c>
      <c r="Y1268" t="s">
        <v>51</v>
      </c>
      <c r="Z1268" t="s">
        <v>43</v>
      </c>
      <c r="AA1268" t="s">
        <v>86</v>
      </c>
      <c r="AB1268" t="s">
        <v>89</v>
      </c>
      <c r="AC1268" t="s">
        <v>90</v>
      </c>
      <c r="AF1268" t="s">
        <v>93</v>
      </c>
      <c r="AG1268" s="1">
        <v>43843</v>
      </c>
      <c r="AH1268" t="s">
        <v>85</v>
      </c>
      <c r="AI1268" t="s">
        <v>92</v>
      </c>
      <c r="AJ1268">
        <v>19888</v>
      </c>
      <c r="AK1268">
        <v>128777</v>
      </c>
      <c r="AL1268">
        <v>198882</v>
      </c>
    </row>
    <row r="1269" spans="1:38" x14ac:dyDescent="0.25">
      <c r="A1269" t="s">
        <v>370</v>
      </c>
      <c r="B1269" t="s">
        <v>398</v>
      </c>
      <c r="C1269" t="s">
        <v>71</v>
      </c>
      <c r="D1269" s="1">
        <v>43264</v>
      </c>
      <c r="E1269" s="1">
        <v>43628</v>
      </c>
      <c r="F1269" t="s">
        <v>84</v>
      </c>
      <c r="G1269">
        <v>10</v>
      </c>
      <c r="H1269" t="s">
        <v>85</v>
      </c>
      <c r="I1269" t="s">
        <v>43</v>
      </c>
      <c r="J1269" t="s">
        <v>86</v>
      </c>
      <c r="K1269" t="s">
        <v>44</v>
      </c>
      <c r="L1269">
        <v>28940.65</v>
      </c>
      <c r="M1269" s="1">
        <v>43264</v>
      </c>
      <c r="N1269" t="s">
        <v>45</v>
      </c>
      <c r="O1269" t="s">
        <v>361</v>
      </c>
      <c r="P1269" t="s">
        <v>396</v>
      </c>
      <c r="Q1269" s="1">
        <v>43852</v>
      </c>
      <c r="R1269" t="s">
        <v>396</v>
      </c>
      <c r="S1269" t="s">
        <v>96</v>
      </c>
      <c r="T1269" t="s">
        <v>97</v>
      </c>
      <c r="U1269" t="s">
        <v>85</v>
      </c>
      <c r="V1269">
        <v>600000</v>
      </c>
      <c r="W1269">
        <v>100000</v>
      </c>
      <c r="X1269" s="1">
        <v>43799</v>
      </c>
      <c r="Y1269" t="s">
        <v>51</v>
      </c>
      <c r="Z1269" t="s">
        <v>43</v>
      </c>
      <c r="AA1269" t="s">
        <v>98</v>
      </c>
      <c r="AB1269" t="s">
        <v>89</v>
      </c>
      <c r="AC1269" t="s">
        <v>90</v>
      </c>
      <c r="AF1269" t="s">
        <v>91</v>
      </c>
      <c r="AG1269" s="1">
        <v>43852</v>
      </c>
      <c r="AH1269" t="s">
        <v>85</v>
      </c>
      <c r="AI1269" t="s">
        <v>92</v>
      </c>
      <c r="AJ1269">
        <v>19888</v>
      </c>
      <c r="AK1269">
        <v>128777</v>
      </c>
      <c r="AL1269">
        <v>198882</v>
      </c>
    </row>
    <row r="1270" spans="1:38" x14ac:dyDescent="0.25">
      <c r="A1270" t="s">
        <v>370</v>
      </c>
      <c r="B1270" t="s">
        <v>398</v>
      </c>
      <c r="C1270" t="s">
        <v>71</v>
      </c>
      <c r="D1270" s="1">
        <v>43264</v>
      </c>
      <c r="E1270" s="1">
        <v>43628</v>
      </c>
      <c r="F1270" t="s">
        <v>84</v>
      </c>
      <c r="G1270">
        <v>10</v>
      </c>
      <c r="H1270" t="s">
        <v>85</v>
      </c>
      <c r="I1270" t="s">
        <v>43</v>
      </c>
      <c r="J1270" t="s">
        <v>86</v>
      </c>
      <c r="K1270" t="s">
        <v>44</v>
      </c>
      <c r="L1270">
        <v>28940.65</v>
      </c>
      <c r="M1270" s="1">
        <v>43264</v>
      </c>
      <c r="N1270" t="s">
        <v>45</v>
      </c>
      <c r="O1270" t="s">
        <v>361</v>
      </c>
      <c r="P1270" t="s">
        <v>396</v>
      </c>
      <c r="Q1270" s="1">
        <v>43852</v>
      </c>
      <c r="R1270" t="s">
        <v>396</v>
      </c>
      <c r="S1270" t="s">
        <v>96</v>
      </c>
      <c r="T1270" t="s">
        <v>97</v>
      </c>
      <c r="U1270" t="s">
        <v>85</v>
      </c>
      <c r="V1270">
        <v>600000</v>
      </c>
      <c r="W1270">
        <v>100000</v>
      </c>
      <c r="X1270" s="1">
        <v>43799</v>
      </c>
      <c r="Y1270" t="s">
        <v>51</v>
      </c>
      <c r="Z1270" t="s">
        <v>43</v>
      </c>
      <c r="AA1270" t="s">
        <v>98</v>
      </c>
      <c r="AB1270" t="s">
        <v>89</v>
      </c>
      <c r="AC1270" t="s">
        <v>90</v>
      </c>
      <c r="AF1270" t="s">
        <v>93</v>
      </c>
      <c r="AG1270" s="1">
        <v>43843</v>
      </c>
      <c r="AH1270" t="s">
        <v>85</v>
      </c>
      <c r="AI1270" t="s">
        <v>92</v>
      </c>
      <c r="AJ1270">
        <v>19888</v>
      </c>
      <c r="AK1270">
        <v>128777</v>
      </c>
      <c r="AL1270">
        <v>198882</v>
      </c>
    </row>
    <row r="1271" spans="1:38" x14ac:dyDescent="0.25">
      <c r="A1271" t="s">
        <v>370</v>
      </c>
      <c r="B1271" t="s">
        <v>398</v>
      </c>
      <c r="C1271" t="s">
        <v>71</v>
      </c>
      <c r="D1271" s="1">
        <v>43264</v>
      </c>
      <c r="E1271" s="1">
        <v>43628</v>
      </c>
      <c r="F1271" t="s">
        <v>84</v>
      </c>
      <c r="G1271">
        <v>10</v>
      </c>
      <c r="H1271" t="s">
        <v>85</v>
      </c>
      <c r="I1271" t="s">
        <v>43</v>
      </c>
      <c r="J1271" t="s">
        <v>86</v>
      </c>
      <c r="K1271" t="s">
        <v>44</v>
      </c>
      <c r="L1271">
        <v>28940.65</v>
      </c>
      <c r="M1271" s="1">
        <v>43264</v>
      </c>
      <c r="N1271" t="s">
        <v>45</v>
      </c>
      <c r="O1271" t="s">
        <v>361</v>
      </c>
      <c r="P1271" t="s">
        <v>396</v>
      </c>
      <c r="Q1271" s="1">
        <v>43852</v>
      </c>
      <c r="R1271" t="s">
        <v>396</v>
      </c>
      <c r="S1271" t="s">
        <v>99</v>
      </c>
      <c r="T1271" t="s">
        <v>100</v>
      </c>
      <c r="U1271" t="s">
        <v>85</v>
      </c>
      <c r="V1271">
        <v>210000</v>
      </c>
      <c r="W1271">
        <v>35000</v>
      </c>
      <c r="X1271" s="1">
        <v>43799</v>
      </c>
      <c r="Y1271" t="s">
        <v>51</v>
      </c>
      <c r="Z1271" t="s">
        <v>43</v>
      </c>
      <c r="AA1271" t="s">
        <v>98</v>
      </c>
      <c r="AB1271" t="s">
        <v>89</v>
      </c>
      <c r="AC1271" t="s">
        <v>101</v>
      </c>
      <c r="AF1271" t="s">
        <v>91</v>
      </c>
      <c r="AG1271" s="1">
        <v>43852</v>
      </c>
      <c r="AH1271" t="s">
        <v>85</v>
      </c>
      <c r="AI1271" t="s">
        <v>92</v>
      </c>
      <c r="AJ1271">
        <v>19888</v>
      </c>
      <c r="AK1271">
        <v>128777</v>
      </c>
      <c r="AL1271">
        <v>198882</v>
      </c>
    </row>
    <row r="1272" spans="1:38" x14ac:dyDescent="0.25">
      <c r="A1272" t="s">
        <v>370</v>
      </c>
      <c r="B1272" t="s">
        <v>398</v>
      </c>
      <c r="C1272" t="s">
        <v>71</v>
      </c>
      <c r="D1272" s="1">
        <v>43264</v>
      </c>
      <c r="E1272" s="1">
        <v>43628</v>
      </c>
      <c r="F1272" t="s">
        <v>84</v>
      </c>
      <c r="G1272">
        <v>10</v>
      </c>
      <c r="H1272" t="s">
        <v>85</v>
      </c>
      <c r="I1272" t="s">
        <v>43</v>
      </c>
      <c r="J1272" t="s">
        <v>86</v>
      </c>
      <c r="K1272" t="s">
        <v>44</v>
      </c>
      <c r="L1272">
        <v>28940.65</v>
      </c>
      <c r="M1272" s="1">
        <v>43264</v>
      </c>
      <c r="N1272" t="s">
        <v>45</v>
      </c>
      <c r="O1272" t="s">
        <v>361</v>
      </c>
      <c r="P1272" t="s">
        <v>396</v>
      </c>
      <c r="Q1272" s="1">
        <v>43852</v>
      </c>
      <c r="R1272" t="s">
        <v>396</v>
      </c>
      <c r="S1272" t="s">
        <v>99</v>
      </c>
      <c r="T1272" t="s">
        <v>100</v>
      </c>
      <c r="U1272" t="s">
        <v>85</v>
      </c>
      <c r="V1272">
        <v>210000</v>
      </c>
      <c r="W1272">
        <v>35000</v>
      </c>
      <c r="X1272" s="1">
        <v>43799</v>
      </c>
      <c r="Y1272" t="s">
        <v>51</v>
      </c>
      <c r="Z1272" t="s">
        <v>43</v>
      </c>
      <c r="AA1272" t="s">
        <v>98</v>
      </c>
      <c r="AB1272" t="s">
        <v>89</v>
      </c>
      <c r="AC1272" t="s">
        <v>101</v>
      </c>
      <c r="AF1272" t="s">
        <v>93</v>
      </c>
      <c r="AG1272" s="1">
        <v>43843</v>
      </c>
      <c r="AH1272" t="s">
        <v>85</v>
      </c>
      <c r="AI1272" t="s">
        <v>92</v>
      </c>
      <c r="AJ1272">
        <v>19888</v>
      </c>
      <c r="AK1272">
        <v>128777</v>
      </c>
      <c r="AL1272">
        <v>198882</v>
      </c>
    </row>
    <row r="1273" spans="1:38" x14ac:dyDescent="0.25">
      <c r="A1273" t="s">
        <v>370</v>
      </c>
      <c r="B1273" t="s">
        <v>398</v>
      </c>
      <c r="C1273" t="s">
        <v>71</v>
      </c>
      <c r="D1273" s="1">
        <v>43264</v>
      </c>
      <c r="E1273" s="1">
        <v>43628</v>
      </c>
      <c r="F1273" t="s">
        <v>84</v>
      </c>
      <c r="G1273">
        <v>10</v>
      </c>
      <c r="H1273" t="s">
        <v>85</v>
      </c>
      <c r="I1273" t="s">
        <v>43</v>
      </c>
      <c r="J1273" t="s">
        <v>86</v>
      </c>
      <c r="K1273" t="s">
        <v>44</v>
      </c>
      <c r="L1273">
        <v>28940.65</v>
      </c>
      <c r="M1273" s="1">
        <v>43264</v>
      </c>
      <c r="N1273" t="s">
        <v>45</v>
      </c>
      <c r="O1273" t="s">
        <v>361</v>
      </c>
      <c r="P1273" t="s">
        <v>396</v>
      </c>
      <c r="Q1273" s="1">
        <v>43852</v>
      </c>
      <c r="R1273" t="s">
        <v>396</v>
      </c>
      <c r="S1273" t="s">
        <v>102</v>
      </c>
      <c r="T1273" t="s">
        <v>103</v>
      </c>
      <c r="U1273" t="s">
        <v>85</v>
      </c>
      <c r="V1273">
        <v>5000000</v>
      </c>
      <c r="W1273">
        <v>250000</v>
      </c>
      <c r="X1273" s="1">
        <v>43799</v>
      </c>
      <c r="Y1273" t="s">
        <v>51</v>
      </c>
      <c r="Z1273" t="s">
        <v>43</v>
      </c>
      <c r="AA1273" t="s">
        <v>86</v>
      </c>
      <c r="AB1273" t="s">
        <v>89</v>
      </c>
      <c r="AC1273" t="s">
        <v>90</v>
      </c>
      <c r="AF1273" t="s">
        <v>91</v>
      </c>
      <c r="AG1273" s="1">
        <v>43852</v>
      </c>
      <c r="AH1273" t="s">
        <v>85</v>
      </c>
      <c r="AI1273" t="s">
        <v>92</v>
      </c>
      <c r="AJ1273">
        <v>19888</v>
      </c>
      <c r="AK1273">
        <v>128777</v>
      </c>
      <c r="AL1273">
        <v>198882</v>
      </c>
    </row>
    <row r="1274" spans="1:38" x14ac:dyDescent="0.25">
      <c r="A1274" t="s">
        <v>370</v>
      </c>
      <c r="B1274" t="s">
        <v>398</v>
      </c>
      <c r="C1274" t="s">
        <v>71</v>
      </c>
      <c r="D1274" s="1">
        <v>43264</v>
      </c>
      <c r="E1274" s="1">
        <v>43628</v>
      </c>
      <c r="F1274" t="s">
        <v>84</v>
      </c>
      <c r="G1274">
        <v>10</v>
      </c>
      <c r="H1274" t="s">
        <v>85</v>
      </c>
      <c r="I1274" t="s">
        <v>43</v>
      </c>
      <c r="J1274" t="s">
        <v>86</v>
      </c>
      <c r="K1274" t="s">
        <v>44</v>
      </c>
      <c r="L1274">
        <v>28940.65</v>
      </c>
      <c r="M1274" s="1">
        <v>43264</v>
      </c>
      <c r="N1274" t="s">
        <v>45</v>
      </c>
      <c r="O1274" t="s">
        <v>361</v>
      </c>
      <c r="P1274" t="s">
        <v>396</v>
      </c>
      <c r="Q1274" s="1">
        <v>43852</v>
      </c>
      <c r="R1274" t="s">
        <v>396</v>
      </c>
      <c r="S1274" t="s">
        <v>102</v>
      </c>
      <c r="T1274" t="s">
        <v>103</v>
      </c>
      <c r="U1274" t="s">
        <v>85</v>
      </c>
      <c r="V1274">
        <v>5000000</v>
      </c>
      <c r="W1274">
        <v>250000</v>
      </c>
      <c r="X1274" s="1">
        <v>43799</v>
      </c>
      <c r="Y1274" t="s">
        <v>51</v>
      </c>
      <c r="Z1274" t="s">
        <v>43</v>
      </c>
      <c r="AA1274" t="s">
        <v>86</v>
      </c>
      <c r="AB1274" t="s">
        <v>89</v>
      </c>
      <c r="AC1274" t="s">
        <v>90</v>
      </c>
      <c r="AF1274" t="s">
        <v>93</v>
      </c>
      <c r="AG1274" s="1">
        <v>43843</v>
      </c>
      <c r="AH1274" t="s">
        <v>85</v>
      </c>
      <c r="AI1274" t="s">
        <v>92</v>
      </c>
      <c r="AJ1274">
        <v>19888</v>
      </c>
      <c r="AK1274">
        <v>128777</v>
      </c>
      <c r="AL1274">
        <v>198882</v>
      </c>
    </row>
    <row r="1275" spans="1:38" x14ac:dyDescent="0.25">
      <c r="A1275" t="s">
        <v>370</v>
      </c>
      <c r="B1275" t="s">
        <v>399</v>
      </c>
      <c r="C1275" t="s">
        <v>71</v>
      </c>
      <c r="D1275" s="1">
        <v>43191</v>
      </c>
      <c r="E1275" s="1">
        <v>43555</v>
      </c>
      <c r="F1275" t="s">
        <v>84</v>
      </c>
      <c r="G1275">
        <v>10</v>
      </c>
      <c r="H1275" t="s">
        <v>85</v>
      </c>
      <c r="I1275" t="s">
        <v>43</v>
      </c>
      <c r="J1275" t="s">
        <v>86</v>
      </c>
      <c r="K1275" t="s">
        <v>44</v>
      </c>
      <c r="L1275">
        <v>146052.65</v>
      </c>
      <c r="M1275" s="1">
        <v>43191</v>
      </c>
      <c r="N1275" t="s">
        <v>45</v>
      </c>
      <c r="O1275" t="s">
        <v>361</v>
      </c>
      <c r="P1275" t="s">
        <v>396</v>
      </c>
      <c r="Q1275" s="1">
        <v>43852</v>
      </c>
      <c r="R1275" t="s">
        <v>396</v>
      </c>
      <c r="S1275" t="s">
        <v>87</v>
      </c>
      <c r="T1275" t="s">
        <v>88</v>
      </c>
      <c r="U1275" t="s">
        <v>85</v>
      </c>
      <c r="V1275">
        <v>1400000</v>
      </c>
      <c r="W1275">
        <v>100000</v>
      </c>
      <c r="X1275" s="1">
        <v>43808</v>
      </c>
      <c r="Y1275" t="s">
        <v>51</v>
      </c>
      <c r="Z1275" t="s">
        <v>43</v>
      </c>
      <c r="AA1275" t="s">
        <v>86</v>
      </c>
      <c r="AB1275" t="s">
        <v>89</v>
      </c>
      <c r="AC1275" t="s">
        <v>90</v>
      </c>
      <c r="AF1275" t="s">
        <v>91</v>
      </c>
      <c r="AG1275" s="1">
        <v>43852</v>
      </c>
      <c r="AH1275" t="s">
        <v>85</v>
      </c>
      <c r="AI1275" t="s">
        <v>92</v>
      </c>
      <c r="AJ1275">
        <v>19888</v>
      </c>
      <c r="AK1275">
        <v>128777</v>
      </c>
      <c r="AL1275">
        <v>198882</v>
      </c>
    </row>
    <row r="1276" spans="1:38" x14ac:dyDescent="0.25">
      <c r="A1276" t="s">
        <v>370</v>
      </c>
      <c r="B1276" t="s">
        <v>399</v>
      </c>
      <c r="C1276" t="s">
        <v>71</v>
      </c>
      <c r="D1276" s="1">
        <v>43191</v>
      </c>
      <c r="E1276" s="1">
        <v>43555</v>
      </c>
      <c r="F1276" t="s">
        <v>84</v>
      </c>
      <c r="G1276">
        <v>10</v>
      </c>
      <c r="H1276" t="s">
        <v>85</v>
      </c>
      <c r="I1276" t="s">
        <v>43</v>
      </c>
      <c r="J1276" t="s">
        <v>86</v>
      </c>
      <c r="K1276" t="s">
        <v>44</v>
      </c>
      <c r="L1276">
        <v>146052.65</v>
      </c>
      <c r="M1276" s="1">
        <v>43191</v>
      </c>
      <c r="N1276" t="s">
        <v>45</v>
      </c>
      <c r="O1276" t="s">
        <v>361</v>
      </c>
      <c r="P1276" t="s">
        <v>396</v>
      </c>
      <c r="Q1276" s="1">
        <v>43852</v>
      </c>
      <c r="R1276" t="s">
        <v>396</v>
      </c>
      <c r="S1276" t="s">
        <v>87</v>
      </c>
      <c r="T1276" t="s">
        <v>88</v>
      </c>
      <c r="U1276" t="s">
        <v>85</v>
      </c>
      <c r="V1276">
        <v>1400000</v>
      </c>
      <c r="W1276">
        <v>100000</v>
      </c>
      <c r="X1276" s="1">
        <v>43808</v>
      </c>
      <c r="Y1276" t="s">
        <v>51</v>
      </c>
      <c r="Z1276" t="s">
        <v>43</v>
      </c>
      <c r="AA1276" t="s">
        <v>86</v>
      </c>
      <c r="AB1276" t="s">
        <v>89</v>
      </c>
      <c r="AC1276" t="s">
        <v>90</v>
      </c>
      <c r="AF1276" t="s">
        <v>93</v>
      </c>
      <c r="AG1276" s="1">
        <v>43843</v>
      </c>
      <c r="AH1276" t="s">
        <v>85</v>
      </c>
      <c r="AI1276" t="s">
        <v>92</v>
      </c>
      <c r="AJ1276">
        <v>19888</v>
      </c>
      <c r="AK1276">
        <v>128777</v>
      </c>
      <c r="AL1276">
        <v>198882</v>
      </c>
    </row>
    <row r="1277" spans="1:38" x14ac:dyDescent="0.25">
      <c r="A1277" t="s">
        <v>370</v>
      </c>
      <c r="B1277" t="s">
        <v>399</v>
      </c>
      <c r="C1277" t="s">
        <v>71</v>
      </c>
      <c r="D1277" s="1">
        <v>43191</v>
      </c>
      <c r="E1277" s="1">
        <v>43555</v>
      </c>
      <c r="F1277" t="s">
        <v>84</v>
      </c>
      <c r="G1277">
        <v>10</v>
      </c>
      <c r="H1277" t="s">
        <v>85</v>
      </c>
      <c r="I1277" t="s">
        <v>43</v>
      </c>
      <c r="J1277" t="s">
        <v>86</v>
      </c>
      <c r="K1277" t="s">
        <v>44</v>
      </c>
      <c r="L1277">
        <v>146052.65</v>
      </c>
      <c r="M1277" s="1">
        <v>43191</v>
      </c>
      <c r="N1277" t="s">
        <v>45</v>
      </c>
      <c r="O1277" t="s">
        <v>361</v>
      </c>
      <c r="P1277" t="s">
        <v>396</v>
      </c>
      <c r="Q1277" s="1">
        <v>43852</v>
      </c>
      <c r="R1277" t="s">
        <v>396</v>
      </c>
      <c r="S1277" t="s">
        <v>94</v>
      </c>
      <c r="T1277" t="s">
        <v>95</v>
      </c>
      <c r="U1277" t="s">
        <v>85</v>
      </c>
      <c r="V1277">
        <v>4500000</v>
      </c>
      <c r="W1277">
        <v>300000</v>
      </c>
      <c r="X1277" s="1">
        <v>43767</v>
      </c>
      <c r="Y1277" t="s">
        <v>51</v>
      </c>
      <c r="Z1277" t="s">
        <v>43</v>
      </c>
      <c r="AA1277" t="s">
        <v>86</v>
      </c>
      <c r="AB1277" t="s">
        <v>89</v>
      </c>
      <c r="AC1277" t="s">
        <v>90</v>
      </c>
      <c r="AF1277" t="s">
        <v>91</v>
      </c>
      <c r="AG1277" s="1">
        <v>43852</v>
      </c>
      <c r="AH1277" t="s">
        <v>85</v>
      </c>
      <c r="AI1277" t="s">
        <v>92</v>
      </c>
      <c r="AJ1277">
        <v>19888</v>
      </c>
      <c r="AK1277">
        <v>128777</v>
      </c>
      <c r="AL1277">
        <v>198882</v>
      </c>
    </row>
    <row r="1278" spans="1:38" x14ac:dyDescent="0.25">
      <c r="A1278" t="s">
        <v>370</v>
      </c>
      <c r="B1278" t="s">
        <v>399</v>
      </c>
      <c r="C1278" t="s">
        <v>71</v>
      </c>
      <c r="D1278" s="1">
        <v>43191</v>
      </c>
      <c r="E1278" s="1">
        <v>43555</v>
      </c>
      <c r="F1278" t="s">
        <v>84</v>
      </c>
      <c r="G1278">
        <v>10</v>
      </c>
      <c r="H1278" t="s">
        <v>85</v>
      </c>
      <c r="I1278" t="s">
        <v>43</v>
      </c>
      <c r="J1278" t="s">
        <v>86</v>
      </c>
      <c r="K1278" t="s">
        <v>44</v>
      </c>
      <c r="L1278">
        <v>146052.65</v>
      </c>
      <c r="M1278" s="1">
        <v>43191</v>
      </c>
      <c r="N1278" t="s">
        <v>45</v>
      </c>
      <c r="O1278" t="s">
        <v>361</v>
      </c>
      <c r="P1278" t="s">
        <v>396</v>
      </c>
      <c r="Q1278" s="1">
        <v>43852</v>
      </c>
      <c r="R1278" t="s">
        <v>396</v>
      </c>
      <c r="S1278" t="s">
        <v>94</v>
      </c>
      <c r="T1278" t="s">
        <v>95</v>
      </c>
      <c r="U1278" t="s">
        <v>85</v>
      </c>
      <c r="V1278">
        <v>4500000</v>
      </c>
      <c r="W1278">
        <v>300000</v>
      </c>
      <c r="X1278" s="1">
        <v>43767</v>
      </c>
      <c r="Y1278" t="s">
        <v>51</v>
      </c>
      <c r="Z1278" t="s">
        <v>43</v>
      </c>
      <c r="AA1278" t="s">
        <v>86</v>
      </c>
      <c r="AB1278" t="s">
        <v>89</v>
      </c>
      <c r="AC1278" t="s">
        <v>90</v>
      </c>
      <c r="AF1278" t="s">
        <v>93</v>
      </c>
      <c r="AG1278" s="1">
        <v>43843</v>
      </c>
      <c r="AH1278" t="s">
        <v>85</v>
      </c>
      <c r="AI1278" t="s">
        <v>92</v>
      </c>
      <c r="AJ1278">
        <v>19888</v>
      </c>
      <c r="AK1278">
        <v>128777</v>
      </c>
      <c r="AL1278">
        <v>198882</v>
      </c>
    </row>
    <row r="1279" spans="1:38" x14ac:dyDescent="0.25">
      <c r="A1279" t="s">
        <v>370</v>
      </c>
      <c r="B1279" t="s">
        <v>399</v>
      </c>
      <c r="C1279" t="s">
        <v>71</v>
      </c>
      <c r="D1279" s="1">
        <v>43191</v>
      </c>
      <c r="E1279" s="1">
        <v>43555</v>
      </c>
      <c r="F1279" t="s">
        <v>84</v>
      </c>
      <c r="G1279">
        <v>10</v>
      </c>
      <c r="H1279" t="s">
        <v>85</v>
      </c>
      <c r="I1279" t="s">
        <v>43</v>
      </c>
      <c r="J1279" t="s">
        <v>86</v>
      </c>
      <c r="K1279" t="s">
        <v>44</v>
      </c>
      <c r="L1279">
        <v>146052.65</v>
      </c>
      <c r="M1279" s="1">
        <v>43191</v>
      </c>
      <c r="N1279" t="s">
        <v>45</v>
      </c>
      <c r="O1279" t="s">
        <v>361</v>
      </c>
      <c r="P1279" t="s">
        <v>396</v>
      </c>
      <c r="Q1279" s="1">
        <v>43852</v>
      </c>
      <c r="R1279" t="s">
        <v>396</v>
      </c>
      <c r="S1279" t="s">
        <v>96</v>
      </c>
      <c r="T1279" t="s">
        <v>97</v>
      </c>
      <c r="U1279" t="s">
        <v>85</v>
      </c>
      <c r="V1279">
        <v>600000</v>
      </c>
      <c r="W1279">
        <v>100000</v>
      </c>
      <c r="X1279" s="1">
        <v>43799</v>
      </c>
      <c r="Y1279" t="s">
        <v>51</v>
      </c>
      <c r="Z1279" t="s">
        <v>43</v>
      </c>
      <c r="AA1279" t="s">
        <v>98</v>
      </c>
      <c r="AB1279" t="s">
        <v>89</v>
      </c>
      <c r="AC1279" t="s">
        <v>90</v>
      </c>
      <c r="AF1279" t="s">
        <v>91</v>
      </c>
      <c r="AG1279" s="1">
        <v>43852</v>
      </c>
      <c r="AH1279" t="s">
        <v>85</v>
      </c>
      <c r="AI1279" t="s">
        <v>92</v>
      </c>
      <c r="AJ1279">
        <v>19888</v>
      </c>
      <c r="AK1279">
        <v>128777</v>
      </c>
      <c r="AL1279">
        <v>198882</v>
      </c>
    </row>
    <row r="1280" spans="1:38" x14ac:dyDescent="0.25">
      <c r="A1280" t="s">
        <v>370</v>
      </c>
      <c r="B1280" t="s">
        <v>399</v>
      </c>
      <c r="C1280" t="s">
        <v>71</v>
      </c>
      <c r="D1280" s="1">
        <v>43191</v>
      </c>
      <c r="E1280" s="1">
        <v>43555</v>
      </c>
      <c r="F1280" t="s">
        <v>84</v>
      </c>
      <c r="G1280">
        <v>10</v>
      </c>
      <c r="H1280" t="s">
        <v>85</v>
      </c>
      <c r="I1280" t="s">
        <v>43</v>
      </c>
      <c r="J1280" t="s">
        <v>86</v>
      </c>
      <c r="K1280" t="s">
        <v>44</v>
      </c>
      <c r="L1280">
        <v>146052.65</v>
      </c>
      <c r="M1280" s="1">
        <v>43191</v>
      </c>
      <c r="N1280" t="s">
        <v>45</v>
      </c>
      <c r="O1280" t="s">
        <v>361</v>
      </c>
      <c r="P1280" t="s">
        <v>396</v>
      </c>
      <c r="Q1280" s="1">
        <v>43852</v>
      </c>
      <c r="R1280" t="s">
        <v>396</v>
      </c>
      <c r="S1280" t="s">
        <v>96</v>
      </c>
      <c r="T1280" t="s">
        <v>97</v>
      </c>
      <c r="U1280" t="s">
        <v>85</v>
      </c>
      <c r="V1280">
        <v>600000</v>
      </c>
      <c r="W1280">
        <v>100000</v>
      </c>
      <c r="X1280" s="1">
        <v>43799</v>
      </c>
      <c r="Y1280" t="s">
        <v>51</v>
      </c>
      <c r="Z1280" t="s">
        <v>43</v>
      </c>
      <c r="AA1280" t="s">
        <v>98</v>
      </c>
      <c r="AB1280" t="s">
        <v>89</v>
      </c>
      <c r="AC1280" t="s">
        <v>90</v>
      </c>
      <c r="AF1280" t="s">
        <v>93</v>
      </c>
      <c r="AG1280" s="1">
        <v>43843</v>
      </c>
      <c r="AH1280" t="s">
        <v>85</v>
      </c>
      <c r="AI1280" t="s">
        <v>92</v>
      </c>
      <c r="AJ1280">
        <v>19888</v>
      </c>
      <c r="AK1280">
        <v>128777</v>
      </c>
      <c r="AL1280">
        <v>198882</v>
      </c>
    </row>
    <row r="1281" spans="1:38" x14ac:dyDescent="0.25">
      <c r="A1281" t="s">
        <v>370</v>
      </c>
      <c r="B1281" t="s">
        <v>399</v>
      </c>
      <c r="C1281" t="s">
        <v>71</v>
      </c>
      <c r="D1281" s="1">
        <v>43191</v>
      </c>
      <c r="E1281" s="1">
        <v>43555</v>
      </c>
      <c r="F1281" t="s">
        <v>84</v>
      </c>
      <c r="G1281">
        <v>10</v>
      </c>
      <c r="H1281" t="s">
        <v>85</v>
      </c>
      <c r="I1281" t="s">
        <v>43</v>
      </c>
      <c r="J1281" t="s">
        <v>86</v>
      </c>
      <c r="K1281" t="s">
        <v>44</v>
      </c>
      <c r="L1281">
        <v>146052.65</v>
      </c>
      <c r="M1281" s="1">
        <v>43191</v>
      </c>
      <c r="N1281" t="s">
        <v>45</v>
      </c>
      <c r="O1281" t="s">
        <v>361</v>
      </c>
      <c r="P1281" t="s">
        <v>396</v>
      </c>
      <c r="Q1281" s="1">
        <v>43852</v>
      </c>
      <c r="R1281" t="s">
        <v>396</v>
      </c>
      <c r="S1281" t="s">
        <v>99</v>
      </c>
      <c r="T1281" t="s">
        <v>100</v>
      </c>
      <c r="U1281" t="s">
        <v>85</v>
      </c>
      <c r="V1281">
        <v>210000</v>
      </c>
      <c r="W1281">
        <v>35000</v>
      </c>
      <c r="X1281" s="1">
        <v>43799</v>
      </c>
      <c r="Y1281" t="s">
        <v>51</v>
      </c>
      <c r="Z1281" t="s">
        <v>43</v>
      </c>
      <c r="AA1281" t="s">
        <v>98</v>
      </c>
      <c r="AB1281" t="s">
        <v>89</v>
      </c>
      <c r="AC1281" t="s">
        <v>101</v>
      </c>
      <c r="AF1281" t="s">
        <v>91</v>
      </c>
      <c r="AG1281" s="1">
        <v>43852</v>
      </c>
      <c r="AH1281" t="s">
        <v>85</v>
      </c>
      <c r="AI1281" t="s">
        <v>92</v>
      </c>
      <c r="AJ1281">
        <v>19888</v>
      </c>
      <c r="AK1281">
        <v>128777</v>
      </c>
      <c r="AL1281">
        <v>198882</v>
      </c>
    </row>
    <row r="1282" spans="1:38" x14ac:dyDescent="0.25">
      <c r="A1282" t="s">
        <v>370</v>
      </c>
      <c r="B1282" t="s">
        <v>399</v>
      </c>
      <c r="C1282" t="s">
        <v>71</v>
      </c>
      <c r="D1282" s="1">
        <v>43191</v>
      </c>
      <c r="E1282" s="1">
        <v>43555</v>
      </c>
      <c r="F1282" t="s">
        <v>84</v>
      </c>
      <c r="G1282">
        <v>10</v>
      </c>
      <c r="H1282" t="s">
        <v>85</v>
      </c>
      <c r="I1282" t="s">
        <v>43</v>
      </c>
      <c r="J1282" t="s">
        <v>86</v>
      </c>
      <c r="K1282" t="s">
        <v>44</v>
      </c>
      <c r="L1282">
        <v>146052.65</v>
      </c>
      <c r="M1282" s="1">
        <v>43191</v>
      </c>
      <c r="N1282" t="s">
        <v>45</v>
      </c>
      <c r="O1282" t="s">
        <v>361</v>
      </c>
      <c r="P1282" t="s">
        <v>396</v>
      </c>
      <c r="Q1282" s="1">
        <v>43852</v>
      </c>
      <c r="R1282" t="s">
        <v>396</v>
      </c>
      <c r="S1282" t="s">
        <v>99</v>
      </c>
      <c r="T1282" t="s">
        <v>100</v>
      </c>
      <c r="U1282" t="s">
        <v>85</v>
      </c>
      <c r="V1282">
        <v>210000</v>
      </c>
      <c r="W1282">
        <v>35000</v>
      </c>
      <c r="X1282" s="1">
        <v>43799</v>
      </c>
      <c r="Y1282" t="s">
        <v>51</v>
      </c>
      <c r="Z1282" t="s">
        <v>43</v>
      </c>
      <c r="AA1282" t="s">
        <v>98</v>
      </c>
      <c r="AB1282" t="s">
        <v>89</v>
      </c>
      <c r="AC1282" t="s">
        <v>101</v>
      </c>
      <c r="AF1282" t="s">
        <v>93</v>
      </c>
      <c r="AG1282" s="1">
        <v>43843</v>
      </c>
      <c r="AH1282" t="s">
        <v>85</v>
      </c>
      <c r="AI1282" t="s">
        <v>92</v>
      </c>
      <c r="AJ1282">
        <v>19888</v>
      </c>
      <c r="AK1282">
        <v>128777</v>
      </c>
      <c r="AL1282">
        <v>198882</v>
      </c>
    </row>
    <row r="1283" spans="1:38" x14ac:dyDescent="0.25">
      <c r="A1283" t="s">
        <v>370</v>
      </c>
      <c r="B1283" t="s">
        <v>399</v>
      </c>
      <c r="C1283" t="s">
        <v>71</v>
      </c>
      <c r="D1283" s="1">
        <v>43191</v>
      </c>
      <c r="E1283" s="1">
        <v>43555</v>
      </c>
      <c r="F1283" t="s">
        <v>84</v>
      </c>
      <c r="G1283">
        <v>10</v>
      </c>
      <c r="H1283" t="s">
        <v>85</v>
      </c>
      <c r="I1283" t="s">
        <v>43</v>
      </c>
      <c r="J1283" t="s">
        <v>86</v>
      </c>
      <c r="K1283" t="s">
        <v>44</v>
      </c>
      <c r="L1283">
        <v>146052.65</v>
      </c>
      <c r="M1283" s="1">
        <v>43191</v>
      </c>
      <c r="N1283" t="s">
        <v>45</v>
      </c>
      <c r="O1283" t="s">
        <v>361</v>
      </c>
      <c r="P1283" t="s">
        <v>396</v>
      </c>
      <c r="Q1283" s="1">
        <v>43852</v>
      </c>
      <c r="R1283" t="s">
        <v>396</v>
      </c>
      <c r="S1283" t="s">
        <v>102</v>
      </c>
      <c r="T1283" t="s">
        <v>103</v>
      </c>
      <c r="U1283" t="s">
        <v>85</v>
      </c>
      <c r="V1283">
        <v>5000000</v>
      </c>
      <c r="W1283">
        <v>250000</v>
      </c>
      <c r="X1283" s="1">
        <v>43799</v>
      </c>
      <c r="Y1283" t="s">
        <v>51</v>
      </c>
      <c r="Z1283" t="s">
        <v>43</v>
      </c>
      <c r="AA1283" t="s">
        <v>86</v>
      </c>
      <c r="AB1283" t="s">
        <v>89</v>
      </c>
      <c r="AC1283" t="s">
        <v>90</v>
      </c>
      <c r="AF1283" t="s">
        <v>91</v>
      </c>
      <c r="AG1283" s="1">
        <v>43852</v>
      </c>
      <c r="AH1283" t="s">
        <v>85</v>
      </c>
      <c r="AI1283" t="s">
        <v>92</v>
      </c>
      <c r="AJ1283">
        <v>19888</v>
      </c>
      <c r="AK1283">
        <v>128777</v>
      </c>
      <c r="AL1283">
        <v>198882</v>
      </c>
    </row>
    <row r="1284" spans="1:38" x14ac:dyDescent="0.25">
      <c r="A1284" t="s">
        <v>370</v>
      </c>
      <c r="B1284" t="s">
        <v>399</v>
      </c>
      <c r="C1284" t="s">
        <v>71</v>
      </c>
      <c r="D1284" s="1">
        <v>43191</v>
      </c>
      <c r="E1284" s="1">
        <v>43555</v>
      </c>
      <c r="F1284" t="s">
        <v>84</v>
      </c>
      <c r="G1284">
        <v>10</v>
      </c>
      <c r="H1284" t="s">
        <v>85</v>
      </c>
      <c r="I1284" t="s">
        <v>43</v>
      </c>
      <c r="J1284" t="s">
        <v>86</v>
      </c>
      <c r="K1284" t="s">
        <v>44</v>
      </c>
      <c r="L1284">
        <v>146052.65</v>
      </c>
      <c r="M1284" s="1">
        <v>43191</v>
      </c>
      <c r="N1284" t="s">
        <v>45</v>
      </c>
      <c r="O1284" t="s">
        <v>361</v>
      </c>
      <c r="P1284" t="s">
        <v>396</v>
      </c>
      <c r="Q1284" s="1">
        <v>43852</v>
      </c>
      <c r="R1284" t="s">
        <v>396</v>
      </c>
      <c r="S1284" t="s">
        <v>102</v>
      </c>
      <c r="T1284" t="s">
        <v>103</v>
      </c>
      <c r="U1284" t="s">
        <v>85</v>
      </c>
      <c r="V1284">
        <v>5000000</v>
      </c>
      <c r="W1284">
        <v>250000</v>
      </c>
      <c r="X1284" s="1">
        <v>43799</v>
      </c>
      <c r="Y1284" t="s">
        <v>51</v>
      </c>
      <c r="Z1284" t="s">
        <v>43</v>
      </c>
      <c r="AA1284" t="s">
        <v>86</v>
      </c>
      <c r="AB1284" t="s">
        <v>89</v>
      </c>
      <c r="AC1284" t="s">
        <v>90</v>
      </c>
      <c r="AF1284" t="s">
        <v>93</v>
      </c>
      <c r="AG1284" s="1">
        <v>43843</v>
      </c>
      <c r="AH1284" t="s">
        <v>85</v>
      </c>
      <c r="AI1284" t="s">
        <v>92</v>
      </c>
      <c r="AJ1284">
        <v>19888</v>
      </c>
      <c r="AK1284">
        <v>128777</v>
      </c>
      <c r="AL1284">
        <v>198882</v>
      </c>
    </row>
    <row r="1285" spans="1:38" x14ac:dyDescent="0.25">
      <c r="A1285" t="s">
        <v>370</v>
      </c>
      <c r="B1285">
        <v>2309002897</v>
      </c>
      <c r="C1285" t="s">
        <v>40</v>
      </c>
      <c r="D1285" s="1">
        <v>43587</v>
      </c>
      <c r="E1285" s="1">
        <v>43952</v>
      </c>
      <c r="F1285" t="s">
        <v>77</v>
      </c>
      <c r="G1285">
        <v>1</v>
      </c>
      <c r="H1285" t="s">
        <v>42</v>
      </c>
      <c r="I1285" t="s">
        <v>43</v>
      </c>
      <c r="J1285" t="s">
        <v>77</v>
      </c>
      <c r="K1285" t="s">
        <v>44</v>
      </c>
      <c r="L1285">
        <v>25000</v>
      </c>
      <c r="M1285" s="1">
        <v>43587</v>
      </c>
      <c r="N1285" t="s">
        <v>45</v>
      </c>
      <c r="O1285" t="s">
        <v>46</v>
      </c>
      <c r="P1285" t="s">
        <v>47</v>
      </c>
      <c r="Q1285" s="1">
        <v>43852</v>
      </c>
      <c r="R1285" t="s">
        <v>48</v>
      </c>
      <c r="S1285" t="s">
        <v>233</v>
      </c>
      <c r="T1285" t="s">
        <v>234</v>
      </c>
      <c r="U1285" t="s">
        <v>42</v>
      </c>
      <c r="V1285">
        <v>0</v>
      </c>
      <c r="W1285">
        <v>100000</v>
      </c>
      <c r="X1285" s="1">
        <v>43982</v>
      </c>
      <c r="Y1285" t="s">
        <v>51</v>
      </c>
      <c r="Z1285" t="s">
        <v>43</v>
      </c>
      <c r="AA1285" t="s">
        <v>77</v>
      </c>
      <c r="AB1285" t="s">
        <v>158</v>
      </c>
      <c r="AC1285" t="s">
        <v>235</v>
      </c>
      <c r="AF1285" t="s">
        <v>54</v>
      </c>
      <c r="AG1285" s="1">
        <v>43832</v>
      </c>
      <c r="AH1285" t="s">
        <v>42</v>
      </c>
      <c r="AI1285" t="s">
        <v>55</v>
      </c>
      <c r="AJ1285">
        <v>12788092</v>
      </c>
      <c r="AK1285">
        <v>250000</v>
      </c>
      <c r="AL1285">
        <v>1500000</v>
      </c>
    </row>
    <row r="1286" spans="1:38" x14ac:dyDescent="0.25">
      <c r="A1286" t="s">
        <v>370</v>
      </c>
      <c r="B1286">
        <v>2309002897</v>
      </c>
      <c r="C1286" t="s">
        <v>40</v>
      </c>
      <c r="D1286" s="1">
        <v>43587</v>
      </c>
      <c r="E1286" s="1">
        <v>43952</v>
      </c>
      <c r="F1286" t="s">
        <v>77</v>
      </c>
      <c r="G1286">
        <v>1</v>
      </c>
      <c r="H1286" t="s">
        <v>42</v>
      </c>
      <c r="I1286" t="s">
        <v>43</v>
      </c>
      <c r="J1286" t="s">
        <v>77</v>
      </c>
      <c r="K1286" t="s">
        <v>44</v>
      </c>
      <c r="L1286">
        <v>25000</v>
      </c>
      <c r="M1286" s="1">
        <v>43587</v>
      </c>
      <c r="N1286" t="s">
        <v>45</v>
      </c>
      <c r="O1286" t="s">
        <v>46</v>
      </c>
      <c r="P1286" t="s">
        <v>47</v>
      </c>
      <c r="Q1286" s="1">
        <v>43852</v>
      </c>
      <c r="R1286" t="s">
        <v>48</v>
      </c>
      <c r="S1286" t="s">
        <v>233</v>
      </c>
      <c r="T1286" t="s">
        <v>234</v>
      </c>
      <c r="U1286" t="s">
        <v>42</v>
      </c>
      <c r="V1286">
        <v>0</v>
      </c>
      <c r="W1286">
        <v>100000</v>
      </c>
      <c r="X1286" s="1">
        <v>43982</v>
      </c>
      <c r="Y1286" t="s">
        <v>51</v>
      </c>
      <c r="Z1286" t="s">
        <v>43</v>
      </c>
      <c r="AA1286" t="s">
        <v>77</v>
      </c>
      <c r="AB1286" t="s">
        <v>158</v>
      </c>
      <c r="AC1286" t="s">
        <v>235</v>
      </c>
      <c r="AF1286" t="s">
        <v>56</v>
      </c>
      <c r="AG1286" s="1">
        <v>43833</v>
      </c>
      <c r="AH1286" t="s">
        <v>42</v>
      </c>
      <c r="AI1286" t="s">
        <v>55</v>
      </c>
      <c r="AJ1286">
        <v>12788092</v>
      </c>
      <c r="AK1286">
        <v>250000</v>
      </c>
      <c r="AL1286">
        <v>1500000</v>
      </c>
    </row>
    <row r="1287" spans="1:38" x14ac:dyDescent="0.25">
      <c r="A1287" t="s">
        <v>370</v>
      </c>
      <c r="B1287">
        <v>2309002897</v>
      </c>
      <c r="C1287" t="s">
        <v>40</v>
      </c>
      <c r="D1287" s="1">
        <v>43587</v>
      </c>
      <c r="E1287" s="1">
        <v>43952</v>
      </c>
      <c r="F1287" t="s">
        <v>77</v>
      </c>
      <c r="G1287">
        <v>1</v>
      </c>
      <c r="H1287" t="s">
        <v>42</v>
      </c>
      <c r="I1287" t="s">
        <v>43</v>
      </c>
      <c r="J1287" t="s">
        <v>77</v>
      </c>
      <c r="K1287" t="s">
        <v>44</v>
      </c>
      <c r="L1287">
        <v>25000</v>
      </c>
      <c r="M1287" s="1">
        <v>43587</v>
      </c>
      <c r="N1287" t="s">
        <v>45</v>
      </c>
      <c r="O1287" t="s">
        <v>46</v>
      </c>
      <c r="P1287" t="s">
        <v>47</v>
      </c>
      <c r="Q1287" s="1">
        <v>43852</v>
      </c>
      <c r="R1287" t="s">
        <v>48</v>
      </c>
      <c r="S1287" t="s">
        <v>233</v>
      </c>
      <c r="T1287" t="s">
        <v>234</v>
      </c>
      <c r="U1287" t="s">
        <v>42</v>
      </c>
      <c r="V1287">
        <v>0</v>
      </c>
      <c r="W1287">
        <v>100000</v>
      </c>
      <c r="X1287" s="1">
        <v>43982</v>
      </c>
      <c r="Y1287" t="s">
        <v>51</v>
      </c>
      <c r="Z1287" t="s">
        <v>43</v>
      </c>
      <c r="AA1287" t="s">
        <v>77</v>
      </c>
      <c r="AB1287" t="s">
        <v>158</v>
      </c>
      <c r="AC1287" t="s">
        <v>235</v>
      </c>
      <c r="AF1287" t="s">
        <v>57</v>
      </c>
      <c r="AG1287" s="1">
        <v>43836</v>
      </c>
      <c r="AH1287" t="s">
        <v>42</v>
      </c>
      <c r="AI1287" t="s">
        <v>55</v>
      </c>
      <c r="AJ1287">
        <v>12788092</v>
      </c>
      <c r="AK1287">
        <v>250000</v>
      </c>
      <c r="AL1287">
        <v>1500000</v>
      </c>
    </row>
    <row r="1288" spans="1:38" x14ac:dyDescent="0.25">
      <c r="A1288" t="s">
        <v>370</v>
      </c>
      <c r="B1288">
        <v>2309002897</v>
      </c>
      <c r="C1288" t="s">
        <v>40</v>
      </c>
      <c r="D1288" s="1">
        <v>43587</v>
      </c>
      <c r="E1288" s="1">
        <v>43952</v>
      </c>
      <c r="F1288" t="s">
        <v>77</v>
      </c>
      <c r="G1288">
        <v>1</v>
      </c>
      <c r="H1288" t="s">
        <v>42</v>
      </c>
      <c r="I1288" t="s">
        <v>43</v>
      </c>
      <c r="J1288" t="s">
        <v>77</v>
      </c>
      <c r="K1288" t="s">
        <v>44</v>
      </c>
      <c r="L1288">
        <v>25000</v>
      </c>
      <c r="M1288" s="1">
        <v>43587</v>
      </c>
      <c r="N1288" t="s">
        <v>45</v>
      </c>
      <c r="O1288" t="s">
        <v>46</v>
      </c>
      <c r="P1288" t="s">
        <v>47</v>
      </c>
      <c r="Q1288" s="1">
        <v>43852</v>
      </c>
      <c r="R1288" t="s">
        <v>48</v>
      </c>
      <c r="S1288" t="s">
        <v>233</v>
      </c>
      <c r="T1288" t="s">
        <v>234</v>
      </c>
      <c r="U1288" t="s">
        <v>42</v>
      </c>
      <c r="V1288">
        <v>0</v>
      </c>
      <c r="W1288">
        <v>100000</v>
      </c>
      <c r="X1288" s="1">
        <v>43982</v>
      </c>
      <c r="Y1288" t="s">
        <v>51</v>
      </c>
      <c r="Z1288" t="s">
        <v>43</v>
      </c>
      <c r="AA1288" t="s">
        <v>77</v>
      </c>
      <c r="AB1288" t="s">
        <v>158</v>
      </c>
      <c r="AC1288" t="s">
        <v>235</v>
      </c>
      <c r="AF1288" t="s">
        <v>58</v>
      </c>
      <c r="AG1288" s="1">
        <v>43837</v>
      </c>
      <c r="AH1288" t="s">
        <v>42</v>
      </c>
      <c r="AI1288" t="s">
        <v>55</v>
      </c>
      <c r="AJ1288">
        <v>12788092</v>
      </c>
      <c r="AK1288">
        <v>250000</v>
      </c>
      <c r="AL1288">
        <v>1500000</v>
      </c>
    </row>
    <row r="1289" spans="1:38" x14ac:dyDescent="0.25">
      <c r="A1289" t="s">
        <v>370</v>
      </c>
      <c r="B1289">
        <v>2309002897</v>
      </c>
      <c r="C1289" t="s">
        <v>40</v>
      </c>
      <c r="D1289" s="1">
        <v>43587</v>
      </c>
      <c r="E1289" s="1">
        <v>43952</v>
      </c>
      <c r="F1289" t="s">
        <v>77</v>
      </c>
      <c r="G1289">
        <v>1</v>
      </c>
      <c r="H1289" t="s">
        <v>42</v>
      </c>
      <c r="I1289" t="s">
        <v>43</v>
      </c>
      <c r="J1289" t="s">
        <v>77</v>
      </c>
      <c r="K1289" t="s">
        <v>44</v>
      </c>
      <c r="L1289">
        <v>25000</v>
      </c>
      <c r="M1289" s="1">
        <v>43587</v>
      </c>
      <c r="N1289" t="s">
        <v>45</v>
      </c>
      <c r="O1289" t="s">
        <v>46</v>
      </c>
      <c r="P1289" t="s">
        <v>47</v>
      </c>
      <c r="Q1289" s="1">
        <v>43852</v>
      </c>
      <c r="R1289" t="s">
        <v>48</v>
      </c>
      <c r="S1289" t="s">
        <v>233</v>
      </c>
      <c r="T1289" t="s">
        <v>234</v>
      </c>
      <c r="U1289" t="s">
        <v>42</v>
      </c>
      <c r="V1289">
        <v>0</v>
      </c>
      <c r="W1289">
        <v>100000</v>
      </c>
      <c r="X1289" s="1">
        <v>43982</v>
      </c>
      <c r="Y1289" t="s">
        <v>51</v>
      </c>
      <c r="Z1289" t="s">
        <v>43</v>
      </c>
      <c r="AA1289" t="s">
        <v>77</v>
      </c>
      <c r="AB1289" t="s">
        <v>158</v>
      </c>
      <c r="AC1289" t="s">
        <v>235</v>
      </c>
      <c r="AF1289" t="s">
        <v>59</v>
      </c>
      <c r="AG1289" s="1">
        <v>43838</v>
      </c>
      <c r="AH1289" t="s">
        <v>42</v>
      </c>
      <c r="AI1289" t="s">
        <v>55</v>
      </c>
      <c r="AJ1289">
        <v>12788092</v>
      </c>
      <c r="AK1289">
        <v>250000</v>
      </c>
      <c r="AL1289">
        <v>1500000</v>
      </c>
    </row>
    <row r="1290" spans="1:38" x14ac:dyDescent="0.25">
      <c r="A1290" t="s">
        <v>66</v>
      </c>
      <c r="B1290" s="2">
        <v>206312000000</v>
      </c>
      <c r="C1290" t="s">
        <v>40</v>
      </c>
      <c r="D1290" s="1">
        <v>43512</v>
      </c>
      <c r="E1290" s="1">
        <v>43876</v>
      </c>
      <c r="F1290" t="s">
        <v>84</v>
      </c>
      <c r="G1290">
        <v>13</v>
      </c>
      <c r="H1290" t="s">
        <v>316</v>
      </c>
      <c r="I1290" t="s">
        <v>43</v>
      </c>
      <c r="J1290" t="s">
        <v>86</v>
      </c>
      <c r="K1290" t="s">
        <v>68</v>
      </c>
      <c r="L1290">
        <v>1148.93</v>
      </c>
      <c r="M1290" s="1">
        <v>43512</v>
      </c>
      <c r="N1290" t="s">
        <v>45</v>
      </c>
      <c r="O1290" t="s">
        <v>46</v>
      </c>
      <c r="P1290" t="s">
        <v>47</v>
      </c>
      <c r="Q1290" s="1">
        <v>43852</v>
      </c>
      <c r="R1290" t="s">
        <v>48</v>
      </c>
    </row>
    <row r="1291" spans="1:38" x14ac:dyDescent="0.25">
      <c r="A1291" t="s">
        <v>69</v>
      </c>
      <c r="B1291" s="2">
        <v>206314000000</v>
      </c>
      <c r="C1291" t="s">
        <v>40</v>
      </c>
      <c r="D1291" s="1">
        <v>43512</v>
      </c>
      <c r="E1291" s="1">
        <v>43876</v>
      </c>
      <c r="F1291" t="s">
        <v>84</v>
      </c>
      <c r="G1291">
        <v>13</v>
      </c>
      <c r="H1291" t="s">
        <v>316</v>
      </c>
      <c r="I1291" t="s">
        <v>43</v>
      </c>
      <c r="J1291" t="s">
        <v>86</v>
      </c>
      <c r="K1291" t="s">
        <v>68</v>
      </c>
      <c r="L1291">
        <v>58300</v>
      </c>
      <c r="M1291" s="1">
        <v>43512</v>
      </c>
      <c r="N1291" t="s">
        <v>45</v>
      </c>
      <c r="O1291" t="s">
        <v>46</v>
      </c>
      <c r="P1291" t="s">
        <v>47</v>
      </c>
      <c r="Q1291" s="1">
        <v>43852</v>
      </c>
      <c r="R1291" t="s">
        <v>48</v>
      </c>
    </row>
    <row r="1292" spans="1:38" x14ac:dyDescent="0.25">
      <c r="A1292" t="s">
        <v>74</v>
      </c>
      <c r="B1292">
        <v>8907502</v>
      </c>
      <c r="C1292" t="s">
        <v>71</v>
      </c>
      <c r="D1292" s="1">
        <v>43155</v>
      </c>
      <c r="E1292" s="1">
        <v>43519</v>
      </c>
      <c r="F1292" t="s">
        <v>77</v>
      </c>
      <c r="G1292">
        <v>12</v>
      </c>
      <c r="H1292" t="s">
        <v>155</v>
      </c>
      <c r="I1292" t="s">
        <v>43</v>
      </c>
      <c r="J1292" t="s">
        <v>126</v>
      </c>
      <c r="K1292" t="s">
        <v>44</v>
      </c>
      <c r="L1292">
        <v>6250</v>
      </c>
      <c r="M1292" s="1">
        <v>43155</v>
      </c>
      <c r="N1292" t="s">
        <v>45</v>
      </c>
      <c r="O1292" t="s">
        <v>46</v>
      </c>
      <c r="P1292" t="s">
        <v>47</v>
      </c>
      <c r="Q1292" s="1">
        <v>43852</v>
      </c>
      <c r="R1292" t="s">
        <v>48</v>
      </c>
      <c r="S1292" t="s">
        <v>156</v>
      </c>
      <c r="T1292" t="s">
        <v>157</v>
      </c>
      <c r="U1292" t="s">
        <v>155</v>
      </c>
      <c r="V1292">
        <v>500000</v>
      </c>
      <c r="W1292">
        <v>75000</v>
      </c>
      <c r="X1292" s="1">
        <v>43982</v>
      </c>
      <c r="Y1292" t="s">
        <v>51</v>
      </c>
      <c r="Z1292" t="s">
        <v>43</v>
      </c>
      <c r="AA1292" t="s">
        <v>77</v>
      </c>
      <c r="AB1292" t="s">
        <v>158</v>
      </c>
      <c r="AC1292" t="s">
        <v>159</v>
      </c>
      <c r="AF1292" t="s">
        <v>160</v>
      </c>
      <c r="AG1292" s="1">
        <v>43851</v>
      </c>
    </row>
    <row r="1293" spans="1:38" x14ac:dyDescent="0.25">
      <c r="A1293" t="s">
        <v>74</v>
      </c>
      <c r="B1293">
        <v>8907502</v>
      </c>
      <c r="C1293" t="s">
        <v>71</v>
      </c>
      <c r="D1293" s="1">
        <v>43155</v>
      </c>
      <c r="E1293" s="1">
        <v>43519</v>
      </c>
      <c r="F1293" t="s">
        <v>77</v>
      </c>
      <c r="G1293">
        <v>12</v>
      </c>
      <c r="H1293" t="s">
        <v>155</v>
      </c>
      <c r="I1293" t="s">
        <v>43</v>
      </c>
      <c r="J1293" t="s">
        <v>126</v>
      </c>
      <c r="K1293" t="s">
        <v>44</v>
      </c>
      <c r="L1293">
        <v>6250</v>
      </c>
      <c r="M1293" s="1">
        <v>43155</v>
      </c>
      <c r="N1293" t="s">
        <v>45</v>
      </c>
      <c r="O1293" t="s">
        <v>46</v>
      </c>
      <c r="P1293" t="s">
        <v>47</v>
      </c>
      <c r="Q1293" s="1">
        <v>43852</v>
      </c>
      <c r="R1293" t="s">
        <v>48</v>
      </c>
      <c r="S1293" t="s">
        <v>156</v>
      </c>
      <c r="T1293" t="s">
        <v>157</v>
      </c>
      <c r="U1293" t="s">
        <v>155</v>
      </c>
      <c r="V1293">
        <v>500000</v>
      </c>
      <c r="W1293">
        <v>75000</v>
      </c>
      <c r="X1293" s="1">
        <v>43982</v>
      </c>
      <c r="Y1293" t="s">
        <v>51</v>
      </c>
      <c r="Z1293" t="s">
        <v>43</v>
      </c>
      <c r="AA1293" t="s">
        <v>77</v>
      </c>
      <c r="AB1293" t="s">
        <v>158</v>
      </c>
      <c r="AC1293" t="s">
        <v>159</v>
      </c>
      <c r="AF1293" t="s">
        <v>161</v>
      </c>
      <c r="AG1293" s="1">
        <v>43851</v>
      </c>
    </row>
    <row r="1294" spans="1:38" x14ac:dyDescent="0.25">
      <c r="A1294" t="s">
        <v>74</v>
      </c>
      <c r="B1294">
        <v>8907502</v>
      </c>
      <c r="C1294" t="s">
        <v>71</v>
      </c>
      <c r="D1294" s="1">
        <v>43155</v>
      </c>
      <c r="E1294" s="1">
        <v>43519</v>
      </c>
      <c r="F1294" t="s">
        <v>77</v>
      </c>
      <c r="G1294">
        <v>12</v>
      </c>
      <c r="H1294" t="s">
        <v>155</v>
      </c>
      <c r="I1294" t="s">
        <v>43</v>
      </c>
      <c r="J1294" t="s">
        <v>126</v>
      </c>
      <c r="K1294" t="s">
        <v>44</v>
      </c>
      <c r="L1294">
        <v>6250</v>
      </c>
      <c r="M1294" s="1">
        <v>43155</v>
      </c>
      <c r="N1294" t="s">
        <v>45</v>
      </c>
      <c r="O1294" t="s">
        <v>46</v>
      </c>
      <c r="P1294" t="s">
        <v>47</v>
      </c>
      <c r="Q1294" s="1">
        <v>43852</v>
      </c>
      <c r="R1294" t="s">
        <v>48</v>
      </c>
      <c r="S1294" t="s">
        <v>156</v>
      </c>
      <c r="T1294" t="s">
        <v>157</v>
      </c>
      <c r="U1294" t="s">
        <v>155</v>
      </c>
      <c r="V1294">
        <v>500000</v>
      </c>
      <c r="W1294">
        <v>75000</v>
      </c>
      <c r="X1294" s="1">
        <v>43982</v>
      </c>
      <c r="Y1294" t="s">
        <v>51</v>
      </c>
      <c r="Z1294" t="s">
        <v>43</v>
      </c>
      <c r="AA1294" t="s">
        <v>77</v>
      </c>
      <c r="AB1294" t="s">
        <v>158</v>
      </c>
      <c r="AC1294" t="s">
        <v>159</v>
      </c>
      <c r="AF1294" t="s">
        <v>162</v>
      </c>
      <c r="AG1294" s="1">
        <v>43851</v>
      </c>
    </row>
    <row r="1295" spans="1:38" x14ac:dyDescent="0.25">
      <c r="A1295" t="s">
        <v>74</v>
      </c>
      <c r="B1295">
        <v>8907502</v>
      </c>
      <c r="C1295" t="s">
        <v>71</v>
      </c>
      <c r="D1295" s="1">
        <v>43155</v>
      </c>
      <c r="E1295" s="1">
        <v>43519</v>
      </c>
      <c r="F1295" t="s">
        <v>77</v>
      </c>
      <c r="G1295">
        <v>12</v>
      </c>
      <c r="H1295" t="s">
        <v>155</v>
      </c>
      <c r="I1295" t="s">
        <v>43</v>
      </c>
      <c r="J1295" t="s">
        <v>126</v>
      </c>
      <c r="K1295" t="s">
        <v>44</v>
      </c>
      <c r="L1295">
        <v>6250</v>
      </c>
      <c r="M1295" s="1">
        <v>43155</v>
      </c>
      <c r="N1295" t="s">
        <v>45</v>
      </c>
      <c r="O1295" t="s">
        <v>46</v>
      </c>
      <c r="P1295" t="s">
        <v>47</v>
      </c>
      <c r="Q1295" s="1">
        <v>43852</v>
      </c>
      <c r="R1295" t="s">
        <v>48</v>
      </c>
      <c r="S1295" t="s">
        <v>156</v>
      </c>
      <c r="T1295" t="s">
        <v>157</v>
      </c>
      <c r="U1295" t="s">
        <v>155</v>
      </c>
      <c r="V1295">
        <v>500000</v>
      </c>
      <c r="W1295">
        <v>75000</v>
      </c>
      <c r="X1295" s="1">
        <v>43982</v>
      </c>
      <c r="Y1295" t="s">
        <v>51</v>
      </c>
      <c r="Z1295" t="s">
        <v>43</v>
      </c>
      <c r="AA1295" t="s">
        <v>77</v>
      </c>
      <c r="AB1295" t="s">
        <v>158</v>
      </c>
      <c r="AC1295" t="s">
        <v>159</v>
      </c>
      <c r="AF1295" t="s">
        <v>163</v>
      </c>
      <c r="AG1295" s="1">
        <v>43852</v>
      </c>
    </row>
    <row r="1296" spans="1:38" x14ac:dyDescent="0.25">
      <c r="A1296" t="s">
        <v>74</v>
      </c>
      <c r="B1296">
        <v>8907502</v>
      </c>
      <c r="C1296" t="s">
        <v>71</v>
      </c>
      <c r="D1296" s="1">
        <v>43155</v>
      </c>
      <c r="E1296" s="1">
        <v>43519</v>
      </c>
      <c r="F1296" t="s">
        <v>77</v>
      </c>
      <c r="G1296">
        <v>12</v>
      </c>
      <c r="H1296" t="s">
        <v>155</v>
      </c>
      <c r="I1296" t="s">
        <v>43</v>
      </c>
      <c r="J1296" t="s">
        <v>126</v>
      </c>
      <c r="K1296" t="s">
        <v>44</v>
      </c>
      <c r="L1296">
        <v>6250</v>
      </c>
      <c r="M1296" s="1">
        <v>43155</v>
      </c>
      <c r="N1296" t="s">
        <v>45</v>
      </c>
      <c r="O1296" t="s">
        <v>46</v>
      </c>
      <c r="P1296" t="s">
        <v>47</v>
      </c>
      <c r="Q1296" s="1">
        <v>43852</v>
      </c>
      <c r="R1296" t="s">
        <v>48</v>
      </c>
      <c r="S1296" t="s">
        <v>164</v>
      </c>
      <c r="T1296" t="s">
        <v>165</v>
      </c>
      <c r="U1296" t="s">
        <v>155</v>
      </c>
      <c r="V1296">
        <v>0</v>
      </c>
      <c r="W1296">
        <v>50000</v>
      </c>
      <c r="X1296" s="1">
        <v>43921</v>
      </c>
      <c r="Y1296" t="s">
        <v>51</v>
      </c>
      <c r="Z1296" t="s">
        <v>43</v>
      </c>
      <c r="AA1296" t="s">
        <v>77</v>
      </c>
      <c r="AB1296" t="s">
        <v>158</v>
      </c>
      <c r="AC1296" t="s">
        <v>166</v>
      </c>
      <c r="AF1296" t="s">
        <v>160</v>
      </c>
      <c r="AG1296" s="1">
        <v>43851</v>
      </c>
    </row>
    <row r="1297" spans="1:33" x14ac:dyDescent="0.25">
      <c r="A1297" t="s">
        <v>74</v>
      </c>
      <c r="B1297">
        <v>8907502</v>
      </c>
      <c r="C1297" t="s">
        <v>71</v>
      </c>
      <c r="D1297" s="1">
        <v>43155</v>
      </c>
      <c r="E1297" s="1">
        <v>43519</v>
      </c>
      <c r="F1297" t="s">
        <v>77</v>
      </c>
      <c r="G1297">
        <v>12</v>
      </c>
      <c r="H1297" t="s">
        <v>155</v>
      </c>
      <c r="I1297" t="s">
        <v>43</v>
      </c>
      <c r="J1297" t="s">
        <v>126</v>
      </c>
      <c r="K1297" t="s">
        <v>44</v>
      </c>
      <c r="L1297">
        <v>6250</v>
      </c>
      <c r="M1297" s="1">
        <v>43155</v>
      </c>
      <c r="N1297" t="s">
        <v>45</v>
      </c>
      <c r="O1297" t="s">
        <v>46</v>
      </c>
      <c r="P1297" t="s">
        <v>47</v>
      </c>
      <c r="Q1297" s="1">
        <v>43852</v>
      </c>
      <c r="R1297" t="s">
        <v>48</v>
      </c>
      <c r="S1297" t="s">
        <v>164</v>
      </c>
      <c r="T1297" t="s">
        <v>165</v>
      </c>
      <c r="U1297" t="s">
        <v>155</v>
      </c>
      <c r="V1297">
        <v>0</v>
      </c>
      <c r="W1297">
        <v>50000</v>
      </c>
      <c r="X1297" s="1">
        <v>43921</v>
      </c>
      <c r="Y1297" t="s">
        <v>51</v>
      </c>
      <c r="Z1297" t="s">
        <v>43</v>
      </c>
      <c r="AA1297" t="s">
        <v>77</v>
      </c>
      <c r="AB1297" t="s">
        <v>158</v>
      </c>
      <c r="AC1297" t="s">
        <v>166</v>
      </c>
      <c r="AF1297" t="s">
        <v>161</v>
      </c>
      <c r="AG1297" s="1">
        <v>43851</v>
      </c>
    </row>
    <row r="1298" spans="1:33" x14ac:dyDescent="0.25">
      <c r="A1298" t="s">
        <v>74</v>
      </c>
      <c r="B1298">
        <v>8907502</v>
      </c>
      <c r="C1298" t="s">
        <v>71</v>
      </c>
      <c r="D1298" s="1">
        <v>43155</v>
      </c>
      <c r="E1298" s="1">
        <v>43519</v>
      </c>
      <c r="F1298" t="s">
        <v>77</v>
      </c>
      <c r="G1298">
        <v>12</v>
      </c>
      <c r="H1298" t="s">
        <v>155</v>
      </c>
      <c r="I1298" t="s">
        <v>43</v>
      </c>
      <c r="J1298" t="s">
        <v>126</v>
      </c>
      <c r="K1298" t="s">
        <v>44</v>
      </c>
      <c r="L1298">
        <v>6250</v>
      </c>
      <c r="M1298" s="1">
        <v>43155</v>
      </c>
      <c r="N1298" t="s">
        <v>45</v>
      </c>
      <c r="O1298" t="s">
        <v>46</v>
      </c>
      <c r="P1298" t="s">
        <v>47</v>
      </c>
      <c r="Q1298" s="1">
        <v>43852</v>
      </c>
      <c r="R1298" t="s">
        <v>48</v>
      </c>
      <c r="S1298" t="s">
        <v>164</v>
      </c>
      <c r="T1298" t="s">
        <v>165</v>
      </c>
      <c r="U1298" t="s">
        <v>155</v>
      </c>
      <c r="V1298">
        <v>0</v>
      </c>
      <c r="W1298">
        <v>50000</v>
      </c>
      <c r="X1298" s="1">
        <v>43921</v>
      </c>
      <c r="Y1298" t="s">
        <v>51</v>
      </c>
      <c r="Z1298" t="s">
        <v>43</v>
      </c>
      <c r="AA1298" t="s">
        <v>77</v>
      </c>
      <c r="AB1298" t="s">
        <v>158</v>
      </c>
      <c r="AC1298" t="s">
        <v>166</v>
      </c>
      <c r="AF1298" t="s">
        <v>162</v>
      </c>
      <c r="AG1298" s="1">
        <v>43851</v>
      </c>
    </row>
    <row r="1299" spans="1:33" x14ac:dyDescent="0.25">
      <c r="A1299" t="s">
        <v>74</v>
      </c>
      <c r="B1299">
        <v>8907502</v>
      </c>
      <c r="C1299" t="s">
        <v>71</v>
      </c>
      <c r="D1299" s="1">
        <v>43155</v>
      </c>
      <c r="E1299" s="1">
        <v>43519</v>
      </c>
      <c r="F1299" t="s">
        <v>77</v>
      </c>
      <c r="G1299">
        <v>12</v>
      </c>
      <c r="H1299" t="s">
        <v>155</v>
      </c>
      <c r="I1299" t="s">
        <v>43</v>
      </c>
      <c r="J1299" t="s">
        <v>126</v>
      </c>
      <c r="K1299" t="s">
        <v>44</v>
      </c>
      <c r="L1299">
        <v>6250</v>
      </c>
      <c r="M1299" s="1">
        <v>43155</v>
      </c>
      <c r="N1299" t="s">
        <v>45</v>
      </c>
      <c r="O1299" t="s">
        <v>46</v>
      </c>
      <c r="P1299" t="s">
        <v>47</v>
      </c>
      <c r="Q1299" s="1">
        <v>43852</v>
      </c>
      <c r="R1299" t="s">
        <v>48</v>
      </c>
      <c r="S1299" t="s">
        <v>164</v>
      </c>
      <c r="T1299" t="s">
        <v>165</v>
      </c>
      <c r="U1299" t="s">
        <v>155</v>
      </c>
      <c r="V1299">
        <v>0</v>
      </c>
      <c r="W1299">
        <v>50000</v>
      </c>
      <c r="X1299" s="1">
        <v>43921</v>
      </c>
      <c r="Y1299" t="s">
        <v>51</v>
      </c>
      <c r="Z1299" t="s">
        <v>43</v>
      </c>
      <c r="AA1299" t="s">
        <v>77</v>
      </c>
      <c r="AB1299" t="s">
        <v>158</v>
      </c>
      <c r="AC1299" t="s">
        <v>166</v>
      </c>
      <c r="AF1299" t="s">
        <v>163</v>
      </c>
      <c r="AG1299" s="1">
        <v>43852</v>
      </c>
    </row>
    <row r="1300" spans="1:33" x14ac:dyDescent="0.25">
      <c r="A1300" t="s">
        <v>75</v>
      </c>
      <c r="B1300" t="s">
        <v>400</v>
      </c>
      <c r="C1300" t="s">
        <v>40</v>
      </c>
      <c r="D1300" s="1">
        <v>43520</v>
      </c>
      <c r="E1300" s="1">
        <v>43884</v>
      </c>
      <c r="F1300" t="s">
        <v>77</v>
      </c>
      <c r="G1300">
        <v>3</v>
      </c>
      <c r="H1300" t="s">
        <v>125</v>
      </c>
      <c r="I1300" t="s">
        <v>43</v>
      </c>
      <c r="J1300" t="s">
        <v>126</v>
      </c>
      <c r="K1300" t="s">
        <v>44</v>
      </c>
      <c r="L1300">
        <v>6250</v>
      </c>
      <c r="M1300" s="1">
        <v>43520</v>
      </c>
      <c r="N1300" t="s">
        <v>45</v>
      </c>
      <c r="O1300" t="s">
        <v>44</v>
      </c>
      <c r="P1300" t="s">
        <v>47</v>
      </c>
      <c r="Q1300" s="1">
        <v>43852</v>
      </c>
      <c r="R1300" t="s">
        <v>48</v>
      </c>
    </row>
    <row r="1301" spans="1:33" x14ac:dyDescent="0.25">
      <c r="A1301" t="s">
        <v>82</v>
      </c>
      <c r="B1301" t="s">
        <v>401</v>
      </c>
      <c r="C1301" t="s">
        <v>71</v>
      </c>
      <c r="D1301" s="1">
        <v>43157</v>
      </c>
      <c r="E1301" s="1">
        <v>43521</v>
      </c>
      <c r="F1301" t="s">
        <v>77</v>
      </c>
      <c r="G1301">
        <v>12</v>
      </c>
      <c r="H1301" t="s">
        <v>155</v>
      </c>
      <c r="I1301" t="s">
        <v>43</v>
      </c>
      <c r="J1301" t="s">
        <v>126</v>
      </c>
      <c r="K1301" t="s">
        <v>44</v>
      </c>
      <c r="L1301">
        <v>12500</v>
      </c>
      <c r="M1301" s="1">
        <v>43157</v>
      </c>
      <c r="N1301" t="s">
        <v>45</v>
      </c>
      <c r="O1301" t="s">
        <v>46</v>
      </c>
      <c r="P1301" t="s">
        <v>47</v>
      </c>
      <c r="Q1301" s="1">
        <v>43852</v>
      </c>
      <c r="R1301" t="s">
        <v>48</v>
      </c>
      <c r="S1301" t="s">
        <v>156</v>
      </c>
      <c r="T1301" t="s">
        <v>157</v>
      </c>
      <c r="U1301" t="s">
        <v>155</v>
      </c>
      <c r="V1301">
        <v>500000</v>
      </c>
      <c r="W1301">
        <v>75000</v>
      </c>
      <c r="X1301" s="1">
        <v>43982</v>
      </c>
      <c r="Y1301" t="s">
        <v>51</v>
      </c>
      <c r="Z1301" t="s">
        <v>43</v>
      </c>
      <c r="AA1301" t="s">
        <v>77</v>
      </c>
      <c r="AB1301" t="s">
        <v>158</v>
      </c>
      <c r="AC1301" t="s">
        <v>159</v>
      </c>
      <c r="AF1301" t="s">
        <v>160</v>
      </c>
      <c r="AG1301" s="1">
        <v>43851</v>
      </c>
    </row>
    <row r="1302" spans="1:33" x14ac:dyDescent="0.25">
      <c r="A1302" t="s">
        <v>82</v>
      </c>
      <c r="B1302" t="s">
        <v>401</v>
      </c>
      <c r="C1302" t="s">
        <v>71</v>
      </c>
      <c r="D1302" s="1">
        <v>43157</v>
      </c>
      <c r="E1302" s="1">
        <v>43521</v>
      </c>
      <c r="F1302" t="s">
        <v>77</v>
      </c>
      <c r="G1302">
        <v>12</v>
      </c>
      <c r="H1302" t="s">
        <v>155</v>
      </c>
      <c r="I1302" t="s">
        <v>43</v>
      </c>
      <c r="J1302" t="s">
        <v>126</v>
      </c>
      <c r="K1302" t="s">
        <v>44</v>
      </c>
      <c r="L1302">
        <v>12500</v>
      </c>
      <c r="M1302" s="1">
        <v>43157</v>
      </c>
      <c r="N1302" t="s">
        <v>45</v>
      </c>
      <c r="O1302" t="s">
        <v>46</v>
      </c>
      <c r="P1302" t="s">
        <v>47</v>
      </c>
      <c r="Q1302" s="1">
        <v>43852</v>
      </c>
      <c r="R1302" t="s">
        <v>48</v>
      </c>
      <c r="S1302" t="s">
        <v>156</v>
      </c>
      <c r="T1302" t="s">
        <v>157</v>
      </c>
      <c r="U1302" t="s">
        <v>155</v>
      </c>
      <c r="V1302">
        <v>500000</v>
      </c>
      <c r="W1302">
        <v>75000</v>
      </c>
      <c r="X1302" s="1">
        <v>43982</v>
      </c>
      <c r="Y1302" t="s">
        <v>51</v>
      </c>
      <c r="Z1302" t="s">
        <v>43</v>
      </c>
      <c r="AA1302" t="s">
        <v>77</v>
      </c>
      <c r="AB1302" t="s">
        <v>158</v>
      </c>
      <c r="AC1302" t="s">
        <v>159</v>
      </c>
      <c r="AF1302" t="s">
        <v>161</v>
      </c>
      <c r="AG1302" s="1">
        <v>43851</v>
      </c>
    </row>
    <row r="1303" spans="1:33" x14ac:dyDescent="0.25">
      <c r="A1303" t="s">
        <v>82</v>
      </c>
      <c r="B1303" t="s">
        <v>401</v>
      </c>
      <c r="C1303" t="s">
        <v>71</v>
      </c>
      <c r="D1303" s="1">
        <v>43157</v>
      </c>
      <c r="E1303" s="1">
        <v>43521</v>
      </c>
      <c r="F1303" t="s">
        <v>77</v>
      </c>
      <c r="G1303">
        <v>12</v>
      </c>
      <c r="H1303" t="s">
        <v>155</v>
      </c>
      <c r="I1303" t="s">
        <v>43</v>
      </c>
      <c r="J1303" t="s">
        <v>126</v>
      </c>
      <c r="K1303" t="s">
        <v>44</v>
      </c>
      <c r="L1303">
        <v>12500</v>
      </c>
      <c r="M1303" s="1">
        <v>43157</v>
      </c>
      <c r="N1303" t="s">
        <v>45</v>
      </c>
      <c r="O1303" t="s">
        <v>46</v>
      </c>
      <c r="P1303" t="s">
        <v>47</v>
      </c>
      <c r="Q1303" s="1">
        <v>43852</v>
      </c>
      <c r="R1303" t="s">
        <v>48</v>
      </c>
      <c r="S1303" t="s">
        <v>156</v>
      </c>
      <c r="T1303" t="s">
        <v>157</v>
      </c>
      <c r="U1303" t="s">
        <v>155</v>
      </c>
      <c r="V1303">
        <v>500000</v>
      </c>
      <c r="W1303">
        <v>75000</v>
      </c>
      <c r="X1303" s="1">
        <v>43982</v>
      </c>
      <c r="Y1303" t="s">
        <v>51</v>
      </c>
      <c r="Z1303" t="s">
        <v>43</v>
      </c>
      <c r="AA1303" t="s">
        <v>77</v>
      </c>
      <c r="AB1303" t="s">
        <v>158</v>
      </c>
      <c r="AC1303" t="s">
        <v>159</v>
      </c>
      <c r="AF1303" t="s">
        <v>162</v>
      </c>
      <c r="AG1303" s="1">
        <v>43851</v>
      </c>
    </row>
    <row r="1304" spans="1:33" x14ac:dyDescent="0.25">
      <c r="A1304" t="s">
        <v>82</v>
      </c>
      <c r="B1304" t="s">
        <v>401</v>
      </c>
      <c r="C1304" t="s">
        <v>71</v>
      </c>
      <c r="D1304" s="1">
        <v>43157</v>
      </c>
      <c r="E1304" s="1">
        <v>43521</v>
      </c>
      <c r="F1304" t="s">
        <v>77</v>
      </c>
      <c r="G1304">
        <v>12</v>
      </c>
      <c r="H1304" t="s">
        <v>155</v>
      </c>
      <c r="I1304" t="s">
        <v>43</v>
      </c>
      <c r="J1304" t="s">
        <v>126</v>
      </c>
      <c r="K1304" t="s">
        <v>44</v>
      </c>
      <c r="L1304">
        <v>12500</v>
      </c>
      <c r="M1304" s="1">
        <v>43157</v>
      </c>
      <c r="N1304" t="s">
        <v>45</v>
      </c>
      <c r="O1304" t="s">
        <v>46</v>
      </c>
      <c r="P1304" t="s">
        <v>47</v>
      </c>
      <c r="Q1304" s="1">
        <v>43852</v>
      </c>
      <c r="R1304" t="s">
        <v>48</v>
      </c>
      <c r="S1304" t="s">
        <v>156</v>
      </c>
      <c r="T1304" t="s">
        <v>157</v>
      </c>
      <c r="U1304" t="s">
        <v>155</v>
      </c>
      <c r="V1304">
        <v>500000</v>
      </c>
      <c r="W1304">
        <v>75000</v>
      </c>
      <c r="X1304" s="1">
        <v>43982</v>
      </c>
      <c r="Y1304" t="s">
        <v>51</v>
      </c>
      <c r="Z1304" t="s">
        <v>43</v>
      </c>
      <c r="AA1304" t="s">
        <v>77</v>
      </c>
      <c r="AB1304" t="s">
        <v>158</v>
      </c>
      <c r="AC1304" t="s">
        <v>159</v>
      </c>
      <c r="AF1304" t="s">
        <v>163</v>
      </c>
      <c r="AG1304" s="1">
        <v>43852</v>
      </c>
    </row>
    <row r="1305" spans="1:33" x14ac:dyDescent="0.25">
      <c r="A1305" t="s">
        <v>82</v>
      </c>
      <c r="B1305" t="s">
        <v>401</v>
      </c>
      <c r="C1305" t="s">
        <v>71</v>
      </c>
      <c r="D1305" s="1">
        <v>43157</v>
      </c>
      <c r="E1305" s="1">
        <v>43521</v>
      </c>
      <c r="F1305" t="s">
        <v>77</v>
      </c>
      <c r="G1305">
        <v>12</v>
      </c>
      <c r="H1305" t="s">
        <v>155</v>
      </c>
      <c r="I1305" t="s">
        <v>43</v>
      </c>
      <c r="J1305" t="s">
        <v>126</v>
      </c>
      <c r="K1305" t="s">
        <v>44</v>
      </c>
      <c r="L1305">
        <v>12500</v>
      </c>
      <c r="M1305" s="1">
        <v>43157</v>
      </c>
      <c r="N1305" t="s">
        <v>45</v>
      </c>
      <c r="O1305" t="s">
        <v>46</v>
      </c>
      <c r="P1305" t="s">
        <v>47</v>
      </c>
      <c r="Q1305" s="1">
        <v>43852</v>
      </c>
      <c r="R1305" t="s">
        <v>48</v>
      </c>
      <c r="S1305" t="s">
        <v>164</v>
      </c>
      <c r="T1305" t="s">
        <v>165</v>
      </c>
      <c r="U1305" t="s">
        <v>155</v>
      </c>
      <c r="V1305">
        <v>0</v>
      </c>
      <c r="W1305">
        <v>50000</v>
      </c>
      <c r="X1305" s="1">
        <v>43921</v>
      </c>
      <c r="Y1305" t="s">
        <v>51</v>
      </c>
      <c r="Z1305" t="s">
        <v>43</v>
      </c>
      <c r="AA1305" t="s">
        <v>77</v>
      </c>
      <c r="AB1305" t="s">
        <v>158</v>
      </c>
      <c r="AC1305" t="s">
        <v>166</v>
      </c>
      <c r="AF1305" t="s">
        <v>160</v>
      </c>
      <c r="AG1305" s="1">
        <v>43851</v>
      </c>
    </row>
    <row r="1306" spans="1:33" x14ac:dyDescent="0.25">
      <c r="A1306" t="s">
        <v>82</v>
      </c>
      <c r="B1306" t="s">
        <v>401</v>
      </c>
      <c r="C1306" t="s">
        <v>71</v>
      </c>
      <c r="D1306" s="1">
        <v>43157</v>
      </c>
      <c r="E1306" s="1">
        <v>43521</v>
      </c>
      <c r="F1306" t="s">
        <v>77</v>
      </c>
      <c r="G1306">
        <v>12</v>
      </c>
      <c r="H1306" t="s">
        <v>155</v>
      </c>
      <c r="I1306" t="s">
        <v>43</v>
      </c>
      <c r="J1306" t="s">
        <v>126</v>
      </c>
      <c r="K1306" t="s">
        <v>44</v>
      </c>
      <c r="L1306">
        <v>12500</v>
      </c>
      <c r="M1306" s="1">
        <v>43157</v>
      </c>
      <c r="N1306" t="s">
        <v>45</v>
      </c>
      <c r="O1306" t="s">
        <v>46</v>
      </c>
      <c r="P1306" t="s">
        <v>47</v>
      </c>
      <c r="Q1306" s="1">
        <v>43852</v>
      </c>
      <c r="R1306" t="s">
        <v>48</v>
      </c>
      <c r="S1306" t="s">
        <v>164</v>
      </c>
      <c r="T1306" t="s">
        <v>165</v>
      </c>
      <c r="U1306" t="s">
        <v>155</v>
      </c>
      <c r="V1306">
        <v>0</v>
      </c>
      <c r="W1306">
        <v>50000</v>
      </c>
      <c r="X1306" s="1">
        <v>43921</v>
      </c>
      <c r="Y1306" t="s">
        <v>51</v>
      </c>
      <c r="Z1306" t="s">
        <v>43</v>
      </c>
      <c r="AA1306" t="s">
        <v>77</v>
      </c>
      <c r="AB1306" t="s">
        <v>158</v>
      </c>
      <c r="AC1306" t="s">
        <v>166</v>
      </c>
      <c r="AF1306" t="s">
        <v>161</v>
      </c>
      <c r="AG1306" s="1">
        <v>43851</v>
      </c>
    </row>
    <row r="1307" spans="1:33" x14ac:dyDescent="0.25">
      <c r="A1307" t="s">
        <v>82</v>
      </c>
      <c r="B1307" t="s">
        <v>401</v>
      </c>
      <c r="C1307" t="s">
        <v>71</v>
      </c>
      <c r="D1307" s="1">
        <v>43157</v>
      </c>
      <c r="E1307" s="1">
        <v>43521</v>
      </c>
      <c r="F1307" t="s">
        <v>77</v>
      </c>
      <c r="G1307">
        <v>12</v>
      </c>
      <c r="H1307" t="s">
        <v>155</v>
      </c>
      <c r="I1307" t="s">
        <v>43</v>
      </c>
      <c r="J1307" t="s">
        <v>126</v>
      </c>
      <c r="K1307" t="s">
        <v>44</v>
      </c>
      <c r="L1307">
        <v>12500</v>
      </c>
      <c r="M1307" s="1">
        <v>43157</v>
      </c>
      <c r="N1307" t="s">
        <v>45</v>
      </c>
      <c r="O1307" t="s">
        <v>46</v>
      </c>
      <c r="P1307" t="s">
        <v>47</v>
      </c>
      <c r="Q1307" s="1">
        <v>43852</v>
      </c>
      <c r="R1307" t="s">
        <v>48</v>
      </c>
      <c r="S1307" t="s">
        <v>164</v>
      </c>
      <c r="T1307" t="s">
        <v>165</v>
      </c>
      <c r="U1307" t="s">
        <v>155</v>
      </c>
      <c r="V1307">
        <v>0</v>
      </c>
      <c r="W1307">
        <v>50000</v>
      </c>
      <c r="X1307" s="1">
        <v>43921</v>
      </c>
      <c r="Y1307" t="s">
        <v>51</v>
      </c>
      <c r="Z1307" t="s">
        <v>43</v>
      </c>
      <c r="AA1307" t="s">
        <v>77</v>
      </c>
      <c r="AB1307" t="s">
        <v>158</v>
      </c>
      <c r="AC1307" t="s">
        <v>166</v>
      </c>
      <c r="AF1307" t="s">
        <v>162</v>
      </c>
      <c r="AG1307" s="1">
        <v>43851</v>
      </c>
    </row>
    <row r="1308" spans="1:33" x14ac:dyDescent="0.25">
      <c r="A1308" t="s">
        <v>82</v>
      </c>
      <c r="B1308" t="s">
        <v>401</v>
      </c>
      <c r="C1308" t="s">
        <v>71</v>
      </c>
      <c r="D1308" s="1">
        <v>43157</v>
      </c>
      <c r="E1308" s="1">
        <v>43521</v>
      </c>
      <c r="F1308" t="s">
        <v>77</v>
      </c>
      <c r="G1308">
        <v>12</v>
      </c>
      <c r="H1308" t="s">
        <v>155</v>
      </c>
      <c r="I1308" t="s">
        <v>43</v>
      </c>
      <c r="J1308" t="s">
        <v>126</v>
      </c>
      <c r="K1308" t="s">
        <v>44</v>
      </c>
      <c r="L1308">
        <v>12500</v>
      </c>
      <c r="M1308" s="1">
        <v>43157</v>
      </c>
      <c r="N1308" t="s">
        <v>45</v>
      </c>
      <c r="O1308" t="s">
        <v>46</v>
      </c>
      <c r="P1308" t="s">
        <v>47</v>
      </c>
      <c r="Q1308" s="1">
        <v>43852</v>
      </c>
      <c r="R1308" t="s">
        <v>48</v>
      </c>
      <c r="S1308" t="s">
        <v>164</v>
      </c>
      <c r="T1308" t="s">
        <v>165</v>
      </c>
      <c r="U1308" t="s">
        <v>155</v>
      </c>
      <c r="V1308">
        <v>0</v>
      </c>
      <c r="W1308">
        <v>50000</v>
      </c>
      <c r="X1308" s="1">
        <v>43921</v>
      </c>
      <c r="Y1308" t="s">
        <v>51</v>
      </c>
      <c r="Z1308" t="s">
        <v>43</v>
      </c>
      <c r="AA1308" t="s">
        <v>77</v>
      </c>
      <c r="AB1308" t="s">
        <v>158</v>
      </c>
      <c r="AC1308" t="s">
        <v>166</v>
      </c>
      <c r="AF1308" t="s">
        <v>163</v>
      </c>
      <c r="AG1308" s="1">
        <v>43852</v>
      </c>
    </row>
    <row r="1309" spans="1:33" x14ac:dyDescent="0.25">
      <c r="A1309" t="s">
        <v>104</v>
      </c>
      <c r="B1309" t="s">
        <v>402</v>
      </c>
      <c r="C1309" t="s">
        <v>40</v>
      </c>
      <c r="D1309" s="1">
        <v>43522</v>
      </c>
      <c r="E1309" s="1">
        <v>43886</v>
      </c>
      <c r="F1309" t="s">
        <v>77</v>
      </c>
      <c r="G1309">
        <v>3</v>
      </c>
      <c r="H1309" t="s">
        <v>125</v>
      </c>
      <c r="I1309" t="s">
        <v>43</v>
      </c>
      <c r="J1309" t="s">
        <v>126</v>
      </c>
      <c r="K1309" t="s">
        <v>44</v>
      </c>
      <c r="L1309">
        <v>12500</v>
      </c>
      <c r="M1309" s="1">
        <v>43522</v>
      </c>
      <c r="N1309" t="s">
        <v>45</v>
      </c>
      <c r="O1309" t="s">
        <v>44</v>
      </c>
      <c r="P1309" t="s">
        <v>47</v>
      </c>
      <c r="Q1309" s="1">
        <v>43852</v>
      </c>
      <c r="R1309" t="s">
        <v>48</v>
      </c>
    </row>
    <row r="1310" spans="1:33" x14ac:dyDescent="0.25">
      <c r="A1310" t="s">
        <v>107</v>
      </c>
      <c r="B1310">
        <v>2280082714</v>
      </c>
      <c r="C1310" t="s">
        <v>40</v>
      </c>
      <c r="D1310" s="1">
        <v>43535</v>
      </c>
      <c r="E1310" s="1">
        <v>43900</v>
      </c>
      <c r="F1310" t="s">
        <v>76</v>
      </c>
      <c r="G1310">
        <v>3</v>
      </c>
      <c r="H1310" t="s">
        <v>125</v>
      </c>
      <c r="I1310" t="s">
        <v>43</v>
      </c>
      <c r="J1310" t="s">
        <v>126</v>
      </c>
      <c r="K1310" t="s">
        <v>127</v>
      </c>
      <c r="L1310">
        <v>2645.75</v>
      </c>
      <c r="M1310" s="1">
        <v>43535</v>
      </c>
      <c r="N1310" t="s">
        <v>45</v>
      </c>
      <c r="O1310" t="s">
        <v>46</v>
      </c>
      <c r="P1310" t="s">
        <v>47</v>
      </c>
      <c r="Q1310" s="1">
        <v>43852</v>
      </c>
      <c r="R1310" t="s">
        <v>48</v>
      </c>
    </row>
    <row r="1311" spans="1:33" x14ac:dyDescent="0.25">
      <c r="A1311" t="s">
        <v>109</v>
      </c>
      <c r="B1311" t="s">
        <v>403</v>
      </c>
      <c r="C1311" t="s">
        <v>71</v>
      </c>
      <c r="D1311" s="1">
        <v>43158</v>
      </c>
      <c r="E1311" s="1">
        <v>43522</v>
      </c>
      <c r="F1311" t="s">
        <v>72</v>
      </c>
      <c r="G1311">
        <v>1</v>
      </c>
      <c r="H1311" t="s">
        <v>42</v>
      </c>
      <c r="I1311" t="s">
        <v>43</v>
      </c>
      <c r="J1311" t="s">
        <v>115</v>
      </c>
      <c r="K1311" t="s">
        <v>68</v>
      </c>
      <c r="L1311">
        <v>2939.29</v>
      </c>
      <c r="M1311" s="1">
        <v>43158</v>
      </c>
      <c r="N1311" t="s">
        <v>45</v>
      </c>
      <c r="O1311" t="s">
        <v>46</v>
      </c>
      <c r="P1311" t="s">
        <v>47</v>
      </c>
      <c r="Q1311" s="1">
        <v>43852</v>
      </c>
      <c r="R1311" t="s">
        <v>48</v>
      </c>
    </row>
    <row r="1312" spans="1:33" x14ac:dyDescent="0.25">
      <c r="A1312" t="s">
        <v>110</v>
      </c>
      <c r="B1312">
        <v>8539756</v>
      </c>
      <c r="C1312" t="s">
        <v>71</v>
      </c>
      <c r="D1312" s="1">
        <v>43158</v>
      </c>
      <c r="E1312" s="1">
        <v>43522</v>
      </c>
      <c r="F1312" t="s">
        <v>72</v>
      </c>
      <c r="G1312">
        <v>1</v>
      </c>
      <c r="H1312" t="s">
        <v>42</v>
      </c>
      <c r="I1312" t="s">
        <v>43</v>
      </c>
      <c r="J1312" t="s">
        <v>115</v>
      </c>
      <c r="K1312" t="s">
        <v>44</v>
      </c>
      <c r="L1312">
        <v>5207.66</v>
      </c>
      <c r="M1312" s="1">
        <v>43158</v>
      </c>
      <c r="N1312" t="s">
        <v>45</v>
      </c>
      <c r="O1312" t="s">
        <v>46</v>
      </c>
      <c r="P1312" t="s">
        <v>47</v>
      </c>
      <c r="Q1312" s="1">
        <v>43852</v>
      </c>
      <c r="R1312" t="s">
        <v>48</v>
      </c>
    </row>
    <row r="1313" spans="1:38" x14ac:dyDescent="0.25">
      <c r="A1313" t="s">
        <v>112</v>
      </c>
      <c r="B1313" t="s">
        <v>404</v>
      </c>
      <c r="C1313" t="s">
        <v>40</v>
      </c>
      <c r="D1313" s="1">
        <v>43523</v>
      </c>
      <c r="E1313" s="1">
        <v>43887</v>
      </c>
      <c r="F1313" t="s">
        <v>72</v>
      </c>
      <c r="G1313">
        <v>1</v>
      </c>
      <c r="H1313" t="s">
        <v>42</v>
      </c>
      <c r="I1313" t="s">
        <v>43</v>
      </c>
      <c r="J1313" t="s">
        <v>115</v>
      </c>
      <c r="K1313" t="s">
        <v>44</v>
      </c>
      <c r="L1313">
        <v>5601.1</v>
      </c>
      <c r="M1313" s="1">
        <v>43523</v>
      </c>
      <c r="N1313" t="s">
        <v>45</v>
      </c>
      <c r="O1313" t="s">
        <v>44</v>
      </c>
      <c r="P1313" t="s">
        <v>47</v>
      </c>
      <c r="Q1313" s="1">
        <v>43852</v>
      </c>
      <c r="R1313" t="s">
        <v>48</v>
      </c>
    </row>
    <row r="1314" spans="1:38" x14ac:dyDescent="0.25">
      <c r="A1314" t="s">
        <v>114</v>
      </c>
      <c r="B1314" t="s">
        <v>405</v>
      </c>
      <c r="C1314" t="s">
        <v>71</v>
      </c>
      <c r="D1314" s="1">
        <v>43158</v>
      </c>
      <c r="E1314" s="1">
        <v>43522</v>
      </c>
      <c r="F1314" t="s">
        <v>72</v>
      </c>
      <c r="G1314">
        <v>1</v>
      </c>
      <c r="H1314" t="s">
        <v>42</v>
      </c>
      <c r="I1314" t="s">
        <v>43</v>
      </c>
      <c r="J1314" t="s">
        <v>115</v>
      </c>
      <c r="K1314" t="s">
        <v>127</v>
      </c>
      <c r="L1314">
        <v>1972.37</v>
      </c>
      <c r="M1314" s="1">
        <v>43158</v>
      </c>
      <c r="N1314" t="s">
        <v>45</v>
      </c>
      <c r="O1314" t="s">
        <v>46</v>
      </c>
      <c r="P1314" t="s">
        <v>47</v>
      </c>
      <c r="Q1314" s="1">
        <v>43852</v>
      </c>
      <c r="R1314" t="s">
        <v>48</v>
      </c>
    </row>
    <row r="1315" spans="1:38" x14ac:dyDescent="0.25">
      <c r="A1315" t="s">
        <v>116</v>
      </c>
      <c r="B1315" t="s">
        <v>363</v>
      </c>
      <c r="C1315" t="s">
        <v>40</v>
      </c>
      <c r="D1315" s="1">
        <v>43523</v>
      </c>
      <c r="E1315" s="1">
        <v>43887</v>
      </c>
      <c r="F1315" t="s">
        <v>72</v>
      </c>
      <c r="G1315">
        <v>1</v>
      </c>
      <c r="H1315" t="s">
        <v>42</v>
      </c>
      <c r="I1315" t="s">
        <v>43</v>
      </c>
      <c r="J1315" t="s">
        <v>115</v>
      </c>
      <c r="K1315" t="s">
        <v>127</v>
      </c>
      <c r="L1315">
        <v>2141.5500000000002</v>
      </c>
      <c r="M1315" s="1">
        <v>43523</v>
      </c>
      <c r="N1315" t="s">
        <v>45</v>
      </c>
      <c r="O1315" t="s">
        <v>44</v>
      </c>
      <c r="P1315" t="s">
        <v>47</v>
      </c>
      <c r="Q1315" s="1">
        <v>43852</v>
      </c>
      <c r="R1315" t="s">
        <v>48</v>
      </c>
    </row>
    <row r="1316" spans="1:38" x14ac:dyDescent="0.25">
      <c r="A1316" t="s">
        <v>117</v>
      </c>
      <c r="B1316" t="s">
        <v>406</v>
      </c>
      <c r="C1316" t="s">
        <v>40</v>
      </c>
      <c r="D1316" s="1">
        <v>43523</v>
      </c>
      <c r="E1316" s="1">
        <v>43887</v>
      </c>
      <c r="F1316" t="s">
        <v>72</v>
      </c>
      <c r="G1316">
        <v>1</v>
      </c>
      <c r="H1316" t="s">
        <v>42</v>
      </c>
      <c r="I1316" t="s">
        <v>43</v>
      </c>
      <c r="J1316" t="s">
        <v>115</v>
      </c>
      <c r="K1316" t="s">
        <v>44</v>
      </c>
      <c r="L1316">
        <v>3136.39</v>
      </c>
      <c r="M1316" s="1">
        <v>43526</v>
      </c>
      <c r="N1316" t="s">
        <v>45</v>
      </c>
      <c r="O1316" t="s">
        <v>44</v>
      </c>
      <c r="P1316" t="s">
        <v>47</v>
      </c>
      <c r="Q1316" s="1">
        <v>43852</v>
      </c>
      <c r="R1316" t="s">
        <v>48</v>
      </c>
    </row>
    <row r="1317" spans="1:38" x14ac:dyDescent="0.25">
      <c r="A1317" t="s">
        <v>119</v>
      </c>
      <c r="B1317" s="2">
        <v>1.60262E+17</v>
      </c>
      <c r="C1317" t="s">
        <v>40</v>
      </c>
      <c r="D1317" s="1">
        <v>43784</v>
      </c>
      <c r="E1317" s="1">
        <v>44149</v>
      </c>
      <c r="F1317" t="s">
        <v>72</v>
      </c>
      <c r="G1317">
        <v>1</v>
      </c>
      <c r="H1317" t="s">
        <v>42</v>
      </c>
      <c r="I1317" t="s">
        <v>43</v>
      </c>
      <c r="J1317" t="s">
        <v>122</v>
      </c>
      <c r="K1317" t="s">
        <v>44</v>
      </c>
      <c r="L1317">
        <v>35127.9</v>
      </c>
      <c r="M1317" s="1">
        <v>43784</v>
      </c>
      <c r="N1317" t="s">
        <v>45</v>
      </c>
      <c r="O1317" t="s">
        <v>46</v>
      </c>
      <c r="P1317" t="s">
        <v>47</v>
      </c>
      <c r="Q1317" s="1">
        <v>43852</v>
      </c>
      <c r="R1317" t="s">
        <v>48</v>
      </c>
    </row>
    <row r="1318" spans="1:38" x14ac:dyDescent="0.25">
      <c r="A1318" t="s">
        <v>123</v>
      </c>
      <c r="B1318" t="s">
        <v>407</v>
      </c>
      <c r="C1318" t="s">
        <v>40</v>
      </c>
      <c r="D1318" s="1">
        <v>43536</v>
      </c>
      <c r="E1318" s="1">
        <v>43901</v>
      </c>
      <c r="F1318" t="s">
        <v>306</v>
      </c>
      <c r="G1318">
        <v>11</v>
      </c>
      <c r="H1318" t="s">
        <v>223</v>
      </c>
      <c r="I1318" t="s">
        <v>43</v>
      </c>
      <c r="J1318" t="s">
        <v>73</v>
      </c>
      <c r="K1318" t="s">
        <v>127</v>
      </c>
      <c r="L1318">
        <v>18229.13</v>
      </c>
      <c r="M1318" s="1">
        <v>43536</v>
      </c>
      <c r="N1318" t="s">
        <v>45</v>
      </c>
      <c r="O1318" t="s">
        <v>46</v>
      </c>
      <c r="P1318" t="s">
        <v>47</v>
      </c>
      <c r="Q1318" s="1">
        <v>43852</v>
      </c>
      <c r="R1318" t="s">
        <v>48</v>
      </c>
    </row>
    <row r="1319" spans="1:38" x14ac:dyDescent="0.25">
      <c r="A1319" t="s">
        <v>124</v>
      </c>
      <c r="B1319" t="s">
        <v>408</v>
      </c>
      <c r="C1319" t="s">
        <v>40</v>
      </c>
      <c r="D1319" s="1">
        <v>43175</v>
      </c>
      <c r="E1319" s="1">
        <v>43539</v>
      </c>
      <c r="F1319" t="s">
        <v>76</v>
      </c>
      <c r="G1319">
        <v>11</v>
      </c>
      <c r="H1319" t="s">
        <v>223</v>
      </c>
      <c r="I1319" t="s">
        <v>43</v>
      </c>
      <c r="J1319" t="s">
        <v>77</v>
      </c>
      <c r="K1319" t="s">
        <v>127</v>
      </c>
      <c r="L1319">
        <v>6158.75</v>
      </c>
      <c r="M1319" s="1">
        <v>43175</v>
      </c>
      <c r="N1319" t="s">
        <v>45</v>
      </c>
      <c r="O1319" t="s">
        <v>46</v>
      </c>
      <c r="P1319" t="s">
        <v>47</v>
      </c>
      <c r="Q1319" s="1">
        <v>43852</v>
      </c>
      <c r="R1319" t="s">
        <v>48</v>
      </c>
    </row>
    <row r="1320" spans="1:38" x14ac:dyDescent="0.25">
      <c r="A1320" t="s">
        <v>128</v>
      </c>
      <c r="B1320" t="s">
        <v>409</v>
      </c>
      <c r="C1320" t="s">
        <v>40</v>
      </c>
      <c r="D1320" s="1">
        <v>43122</v>
      </c>
      <c r="E1320" s="1">
        <v>43486</v>
      </c>
      <c r="F1320" t="s">
        <v>41</v>
      </c>
      <c r="G1320">
        <v>1</v>
      </c>
      <c r="H1320" t="s">
        <v>42</v>
      </c>
      <c r="I1320" t="s">
        <v>43</v>
      </c>
      <c r="J1320" t="s">
        <v>41</v>
      </c>
      <c r="K1320" t="s">
        <v>127</v>
      </c>
      <c r="L1320">
        <v>825</v>
      </c>
      <c r="M1320" s="1">
        <v>43122</v>
      </c>
      <c r="N1320" t="s">
        <v>45</v>
      </c>
      <c r="O1320" t="s">
        <v>46</v>
      </c>
      <c r="P1320" t="s">
        <v>47</v>
      </c>
      <c r="Q1320" s="1">
        <v>43852</v>
      </c>
      <c r="R1320" t="s">
        <v>48</v>
      </c>
      <c r="S1320" t="s">
        <v>49</v>
      </c>
      <c r="T1320" t="s">
        <v>50</v>
      </c>
      <c r="U1320" t="s">
        <v>42</v>
      </c>
      <c r="V1320">
        <v>0</v>
      </c>
      <c r="W1320">
        <v>100000</v>
      </c>
      <c r="X1320" s="1">
        <v>44012</v>
      </c>
      <c r="Y1320" t="s">
        <v>51</v>
      </c>
      <c r="Z1320" t="s">
        <v>43</v>
      </c>
      <c r="AA1320" t="s">
        <v>41</v>
      </c>
      <c r="AB1320" t="s">
        <v>52</v>
      </c>
      <c r="AC1320" t="s">
        <v>53</v>
      </c>
      <c r="AF1320" t="s">
        <v>54</v>
      </c>
      <c r="AG1320" s="1">
        <v>43832</v>
      </c>
      <c r="AH1320" t="s">
        <v>42</v>
      </c>
      <c r="AI1320" t="s">
        <v>55</v>
      </c>
      <c r="AJ1320">
        <v>12788092</v>
      </c>
      <c r="AK1320">
        <v>250000</v>
      </c>
      <c r="AL1320">
        <v>1500000</v>
      </c>
    </row>
    <row r="1321" spans="1:38" x14ac:dyDescent="0.25">
      <c r="A1321" t="s">
        <v>128</v>
      </c>
      <c r="B1321" t="s">
        <v>409</v>
      </c>
      <c r="C1321" t="s">
        <v>40</v>
      </c>
      <c r="D1321" s="1">
        <v>43122</v>
      </c>
      <c r="E1321" s="1">
        <v>43486</v>
      </c>
      <c r="F1321" t="s">
        <v>41</v>
      </c>
      <c r="G1321">
        <v>1</v>
      </c>
      <c r="H1321" t="s">
        <v>42</v>
      </c>
      <c r="I1321" t="s">
        <v>43</v>
      </c>
      <c r="J1321" t="s">
        <v>41</v>
      </c>
      <c r="K1321" t="s">
        <v>127</v>
      </c>
      <c r="L1321">
        <v>825</v>
      </c>
      <c r="M1321" s="1">
        <v>43122</v>
      </c>
      <c r="N1321" t="s">
        <v>45</v>
      </c>
      <c r="O1321" t="s">
        <v>46</v>
      </c>
      <c r="P1321" t="s">
        <v>47</v>
      </c>
      <c r="Q1321" s="1">
        <v>43852</v>
      </c>
      <c r="R1321" t="s">
        <v>48</v>
      </c>
      <c r="S1321" t="s">
        <v>49</v>
      </c>
      <c r="T1321" t="s">
        <v>50</v>
      </c>
      <c r="U1321" t="s">
        <v>42</v>
      </c>
      <c r="V1321">
        <v>0</v>
      </c>
      <c r="W1321">
        <v>100000</v>
      </c>
      <c r="X1321" s="1">
        <v>44012</v>
      </c>
      <c r="Y1321" t="s">
        <v>51</v>
      </c>
      <c r="Z1321" t="s">
        <v>43</v>
      </c>
      <c r="AA1321" t="s">
        <v>41</v>
      </c>
      <c r="AB1321" t="s">
        <v>52</v>
      </c>
      <c r="AC1321" t="s">
        <v>53</v>
      </c>
      <c r="AF1321" t="s">
        <v>56</v>
      </c>
      <c r="AG1321" s="1">
        <v>43833</v>
      </c>
      <c r="AH1321" t="s">
        <v>42</v>
      </c>
      <c r="AI1321" t="s">
        <v>55</v>
      </c>
      <c r="AJ1321">
        <v>12788092</v>
      </c>
      <c r="AK1321">
        <v>250000</v>
      </c>
      <c r="AL1321">
        <v>1500000</v>
      </c>
    </row>
    <row r="1322" spans="1:38" x14ac:dyDescent="0.25">
      <c r="A1322" t="s">
        <v>128</v>
      </c>
      <c r="B1322" t="s">
        <v>409</v>
      </c>
      <c r="C1322" t="s">
        <v>40</v>
      </c>
      <c r="D1322" s="1">
        <v>43122</v>
      </c>
      <c r="E1322" s="1">
        <v>43486</v>
      </c>
      <c r="F1322" t="s">
        <v>41</v>
      </c>
      <c r="G1322">
        <v>1</v>
      </c>
      <c r="H1322" t="s">
        <v>42</v>
      </c>
      <c r="I1322" t="s">
        <v>43</v>
      </c>
      <c r="J1322" t="s">
        <v>41</v>
      </c>
      <c r="K1322" t="s">
        <v>127</v>
      </c>
      <c r="L1322">
        <v>825</v>
      </c>
      <c r="M1322" s="1">
        <v>43122</v>
      </c>
      <c r="N1322" t="s">
        <v>45</v>
      </c>
      <c r="O1322" t="s">
        <v>46</v>
      </c>
      <c r="P1322" t="s">
        <v>47</v>
      </c>
      <c r="Q1322" s="1">
        <v>43852</v>
      </c>
      <c r="R1322" t="s">
        <v>48</v>
      </c>
      <c r="S1322" t="s">
        <v>49</v>
      </c>
      <c r="T1322" t="s">
        <v>50</v>
      </c>
      <c r="U1322" t="s">
        <v>42</v>
      </c>
      <c r="V1322">
        <v>0</v>
      </c>
      <c r="W1322">
        <v>100000</v>
      </c>
      <c r="X1322" s="1">
        <v>44012</v>
      </c>
      <c r="Y1322" t="s">
        <v>51</v>
      </c>
      <c r="Z1322" t="s">
        <v>43</v>
      </c>
      <c r="AA1322" t="s">
        <v>41</v>
      </c>
      <c r="AB1322" t="s">
        <v>52</v>
      </c>
      <c r="AC1322" t="s">
        <v>53</v>
      </c>
      <c r="AF1322" t="s">
        <v>57</v>
      </c>
      <c r="AG1322" s="1">
        <v>43836</v>
      </c>
      <c r="AH1322" t="s">
        <v>42</v>
      </c>
      <c r="AI1322" t="s">
        <v>55</v>
      </c>
      <c r="AJ1322">
        <v>12788092</v>
      </c>
      <c r="AK1322">
        <v>250000</v>
      </c>
      <c r="AL1322">
        <v>1500000</v>
      </c>
    </row>
    <row r="1323" spans="1:38" x14ac:dyDescent="0.25">
      <c r="A1323" t="s">
        <v>128</v>
      </c>
      <c r="B1323" t="s">
        <v>409</v>
      </c>
      <c r="C1323" t="s">
        <v>40</v>
      </c>
      <c r="D1323" s="1">
        <v>43122</v>
      </c>
      <c r="E1323" s="1">
        <v>43486</v>
      </c>
      <c r="F1323" t="s">
        <v>41</v>
      </c>
      <c r="G1323">
        <v>1</v>
      </c>
      <c r="H1323" t="s">
        <v>42</v>
      </c>
      <c r="I1323" t="s">
        <v>43</v>
      </c>
      <c r="J1323" t="s">
        <v>41</v>
      </c>
      <c r="K1323" t="s">
        <v>127</v>
      </c>
      <c r="L1323">
        <v>825</v>
      </c>
      <c r="M1323" s="1">
        <v>43122</v>
      </c>
      <c r="N1323" t="s">
        <v>45</v>
      </c>
      <c r="O1323" t="s">
        <v>46</v>
      </c>
      <c r="P1323" t="s">
        <v>47</v>
      </c>
      <c r="Q1323" s="1">
        <v>43852</v>
      </c>
      <c r="R1323" t="s">
        <v>48</v>
      </c>
      <c r="S1323" t="s">
        <v>49</v>
      </c>
      <c r="T1323" t="s">
        <v>50</v>
      </c>
      <c r="U1323" t="s">
        <v>42</v>
      </c>
      <c r="V1323">
        <v>0</v>
      </c>
      <c r="W1323">
        <v>100000</v>
      </c>
      <c r="X1323" s="1">
        <v>44012</v>
      </c>
      <c r="Y1323" t="s">
        <v>51</v>
      </c>
      <c r="Z1323" t="s">
        <v>43</v>
      </c>
      <c r="AA1323" t="s">
        <v>41</v>
      </c>
      <c r="AB1323" t="s">
        <v>52</v>
      </c>
      <c r="AC1323" t="s">
        <v>53</v>
      </c>
      <c r="AF1323" t="s">
        <v>58</v>
      </c>
      <c r="AG1323" s="1">
        <v>43837</v>
      </c>
      <c r="AH1323" t="s">
        <v>42</v>
      </c>
      <c r="AI1323" t="s">
        <v>55</v>
      </c>
      <c r="AJ1323">
        <v>12788092</v>
      </c>
      <c r="AK1323">
        <v>250000</v>
      </c>
      <c r="AL1323">
        <v>1500000</v>
      </c>
    </row>
    <row r="1324" spans="1:38" x14ac:dyDescent="0.25">
      <c r="A1324" t="s">
        <v>128</v>
      </c>
      <c r="B1324" t="s">
        <v>409</v>
      </c>
      <c r="C1324" t="s">
        <v>40</v>
      </c>
      <c r="D1324" s="1">
        <v>43122</v>
      </c>
      <c r="E1324" s="1">
        <v>43486</v>
      </c>
      <c r="F1324" t="s">
        <v>41</v>
      </c>
      <c r="G1324">
        <v>1</v>
      </c>
      <c r="H1324" t="s">
        <v>42</v>
      </c>
      <c r="I1324" t="s">
        <v>43</v>
      </c>
      <c r="J1324" t="s">
        <v>41</v>
      </c>
      <c r="K1324" t="s">
        <v>127</v>
      </c>
      <c r="L1324">
        <v>825</v>
      </c>
      <c r="M1324" s="1">
        <v>43122</v>
      </c>
      <c r="N1324" t="s">
        <v>45</v>
      </c>
      <c r="O1324" t="s">
        <v>46</v>
      </c>
      <c r="P1324" t="s">
        <v>47</v>
      </c>
      <c r="Q1324" s="1">
        <v>43852</v>
      </c>
      <c r="R1324" t="s">
        <v>48</v>
      </c>
      <c r="S1324" t="s">
        <v>49</v>
      </c>
      <c r="T1324" t="s">
        <v>50</v>
      </c>
      <c r="U1324" t="s">
        <v>42</v>
      </c>
      <c r="V1324">
        <v>0</v>
      </c>
      <c r="W1324">
        <v>100000</v>
      </c>
      <c r="X1324" s="1">
        <v>44012</v>
      </c>
      <c r="Y1324" t="s">
        <v>51</v>
      </c>
      <c r="Z1324" t="s">
        <v>43</v>
      </c>
      <c r="AA1324" t="s">
        <v>41</v>
      </c>
      <c r="AB1324" t="s">
        <v>52</v>
      </c>
      <c r="AC1324" t="s">
        <v>53</v>
      </c>
      <c r="AF1324" t="s">
        <v>59</v>
      </c>
      <c r="AG1324" s="1">
        <v>43838</v>
      </c>
      <c r="AH1324" t="s">
        <v>42</v>
      </c>
      <c r="AI1324" t="s">
        <v>55</v>
      </c>
      <c r="AJ1324">
        <v>12788092</v>
      </c>
      <c r="AK1324">
        <v>250000</v>
      </c>
      <c r="AL1324">
        <v>1500000</v>
      </c>
    </row>
    <row r="1325" spans="1:38" x14ac:dyDescent="0.25">
      <c r="A1325" t="s">
        <v>128</v>
      </c>
      <c r="B1325" t="s">
        <v>409</v>
      </c>
      <c r="C1325" t="s">
        <v>40</v>
      </c>
      <c r="D1325" s="1">
        <v>43122</v>
      </c>
      <c r="E1325" s="1">
        <v>43486</v>
      </c>
      <c r="F1325" t="s">
        <v>41</v>
      </c>
      <c r="G1325">
        <v>1</v>
      </c>
      <c r="H1325" t="s">
        <v>42</v>
      </c>
      <c r="I1325" t="s">
        <v>43</v>
      </c>
      <c r="J1325" t="s">
        <v>41</v>
      </c>
      <c r="K1325" t="s">
        <v>127</v>
      </c>
      <c r="L1325">
        <v>825</v>
      </c>
      <c r="M1325" s="1">
        <v>43122</v>
      </c>
      <c r="N1325" t="s">
        <v>45</v>
      </c>
      <c r="O1325" t="s">
        <v>46</v>
      </c>
      <c r="P1325" t="s">
        <v>47</v>
      </c>
      <c r="Q1325" s="1">
        <v>43852</v>
      </c>
      <c r="R1325" t="s">
        <v>48</v>
      </c>
      <c r="S1325" t="s">
        <v>60</v>
      </c>
      <c r="T1325" t="s">
        <v>61</v>
      </c>
      <c r="U1325" t="s">
        <v>42</v>
      </c>
      <c r="V1325">
        <v>0</v>
      </c>
      <c r="W1325">
        <v>100000</v>
      </c>
      <c r="X1325" s="1">
        <v>43921</v>
      </c>
      <c r="Y1325" t="s">
        <v>51</v>
      </c>
      <c r="Z1325" t="s">
        <v>43</v>
      </c>
      <c r="AA1325" t="s">
        <v>41</v>
      </c>
      <c r="AB1325" t="s">
        <v>52</v>
      </c>
      <c r="AC1325" t="s">
        <v>53</v>
      </c>
      <c r="AF1325" t="s">
        <v>54</v>
      </c>
      <c r="AG1325" s="1">
        <v>43832</v>
      </c>
      <c r="AH1325" t="s">
        <v>42</v>
      </c>
      <c r="AI1325" t="s">
        <v>55</v>
      </c>
      <c r="AJ1325">
        <v>12788092</v>
      </c>
      <c r="AK1325">
        <v>250000</v>
      </c>
      <c r="AL1325">
        <v>1500000</v>
      </c>
    </row>
    <row r="1326" spans="1:38" x14ac:dyDescent="0.25">
      <c r="A1326" t="s">
        <v>128</v>
      </c>
      <c r="B1326" t="s">
        <v>409</v>
      </c>
      <c r="C1326" t="s">
        <v>40</v>
      </c>
      <c r="D1326" s="1">
        <v>43122</v>
      </c>
      <c r="E1326" s="1">
        <v>43486</v>
      </c>
      <c r="F1326" t="s">
        <v>41</v>
      </c>
      <c r="G1326">
        <v>1</v>
      </c>
      <c r="H1326" t="s">
        <v>42</v>
      </c>
      <c r="I1326" t="s">
        <v>43</v>
      </c>
      <c r="J1326" t="s">
        <v>41</v>
      </c>
      <c r="K1326" t="s">
        <v>127</v>
      </c>
      <c r="L1326">
        <v>825</v>
      </c>
      <c r="M1326" s="1">
        <v>43122</v>
      </c>
      <c r="N1326" t="s">
        <v>45</v>
      </c>
      <c r="O1326" t="s">
        <v>46</v>
      </c>
      <c r="P1326" t="s">
        <v>47</v>
      </c>
      <c r="Q1326" s="1">
        <v>43852</v>
      </c>
      <c r="R1326" t="s">
        <v>48</v>
      </c>
      <c r="S1326" t="s">
        <v>60</v>
      </c>
      <c r="T1326" t="s">
        <v>61</v>
      </c>
      <c r="U1326" t="s">
        <v>42</v>
      </c>
      <c r="V1326">
        <v>0</v>
      </c>
      <c r="W1326">
        <v>100000</v>
      </c>
      <c r="X1326" s="1">
        <v>43921</v>
      </c>
      <c r="Y1326" t="s">
        <v>51</v>
      </c>
      <c r="Z1326" t="s">
        <v>43</v>
      </c>
      <c r="AA1326" t="s">
        <v>41</v>
      </c>
      <c r="AB1326" t="s">
        <v>52</v>
      </c>
      <c r="AC1326" t="s">
        <v>53</v>
      </c>
      <c r="AF1326" t="s">
        <v>56</v>
      </c>
      <c r="AG1326" s="1">
        <v>43833</v>
      </c>
      <c r="AH1326" t="s">
        <v>42</v>
      </c>
      <c r="AI1326" t="s">
        <v>55</v>
      </c>
      <c r="AJ1326">
        <v>12788092</v>
      </c>
      <c r="AK1326">
        <v>250000</v>
      </c>
      <c r="AL1326">
        <v>1500000</v>
      </c>
    </row>
    <row r="1327" spans="1:38" x14ac:dyDescent="0.25">
      <c r="A1327" t="s">
        <v>128</v>
      </c>
      <c r="B1327" t="s">
        <v>409</v>
      </c>
      <c r="C1327" t="s">
        <v>40</v>
      </c>
      <c r="D1327" s="1">
        <v>43122</v>
      </c>
      <c r="E1327" s="1">
        <v>43486</v>
      </c>
      <c r="F1327" t="s">
        <v>41</v>
      </c>
      <c r="G1327">
        <v>1</v>
      </c>
      <c r="H1327" t="s">
        <v>42</v>
      </c>
      <c r="I1327" t="s">
        <v>43</v>
      </c>
      <c r="J1327" t="s">
        <v>41</v>
      </c>
      <c r="K1327" t="s">
        <v>127</v>
      </c>
      <c r="L1327">
        <v>825</v>
      </c>
      <c r="M1327" s="1">
        <v>43122</v>
      </c>
      <c r="N1327" t="s">
        <v>45</v>
      </c>
      <c r="O1327" t="s">
        <v>46</v>
      </c>
      <c r="P1327" t="s">
        <v>47</v>
      </c>
      <c r="Q1327" s="1">
        <v>43852</v>
      </c>
      <c r="R1327" t="s">
        <v>48</v>
      </c>
      <c r="S1327" t="s">
        <v>60</v>
      </c>
      <c r="T1327" t="s">
        <v>61</v>
      </c>
      <c r="U1327" t="s">
        <v>42</v>
      </c>
      <c r="V1327">
        <v>0</v>
      </c>
      <c r="W1327">
        <v>100000</v>
      </c>
      <c r="X1327" s="1">
        <v>43921</v>
      </c>
      <c r="Y1327" t="s">
        <v>51</v>
      </c>
      <c r="Z1327" t="s">
        <v>43</v>
      </c>
      <c r="AA1327" t="s">
        <v>41</v>
      </c>
      <c r="AB1327" t="s">
        <v>52</v>
      </c>
      <c r="AC1327" t="s">
        <v>53</v>
      </c>
      <c r="AF1327" t="s">
        <v>57</v>
      </c>
      <c r="AG1327" s="1">
        <v>43836</v>
      </c>
      <c r="AH1327" t="s">
        <v>42</v>
      </c>
      <c r="AI1327" t="s">
        <v>55</v>
      </c>
      <c r="AJ1327">
        <v>12788092</v>
      </c>
      <c r="AK1327">
        <v>250000</v>
      </c>
      <c r="AL1327">
        <v>1500000</v>
      </c>
    </row>
    <row r="1328" spans="1:38" x14ac:dyDescent="0.25">
      <c r="A1328" t="s">
        <v>128</v>
      </c>
      <c r="B1328" t="s">
        <v>409</v>
      </c>
      <c r="C1328" t="s">
        <v>40</v>
      </c>
      <c r="D1328" s="1">
        <v>43122</v>
      </c>
      <c r="E1328" s="1">
        <v>43486</v>
      </c>
      <c r="F1328" t="s">
        <v>41</v>
      </c>
      <c r="G1328">
        <v>1</v>
      </c>
      <c r="H1328" t="s">
        <v>42</v>
      </c>
      <c r="I1328" t="s">
        <v>43</v>
      </c>
      <c r="J1328" t="s">
        <v>41</v>
      </c>
      <c r="K1328" t="s">
        <v>127</v>
      </c>
      <c r="L1328">
        <v>825</v>
      </c>
      <c r="M1328" s="1">
        <v>43122</v>
      </c>
      <c r="N1328" t="s">
        <v>45</v>
      </c>
      <c r="O1328" t="s">
        <v>46</v>
      </c>
      <c r="P1328" t="s">
        <v>47</v>
      </c>
      <c r="Q1328" s="1">
        <v>43852</v>
      </c>
      <c r="R1328" t="s">
        <v>48</v>
      </c>
      <c r="S1328" t="s">
        <v>60</v>
      </c>
      <c r="T1328" t="s">
        <v>61</v>
      </c>
      <c r="U1328" t="s">
        <v>42</v>
      </c>
      <c r="V1328">
        <v>0</v>
      </c>
      <c r="W1328">
        <v>100000</v>
      </c>
      <c r="X1328" s="1">
        <v>43921</v>
      </c>
      <c r="Y1328" t="s">
        <v>51</v>
      </c>
      <c r="Z1328" t="s">
        <v>43</v>
      </c>
      <c r="AA1328" t="s">
        <v>41</v>
      </c>
      <c r="AB1328" t="s">
        <v>52</v>
      </c>
      <c r="AC1328" t="s">
        <v>53</v>
      </c>
      <c r="AF1328" t="s">
        <v>58</v>
      </c>
      <c r="AG1328" s="1">
        <v>43837</v>
      </c>
      <c r="AH1328" t="s">
        <v>42</v>
      </c>
      <c r="AI1328" t="s">
        <v>55</v>
      </c>
      <c r="AJ1328">
        <v>12788092</v>
      </c>
      <c r="AK1328">
        <v>250000</v>
      </c>
      <c r="AL1328">
        <v>1500000</v>
      </c>
    </row>
    <row r="1329" spans="1:38" x14ac:dyDescent="0.25">
      <c r="A1329" t="s">
        <v>128</v>
      </c>
      <c r="B1329" t="s">
        <v>409</v>
      </c>
      <c r="C1329" t="s">
        <v>40</v>
      </c>
      <c r="D1329" s="1">
        <v>43122</v>
      </c>
      <c r="E1329" s="1">
        <v>43486</v>
      </c>
      <c r="F1329" t="s">
        <v>41</v>
      </c>
      <c r="G1329">
        <v>1</v>
      </c>
      <c r="H1329" t="s">
        <v>42</v>
      </c>
      <c r="I1329" t="s">
        <v>43</v>
      </c>
      <c r="J1329" t="s">
        <v>41</v>
      </c>
      <c r="K1329" t="s">
        <v>127</v>
      </c>
      <c r="L1329">
        <v>825</v>
      </c>
      <c r="M1329" s="1">
        <v>43122</v>
      </c>
      <c r="N1329" t="s">
        <v>45</v>
      </c>
      <c r="O1329" t="s">
        <v>46</v>
      </c>
      <c r="P1329" t="s">
        <v>47</v>
      </c>
      <c r="Q1329" s="1">
        <v>43852</v>
      </c>
      <c r="R1329" t="s">
        <v>48</v>
      </c>
      <c r="S1329" t="s">
        <v>60</v>
      </c>
      <c r="T1329" t="s">
        <v>61</v>
      </c>
      <c r="U1329" t="s">
        <v>42</v>
      </c>
      <c r="V1329">
        <v>0</v>
      </c>
      <c r="W1329">
        <v>100000</v>
      </c>
      <c r="X1329" s="1">
        <v>43921</v>
      </c>
      <c r="Y1329" t="s">
        <v>51</v>
      </c>
      <c r="Z1329" t="s">
        <v>43</v>
      </c>
      <c r="AA1329" t="s">
        <v>41</v>
      </c>
      <c r="AB1329" t="s">
        <v>52</v>
      </c>
      <c r="AC1329" t="s">
        <v>53</v>
      </c>
      <c r="AF1329" t="s">
        <v>59</v>
      </c>
      <c r="AG1329" s="1">
        <v>43838</v>
      </c>
      <c r="AH1329" t="s">
        <v>42</v>
      </c>
      <c r="AI1329" t="s">
        <v>55</v>
      </c>
      <c r="AJ1329">
        <v>12788092</v>
      </c>
      <c r="AK1329">
        <v>250000</v>
      </c>
      <c r="AL1329">
        <v>1500000</v>
      </c>
    </row>
    <row r="1330" spans="1:38" x14ac:dyDescent="0.25">
      <c r="A1330" t="s">
        <v>128</v>
      </c>
      <c r="B1330" t="s">
        <v>409</v>
      </c>
      <c r="C1330" t="s">
        <v>40</v>
      </c>
      <c r="D1330" s="1">
        <v>43122</v>
      </c>
      <c r="E1330" s="1">
        <v>43486</v>
      </c>
      <c r="F1330" t="s">
        <v>41</v>
      </c>
      <c r="G1330">
        <v>1</v>
      </c>
      <c r="H1330" t="s">
        <v>42</v>
      </c>
      <c r="I1330" t="s">
        <v>43</v>
      </c>
      <c r="J1330" t="s">
        <v>41</v>
      </c>
      <c r="K1330" t="s">
        <v>127</v>
      </c>
      <c r="L1330">
        <v>825</v>
      </c>
      <c r="M1330" s="1">
        <v>43122</v>
      </c>
      <c r="N1330" t="s">
        <v>45</v>
      </c>
      <c r="O1330" t="s">
        <v>46</v>
      </c>
      <c r="P1330" t="s">
        <v>47</v>
      </c>
      <c r="Q1330" s="1">
        <v>43852</v>
      </c>
      <c r="R1330" t="s">
        <v>48</v>
      </c>
      <c r="S1330" t="s">
        <v>62</v>
      </c>
      <c r="T1330" t="s">
        <v>63</v>
      </c>
      <c r="U1330" t="s">
        <v>42</v>
      </c>
      <c r="V1330">
        <v>0</v>
      </c>
      <c r="W1330">
        <v>100000</v>
      </c>
      <c r="X1330" s="1">
        <v>43982</v>
      </c>
      <c r="Y1330" t="s">
        <v>51</v>
      </c>
      <c r="Z1330" t="s">
        <v>43</v>
      </c>
      <c r="AA1330" t="s">
        <v>41</v>
      </c>
      <c r="AB1330" t="s">
        <v>52</v>
      </c>
      <c r="AC1330" t="s">
        <v>53</v>
      </c>
      <c r="AF1330" t="s">
        <v>54</v>
      </c>
      <c r="AG1330" s="1">
        <v>43832</v>
      </c>
      <c r="AH1330" t="s">
        <v>42</v>
      </c>
      <c r="AI1330" t="s">
        <v>55</v>
      </c>
      <c r="AJ1330">
        <v>12788092</v>
      </c>
      <c r="AK1330">
        <v>250000</v>
      </c>
      <c r="AL1330">
        <v>1500000</v>
      </c>
    </row>
    <row r="1331" spans="1:38" x14ac:dyDescent="0.25">
      <c r="A1331" t="s">
        <v>128</v>
      </c>
      <c r="B1331" t="s">
        <v>409</v>
      </c>
      <c r="C1331" t="s">
        <v>40</v>
      </c>
      <c r="D1331" s="1">
        <v>43122</v>
      </c>
      <c r="E1331" s="1">
        <v>43486</v>
      </c>
      <c r="F1331" t="s">
        <v>41</v>
      </c>
      <c r="G1331">
        <v>1</v>
      </c>
      <c r="H1331" t="s">
        <v>42</v>
      </c>
      <c r="I1331" t="s">
        <v>43</v>
      </c>
      <c r="J1331" t="s">
        <v>41</v>
      </c>
      <c r="K1331" t="s">
        <v>127</v>
      </c>
      <c r="L1331">
        <v>825</v>
      </c>
      <c r="M1331" s="1">
        <v>43122</v>
      </c>
      <c r="N1331" t="s">
        <v>45</v>
      </c>
      <c r="O1331" t="s">
        <v>46</v>
      </c>
      <c r="P1331" t="s">
        <v>47</v>
      </c>
      <c r="Q1331" s="1">
        <v>43852</v>
      </c>
      <c r="R1331" t="s">
        <v>48</v>
      </c>
      <c r="S1331" t="s">
        <v>62</v>
      </c>
      <c r="T1331" t="s">
        <v>63</v>
      </c>
      <c r="U1331" t="s">
        <v>42</v>
      </c>
      <c r="V1331">
        <v>0</v>
      </c>
      <c r="W1331">
        <v>100000</v>
      </c>
      <c r="X1331" s="1">
        <v>43982</v>
      </c>
      <c r="Y1331" t="s">
        <v>51</v>
      </c>
      <c r="Z1331" t="s">
        <v>43</v>
      </c>
      <c r="AA1331" t="s">
        <v>41</v>
      </c>
      <c r="AB1331" t="s">
        <v>52</v>
      </c>
      <c r="AC1331" t="s">
        <v>53</v>
      </c>
      <c r="AF1331" t="s">
        <v>56</v>
      </c>
      <c r="AG1331" s="1">
        <v>43833</v>
      </c>
      <c r="AH1331" t="s">
        <v>42</v>
      </c>
      <c r="AI1331" t="s">
        <v>55</v>
      </c>
      <c r="AJ1331">
        <v>12788092</v>
      </c>
      <c r="AK1331">
        <v>250000</v>
      </c>
      <c r="AL1331">
        <v>1500000</v>
      </c>
    </row>
    <row r="1332" spans="1:38" x14ac:dyDescent="0.25">
      <c r="A1332" t="s">
        <v>128</v>
      </c>
      <c r="B1332" t="s">
        <v>409</v>
      </c>
      <c r="C1332" t="s">
        <v>40</v>
      </c>
      <c r="D1332" s="1">
        <v>43122</v>
      </c>
      <c r="E1332" s="1">
        <v>43486</v>
      </c>
      <c r="F1332" t="s">
        <v>41</v>
      </c>
      <c r="G1332">
        <v>1</v>
      </c>
      <c r="H1332" t="s">
        <v>42</v>
      </c>
      <c r="I1332" t="s">
        <v>43</v>
      </c>
      <c r="J1332" t="s">
        <v>41</v>
      </c>
      <c r="K1332" t="s">
        <v>127</v>
      </c>
      <c r="L1332">
        <v>825</v>
      </c>
      <c r="M1332" s="1">
        <v>43122</v>
      </c>
      <c r="N1332" t="s">
        <v>45</v>
      </c>
      <c r="O1332" t="s">
        <v>46</v>
      </c>
      <c r="P1332" t="s">
        <v>47</v>
      </c>
      <c r="Q1332" s="1">
        <v>43852</v>
      </c>
      <c r="R1332" t="s">
        <v>48</v>
      </c>
      <c r="S1332" t="s">
        <v>62</v>
      </c>
      <c r="T1332" t="s">
        <v>63</v>
      </c>
      <c r="U1332" t="s">
        <v>42</v>
      </c>
      <c r="V1332">
        <v>0</v>
      </c>
      <c r="W1332">
        <v>100000</v>
      </c>
      <c r="X1332" s="1">
        <v>43982</v>
      </c>
      <c r="Y1332" t="s">
        <v>51</v>
      </c>
      <c r="Z1332" t="s">
        <v>43</v>
      </c>
      <c r="AA1332" t="s">
        <v>41</v>
      </c>
      <c r="AB1332" t="s">
        <v>52</v>
      </c>
      <c r="AC1332" t="s">
        <v>53</v>
      </c>
      <c r="AF1332" t="s">
        <v>57</v>
      </c>
      <c r="AG1332" s="1">
        <v>43836</v>
      </c>
      <c r="AH1332" t="s">
        <v>42</v>
      </c>
      <c r="AI1332" t="s">
        <v>55</v>
      </c>
      <c r="AJ1332">
        <v>12788092</v>
      </c>
      <c r="AK1332">
        <v>250000</v>
      </c>
      <c r="AL1332">
        <v>1500000</v>
      </c>
    </row>
    <row r="1333" spans="1:38" x14ac:dyDescent="0.25">
      <c r="A1333" t="s">
        <v>128</v>
      </c>
      <c r="B1333" t="s">
        <v>409</v>
      </c>
      <c r="C1333" t="s">
        <v>40</v>
      </c>
      <c r="D1333" s="1">
        <v>43122</v>
      </c>
      <c r="E1333" s="1">
        <v>43486</v>
      </c>
      <c r="F1333" t="s">
        <v>41</v>
      </c>
      <c r="G1333">
        <v>1</v>
      </c>
      <c r="H1333" t="s">
        <v>42</v>
      </c>
      <c r="I1333" t="s">
        <v>43</v>
      </c>
      <c r="J1333" t="s">
        <v>41</v>
      </c>
      <c r="K1333" t="s">
        <v>127</v>
      </c>
      <c r="L1333">
        <v>825</v>
      </c>
      <c r="M1333" s="1">
        <v>43122</v>
      </c>
      <c r="N1333" t="s">
        <v>45</v>
      </c>
      <c r="O1333" t="s">
        <v>46</v>
      </c>
      <c r="P1333" t="s">
        <v>47</v>
      </c>
      <c r="Q1333" s="1">
        <v>43852</v>
      </c>
      <c r="R1333" t="s">
        <v>48</v>
      </c>
      <c r="S1333" t="s">
        <v>62</v>
      </c>
      <c r="T1333" t="s">
        <v>63</v>
      </c>
      <c r="U1333" t="s">
        <v>42</v>
      </c>
      <c r="V1333">
        <v>0</v>
      </c>
      <c r="W1333">
        <v>100000</v>
      </c>
      <c r="X1333" s="1">
        <v>43982</v>
      </c>
      <c r="Y1333" t="s">
        <v>51</v>
      </c>
      <c r="Z1333" t="s">
        <v>43</v>
      </c>
      <c r="AA1333" t="s">
        <v>41</v>
      </c>
      <c r="AB1333" t="s">
        <v>52</v>
      </c>
      <c r="AC1333" t="s">
        <v>53</v>
      </c>
      <c r="AF1333" t="s">
        <v>58</v>
      </c>
      <c r="AG1333" s="1">
        <v>43837</v>
      </c>
      <c r="AH1333" t="s">
        <v>42</v>
      </c>
      <c r="AI1333" t="s">
        <v>55</v>
      </c>
      <c r="AJ1333">
        <v>12788092</v>
      </c>
      <c r="AK1333">
        <v>250000</v>
      </c>
      <c r="AL1333">
        <v>1500000</v>
      </c>
    </row>
    <row r="1334" spans="1:38" x14ac:dyDescent="0.25">
      <c r="A1334" t="s">
        <v>128</v>
      </c>
      <c r="B1334" t="s">
        <v>409</v>
      </c>
      <c r="C1334" t="s">
        <v>40</v>
      </c>
      <c r="D1334" s="1">
        <v>43122</v>
      </c>
      <c r="E1334" s="1">
        <v>43486</v>
      </c>
      <c r="F1334" t="s">
        <v>41</v>
      </c>
      <c r="G1334">
        <v>1</v>
      </c>
      <c r="H1334" t="s">
        <v>42</v>
      </c>
      <c r="I1334" t="s">
        <v>43</v>
      </c>
      <c r="J1334" t="s">
        <v>41</v>
      </c>
      <c r="K1334" t="s">
        <v>127</v>
      </c>
      <c r="L1334">
        <v>825</v>
      </c>
      <c r="M1334" s="1">
        <v>43122</v>
      </c>
      <c r="N1334" t="s">
        <v>45</v>
      </c>
      <c r="O1334" t="s">
        <v>46</v>
      </c>
      <c r="P1334" t="s">
        <v>47</v>
      </c>
      <c r="Q1334" s="1">
        <v>43852</v>
      </c>
      <c r="R1334" t="s">
        <v>48</v>
      </c>
      <c r="S1334" t="s">
        <v>62</v>
      </c>
      <c r="T1334" t="s">
        <v>63</v>
      </c>
      <c r="U1334" t="s">
        <v>42</v>
      </c>
      <c r="V1334">
        <v>0</v>
      </c>
      <c r="W1334">
        <v>100000</v>
      </c>
      <c r="X1334" s="1">
        <v>43982</v>
      </c>
      <c r="Y1334" t="s">
        <v>51</v>
      </c>
      <c r="Z1334" t="s">
        <v>43</v>
      </c>
      <c r="AA1334" t="s">
        <v>41</v>
      </c>
      <c r="AB1334" t="s">
        <v>52</v>
      </c>
      <c r="AC1334" t="s">
        <v>53</v>
      </c>
      <c r="AF1334" t="s">
        <v>59</v>
      </c>
      <c r="AG1334" s="1">
        <v>43838</v>
      </c>
      <c r="AH1334" t="s">
        <v>42</v>
      </c>
      <c r="AI1334" t="s">
        <v>55</v>
      </c>
      <c r="AJ1334">
        <v>12788092</v>
      </c>
      <c r="AK1334">
        <v>250000</v>
      </c>
      <c r="AL1334">
        <v>1500000</v>
      </c>
    </row>
    <row r="1335" spans="1:38" x14ac:dyDescent="0.25">
      <c r="A1335" t="s">
        <v>128</v>
      </c>
      <c r="B1335" t="s">
        <v>409</v>
      </c>
      <c r="C1335" t="s">
        <v>40</v>
      </c>
      <c r="D1335" s="1">
        <v>43122</v>
      </c>
      <c r="E1335" s="1">
        <v>43486</v>
      </c>
      <c r="F1335" t="s">
        <v>41</v>
      </c>
      <c r="G1335">
        <v>1</v>
      </c>
      <c r="H1335" t="s">
        <v>42</v>
      </c>
      <c r="I1335" t="s">
        <v>43</v>
      </c>
      <c r="J1335" t="s">
        <v>41</v>
      </c>
      <c r="K1335" t="s">
        <v>127</v>
      </c>
      <c r="L1335">
        <v>825</v>
      </c>
      <c r="M1335" s="1">
        <v>43122</v>
      </c>
      <c r="N1335" t="s">
        <v>45</v>
      </c>
      <c r="O1335" t="s">
        <v>46</v>
      </c>
      <c r="P1335" t="s">
        <v>47</v>
      </c>
      <c r="Q1335" s="1">
        <v>43852</v>
      </c>
      <c r="R1335" t="s">
        <v>48</v>
      </c>
      <c r="S1335" t="s">
        <v>64</v>
      </c>
      <c r="T1335" t="s">
        <v>65</v>
      </c>
      <c r="U1335" t="s">
        <v>42</v>
      </c>
      <c r="V1335">
        <v>0</v>
      </c>
      <c r="W1335">
        <v>100000</v>
      </c>
      <c r="X1335" s="1">
        <v>43921</v>
      </c>
      <c r="Y1335" t="s">
        <v>51</v>
      </c>
      <c r="Z1335" t="s">
        <v>43</v>
      </c>
      <c r="AA1335" t="s">
        <v>41</v>
      </c>
      <c r="AB1335" t="s">
        <v>52</v>
      </c>
      <c r="AC1335" t="s">
        <v>53</v>
      </c>
      <c r="AF1335" t="s">
        <v>54</v>
      </c>
      <c r="AG1335" s="1">
        <v>43832</v>
      </c>
      <c r="AH1335" t="s">
        <v>42</v>
      </c>
      <c r="AI1335" t="s">
        <v>55</v>
      </c>
      <c r="AJ1335">
        <v>12788092</v>
      </c>
      <c r="AK1335">
        <v>250000</v>
      </c>
      <c r="AL1335">
        <v>1500000</v>
      </c>
    </row>
    <row r="1336" spans="1:38" x14ac:dyDescent="0.25">
      <c r="A1336" t="s">
        <v>128</v>
      </c>
      <c r="B1336" t="s">
        <v>409</v>
      </c>
      <c r="C1336" t="s">
        <v>40</v>
      </c>
      <c r="D1336" s="1">
        <v>43122</v>
      </c>
      <c r="E1336" s="1">
        <v>43486</v>
      </c>
      <c r="F1336" t="s">
        <v>41</v>
      </c>
      <c r="G1336">
        <v>1</v>
      </c>
      <c r="H1336" t="s">
        <v>42</v>
      </c>
      <c r="I1336" t="s">
        <v>43</v>
      </c>
      <c r="J1336" t="s">
        <v>41</v>
      </c>
      <c r="K1336" t="s">
        <v>127</v>
      </c>
      <c r="L1336">
        <v>825</v>
      </c>
      <c r="M1336" s="1">
        <v>43122</v>
      </c>
      <c r="N1336" t="s">
        <v>45</v>
      </c>
      <c r="O1336" t="s">
        <v>46</v>
      </c>
      <c r="P1336" t="s">
        <v>47</v>
      </c>
      <c r="Q1336" s="1">
        <v>43852</v>
      </c>
      <c r="R1336" t="s">
        <v>48</v>
      </c>
      <c r="S1336" t="s">
        <v>64</v>
      </c>
      <c r="T1336" t="s">
        <v>65</v>
      </c>
      <c r="U1336" t="s">
        <v>42</v>
      </c>
      <c r="V1336">
        <v>0</v>
      </c>
      <c r="W1336">
        <v>100000</v>
      </c>
      <c r="X1336" s="1">
        <v>43921</v>
      </c>
      <c r="Y1336" t="s">
        <v>51</v>
      </c>
      <c r="Z1336" t="s">
        <v>43</v>
      </c>
      <c r="AA1336" t="s">
        <v>41</v>
      </c>
      <c r="AB1336" t="s">
        <v>52</v>
      </c>
      <c r="AC1336" t="s">
        <v>53</v>
      </c>
      <c r="AF1336" t="s">
        <v>56</v>
      </c>
      <c r="AG1336" s="1">
        <v>43833</v>
      </c>
      <c r="AH1336" t="s">
        <v>42</v>
      </c>
      <c r="AI1336" t="s">
        <v>55</v>
      </c>
      <c r="AJ1336">
        <v>12788092</v>
      </c>
      <c r="AK1336">
        <v>250000</v>
      </c>
      <c r="AL1336">
        <v>1500000</v>
      </c>
    </row>
    <row r="1337" spans="1:38" x14ac:dyDescent="0.25">
      <c r="A1337" t="s">
        <v>128</v>
      </c>
      <c r="B1337" t="s">
        <v>409</v>
      </c>
      <c r="C1337" t="s">
        <v>40</v>
      </c>
      <c r="D1337" s="1">
        <v>43122</v>
      </c>
      <c r="E1337" s="1">
        <v>43486</v>
      </c>
      <c r="F1337" t="s">
        <v>41</v>
      </c>
      <c r="G1337">
        <v>1</v>
      </c>
      <c r="H1337" t="s">
        <v>42</v>
      </c>
      <c r="I1337" t="s">
        <v>43</v>
      </c>
      <c r="J1337" t="s">
        <v>41</v>
      </c>
      <c r="K1337" t="s">
        <v>127</v>
      </c>
      <c r="L1337">
        <v>825</v>
      </c>
      <c r="M1337" s="1">
        <v>43122</v>
      </c>
      <c r="N1337" t="s">
        <v>45</v>
      </c>
      <c r="O1337" t="s">
        <v>46</v>
      </c>
      <c r="P1337" t="s">
        <v>47</v>
      </c>
      <c r="Q1337" s="1">
        <v>43852</v>
      </c>
      <c r="R1337" t="s">
        <v>48</v>
      </c>
      <c r="S1337" t="s">
        <v>64</v>
      </c>
      <c r="T1337" t="s">
        <v>65</v>
      </c>
      <c r="U1337" t="s">
        <v>42</v>
      </c>
      <c r="V1337">
        <v>0</v>
      </c>
      <c r="W1337">
        <v>100000</v>
      </c>
      <c r="X1337" s="1">
        <v>43921</v>
      </c>
      <c r="Y1337" t="s">
        <v>51</v>
      </c>
      <c r="Z1337" t="s">
        <v>43</v>
      </c>
      <c r="AA1337" t="s">
        <v>41</v>
      </c>
      <c r="AB1337" t="s">
        <v>52</v>
      </c>
      <c r="AC1337" t="s">
        <v>53</v>
      </c>
      <c r="AF1337" t="s">
        <v>57</v>
      </c>
      <c r="AG1337" s="1">
        <v>43836</v>
      </c>
      <c r="AH1337" t="s">
        <v>42</v>
      </c>
      <c r="AI1337" t="s">
        <v>55</v>
      </c>
      <c r="AJ1337">
        <v>12788092</v>
      </c>
      <c r="AK1337">
        <v>250000</v>
      </c>
      <c r="AL1337">
        <v>1500000</v>
      </c>
    </row>
    <row r="1338" spans="1:38" x14ac:dyDescent="0.25">
      <c r="A1338" t="s">
        <v>128</v>
      </c>
      <c r="B1338" t="s">
        <v>409</v>
      </c>
      <c r="C1338" t="s">
        <v>40</v>
      </c>
      <c r="D1338" s="1">
        <v>43122</v>
      </c>
      <c r="E1338" s="1">
        <v>43486</v>
      </c>
      <c r="F1338" t="s">
        <v>41</v>
      </c>
      <c r="G1338">
        <v>1</v>
      </c>
      <c r="H1338" t="s">
        <v>42</v>
      </c>
      <c r="I1338" t="s">
        <v>43</v>
      </c>
      <c r="J1338" t="s">
        <v>41</v>
      </c>
      <c r="K1338" t="s">
        <v>127</v>
      </c>
      <c r="L1338">
        <v>825</v>
      </c>
      <c r="M1338" s="1">
        <v>43122</v>
      </c>
      <c r="N1338" t="s">
        <v>45</v>
      </c>
      <c r="O1338" t="s">
        <v>46</v>
      </c>
      <c r="P1338" t="s">
        <v>47</v>
      </c>
      <c r="Q1338" s="1">
        <v>43852</v>
      </c>
      <c r="R1338" t="s">
        <v>48</v>
      </c>
      <c r="S1338" t="s">
        <v>64</v>
      </c>
      <c r="T1338" t="s">
        <v>65</v>
      </c>
      <c r="U1338" t="s">
        <v>42</v>
      </c>
      <c r="V1338">
        <v>0</v>
      </c>
      <c r="W1338">
        <v>100000</v>
      </c>
      <c r="X1338" s="1">
        <v>43921</v>
      </c>
      <c r="Y1338" t="s">
        <v>51</v>
      </c>
      <c r="Z1338" t="s">
        <v>43</v>
      </c>
      <c r="AA1338" t="s">
        <v>41</v>
      </c>
      <c r="AB1338" t="s">
        <v>52</v>
      </c>
      <c r="AC1338" t="s">
        <v>53</v>
      </c>
      <c r="AF1338" t="s">
        <v>58</v>
      </c>
      <c r="AG1338" s="1">
        <v>43837</v>
      </c>
      <c r="AH1338" t="s">
        <v>42</v>
      </c>
      <c r="AI1338" t="s">
        <v>55</v>
      </c>
      <c r="AJ1338">
        <v>12788092</v>
      </c>
      <c r="AK1338">
        <v>250000</v>
      </c>
      <c r="AL1338">
        <v>1500000</v>
      </c>
    </row>
    <row r="1339" spans="1:38" x14ac:dyDescent="0.25">
      <c r="A1339" t="s">
        <v>128</v>
      </c>
      <c r="B1339" t="s">
        <v>409</v>
      </c>
      <c r="C1339" t="s">
        <v>40</v>
      </c>
      <c r="D1339" s="1">
        <v>43122</v>
      </c>
      <c r="E1339" s="1">
        <v>43486</v>
      </c>
      <c r="F1339" t="s">
        <v>41</v>
      </c>
      <c r="G1339">
        <v>1</v>
      </c>
      <c r="H1339" t="s">
        <v>42</v>
      </c>
      <c r="I1339" t="s">
        <v>43</v>
      </c>
      <c r="J1339" t="s">
        <v>41</v>
      </c>
      <c r="K1339" t="s">
        <v>127</v>
      </c>
      <c r="L1339">
        <v>825</v>
      </c>
      <c r="M1339" s="1">
        <v>43122</v>
      </c>
      <c r="N1339" t="s">
        <v>45</v>
      </c>
      <c r="O1339" t="s">
        <v>46</v>
      </c>
      <c r="P1339" t="s">
        <v>47</v>
      </c>
      <c r="Q1339" s="1">
        <v>43852</v>
      </c>
      <c r="R1339" t="s">
        <v>48</v>
      </c>
      <c r="S1339" t="s">
        <v>64</v>
      </c>
      <c r="T1339" t="s">
        <v>65</v>
      </c>
      <c r="U1339" t="s">
        <v>42</v>
      </c>
      <c r="V1339">
        <v>0</v>
      </c>
      <c r="W1339">
        <v>100000</v>
      </c>
      <c r="X1339" s="1">
        <v>43921</v>
      </c>
      <c r="Y1339" t="s">
        <v>51</v>
      </c>
      <c r="Z1339" t="s">
        <v>43</v>
      </c>
      <c r="AA1339" t="s">
        <v>41</v>
      </c>
      <c r="AB1339" t="s">
        <v>52</v>
      </c>
      <c r="AC1339" t="s">
        <v>53</v>
      </c>
      <c r="AF1339" t="s">
        <v>59</v>
      </c>
      <c r="AG1339" s="1">
        <v>43838</v>
      </c>
      <c r="AH1339" t="s">
        <v>42</v>
      </c>
      <c r="AI1339" t="s">
        <v>55</v>
      </c>
      <c r="AJ1339">
        <v>12788092</v>
      </c>
      <c r="AK1339">
        <v>250000</v>
      </c>
      <c r="AL1339">
        <v>1500000</v>
      </c>
    </row>
    <row r="1340" spans="1:38" x14ac:dyDescent="0.25">
      <c r="A1340" t="s">
        <v>141</v>
      </c>
      <c r="B1340" t="s">
        <v>410</v>
      </c>
      <c r="C1340" t="s">
        <v>71</v>
      </c>
      <c r="D1340" s="1">
        <v>43151</v>
      </c>
      <c r="E1340" s="1">
        <v>43515</v>
      </c>
      <c r="F1340" t="s">
        <v>76</v>
      </c>
      <c r="G1340">
        <v>9</v>
      </c>
      <c r="H1340" t="s">
        <v>121</v>
      </c>
      <c r="I1340" t="s">
        <v>43</v>
      </c>
      <c r="J1340" t="s">
        <v>115</v>
      </c>
      <c r="K1340" t="s">
        <v>44</v>
      </c>
      <c r="L1340">
        <v>8452.1299999999992</v>
      </c>
      <c r="M1340" s="1">
        <v>43151</v>
      </c>
      <c r="N1340" t="s">
        <v>45</v>
      </c>
      <c r="O1340" t="s">
        <v>46</v>
      </c>
      <c r="P1340" t="s">
        <v>47</v>
      </c>
      <c r="Q1340" s="1">
        <v>43852</v>
      </c>
      <c r="R1340" t="s">
        <v>48</v>
      </c>
    </row>
    <row r="1341" spans="1:38" x14ac:dyDescent="0.25">
      <c r="A1341" t="s">
        <v>143</v>
      </c>
      <c r="B1341" t="s">
        <v>411</v>
      </c>
      <c r="C1341" t="s">
        <v>40</v>
      </c>
      <c r="D1341" s="1">
        <v>43466</v>
      </c>
      <c r="E1341" s="1">
        <v>43830</v>
      </c>
      <c r="F1341" t="s">
        <v>72</v>
      </c>
      <c r="G1341">
        <v>9</v>
      </c>
      <c r="H1341" t="s">
        <v>121</v>
      </c>
      <c r="I1341" t="s">
        <v>43</v>
      </c>
      <c r="J1341" t="s">
        <v>115</v>
      </c>
      <c r="K1341" t="s">
        <v>127</v>
      </c>
      <c r="L1341">
        <v>7475</v>
      </c>
      <c r="M1341" s="1">
        <v>43466</v>
      </c>
      <c r="N1341" t="s">
        <v>45</v>
      </c>
      <c r="O1341" t="s">
        <v>46</v>
      </c>
      <c r="P1341" t="s">
        <v>47</v>
      </c>
      <c r="Q1341" s="1">
        <v>43852</v>
      </c>
      <c r="R1341" t="s">
        <v>48</v>
      </c>
    </row>
    <row r="1342" spans="1:38" x14ac:dyDescent="0.25">
      <c r="A1342" t="s">
        <v>144</v>
      </c>
      <c r="B1342" t="s">
        <v>412</v>
      </c>
      <c r="C1342" t="s">
        <v>40</v>
      </c>
      <c r="D1342" s="1">
        <v>43507</v>
      </c>
      <c r="E1342" s="1">
        <v>43871</v>
      </c>
      <c r="F1342" t="s">
        <v>76</v>
      </c>
      <c r="G1342">
        <v>9</v>
      </c>
      <c r="H1342" t="s">
        <v>121</v>
      </c>
      <c r="I1342" t="s">
        <v>43</v>
      </c>
      <c r="J1342" t="s">
        <v>115</v>
      </c>
      <c r="K1342" t="s">
        <v>127</v>
      </c>
      <c r="L1342">
        <v>15563.87</v>
      </c>
      <c r="M1342" s="1">
        <v>43507</v>
      </c>
      <c r="N1342" t="s">
        <v>45</v>
      </c>
      <c r="O1342" t="s">
        <v>46</v>
      </c>
      <c r="P1342" t="s">
        <v>47</v>
      </c>
      <c r="Q1342" s="1">
        <v>43852</v>
      </c>
      <c r="R1342" t="s">
        <v>48</v>
      </c>
    </row>
    <row r="1343" spans="1:38" x14ac:dyDescent="0.25">
      <c r="A1343" t="s">
        <v>146</v>
      </c>
      <c r="B1343">
        <v>43177302</v>
      </c>
      <c r="C1343" t="s">
        <v>40</v>
      </c>
      <c r="D1343" s="1">
        <v>43432</v>
      </c>
      <c r="E1343" s="1">
        <v>43612</v>
      </c>
      <c r="F1343" t="s">
        <v>76</v>
      </c>
      <c r="G1343">
        <v>9</v>
      </c>
      <c r="H1343" t="s">
        <v>121</v>
      </c>
      <c r="I1343" t="s">
        <v>43</v>
      </c>
      <c r="J1343" t="s">
        <v>86</v>
      </c>
      <c r="K1343" t="s">
        <v>127</v>
      </c>
      <c r="L1343">
        <v>2739.83</v>
      </c>
      <c r="M1343" s="1">
        <v>43432</v>
      </c>
      <c r="N1343" t="s">
        <v>45</v>
      </c>
      <c r="O1343" t="s">
        <v>46</v>
      </c>
      <c r="P1343" t="s">
        <v>47</v>
      </c>
      <c r="Q1343" s="1">
        <v>43852</v>
      </c>
      <c r="R1343" t="s">
        <v>48</v>
      </c>
    </row>
    <row r="1344" spans="1:38" x14ac:dyDescent="0.25">
      <c r="A1344" t="s">
        <v>148</v>
      </c>
      <c r="B1344">
        <v>43179225</v>
      </c>
      <c r="C1344" t="s">
        <v>40</v>
      </c>
      <c r="D1344" s="1">
        <v>43463</v>
      </c>
      <c r="E1344" s="1">
        <v>43644</v>
      </c>
      <c r="F1344" t="s">
        <v>76</v>
      </c>
      <c r="G1344">
        <v>9</v>
      </c>
      <c r="H1344" t="s">
        <v>121</v>
      </c>
      <c r="I1344" t="s">
        <v>43</v>
      </c>
      <c r="J1344" t="s">
        <v>86</v>
      </c>
      <c r="K1344" t="s">
        <v>44</v>
      </c>
      <c r="L1344">
        <v>2228.33</v>
      </c>
      <c r="M1344" s="1">
        <v>43463</v>
      </c>
      <c r="N1344" t="s">
        <v>45</v>
      </c>
      <c r="O1344" t="s">
        <v>46</v>
      </c>
      <c r="P1344" t="s">
        <v>47</v>
      </c>
      <c r="Q1344" s="1">
        <v>43852</v>
      </c>
      <c r="R1344" t="s">
        <v>48</v>
      </c>
    </row>
    <row r="1345" spans="1:38" x14ac:dyDescent="0.25">
      <c r="A1345" t="s">
        <v>150</v>
      </c>
      <c r="B1345" t="s">
        <v>413</v>
      </c>
      <c r="C1345" t="s">
        <v>40</v>
      </c>
      <c r="D1345" s="1">
        <v>43516</v>
      </c>
      <c r="E1345" s="1">
        <v>43880</v>
      </c>
      <c r="F1345" t="s">
        <v>76</v>
      </c>
      <c r="G1345">
        <v>9</v>
      </c>
      <c r="H1345" t="s">
        <v>121</v>
      </c>
      <c r="I1345" t="s">
        <v>43</v>
      </c>
      <c r="J1345" t="s">
        <v>115</v>
      </c>
      <c r="K1345" t="s">
        <v>44</v>
      </c>
      <c r="L1345">
        <v>7162.88</v>
      </c>
      <c r="M1345" s="1">
        <v>43516</v>
      </c>
      <c r="N1345" t="s">
        <v>45</v>
      </c>
      <c r="O1345" t="s">
        <v>44</v>
      </c>
      <c r="P1345" t="s">
        <v>47</v>
      </c>
      <c r="Q1345" s="1">
        <v>43852</v>
      </c>
      <c r="R1345" t="s">
        <v>48</v>
      </c>
    </row>
    <row r="1346" spans="1:38" x14ac:dyDescent="0.25">
      <c r="A1346" t="s">
        <v>151</v>
      </c>
      <c r="B1346" t="s">
        <v>414</v>
      </c>
      <c r="C1346" t="s">
        <v>40</v>
      </c>
      <c r="D1346" s="1">
        <v>43504</v>
      </c>
      <c r="E1346" s="1">
        <v>43868</v>
      </c>
      <c r="F1346" t="s">
        <v>72</v>
      </c>
      <c r="G1346">
        <v>13</v>
      </c>
      <c r="H1346" t="s">
        <v>316</v>
      </c>
      <c r="I1346" t="s">
        <v>43</v>
      </c>
      <c r="J1346" t="s">
        <v>115</v>
      </c>
      <c r="K1346" t="s">
        <v>68</v>
      </c>
      <c r="L1346">
        <v>1569.64</v>
      </c>
      <c r="M1346" s="1">
        <v>43504</v>
      </c>
      <c r="N1346" t="s">
        <v>45</v>
      </c>
      <c r="O1346" t="s">
        <v>46</v>
      </c>
      <c r="P1346" t="s">
        <v>47</v>
      </c>
      <c r="Q1346" s="1">
        <v>43852</v>
      </c>
      <c r="R1346" t="s">
        <v>48</v>
      </c>
    </row>
    <row r="1347" spans="1:38" x14ac:dyDescent="0.25">
      <c r="A1347" t="s">
        <v>152</v>
      </c>
      <c r="B1347" t="s">
        <v>415</v>
      </c>
      <c r="C1347" t="s">
        <v>40</v>
      </c>
      <c r="D1347" s="1">
        <v>43169</v>
      </c>
      <c r="E1347" s="1">
        <v>43533</v>
      </c>
      <c r="F1347" t="s">
        <v>72</v>
      </c>
      <c r="G1347">
        <v>1</v>
      </c>
      <c r="H1347" t="s">
        <v>42</v>
      </c>
      <c r="I1347" t="s">
        <v>43</v>
      </c>
      <c r="J1347" t="s">
        <v>115</v>
      </c>
      <c r="K1347" t="s">
        <v>68</v>
      </c>
      <c r="L1347">
        <v>2340.25</v>
      </c>
      <c r="M1347" s="1">
        <v>43169</v>
      </c>
      <c r="N1347" t="s">
        <v>45</v>
      </c>
      <c r="O1347" t="s">
        <v>46</v>
      </c>
      <c r="P1347" t="s">
        <v>47</v>
      </c>
      <c r="Q1347" s="1">
        <v>43852</v>
      </c>
      <c r="R1347" t="s">
        <v>48</v>
      </c>
    </row>
    <row r="1348" spans="1:38" x14ac:dyDescent="0.25">
      <c r="A1348" t="s">
        <v>153</v>
      </c>
      <c r="B1348" t="s">
        <v>416</v>
      </c>
      <c r="C1348" t="s">
        <v>40</v>
      </c>
      <c r="D1348" s="1">
        <v>43169</v>
      </c>
      <c r="E1348" s="1">
        <v>43533</v>
      </c>
      <c r="F1348" t="s">
        <v>76</v>
      </c>
      <c r="G1348">
        <v>1</v>
      </c>
      <c r="H1348" t="s">
        <v>42</v>
      </c>
      <c r="I1348" t="s">
        <v>43</v>
      </c>
      <c r="J1348" t="s">
        <v>115</v>
      </c>
      <c r="K1348" t="s">
        <v>68</v>
      </c>
      <c r="L1348">
        <v>125</v>
      </c>
      <c r="M1348" s="1">
        <v>43169</v>
      </c>
      <c r="N1348" t="s">
        <v>45</v>
      </c>
      <c r="O1348" t="s">
        <v>46</v>
      </c>
      <c r="P1348" t="s">
        <v>47</v>
      </c>
      <c r="Q1348" s="1">
        <v>43852</v>
      </c>
      <c r="R1348" t="s">
        <v>48</v>
      </c>
      <c r="S1348" t="s">
        <v>78</v>
      </c>
      <c r="T1348" t="s">
        <v>79</v>
      </c>
      <c r="U1348" t="s">
        <v>42</v>
      </c>
      <c r="V1348">
        <v>1200000</v>
      </c>
      <c r="W1348">
        <v>100000</v>
      </c>
      <c r="X1348" s="1">
        <v>43921</v>
      </c>
      <c r="Y1348" t="s">
        <v>51</v>
      </c>
      <c r="Z1348" t="s">
        <v>43</v>
      </c>
      <c r="AA1348" t="s">
        <v>80</v>
      </c>
      <c r="AB1348" t="s">
        <v>76</v>
      </c>
      <c r="AC1348" t="s">
        <v>81</v>
      </c>
      <c r="AF1348" t="s">
        <v>54</v>
      </c>
      <c r="AG1348" s="1">
        <v>43832</v>
      </c>
      <c r="AH1348" t="s">
        <v>42</v>
      </c>
      <c r="AI1348" t="s">
        <v>55</v>
      </c>
      <c r="AJ1348">
        <v>12788092</v>
      </c>
      <c r="AK1348">
        <v>250000</v>
      </c>
      <c r="AL1348">
        <v>1500000</v>
      </c>
    </row>
    <row r="1349" spans="1:38" x14ac:dyDescent="0.25">
      <c r="A1349" t="s">
        <v>153</v>
      </c>
      <c r="B1349" t="s">
        <v>416</v>
      </c>
      <c r="C1349" t="s">
        <v>40</v>
      </c>
      <c r="D1349" s="1">
        <v>43169</v>
      </c>
      <c r="E1349" s="1">
        <v>43533</v>
      </c>
      <c r="F1349" t="s">
        <v>76</v>
      </c>
      <c r="G1349">
        <v>1</v>
      </c>
      <c r="H1349" t="s">
        <v>42</v>
      </c>
      <c r="I1349" t="s">
        <v>43</v>
      </c>
      <c r="J1349" t="s">
        <v>115</v>
      </c>
      <c r="K1349" t="s">
        <v>68</v>
      </c>
      <c r="L1349">
        <v>125</v>
      </c>
      <c r="M1349" s="1">
        <v>43169</v>
      </c>
      <c r="N1349" t="s">
        <v>45</v>
      </c>
      <c r="O1349" t="s">
        <v>46</v>
      </c>
      <c r="P1349" t="s">
        <v>47</v>
      </c>
      <c r="Q1349" s="1">
        <v>43852</v>
      </c>
      <c r="R1349" t="s">
        <v>48</v>
      </c>
      <c r="S1349" t="s">
        <v>78</v>
      </c>
      <c r="T1349" t="s">
        <v>79</v>
      </c>
      <c r="U1349" t="s">
        <v>42</v>
      </c>
      <c r="V1349">
        <v>1200000</v>
      </c>
      <c r="W1349">
        <v>100000</v>
      </c>
      <c r="X1349" s="1">
        <v>43921</v>
      </c>
      <c r="Y1349" t="s">
        <v>51</v>
      </c>
      <c r="Z1349" t="s">
        <v>43</v>
      </c>
      <c r="AA1349" t="s">
        <v>80</v>
      </c>
      <c r="AB1349" t="s">
        <v>76</v>
      </c>
      <c r="AC1349" t="s">
        <v>81</v>
      </c>
      <c r="AF1349" t="s">
        <v>56</v>
      </c>
      <c r="AG1349" s="1">
        <v>43833</v>
      </c>
      <c r="AH1349" t="s">
        <v>42</v>
      </c>
      <c r="AI1349" t="s">
        <v>55</v>
      </c>
      <c r="AJ1349">
        <v>12788092</v>
      </c>
      <c r="AK1349">
        <v>250000</v>
      </c>
      <c r="AL1349">
        <v>1500000</v>
      </c>
    </row>
    <row r="1350" spans="1:38" x14ac:dyDescent="0.25">
      <c r="A1350" t="s">
        <v>153</v>
      </c>
      <c r="B1350" t="s">
        <v>416</v>
      </c>
      <c r="C1350" t="s">
        <v>40</v>
      </c>
      <c r="D1350" s="1">
        <v>43169</v>
      </c>
      <c r="E1350" s="1">
        <v>43533</v>
      </c>
      <c r="F1350" t="s">
        <v>76</v>
      </c>
      <c r="G1350">
        <v>1</v>
      </c>
      <c r="H1350" t="s">
        <v>42</v>
      </c>
      <c r="I1350" t="s">
        <v>43</v>
      </c>
      <c r="J1350" t="s">
        <v>115</v>
      </c>
      <c r="K1350" t="s">
        <v>68</v>
      </c>
      <c r="L1350">
        <v>125</v>
      </c>
      <c r="M1350" s="1">
        <v>43169</v>
      </c>
      <c r="N1350" t="s">
        <v>45</v>
      </c>
      <c r="O1350" t="s">
        <v>46</v>
      </c>
      <c r="P1350" t="s">
        <v>47</v>
      </c>
      <c r="Q1350" s="1">
        <v>43852</v>
      </c>
      <c r="R1350" t="s">
        <v>48</v>
      </c>
      <c r="S1350" t="s">
        <v>78</v>
      </c>
      <c r="T1350" t="s">
        <v>79</v>
      </c>
      <c r="U1350" t="s">
        <v>42</v>
      </c>
      <c r="V1350">
        <v>1200000</v>
      </c>
      <c r="W1350">
        <v>100000</v>
      </c>
      <c r="X1350" s="1">
        <v>43921</v>
      </c>
      <c r="Y1350" t="s">
        <v>51</v>
      </c>
      <c r="Z1350" t="s">
        <v>43</v>
      </c>
      <c r="AA1350" t="s">
        <v>80</v>
      </c>
      <c r="AB1350" t="s">
        <v>76</v>
      </c>
      <c r="AC1350" t="s">
        <v>81</v>
      </c>
      <c r="AF1350" t="s">
        <v>57</v>
      </c>
      <c r="AG1350" s="1">
        <v>43836</v>
      </c>
      <c r="AH1350" t="s">
        <v>42</v>
      </c>
      <c r="AI1350" t="s">
        <v>55</v>
      </c>
      <c r="AJ1350">
        <v>12788092</v>
      </c>
      <c r="AK1350">
        <v>250000</v>
      </c>
      <c r="AL1350">
        <v>1500000</v>
      </c>
    </row>
    <row r="1351" spans="1:38" x14ac:dyDescent="0.25">
      <c r="A1351" t="s">
        <v>153</v>
      </c>
      <c r="B1351" t="s">
        <v>416</v>
      </c>
      <c r="C1351" t="s">
        <v>40</v>
      </c>
      <c r="D1351" s="1">
        <v>43169</v>
      </c>
      <c r="E1351" s="1">
        <v>43533</v>
      </c>
      <c r="F1351" t="s">
        <v>76</v>
      </c>
      <c r="G1351">
        <v>1</v>
      </c>
      <c r="H1351" t="s">
        <v>42</v>
      </c>
      <c r="I1351" t="s">
        <v>43</v>
      </c>
      <c r="J1351" t="s">
        <v>115</v>
      </c>
      <c r="K1351" t="s">
        <v>68</v>
      </c>
      <c r="L1351">
        <v>125</v>
      </c>
      <c r="M1351" s="1">
        <v>43169</v>
      </c>
      <c r="N1351" t="s">
        <v>45</v>
      </c>
      <c r="O1351" t="s">
        <v>46</v>
      </c>
      <c r="P1351" t="s">
        <v>47</v>
      </c>
      <c r="Q1351" s="1">
        <v>43852</v>
      </c>
      <c r="R1351" t="s">
        <v>48</v>
      </c>
      <c r="S1351" t="s">
        <v>78</v>
      </c>
      <c r="T1351" t="s">
        <v>79</v>
      </c>
      <c r="U1351" t="s">
        <v>42</v>
      </c>
      <c r="V1351">
        <v>1200000</v>
      </c>
      <c r="W1351">
        <v>100000</v>
      </c>
      <c r="X1351" s="1">
        <v>43921</v>
      </c>
      <c r="Y1351" t="s">
        <v>51</v>
      </c>
      <c r="Z1351" t="s">
        <v>43</v>
      </c>
      <c r="AA1351" t="s">
        <v>80</v>
      </c>
      <c r="AB1351" t="s">
        <v>76</v>
      </c>
      <c r="AC1351" t="s">
        <v>81</v>
      </c>
      <c r="AF1351" t="s">
        <v>58</v>
      </c>
      <c r="AG1351" s="1">
        <v>43837</v>
      </c>
      <c r="AH1351" t="s">
        <v>42</v>
      </c>
      <c r="AI1351" t="s">
        <v>55</v>
      </c>
      <c r="AJ1351">
        <v>12788092</v>
      </c>
      <c r="AK1351">
        <v>250000</v>
      </c>
      <c r="AL1351">
        <v>1500000</v>
      </c>
    </row>
    <row r="1352" spans="1:38" x14ac:dyDescent="0.25">
      <c r="A1352" t="s">
        <v>153</v>
      </c>
      <c r="B1352" t="s">
        <v>416</v>
      </c>
      <c r="C1352" t="s">
        <v>40</v>
      </c>
      <c r="D1352" s="1">
        <v>43169</v>
      </c>
      <c r="E1352" s="1">
        <v>43533</v>
      </c>
      <c r="F1352" t="s">
        <v>76</v>
      </c>
      <c r="G1352">
        <v>1</v>
      </c>
      <c r="H1352" t="s">
        <v>42</v>
      </c>
      <c r="I1352" t="s">
        <v>43</v>
      </c>
      <c r="J1352" t="s">
        <v>115</v>
      </c>
      <c r="K1352" t="s">
        <v>68</v>
      </c>
      <c r="L1352">
        <v>125</v>
      </c>
      <c r="M1352" s="1">
        <v>43169</v>
      </c>
      <c r="N1352" t="s">
        <v>45</v>
      </c>
      <c r="O1352" t="s">
        <v>46</v>
      </c>
      <c r="P1352" t="s">
        <v>47</v>
      </c>
      <c r="Q1352" s="1">
        <v>43852</v>
      </c>
      <c r="R1352" t="s">
        <v>48</v>
      </c>
      <c r="S1352" t="s">
        <v>78</v>
      </c>
      <c r="T1352" t="s">
        <v>79</v>
      </c>
      <c r="U1352" t="s">
        <v>42</v>
      </c>
      <c r="V1352">
        <v>1200000</v>
      </c>
      <c r="W1352">
        <v>100000</v>
      </c>
      <c r="X1352" s="1">
        <v>43921</v>
      </c>
      <c r="Y1352" t="s">
        <v>51</v>
      </c>
      <c r="Z1352" t="s">
        <v>43</v>
      </c>
      <c r="AA1352" t="s">
        <v>80</v>
      </c>
      <c r="AB1352" t="s">
        <v>76</v>
      </c>
      <c r="AC1352" t="s">
        <v>81</v>
      </c>
      <c r="AF1352" t="s">
        <v>59</v>
      </c>
      <c r="AG1352" s="1">
        <v>43838</v>
      </c>
      <c r="AH1352" t="s">
        <v>42</v>
      </c>
      <c r="AI1352" t="s">
        <v>55</v>
      </c>
      <c r="AJ1352">
        <v>12788092</v>
      </c>
      <c r="AK1352">
        <v>250000</v>
      </c>
      <c r="AL1352">
        <v>1500000</v>
      </c>
    </row>
    <row r="1353" spans="1:38" x14ac:dyDescent="0.25">
      <c r="A1353" t="s">
        <v>167</v>
      </c>
      <c r="B1353" t="s">
        <v>417</v>
      </c>
      <c r="C1353" t="s">
        <v>40</v>
      </c>
      <c r="D1353" s="1">
        <v>43252</v>
      </c>
      <c r="E1353" s="1">
        <v>43616</v>
      </c>
      <c r="F1353" t="s">
        <v>77</v>
      </c>
      <c r="G1353">
        <v>11</v>
      </c>
      <c r="H1353" t="s">
        <v>223</v>
      </c>
      <c r="I1353" t="s">
        <v>43</v>
      </c>
      <c r="J1353" t="s">
        <v>77</v>
      </c>
      <c r="K1353" t="s">
        <v>68</v>
      </c>
      <c r="L1353">
        <v>100000</v>
      </c>
      <c r="M1353" s="1">
        <v>43252</v>
      </c>
      <c r="N1353" t="s">
        <v>45</v>
      </c>
      <c r="O1353" t="s">
        <v>106</v>
      </c>
      <c r="P1353" t="s">
        <v>47</v>
      </c>
      <c r="Q1353" s="1">
        <v>43852</v>
      </c>
      <c r="R1353" t="s">
        <v>48</v>
      </c>
    </row>
    <row r="1354" spans="1:38" x14ac:dyDescent="0.25">
      <c r="A1354" t="s">
        <v>169</v>
      </c>
      <c r="B1354" t="s">
        <v>417</v>
      </c>
      <c r="C1354" t="s">
        <v>40</v>
      </c>
      <c r="D1354" s="1">
        <v>43252</v>
      </c>
      <c r="E1354" s="1">
        <v>43616</v>
      </c>
      <c r="F1354" t="s">
        <v>77</v>
      </c>
      <c r="G1354">
        <v>11</v>
      </c>
      <c r="H1354" t="s">
        <v>223</v>
      </c>
      <c r="I1354" t="s">
        <v>43</v>
      </c>
      <c r="J1354" t="s">
        <v>77</v>
      </c>
      <c r="K1354" t="s">
        <v>68</v>
      </c>
      <c r="L1354">
        <v>13134.29</v>
      </c>
      <c r="M1354" s="1">
        <v>43315</v>
      </c>
      <c r="N1354" t="s">
        <v>108</v>
      </c>
      <c r="O1354" t="s">
        <v>106</v>
      </c>
      <c r="P1354" t="s">
        <v>47</v>
      </c>
      <c r="Q1354" s="1">
        <v>43852</v>
      </c>
      <c r="R1354" t="s">
        <v>48</v>
      </c>
    </row>
    <row r="1355" spans="1:38" x14ac:dyDescent="0.25">
      <c r="A1355" t="s">
        <v>170</v>
      </c>
      <c r="B1355" t="s">
        <v>418</v>
      </c>
      <c r="C1355" t="s">
        <v>40</v>
      </c>
      <c r="D1355" s="1">
        <v>43577</v>
      </c>
      <c r="E1355" s="1">
        <v>43942</v>
      </c>
      <c r="F1355" t="s">
        <v>77</v>
      </c>
      <c r="G1355">
        <v>11</v>
      </c>
      <c r="H1355" t="s">
        <v>223</v>
      </c>
      <c r="I1355" t="s">
        <v>43</v>
      </c>
      <c r="J1355" t="s">
        <v>77</v>
      </c>
      <c r="K1355" t="s">
        <v>127</v>
      </c>
      <c r="L1355">
        <v>60025</v>
      </c>
      <c r="M1355" s="1">
        <v>43577</v>
      </c>
      <c r="N1355" t="s">
        <v>45</v>
      </c>
      <c r="O1355" t="s">
        <v>46</v>
      </c>
      <c r="P1355" t="s">
        <v>47</v>
      </c>
      <c r="Q1355" s="1">
        <v>43852</v>
      </c>
      <c r="R1355" t="s">
        <v>48</v>
      </c>
    </row>
    <row r="1356" spans="1:38" x14ac:dyDescent="0.25">
      <c r="A1356" t="s">
        <v>171</v>
      </c>
      <c r="B1356" s="2">
        <v>2.9992E+18</v>
      </c>
      <c r="C1356" t="s">
        <v>40</v>
      </c>
      <c r="D1356" s="1">
        <v>43654</v>
      </c>
      <c r="E1356" s="1">
        <v>44019</v>
      </c>
      <c r="F1356" t="s">
        <v>77</v>
      </c>
      <c r="G1356">
        <v>11</v>
      </c>
      <c r="H1356" t="s">
        <v>223</v>
      </c>
      <c r="I1356" t="s">
        <v>43</v>
      </c>
      <c r="J1356" t="s">
        <v>77</v>
      </c>
      <c r="K1356" t="s">
        <v>127</v>
      </c>
      <c r="L1356">
        <v>60025</v>
      </c>
      <c r="M1356" s="1">
        <v>43654</v>
      </c>
      <c r="N1356" t="s">
        <v>45</v>
      </c>
      <c r="O1356" t="s">
        <v>46</v>
      </c>
      <c r="P1356" t="s">
        <v>47</v>
      </c>
      <c r="Q1356" s="1">
        <v>43852</v>
      </c>
      <c r="R1356" t="s">
        <v>48</v>
      </c>
    </row>
    <row r="1357" spans="1:38" x14ac:dyDescent="0.25">
      <c r="A1357" t="s">
        <v>173</v>
      </c>
      <c r="B1357" s="2">
        <v>2.9992E+18</v>
      </c>
      <c r="C1357" t="s">
        <v>40</v>
      </c>
      <c r="D1357" s="1">
        <v>43654</v>
      </c>
      <c r="E1357" s="1">
        <v>44019</v>
      </c>
      <c r="F1357" t="s">
        <v>77</v>
      </c>
      <c r="G1357">
        <v>11</v>
      </c>
      <c r="H1357" t="s">
        <v>223</v>
      </c>
      <c r="I1357" t="s">
        <v>43</v>
      </c>
      <c r="J1357" t="s">
        <v>77</v>
      </c>
      <c r="K1357" t="s">
        <v>127</v>
      </c>
      <c r="L1357">
        <v>60025</v>
      </c>
      <c r="M1357" s="1">
        <v>43654</v>
      </c>
      <c r="N1357" t="s">
        <v>45</v>
      </c>
      <c r="O1357" t="s">
        <v>46</v>
      </c>
      <c r="P1357" t="s">
        <v>47</v>
      </c>
      <c r="Q1357" s="1">
        <v>43852</v>
      </c>
      <c r="R1357" t="s">
        <v>48</v>
      </c>
    </row>
    <row r="1358" spans="1:38" x14ac:dyDescent="0.25">
      <c r="A1358" t="s">
        <v>175</v>
      </c>
      <c r="B1358" t="s">
        <v>419</v>
      </c>
      <c r="C1358" t="s">
        <v>71</v>
      </c>
      <c r="D1358" s="1">
        <v>43280</v>
      </c>
      <c r="E1358" s="1">
        <v>43644</v>
      </c>
      <c r="F1358" t="s">
        <v>84</v>
      </c>
      <c r="G1358">
        <v>10</v>
      </c>
      <c r="H1358" t="s">
        <v>85</v>
      </c>
      <c r="I1358" t="s">
        <v>43</v>
      </c>
      <c r="J1358" t="s">
        <v>86</v>
      </c>
      <c r="K1358" t="s">
        <v>44</v>
      </c>
      <c r="L1358">
        <v>5839.35</v>
      </c>
      <c r="M1358" s="1">
        <v>43280</v>
      </c>
      <c r="N1358" t="s">
        <v>45</v>
      </c>
      <c r="O1358" t="s">
        <v>361</v>
      </c>
      <c r="P1358" t="s">
        <v>396</v>
      </c>
      <c r="Q1358" s="1">
        <v>43852</v>
      </c>
      <c r="R1358" t="s">
        <v>396</v>
      </c>
      <c r="S1358" t="s">
        <v>87</v>
      </c>
      <c r="T1358" t="s">
        <v>88</v>
      </c>
      <c r="U1358" t="s">
        <v>85</v>
      </c>
      <c r="V1358">
        <v>1400000</v>
      </c>
      <c r="W1358">
        <v>100000</v>
      </c>
      <c r="X1358" s="1">
        <v>43808</v>
      </c>
      <c r="Y1358" t="s">
        <v>51</v>
      </c>
      <c r="Z1358" t="s">
        <v>43</v>
      </c>
      <c r="AA1358" t="s">
        <v>86</v>
      </c>
      <c r="AB1358" t="s">
        <v>89</v>
      </c>
      <c r="AC1358" t="s">
        <v>90</v>
      </c>
      <c r="AF1358" t="s">
        <v>91</v>
      </c>
      <c r="AG1358" s="1">
        <v>43852</v>
      </c>
      <c r="AH1358" t="s">
        <v>85</v>
      </c>
      <c r="AI1358" t="s">
        <v>92</v>
      </c>
      <c r="AJ1358">
        <v>19888</v>
      </c>
      <c r="AK1358">
        <v>128777</v>
      </c>
      <c r="AL1358">
        <v>198882</v>
      </c>
    </row>
    <row r="1359" spans="1:38" x14ac:dyDescent="0.25">
      <c r="A1359" t="s">
        <v>175</v>
      </c>
      <c r="B1359" t="s">
        <v>419</v>
      </c>
      <c r="C1359" t="s">
        <v>71</v>
      </c>
      <c r="D1359" s="1">
        <v>43280</v>
      </c>
      <c r="E1359" s="1">
        <v>43644</v>
      </c>
      <c r="F1359" t="s">
        <v>84</v>
      </c>
      <c r="G1359">
        <v>10</v>
      </c>
      <c r="H1359" t="s">
        <v>85</v>
      </c>
      <c r="I1359" t="s">
        <v>43</v>
      </c>
      <c r="J1359" t="s">
        <v>86</v>
      </c>
      <c r="K1359" t="s">
        <v>44</v>
      </c>
      <c r="L1359">
        <v>5839.35</v>
      </c>
      <c r="M1359" s="1">
        <v>43280</v>
      </c>
      <c r="N1359" t="s">
        <v>45</v>
      </c>
      <c r="O1359" t="s">
        <v>361</v>
      </c>
      <c r="P1359" t="s">
        <v>396</v>
      </c>
      <c r="Q1359" s="1">
        <v>43852</v>
      </c>
      <c r="R1359" t="s">
        <v>396</v>
      </c>
      <c r="S1359" t="s">
        <v>87</v>
      </c>
      <c r="T1359" t="s">
        <v>88</v>
      </c>
      <c r="U1359" t="s">
        <v>85</v>
      </c>
      <c r="V1359">
        <v>1400000</v>
      </c>
      <c r="W1359">
        <v>100000</v>
      </c>
      <c r="X1359" s="1">
        <v>43808</v>
      </c>
      <c r="Y1359" t="s">
        <v>51</v>
      </c>
      <c r="Z1359" t="s">
        <v>43</v>
      </c>
      <c r="AA1359" t="s">
        <v>86</v>
      </c>
      <c r="AB1359" t="s">
        <v>89</v>
      </c>
      <c r="AC1359" t="s">
        <v>90</v>
      </c>
      <c r="AF1359" t="s">
        <v>93</v>
      </c>
      <c r="AG1359" s="1">
        <v>43843</v>
      </c>
      <c r="AH1359" t="s">
        <v>85</v>
      </c>
      <c r="AI1359" t="s">
        <v>92</v>
      </c>
      <c r="AJ1359">
        <v>19888</v>
      </c>
      <c r="AK1359">
        <v>128777</v>
      </c>
      <c r="AL1359">
        <v>198882</v>
      </c>
    </row>
    <row r="1360" spans="1:38" x14ac:dyDescent="0.25">
      <c r="A1360" t="s">
        <v>175</v>
      </c>
      <c r="B1360" t="s">
        <v>419</v>
      </c>
      <c r="C1360" t="s">
        <v>71</v>
      </c>
      <c r="D1360" s="1">
        <v>43280</v>
      </c>
      <c r="E1360" s="1">
        <v>43644</v>
      </c>
      <c r="F1360" t="s">
        <v>84</v>
      </c>
      <c r="G1360">
        <v>10</v>
      </c>
      <c r="H1360" t="s">
        <v>85</v>
      </c>
      <c r="I1360" t="s">
        <v>43</v>
      </c>
      <c r="J1360" t="s">
        <v>86</v>
      </c>
      <c r="K1360" t="s">
        <v>44</v>
      </c>
      <c r="L1360">
        <v>5839.35</v>
      </c>
      <c r="M1360" s="1">
        <v>43280</v>
      </c>
      <c r="N1360" t="s">
        <v>45</v>
      </c>
      <c r="O1360" t="s">
        <v>361</v>
      </c>
      <c r="P1360" t="s">
        <v>396</v>
      </c>
      <c r="Q1360" s="1">
        <v>43852</v>
      </c>
      <c r="R1360" t="s">
        <v>396</v>
      </c>
      <c r="S1360" t="s">
        <v>94</v>
      </c>
      <c r="T1360" t="s">
        <v>95</v>
      </c>
      <c r="U1360" t="s">
        <v>85</v>
      </c>
      <c r="V1360">
        <v>4500000</v>
      </c>
      <c r="W1360">
        <v>300000</v>
      </c>
      <c r="X1360" s="1">
        <v>43767</v>
      </c>
      <c r="Y1360" t="s">
        <v>51</v>
      </c>
      <c r="Z1360" t="s">
        <v>43</v>
      </c>
      <c r="AA1360" t="s">
        <v>86</v>
      </c>
      <c r="AB1360" t="s">
        <v>89</v>
      </c>
      <c r="AC1360" t="s">
        <v>90</v>
      </c>
      <c r="AF1360" t="s">
        <v>91</v>
      </c>
      <c r="AG1360" s="1">
        <v>43852</v>
      </c>
      <c r="AH1360" t="s">
        <v>85</v>
      </c>
      <c r="AI1360" t="s">
        <v>92</v>
      </c>
      <c r="AJ1360">
        <v>19888</v>
      </c>
      <c r="AK1360">
        <v>128777</v>
      </c>
      <c r="AL1360">
        <v>198882</v>
      </c>
    </row>
    <row r="1361" spans="1:38" x14ac:dyDescent="0.25">
      <c r="A1361" t="s">
        <v>175</v>
      </c>
      <c r="B1361" t="s">
        <v>419</v>
      </c>
      <c r="C1361" t="s">
        <v>71</v>
      </c>
      <c r="D1361" s="1">
        <v>43280</v>
      </c>
      <c r="E1361" s="1">
        <v>43644</v>
      </c>
      <c r="F1361" t="s">
        <v>84</v>
      </c>
      <c r="G1361">
        <v>10</v>
      </c>
      <c r="H1361" t="s">
        <v>85</v>
      </c>
      <c r="I1361" t="s">
        <v>43</v>
      </c>
      <c r="J1361" t="s">
        <v>86</v>
      </c>
      <c r="K1361" t="s">
        <v>44</v>
      </c>
      <c r="L1361">
        <v>5839.35</v>
      </c>
      <c r="M1361" s="1">
        <v>43280</v>
      </c>
      <c r="N1361" t="s">
        <v>45</v>
      </c>
      <c r="O1361" t="s">
        <v>361</v>
      </c>
      <c r="P1361" t="s">
        <v>396</v>
      </c>
      <c r="Q1361" s="1">
        <v>43852</v>
      </c>
      <c r="R1361" t="s">
        <v>396</v>
      </c>
      <c r="S1361" t="s">
        <v>94</v>
      </c>
      <c r="T1361" t="s">
        <v>95</v>
      </c>
      <c r="U1361" t="s">
        <v>85</v>
      </c>
      <c r="V1361">
        <v>4500000</v>
      </c>
      <c r="W1361">
        <v>300000</v>
      </c>
      <c r="X1361" s="1">
        <v>43767</v>
      </c>
      <c r="Y1361" t="s">
        <v>51</v>
      </c>
      <c r="Z1361" t="s">
        <v>43</v>
      </c>
      <c r="AA1361" t="s">
        <v>86</v>
      </c>
      <c r="AB1361" t="s">
        <v>89</v>
      </c>
      <c r="AC1361" t="s">
        <v>90</v>
      </c>
      <c r="AF1361" t="s">
        <v>93</v>
      </c>
      <c r="AG1361" s="1">
        <v>43843</v>
      </c>
      <c r="AH1361" t="s">
        <v>85</v>
      </c>
      <c r="AI1361" t="s">
        <v>92</v>
      </c>
      <c r="AJ1361">
        <v>19888</v>
      </c>
      <c r="AK1361">
        <v>128777</v>
      </c>
      <c r="AL1361">
        <v>198882</v>
      </c>
    </row>
    <row r="1362" spans="1:38" x14ac:dyDescent="0.25">
      <c r="A1362" t="s">
        <v>175</v>
      </c>
      <c r="B1362" t="s">
        <v>419</v>
      </c>
      <c r="C1362" t="s">
        <v>71</v>
      </c>
      <c r="D1362" s="1">
        <v>43280</v>
      </c>
      <c r="E1362" s="1">
        <v>43644</v>
      </c>
      <c r="F1362" t="s">
        <v>84</v>
      </c>
      <c r="G1362">
        <v>10</v>
      </c>
      <c r="H1362" t="s">
        <v>85</v>
      </c>
      <c r="I1362" t="s">
        <v>43</v>
      </c>
      <c r="J1362" t="s">
        <v>86</v>
      </c>
      <c r="K1362" t="s">
        <v>44</v>
      </c>
      <c r="L1362">
        <v>5839.35</v>
      </c>
      <c r="M1362" s="1">
        <v>43280</v>
      </c>
      <c r="N1362" t="s">
        <v>45</v>
      </c>
      <c r="O1362" t="s">
        <v>361</v>
      </c>
      <c r="P1362" t="s">
        <v>396</v>
      </c>
      <c r="Q1362" s="1">
        <v>43852</v>
      </c>
      <c r="R1362" t="s">
        <v>396</v>
      </c>
      <c r="S1362" t="s">
        <v>96</v>
      </c>
      <c r="T1362" t="s">
        <v>97</v>
      </c>
      <c r="U1362" t="s">
        <v>85</v>
      </c>
      <c r="V1362">
        <v>600000</v>
      </c>
      <c r="W1362">
        <v>100000</v>
      </c>
      <c r="X1362" s="1">
        <v>43799</v>
      </c>
      <c r="Y1362" t="s">
        <v>51</v>
      </c>
      <c r="Z1362" t="s">
        <v>43</v>
      </c>
      <c r="AA1362" t="s">
        <v>98</v>
      </c>
      <c r="AB1362" t="s">
        <v>89</v>
      </c>
      <c r="AC1362" t="s">
        <v>90</v>
      </c>
      <c r="AF1362" t="s">
        <v>91</v>
      </c>
      <c r="AG1362" s="1">
        <v>43852</v>
      </c>
      <c r="AH1362" t="s">
        <v>85</v>
      </c>
      <c r="AI1362" t="s">
        <v>92</v>
      </c>
      <c r="AJ1362">
        <v>19888</v>
      </c>
      <c r="AK1362">
        <v>128777</v>
      </c>
      <c r="AL1362">
        <v>198882</v>
      </c>
    </row>
    <row r="1363" spans="1:38" x14ac:dyDescent="0.25">
      <c r="A1363" t="s">
        <v>175</v>
      </c>
      <c r="B1363" t="s">
        <v>419</v>
      </c>
      <c r="C1363" t="s">
        <v>71</v>
      </c>
      <c r="D1363" s="1">
        <v>43280</v>
      </c>
      <c r="E1363" s="1">
        <v>43644</v>
      </c>
      <c r="F1363" t="s">
        <v>84</v>
      </c>
      <c r="G1363">
        <v>10</v>
      </c>
      <c r="H1363" t="s">
        <v>85</v>
      </c>
      <c r="I1363" t="s">
        <v>43</v>
      </c>
      <c r="J1363" t="s">
        <v>86</v>
      </c>
      <c r="K1363" t="s">
        <v>44</v>
      </c>
      <c r="L1363">
        <v>5839.35</v>
      </c>
      <c r="M1363" s="1">
        <v>43280</v>
      </c>
      <c r="N1363" t="s">
        <v>45</v>
      </c>
      <c r="O1363" t="s">
        <v>361</v>
      </c>
      <c r="P1363" t="s">
        <v>396</v>
      </c>
      <c r="Q1363" s="1">
        <v>43852</v>
      </c>
      <c r="R1363" t="s">
        <v>396</v>
      </c>
      <c r="S1363" t="s">
        <v>96</v>
      </c>
      <c r="T1363" t="s">
        <v>97</v>
      </c>
      <c r="U1363" t="s">
        <v>85</v>
      </c>
      <c r="V1363">
        <v>600000</v>
      </c>
      <c r="W1363">
        <v>100000</v>
      </c>
      <c r="X1363" s="1">
        <v>43799</v>
      </c>
      <c r="Y1363" t="s">
        <v>51</v>
      </c>
      <c r="Z1363" t="s">
        <v>43</v>
      </c>
      <c r="AA1363" t="s">
        <v>98</v>
      </c>
      <c r="AB1363" t="s">
        <v>89</v>
      </c>
      <c r="AC1363" t="s">
        <v>90</v>
      </c>
      <c r="AF1363" t="s">
        <v>93</v>
      </c>
      <c r="AG1363" s="1">
        <v>43843</v>
      </c>
      <c r="AH1363" t="s">
        <v>85</v>
      </c>
      <c r="AI1363" t="s">
        <v>92</v>
      </c>
      <c r="AJ1363">
        <v>19888</v>
      </c>
      <c r="AK1363">
        <v>128777</v>
      </c>
      <c r="AL1363">
        <v>198882</v>
      </c>
    </row>
    <row r="1364" spans="1:38" x14ac:dyDescent="0.25">
      <c r="A1364" t="s">
        <v>175</v>
      </c>
      <c r="B1364" t="s">
        <v>419</v>
      </c>
      <c r="C1364" t="s">
        <v>71</v>
      </c>
      <c r="D1364" s="1">
        <v>43280</v>
      </c>
      <c r="E1364" s="1">
        <v>43644</v>
      </c>
      <c r="F1364" t="s">
        <v>84</v>
      </c>
      <c r="G1364">
        <v>10</v>
      </c>
      <c r="H1364" t="s">
        <v>85</v>
      </c>
      <c r="I1364" t="s">
        <v>43</v>
      </c>
      <c r="J1364" t="s">
        <v>86</v>
      </c>
      <c r="K1364" t="s">
        <v>44</v>
      </c>
      <c r="L1364">
        <v>5839.35</v>
      </c>
      <c r="M1364" s="1">
        <v>43280</v>
      </c>
      <c r="N1364" t="s">
        <v>45</v>
      </c>
      <c r="O1364" t="s">
        <v>361</v>
      </c>
      <c r="P1364" t="s">
        <v>396</v>
      </c>
      <c r="Q1364" s="1">
        <v>43852</v>
      </c>
      <c r="R1364" t="s">
        <v>396</v>
      </c>
      <c r="S1364" t="s">
        <v>99</v>
      </c>
      <c r="T1364" t="s">
        <v>100</v>
      </c>
      <c r="U1364" t="s">
        <v>85</v>
      </c>
      <c r="V1364">
        <v>210000</v>
      </c>
      <c r="W1364">
        <v>35000</v>
      </c>
      <c r="X1364" s="1">
        <v>43799</v>
      </c>
      <c r="Y1364" t="s">
        <v>51</v>
      </c>
      <c r="Z1364" t="s">
        <v>43</v>
      </c>
      <c r="AA1364" t="s">
        <v>98</v>
      </c>
      <c r="AB1364" t="s">
        <v>89</v>
      </c>
      <c r="AC1364" t="s">
        <v>101</v>
      </c>
      <c r="AF1364" t="s">
        <v>91</v>
      </c>
      <c r="AG1364" s="1">
        <v>43852</v>
      </c>
      <c r="AH1364" t="s">
        <v>85</v>
      </c>
      <c r="AI1364" t="s">
        <v>92</v>
      </c>
      <c r="AJ1364">
        <v>19888</v>
      </c>
      <c r="AK1364">
        <v>128777</v>
      </c>
      <c r="AL1364">
        <v>198882</v>
      </c>
    </row>
    <row r="1365" spans="1:38" x14ac:dyDescent="0.25">
      <c r="A1365" t="s">
        <v>175</v>
      </c>
      <c r="B1365" t="s">
        <v>419</v>
      </c>
      <c r="C1365" t="s">
        <v>71</v>
      </c>
      <c r="D1365" s="1">
        <v>43280</v>
      </c>
      <c r="E1365" s="1">
        <v>43644</v>
      </c>
      <c r="F1365" t="s">
        <v>84</v>
      </c>
      <c r="G1365">
        <v>10</v>
      </c>
      <c r="H1365" t="s">
        <v>85</v>
      </c>
      <c r="I1365" t="s">
        <v>43</v>
      </c>
      <c r="J1365" t="s">
        <v>86</v>
      </c>
      <c r="K1365" t="s">
        <v>44</v>
      </c>
      <c r="L1365">
        <v>5839.35</v>
      </c>
      <c r="M1365" s="1">
        <v>43280</v>
      </c>
      <c r="N1365" t="s">
        <v>45</v>
      </c>
      <c r="O1365" t="s">
        <v>361</v>
      </c>
      <c r="P1365" t="s">
        <v>396</v>
      </c>
      <c r="Q1365" s="1">
        <v>43852</v>
      </c>
      <c r="R1365" t="s">
        <v>396</v>
      </c>
      <c r="S1365" t="s">
        <v>99</v>
      </c>
      <c r="T1365" t="s">
        <v>100</v>
      </c>
      <c r="U1365" t="s">
        <v>85</v>
      </c>
      <c r="V1365">
        <v>210000</v>
      </c>
      <c r="W1365">
        <v>35000</v>
      </c>
      <c r="X1365" s="1">
        <v>43799</v>
      </c>
      <c r="Y1365" t="s">
        <v>51</v>
      </c>
      <c r="Z1365" t="s">
        <v>43</v>
      </c>
      <c r="AA1365" t="s">
        <v>98</v>
      </c>
      <c r="AB1365" t="s">
        <v>89</v>
      </c>
      <c r="AC1365" t="s">
        <v>101</v>
      </c>
      <c r="AF1365" t="s">
        <v>93</v>
      </c>
      <c r="AG1365" s="1">
        <v>43843</v>
      </c>
      <c r="AH1365" t="s">
        <v>85</v>
      </c>
      <c r="AI1365" t="s">
        <v>92</v>
      </c>
      <c r="AJ1365">
        <v>19888</v>
      </c>
      <c r="AK1365">
        <v>128777</v>
      </c>
      <c r="AL1365">
        <v>198882</v>
      </c>
    </row>
    <row r="1366" spans="1:38" x14ac:dyDescent="0.25">
      <c r="A1366" t="s">
        <v>175</v>
      </c>
      <c r="B1366" t="s">
        <v>419</v>
      </c>
      <c r="C1366" t="s">
        <v>71</v>
      </c>
      <c r="D1366" s="1">
        <v>43280</v>
      </c>
      <c r="E1366" s="1">
        <v>43644</v>
      </c>
      <c r="F1366" t="s">
        <v>84</v>
      </c>
      <c r="G1366">
        <v>10</v>
      </c>
      <c r="H1366" t="s">
        <v>85</v>
      </c>
      <c r="I1366" t="s">
        <v>43</v>
      </c>
      <c r="J1366" t="s">
        <v>86</v>
      </c>
      <c r="K1366" t="s">
        <v>44</v>
      </c>
      <c r="L1366">
        <v>5839.35</v>
      </c>
      <c r="M1366" s="1">
        <v>43280</v>
      </c>
      <c r="N1366" t="s">
        <v>45</v>
      </c>
      <c r="O1366" t="s">
        <v>361</v>
      </c>
      <c r="P1366" t="s">
        <v>396</v>
      </c>
      <c r="Q1366" s="1">
        <v>43852</v>
      </c>
      <c r="R1366" t="s">
        <v>396</v>
      </c>
      <c r="S1366" t="s">
        <v>102</v>
      </c>
      <c r="T1366" t="s">
        <v>103</v>
      </c>
      <c r="U1366" t="s">
        <v>85</v>
      </c>
      <c r="V1366">
        <v>5000000</v>
      </c>
      <c r="W1366">
        <v>250000</v>
      </c>
      <c r="X1366" s="1">
        <v>43799</v>
      </c>
      <c r="Y1366" t="s">
        <v>51</v>
      </c>
      <c r="Z1366" t="s">
        <v>43</v>
      </c>
      <c r="AA1366" t="s">
        <v>86</v>
      </c>
      <c r="AB1366" t="s">
        <v>89</v>
      </c>
      <c r="AC1366" t="s">
        <v>90</v>
      </c>
      <c r="AF1366" t="s">
        <v>91</v>
      </c>
      <c r="AG1366" s="1">
        <v>43852</v>
      </c>
      <c r="AH1366" t="s">
        <v>85</v>
      </c>
      <c r="AI1366" t="s">
        <v>92</v>
      </c>
      <c r="AJ1366">
        <v>19888</v>
      </c>
      <c r="AK1366">
        <v>128777</v>
      </c>
      <c r="AL1366">
        <v>198882</v>
      </c>
    </row>
    <row r="1367" spans="1:38" x14ac:dyDescent="0.25">
      <c r="A1367" t="s">
        <v>175</v>
      </c>
      <c r="B1367" t="s">
        <v>419</v>
      </c>
      <c r="C1367" t="s">
        <v>71</v>
      </c>
      <c r="D1367" s="1">
        <v>43280</v>
      </c>
      <c r="E1367" s="1">
        <v>43644</v>
      </c>
      <c r="F1367" t="s">
        <v>84</v>
      </c>
      <c r="G1367">
        <v>10</v>
      </c>
      <c r="H1367" t="s">
        <v>85</v>
      </c>
      <c r="I1367" t="s">
        <v>43</v>
      </c>
      <c r="J1367" t="s">
        <v>86</v>
      </c>
      <c r="K1367" t="s">
        <v>44</v>
      </c>
      <c r="L1367">
        <v>5839.35</v>
      </c>
      <c r="M1367" s="1">
        <v>43280</v>
      </c>
      <c r="N1367" t="s">
        <v>45</v>
      </c>
      <c r="O1367" t="s">
        <v>361</v>
      </c>
      <c r="P1367" t="s">
        <v>396</v>
      </c>
      <c r="Q1367" s="1">
        <v>43852</v>
      </c>
      <c r="R1367" t="s">
        <v>396</v>
      </c>
      <c r="S1367" t="s">
        <v>102</v>
      </c>
      <c r="T1367" t="s">
        <v>103</v>
      </c>
      <c r="U1367" t="s">
        <v>85</v>
      </c>
      <c r="V1367">
        <v>5000000</v>
      </c>
      <c r="W1367">
        <v>250000</v>
      </c>
      <c r="X1367" s="1">
        <v>43799</v>
      </c>
      <c r="Y1367" t="s">
        <v>51</v>
      </c>
      <c r="Z1367" t="s">
        <v>43</v>
      </c>
      <c r="AA1367" t="s">
        <v>86</v>
      </c>
      <c r="AB1367" t="s">
        <v>89</v>
      </c>
      <c r="AC1367" t="s">
        <v>90</v>
      </c>
      <c r="AF1367" t="s">
        <v>93</v>
      </c>
      <c r="AG1367" s="1">
        <v>43843</v>
      </c>
      <c r="AH1367" t="s">
        <v>85</v>
      </c>
      <c r="AI1367" t="s">
        <v>92</v>
      </c>
      <c r="AJ1367">
        <v>19888</v>
      </c>
      <c r="AK1367">
        <v>128777</v>
      </c>
      <c r="AL1367">
        <v>198882</v>
      </c>
    </row>
    <row r="1368" spans="1:38" x14ac:dyDescent="0.25">
      <c r="A1368" t="s">
        <v>177</v>
      </c>
      <c r="B1368" t="s">
        <v>420</v>
      </c>
      <c r="C1368" t="s">
        <v>40</v>
      </c>
      <c r="D1368" s="1">
        <v>43466</v>
      </c>
      <c r="E1368" s="1">
        <v>43830</v>
      </c>
      <c r="F1368" t="s">
        <v>41</v>
      </c>
      <c r="G1368">
        <v>3</v>
      </c>
      <c r="H1368" t="s">
        <v>125</v>
      </c>
      <c r="I1368" t="s">
        <v>43</v>
      </c>
      <c r="J1368" t="s">
        <v>126</v>
      </c>
      <c r="K1368" t="s">
        <v>44</v>
      </c>
      <c r="L1368">
        <v>36833.85</v>
      </c>
      <c r="M1368" s="1">
        <v>43466</v>
      </c>
      <c r="N1368" t="s">
        <v>45</v>
      </c>
      <c r="O1368" t="s">
        <v>44</v>
      </c>
      <c r="P1368" t="s">
        <v>47</v>
      </c>
      <c r="Q1368" s="1">
        <v>43852</v>
      </c>
      <c r="R1368" t="s">
        <v>48</v>
      </c>
      <c r="S1368" t="s">
        <v>41</v>
      </c>
      <c r="T1368" t="s">
        <v>130</v>
      </c>
      <c r="U1368" t="s">
        <v>125</v>
      </c>
      <c r="V1368">
        <v>0</v>
      </c>
      <c r="W1368">
        <v>100000</v>
      </c>
      <c r="X1368" s="1">
        <v>43769</v>
      </c>
      <c r="Y1368" t="s">
        <v>131</v>
      </c>
      <c r="Z1368" t="s">
        <v>43</v>
      </c>
      <c r="AA1368" t="s">
        <v>41</v>
      </c>
      <c r="AB1368" t="s">
        <v>132</v>
      </c>
      <c r="AC1368" t="s">
        <v>133</v>
      </c>
      <c r="AF1368" t="s">
        <v>134</v>
      </c>
      <c r="AG1368" s="1">
        <v>43843</v>
      </c>
      <c r="AH1368" t="s">
        <v>125</v>
      </c>
      <c r="AI1368" t="s">
        <v>92</v>
      </c>
      <c r="AJ1368">
        <v>1278023</v>
      </c>
      <c r="AK1368">
        <v>12365300</v>
      </c>
      <c r="AL1368">
        <v>12900</v>
      </c>
    </row>
    <row r="1369" spans="1:38" x14ac:dyDescent="0.25">
      <c r="A1369" t="s">
        <v>177</v>
      </c>
      <c r="B1369" t="s">
        <v>420</v>
      </c>
      <c r="C1369" t="s">
        <v>40</v>
      </c>
      <c r="D1369" s="1">
        <v>43466</v>
      </c>
      <c r="E1369" s="1">
        <v>43830</v>
      </c>
      <c r="F1369" t="s">
        <v>41</v>
      </c>
      <c r="G1369">
        <v>3</v>
      </c>
      <c r="H1369" t="s">
        <v>125</v>
      </c>
      <c r="I1369" t="s">
        <v>43</v>
      </c>
      <c r="J1369" t="s">
        <v>126</v>
      </c>
      <c r="K1369" t="s">
        <v>44</v>
      </c>
      <c r="L1369">
        <v>36833.85</v>
      </c>
      <c r="M1369" s="1">
        <v>43466</v>
      </c>
      <c r="N1369" t="s">
        <v>45</v>
      </c>
      <c r="O1369" t="s">
        <v>44</v>
      </c>
      <c r="P1369" t="s">
        <v>47</v>
      </c>
      <c r="Q1369" s="1">
        <v>43852</v>
      </c>
      <c r="R1369" t="s">
        <v>48</v>
      </c>
      <c r="S1369" t="s">
        <v>41</v>
      </c>
      <c r="T1369" t="s">
        <v>130</v>
      </c>
      <c r="U1369" t="s">
        <v>125</v>
      </c>
      <c r="V1369">
        <v>0</v>
      </c>
      <c r="W1369">
        <v>100000</v>
      </c>
      <c r="X1369" s="1">
        <v>43769</v>
      </c>
      <c r="Y1369" t="s">
        <v>131</v>
      </c>
      <c r="Z1369" t="s">
        <v>43</v>
      </c>
      <c r="AA1369" t="s">
        <v>41</v>
      </c>
      <c r="AB1369" t="s">
        <v>132</v>
      </c>
      <c r="AC1369" t="s">
        <v>133</v>
      </c>
      <c r="AF1369" t="s">
        <v>135</v>
      </c>
      <c r="AG1369" s="1">
        <v>43843</v>
      </c>
      <c r="AH1369" t="s">
        <v>125</v>
      </c>
      <c r="AI1369" t="s">
        <v>92</v>
      </c>
      <c r="AJ1369">
        <v>1278023</v>
      </c>
      <c r="AK1369">
        <v>12365300</v>
      </c>
      <c r="AL1369">
        <v>12900</v>
      </c>
    </row>
    <row r="1370" spans="1:38" x14ac:dyDescent="0.25">
      <c r="A1370" t="s">
        <v>177</v>
      </c>
      <c r="B1370" t="s">
        <v>420</v>
      </c>
      <c r="C1370" t="s">
        <v>40</v>
      </c>
      <c r="D1370" s="1">
        <v>43466</v>
      </c>
      <c r="E1370" s="1">
        <v>43830</v>
      </c>
      <c r="F1370" t="s">
        <v>41</v>
      </c>
      <c r="G1370">
        <v>3</v>
      </c>
      <c r="H1370" t="s">
        <v>125</v>
      </c>
      <c r="I1370" t="s">
        <v>43</v>
      </c>
      <c r="J1370" t="s">
        <v>126</v>
      </c>
      <c r="K1370" t="s">
        <v>44</v>
      </c>
      <c r="L1370">
        <v>36833.85</v>
      </c>
      <c r="M1370" s="1">
        <v>43466</v>
      </c>
      <c r="N1370" t="s">
        <v>45</v>
      </c>
      <c r="O1370" t="s">
        <v>44</v>
      </c>
      <c r="P1370" t="s">
        <v>47</v>
      </c>
      <c r="Q1370" s="1">
        <v>43852</v>
      </c>
      <c r="R1370" t="s">
        <v>48</v>
      </c>
      <c r="S1370" t="s">
        <v>41</v>
      </c>
      <c r="T1370" t="s">
        <v>130</v>
      </c>
      <c r="U1370" t="s">
        <v>125</v>
      </c>
      <c r="V1370">
        <v>0</v>
      </c>
      <c r="W1370">
        <v>100000</v>
      </c>
      <c r="X1370" s="1">
        <v>43769</v>
      </c>
      <c r="Y1370" t="s">
        <v>131</v>
      </c>
      <c r="Z1370" t="s">
        <v>43</v>
      </c>
      <c r="AA1370" t="s">
        <v>41</v>
      </c>
      <c r="AB1370" t="s">
        <v>132</v>
      </c>
      <c r="AC1370" t="s">
        <v>133</v>
      </c>
      <c r="AF1370" t="s">
        <v>136</v>
      </c>
      <c r="AG1370" s="1">
        <v>43839</v>
      </c>
      <c r="AH1370" t="s">
        <v>125</v>
      </c>
      <c r="AI1370" t="s">
        <v>92</v>
      </c>
      <c r="AJ1370">
        <v>1278023</v>
      </c>
      <c r="AK1370">
        <v>12365300</v>
      </c>
      <c r="AL1370">
        <v>12900</v>
      </c>
    </row>
    <row r="1371" spans="1:38" x14ac:dyDescent="0.25">
      <c r="A1371" t="s">
        <v>177</v>
      </c>
      <c r="B1371" t="s">
        <v>420</v>
      </c>
      <c r="C1371" t="s">
        <v>40</v>
      </c>
      <c r="D1371" s="1">
        <v>43466</v>
      </c>
      <c r="E1371" s="1">
        <v>43830</v>
      </c>
      <c r="F1371" t="s">
        <v>41</v>
      </c>
      <c r="G1371">
        <v>3</v>
      </c>
      <c r="H1371" t="s">
        <v>125</v>
      </c>
      <c r="I1371" t="s">
        <v>43</v>
      </c>
      <c r="J1371" t="s">
        <v>126</v>
      </c>
      <c r="K1371" t="s">
        <v>44</v>
      </c>
      <c r="L1371">
        <v>36833.85</v>
      </c>
      <c r="M1371" s="1">
        <v>43466</v>
      </c>
      <c r="N1371" t="s">
        <v>45</v>
      </c>
      <c r="O1371" t="s">
        <v>44</v>
      </c>
      <c r="P1371" t="s">
        <v>47</v>
      </c>
      <c r="Q1371" s="1">
        <v>43852</v>
      </c>
      <c r="R1371" t="s">
        <v>48</v>
      </c>
      <c r="S1371" t="s">
        <v>41</v>
      </c>
      <c r="T1371" t="s">
        <v>130</v>
      </c>
      <c r="U1371" t="s">
        <v>125</v>
      </c>
      <c r="V1371">
        <v>0</v>
      </c>
      <c r="W1371">
        <v>100000</v>
      </c>
      <c r="X1371" s="1">
        <v>43769</v>
      </c>
      <c r="Y1371" t="s">
        <v>131</v>
      </c>
      <c r="Z1371" t="s">
        <v>43</v>
      </c>
      <c r="AA1371" t="s">
        <v>41</v>
      </c>
      <c r="AB1371" t="s">
        <v>132</v>
      </c>
      <c r="AC1371" t="s">
        <v>133</v>
      </c>
      <c r="AF1371" t="s">
        <v>137</v>
      </c>
      <c r="AG1371" s="1">
        <v>43840</v>
      </c>
      <c r="AH1371" t="s">
        <v>125</v>
      </c>
      <c r="AI1371" t="s">
        <v>92</v>
      </c>
      <c r="AJ1371">
        <v>1278023</v>
      </c>
      <c r="AK1371">
        <v>12365300</v>
      </c>
      <c r="AL1371">
        <v>12900</v>
      </c>
    </row>
    <row r="1372" spans="1:38" x14ac:dyDescent="0.25">
      <c r="A1372" t="s">
        <v>177</v>
      </c>
      <c r="B1372" t="s">
        <v>420</v>
      </c>
      <c r="C1372" t="s">
        <v>40</v>
      </c>
      <c r="D1372" s="1">
        <v>43466</v>
      </c>
      <c r="E1372" s="1">
        <v>43830</v>
      </c>
      <c r="F1372" t="s">
        <v>41</v>
      </c>
      <c r="G1372">
        <v>3</v>
      </c>
      <c r="H1372" t="s">
        <v>125</v>
      </c>
      <c r="I1372" t="s">
        <v>43</v>
      </c>
      <c r="J1372" t="s">
        <v>126</v>
      </c>
      <c r="K1372" t="s">
        <v>44</v>
      </c>
      <c r="L1372">
        <v>36833.85</v>
      </c>
      <c r="M1372" s="1">
        <v>43466</v>
      </c>
      <c r="N1372" t="s">
        <v>45</v>
      </c>
      <c r="O1372" t="s">
        <v>44</v>
      </c>
      <c r="P1372" t="s">
        <v>47</v>
      </c>
      <c r="Q1372" s="1">
        <v>43852</v>
      </c>
      <c r="R1372" t="s">
        <v>48</v>
      </c>
      <c r="S1372" t="s">
        <v>138</v>
      </c>
      <c r="T1372" t="s">
        <v>139</v>
      </c>
      <c r="U1372" t="s">
        <v>125</v>
      </c>
      <c r="V1372">
        <v>0</v>
      </c>
      <c r="W1372">
        <v>10000</v>
      </c>
      <c r="X1372" s="1">
        <v>43738</v>
      </c>
      <c r="Y1372" t="s">
        <v>140</v>
      </c>
      <c r="Z1372" t="s">
        <v>43</v>
      </c>
      <c r="AA1372" t="s">
        <v>41</v>
      </c>
      <c r="AB1372" t="s">
        <v>132</v>
      </c>
      <c r="AC1372" t="s">
        <v>132</v>
      </c>
      <c r="AF1372" t="s">
        <v>134</v>
      </c>
      <c r="AG1372" s="1">
        <v>43843</v>
      </c>
      <c r="AH1372" t="s">
        <v>125</v>
      </c>
      <c r="AI1372" t="s">
        <v>92</v>
      </c>
      <c r="AJ1372">
        <v>1278023</v>
      </c>
      <c r="AK1372">
        <v>12365300</v>
      </c>
      <c r="AL1372">
        <v>12900</v>
      </c>
    </row>
    <row r="1373" spans="1:38" x14ac:dyDescent="0.25">
      <c r="A1373" t="s">
        <v>177</v>
      </c>
      <c r="B1373" t="s">
        <v>420</v>
      </c>
      <c r="C1373" t="s">
        <v>40</v>
      </c>
      <c r="D1373" s="1">
        <v>43466</v>
      </c>
      <c r="E1373" s="1">
        <v>43830</v>
      </c>
      <c r="F1373" t="s">
        <v>41</v>
      </c>
      <c r="G1373">
        <v>3</v>
      </c>
      <c r="H1373" t="s">
        <v>125</v>
      </c>
      <c r="I1373" t="s">
        <v>43</v>
      </c>
      <c r="J1373" t="s">
        <v>126</v>
      </c>
      <c r="K1373" t="s">
        <v>44</v>
      </c>
      <c r="L1373">
        <v>36833.85</v>
      </c>
      <c r="M1373" s="1">
        <v>43466</v>
      </c>
      <c r="N1373" t="s">
        <v>45</v>
      </c>
      <c r="O1373" t="s">
        <v>44</v>
      </c>
      <c r="P1373" t="s">
        <v>47</v>
      </c>
      <c r="Q1373" s="1">
        <v>43852</v>
      </c>
      <c r="R1373" t="s">
        <v>48</v>
      </c>
      <c r="S1373" t="s">
        <v>138</v>
      </c>
      <c r="T1373" t="s">
        <v>139</v>
      </c>
      <c r="U1373" t="s">
        <v>125</v>
      </c>
      <c r="V1373">
        <v>0</v>
      </c>
      <c r="W1373">
        <v>10000</v>
      </c>
      <c r="X1373" s="1">
        <v>43738</v>
      </c>
      <c r="Y1373" t="s">
        <v>140</v>
      </c>
      <c r="Z1373" t="s">
        <v>43</v>
      </c>
      <c r="AA1373" t="s">
        <v>41</v>
      </c>
      <c r="AB1373" t="s">
        <v>132</v>
      </c>
      <c r="AC1373" t="s">
        <v>132</v>
      </c>
      <c r="AF1373" t="s">
        <v>135</v>
      </c>
      <c r="AG1373" s="1">
        <v>43843</v>
      </c>
      <c r="AH1373" t="s">
        <v>125</v>
      </c>
      <c r="AI1373" t="s">
        <v>92</v>
      </c>
      <c r="AJ1373">
        <v>1278023</v>
      </c>
      <c r="AK1373">
        <v>12365300</v>
      </c>
      <c r="AL1373">
        <v>12900</v>
      </c>
    </row>
    <row r="1374" spans="1:38" x14ac:dyDescent="0.25">
      <c r="A1374" t="s">
        <v>177</v>
      </c>
      <c r="B1374" t="s">
        <v>420</v>
      </c>
      <c r="C1374" t="s">
        <v>40</v>
      </c>
      <c r="D1374" s="1">
        <v>43466</v>
      </c>
      <c r="E1374" s="1">
        <v>43830</v>
      </c>
      <c r="F1374" t="s">
        <v>41</v>
      </c>
      <c r="G1374">
        <v>3</v>
      </c>
      <c r="H1374" t="s">
        <v>125</v>
      </c>
      <c r="I1374" t="s">
        <v>43</v>
      </c>
      <c r="J1374" t="s">
        <v>126</v>
      </c>
      <c r="K1374" t="s">
        <v>44</v>
      </c>
      <c r="L1374">
        <v>36833.85</v>
      </c>
      <c r="M1374" s="1">
        <v>43466</v>
      </c>
      <c r="N1374" t="s">
        <v>45</v>
      </c>
      <c r="O1374" t="s">
        <v>44</v>
      </c>
      <c r="P1374" t="s">
        <v>47</v>
      </c>
      <c r="Q1374" s="1">
        <v>43852</v>
      </c>
      <c r="R1374" t="s">
        <v>48</v>
      </c>
      <c r="S1374" t="s">
        <v>138</v>
      </c>
      <c r="T1374" t="s">
        <v>139</v>
      </c>
      <c r="U1374" t="s">
        <v>125</v>
      </c>
      <c r="V1374">
        <v>0</v>
      </c>
      <c r="W1374">
        <v>10000</v>
      </c>
      <c r="X1374" s="1">
        <v>43738</v>
      </c>
      <c r="Y1374" t="s">
        <v>140</v>
      </c>
      <c r="Z1374" t="s">
        <v>43</v>
      </c>
      <c r="AA1374" t="s">
        <v>41</v>
      </c>
      <c r="AB1374" t="s">
        <v>132</v>
      </c>
      <c r="AC1374" t="s">
        <v>132</v>
      </c>
      <c r="AF1374" t="s">
        <v>136</v>
      </c>
      <c r="AG1374" s="1">
        <v>43839</v>
      </c>
      <c r="AH1374" t="s">
        <v>125</v>
      </c>
      <c r="AI1374" t="s">
        <v>92</v>
      </c>
      <c r="AJ1374">
        <v>1278023</v>
      </c>
      <c r="AK1374">
        <v>12365300</v>
      </c>
      <c r="AL1374">
        <v>12900</v>
      </c>
    </row>
    <row r="1375" spans="1:38" x14ac:dyDescent="0.25">
      <c r="A1375" t="s">
        <v>177</v>
      </c>
      <c r="B1375" t="s">
        <v>420</v>
      </c>
      <c r="C1375" t="s">
        <v>40</v>
      </c>
      <c r="D1375" s="1">
        <v>43466</v>
      </c>
      <c r="E1375" s="1">
        <v>43830</v>
      </c>
      <c r="F1375" t="s">
        <v>41</v>
      </c>
      <c r="G1375">
        <v>3</v>
      </c>
      <c r="H1375" t="s">
        <v>125</v>
      </c>
      <c r="I1375" t="s">
        <v>43</v>
      </c>
      <c r="J1375" t="s">
        <v>126</v>
      </c>
      <c r="K1375" t="s">
        <v>44</v>
      </c>
      <c r="L1375">
        <v>36833.85</v>
      </c>
      <c r="M1375" s="1">
        <v>43466</v>
      </c>
      <c r="N1375" t="s">
        <v>45</v>
      </c>
      <c r="O1375" t="s">
        <v>44</v>
      </c>
      <c r="P1375" t="s">
        <v>47</v>
      </c>
      <c r="Q1375" s="1">
        <v>43852</v>
      </c>
      <c r="R1375" t="s">
        <v>48</v>
      </c>
      <c r="S1375" t="s">
        <v>138</v>
      </c>
      <c r="T1375" t="s">
        <v>139</v>
      </c>
      <c r="U1375" t="s">
        <v>125</v>
      </c>
      <c r="V1375">
        <v>0</v>
      </c>
      <c r="W1375">
        <v>10000</v>
      </c>
      <c r="X1375" s="1">
        <v>43738</v>
      </c>
      <c r="Y1375" t="s">
        <v>140</v>
      </c>
      <c r="Z1375" t="s">
        <v>43</v>
      </c>
      <c r="AA1375" t="s">
        <v>41</v>
      </c>
      <c r="AB1375" t="s">
        <v>132</v>
      </c>
      <c r="AC1375" t="s">
        <v>132</v>
      </c>
      <c r="AF1375" t="s">
        <v>137</v>
      </c>
      <c r="AG1375" s="1">
        <v>43840</v>
      </c>
      <c r="AH1375" t="s">
        <v>125</v>
      </c>
      <c r="AI1375" t="s">
        <v>92</v>
      </c>
      <c r="AJ1375">
        <v>1278023</v>
      </c>
      <c r="AK1375">
        <v>12365300</v>
      </c>
      <c r="AL1375">
        <v>12900</v>
      </c>
    </row>
    <row r="1376" spans="1:38" x14ac:dyDescent="0.25">
      <c r="A1376" t="s">
        <v>179</v>
      </c>
      <c r="B1376" t="s">
        <v>421</v>
      </c>
      <c r="C1376" t="s">
        <v>40</v>
      </c>
      <c r="D1376" s="1">
        <v>43282</v>
      </c>
      <c r="E1376" s="1">
        <v>43646</v>
      </c>
      <c r="F1376" t="s">
        <v>76</v>
      </c>
      <c r="G1376">
        <v>3</v>
      </c>
      <c r="H1376" t="s">
        <v>125</v>
      </c>
      <c r="I1376" t="s">
        <v>43</v>
      </c>
      <c r="J1376" t="s">
        <v>126</v>
      </c>
      <c r="K1376" t="s">
        <v>44</v>
      </c>
      <c r="L1376">
        <v>6268.75</v>
      </c>
      <c r="M1376" s="1">
        <v>43646</v>
      </c>
      <c r="N1376" t="s">
        <v>45</v>
      </c>
      <c r="O1376" t="s">
        <v>46</v>
      </c>
      <c r="P1376" t="s">
        <v>47</v>
      </c>
      <c r="Q1376" s="1">
        <v>43852</v>
      </c>
      <c r="R1376" t="s">
        <v>48</v>
      </c>
    </row>
    <row r="1377" spans="1:38" x14ac:dyDescent="0.25">
      <c r="A1377" t="s">
        <v>180</v>
      </c>
      <c r="B1377" t="s">
        <v>422</v>
      </c>
      <c r="C1377" t="s">
        <v>40</v>
      </c>
      <c r="D1377" s="1">
        <v>43282</v>
      </c>
      <c r="E1377" s="1">
        <v>43646</v>
      </c>
      <c r="F1377" t="s">
        <v>72</v>
      </c>
      <c r="G1377">
        <v>3</v>
      </c>
      <c r="H1377" t="s">
        <v>125</v>
      </c>
      <c r="I1377" t="s">
        <v>43</v>
      </c>
      <c r="J1377" t="s">
        <v>126</v>
      </c>
      <c r="K1377" t="s">
        <v>44</v>
      </c>
      <c r="L1377">
        <v>45473.07</v>
      </c>
      <c r="M1377" s="1">
        <v>43646</v>
      </c>
      <c r="N1377" t="s">
        <v>45</v>
      </c>
      <c r="O1377" t="s">
        <v>46</v>
      </c>
      <c r="P1377" t="s">
        <v>47</v>
      </c>
      <c r="Q1377" s="1">
        <v>43852</v>
      </c>
      <c r="R1377" t="s">
        <v>48</v>
      </c>
      <c r="S1377" t="s">
        <v>266</v>
      </c>
      <c r="T1377" t="s">
        <v>267</v>
      </c>
      <c r="U1377" t="s">
        <v>125</v>
      </c>
      <c r="V1377">
        <v>700000</v>
      </c>
      <c r="W1377">
        <v>100000</v>
      </c>
      <c r="X1377" s="1">
        <v>43830</v>
      </c>
      <c r="Y1377" t="s">
        <v>51</v>
      </c>
      <c r="Z1377" t="s">
        <v>43</v>
      </c>
      <c r="AA1377" t="s">
        <v>115</v>
      </c>
      <c r="AB1377" t="s">
        <v>268</v>
      </c>
      <c r="AC1377" t="s">
        <v>269</v>
      </c>
      <c r="AF1377" t="s">
        <v>134</v>
      </c>
      <c r="AG1377" s="1">
        <v>43843</v>
      </c>
      <c r="AH1377" t="s">
        <v>125</v>
      </c>
      <c r="AI1377" t="s">
        <v>92</v>
      </c>
      <c r="AJ1377">
        <v>1278023</v>
      </c>
      <c r="AK1377">
        <v>12365300</v>
      </c>
      <c r="AL1377">
        <v>12900</v>
      </c>
    </row>
    <row r="1378" spans="1:38" x14ac:dyDescent="0.25">
      <c r="A1378" t="s">
        <v>180</v>
      </c>
      <c r="B1378" t="s">
        <v>422</v>
      </c>
      <c r="C1378" t="s">
        <v>40</v>
      </c>
      <c r="D1378" s="1">
        <v>43282</v>
      </c>
      <c r="E1378" s="1">
        <v>43646</v>
      </c>
      <c r="F1378" t="s">
        <v>72</v>
      </c>
      <c r="G1378">
        <v>3</v>
      </c>
      <c r="H1378" t="s">
        <v>125</v>
      </c>
      <c r="I1378" t="s">
        <v>43</v>
      </c>
      <c r="J1378" t="s">
        <v>126</v>
      </c>
      <c r="K1378" t="s">
        <v>44</v>
      </c>
      <c r="L1378">
        <v>45473.07</v>
      </c>
      <c r="M1378" s="1">
        <v>43646</v>
      </c>
      <c r="N1378" t="s">
        <v>45</v>
      </c>
      <c r="O1378" t="s">
        <v>46</v>
      </c>
      <c r="P1378" t="s">
        <v>47</v>
      </c>
      <c r="Q1378" s="1">
        <v>43852</v>
      </c>
      <c r="R1378" t="s">
        <v>48</v>
      </c>
      <c r="S1378" t="s">
        <v>266</v>
      </c>
      <c r="T1378" t="s">
        <v>267</v>
      </c>
      <c r="U1378" t="s">
        <v>125</v>
      </c>
      <c r="V1378">
        <v>700000</v>
      </c>
      <c r="W1378">
        <v>100000</v>
      </c>
      <c r="X1378" s="1">
        <v>43830</v>
      </c>
      <c r="Y1378" t="s">
        <v>51</v>
      </c>
      <c r="Z1378" t="s">
        <v>43</v>
      </c>
      <c r="AA1378" t="s">
        <v>115</v>
      </c>
      <c r="AB1378" t="s">
        <v>268</v>
      </c>
      <c r="AC1378" t="s">
        <v>269</v>
      </c>
      <c r="AF1378" t="s">
        <v>135</v>
      </c>
      <c r="AG1378" s="1">
        <v>43843</v>
      </c>
      <c r="AH1378" t="s">
        <v>125</v>
      </c>
      <c r="AI1378" t="s">
        <v>92</v>
      </c>
      <c r="AJ1378">
        <v>1278023</v>
      </c>
      <c r="AK1378">
        <v>12365300</v>
      </c>
      <c r="AL1378">
        <v>12900</v>
      </c>
    </row>
    <row r="1379" spans="1:38" x14ac:dyDescent="0.25">
      <c r="A1379" t="s">
        <v>180</v>
      </c>
      <c r="B1379" t="s">
        <v>422</v>
      </c>
      <c r="C1379" t="s">
        <v>40</v>
      </c>
      <c r="D1379" s="1">
        <v>43282</v>
      </c>
      <c r="E1379" s="1">
        <v>43646</v>
      </c>
      <c r="F1379" t="s">
        <v>72</v>
      </c>
      <c r="G1379">
        <v>3</v>
      </c>
      <c r="H1379" t="s">
        <v>125</v>
      </c>
      <c r="I1379" t="s">
        <v>43</v>
      </c>
      <c r="J1379" t="s">
        <v>126</v>
      </c>
      <c r="K1379" t="s">
        <v>44</v>
      </c>
      <c r="L1379">
        <v>45473.07</v>
      </c>
      <c r="M1379" s="1">
        <v>43646</v>
      </c>
      <c r="N1379" t="s">
        <v>45</v>
      </c>
      <c r="O1379" t="s">
        <v>46</v>
      </c>
      <c r="P1379" t="s">
        <v>47</v>
      </c>
      <c r="Q1379" s="1">
        <v>43852</v>
      </c>
      <c r="R1379" t="s">
        <v>48</v>
      </c>
      <c r="S1379" t="s">
        <v>266</v>
      </c>
      <c r="T1379" t="s">
        <v>267</v>
      </c>
      <c r="U1379" t="s">
        <v>125</v>
      </c>
      <c r="V1379">
        <v>700000</v>
      </c>
      <c r="W1379">
        <v>100000</v>
      </c>
      <c r="X1379" s="1">
        <v>43830</v>
      </c>
      <c r="Y1379" t="s">
        <v>51</v>
      </c>
      <c r="Z1379" t="s">
        <v>43</v>
      </c>
      <c r="AA1379" t="s">
        <v>115</v>
      </c>
      <c r="AB1379" t="s">
        <v>268</v>
      </c>
      <c r="AC1379" t="s">
        <v>269</v>
      </c>
      <c r="AF1379" t="s">
        <v>136</v>
      </c>
      <c r="AG1379" s="1">
        <v>43839</v>
      </c>
      <c r="AH1379" t="s">
        <v>125</v>
      </c>
      <c r="AI1379" t="s">
        <v>92</v>
      </c>
      <c r="AJ1379">
        <v>1278023</v>
      </c>
      <c r="AK1379">
        <v>12365300</v>
      </c>
      <c r="AL1379">
        <v>12900</v>
      </c>
    </row>
    <row r="1380" spans="1:38" x14ac:dyDescent="0.25">
      <c r="A1380" t="s">
        <v>180</v>
      </c>
      <c r="B1380" t="s">
        <v>422</v>
      </c>
      <c r="C1380" t="s">
        <v>40</v>
      </c>
      <c r="D1380" s="1">
        <v>43282</v>
      </c>
      <c r="E1380" s="1">
        <v>43646</v>
      </c>
      <c r="F1380" t="s">
        <v>72</v>
      </c>
      <c r="G1380">
        <v>3</v>
      </c>
      <c r="H1380" t="s">
        <v>125</v>
      </c>
      <c r="I1380" t="s">
        <v>43</v>
      </c>
      <c r="J1380" t="s">
        <v>126</v>
      </c>
      <c r="K1380" t="s">
        <v>44</v>
      </c>
      <c r="L1380">
        <v>45473.07</v>
      </c>
      <c r="M1380" s="1">
        <v>43646</v>
      </c>
      <c r="N1380" t="s">
        <v>45</v>
      </c>
      <c r="O1380" t="s">
        <v>46</v>
      </c>
      <c r="P1380" t="s">
        <v>47</v>
      </c>
      <c r="Q1380" s="1">
        <v>43852</v>
      </c>
      <c r="R1380" t="s">
        <v>48</v>
      </c>
      <c r="S1380" t="s">
        <v>266</v>
      </c>
      <c r="T1380" t="s">
        <v>267</v>
      </c>
      <c r="U1380" t="s">
        <v>125</v>
      </c>
      <c r="V1380">
        <v>700000</v>
      </c>
      <c r="W1380">
        <v>100000</v>
      </c>
      <c r="X1380" s="1">
        <v>43830</v>
      </c>
      <c r="Y1380" t="s">
        <v>51</v>
      </c>
      <c r="Z1380" t="s">
        <v>43</v>
      </c>
      <c r="AA1380" t="s">
        <v>115</v>
      </c>
      <c r="AB1380" t="s">
        <v>268</v>
      </c>
      <c r="AC1380" t="s">
        <v>269</v>
      </c>
      <c r="AF1380" t="s">
        <v>137</v>
      </c>
      <c r="AG1380" s="1">
        <v>43840</v>
      </c>
      <c r="AH1380" t="s">
        <v>125</v>
      </c>
      <c r="AI1380" t="s">
        <v>92</v>
      </c>
      <c r="AJ1380">
        <v>1278023</v>
      </c>
      <c r="AK1380">
        <v>12365300</v>
      </c>
      <c r="AL1380">
        <v>12900</v>
      </c>
    </row>
    <row r="1381" spans="1:38" x14ac:dyDescent="0.25">
      <c r="A1381" t="s">
        <v>180</v>
      </c>
      <c r="B1381" t="s">
        <v>422</v>
      </c>
      <c r="C1381" t="s">
        <v>40</v>
      </c>
      <c r="D1381" s="1">
        <v>43282</v>
      </c>
      <c r="E1381" s="1">
        <v>43646</v>
      </c>
      <c r="F1381" t="s">
        <v>72</v>
      </c>
      <c r="G1381">
        <v>3</v>
      </c>
      <c r="H1381" t="s">
        <v>125</v>
      </c>
      <c r="I1381" t="s">
        <v>43</v>
      </c>
      <c r="J1381" t="s">
        <v>126</v>
      </c>
      <c r="K1381" t="s">
        <v>44</v>
      </c>
      <c r="L1381">
        <v>45473.07</v>
      </c>
      <c r="M1381" s="1">
        <v>43646</v>
      </c>
      <c r="N1381" t="s">
        <v>45</v>
      </c>
      <c r="O1381" t="s">
        <v>46</v>
      </c>
      <c r="P1381" t="s">
        <v>47</v>
      </c>
      <c r="Q1381" s="1">
        <v>43852</v>
      </c>
      <c r="R1381" t="s">
        <v>48</v>
      </c>
      <c r="S1381" t="s">
        <v>72</v>
      </c>
      <c r="T1381" t="s">
        <v>270</v>
      </c>
      <c r="U1381" t="s">
        <v>125</v>
      </c>
      <c r="V1381">
        <v>0</v>
      </c>
      <c r="W1381">
        <v>500000</v>
      </c>
      <c r="X1381" s="1">
        <v>43739</v>
      </c>
      <c r="Y1381" t="s">
        <v>131</v>
      </c>
      <c r="Z1381" t="s">
        <v>43</v>
      </c>
      <c r="AA1381" t="s">
        <v>115</v>
      </c>
      <c r="AB1381" t="s">
        <v>268</v>
      </c>
      <c r="AC1381" t="s">
        <v>269</v>
      </c>
      <c r="AF1381" t="s">
        <v>134</v>
      </c>
      <c r="AG1381" s="1">
        <v>43843</v>
      </c>
      <c r="AH1381" t="s">
        <v>125</v>
      </c>
      <c r="AI1381" t="s">
        <v>92</v>
      </c>
      <c r="AJ1381">
        <v>1278023</v>
      </c>
      <c r="AK1381">
        <v>12365300</v>
      </c>
      <c r="AL1381">
        <v>12900</v>
      </c>
    </row>
    <row r="1382" spans="1:38" x14ac:dyDescent="0.25">
      <c r="A1382" t="s">
        <v>180</v>
      </c>
      <c r="B1382" t="s">
        <v>422</v>
      </c>
      <c r="C1382" t="s">
        <v>40</v>
      </c>
      <c r="D1382" s="1">
        <v>43282</v>
      </c>
      <c r="E1382" s="1">
        <v>43646</v>
      </c>
      <c r="F1382" t="s">
        <v>72</v>
      </c>
      <c r="G1382">
        <v>3</v>
      </c>
      <c r="H1382" t="s">
        <v>125</v>
      </c>
      <c r="I1382" t="s">
        <v>43</v>
      </c>
      <c r="J1382" t="s">
        <v>126</v>
      </c>
      <c r="K1382" t="s">
        <v>44</v>
      </c>
      <c r="L1382">
        <v>45473.07</v>
      </c>
      <c r="M1382" s="1">
        <v>43646</v>
      </c>
      <c r="N1382" t="s">
        <v>45</v>
      </c>
      <c r="O1382" t="s">
        <v>46</v>
      </c>
      <c r="P1382" t="s">
        <v>47</v>
      </c>
      <c r="Q1382" s="1">
        <v>43852</v>
      </c>
      <c r="R1382" t="s">
        <v>48</v>
      </c>
      <c r="S1382" t="s">
        <v>72</v>
      </c>
      <c r="T1382" t="s">
        <v>270</v>
      </c>
      <c r="U1382" t="s">
        <v>125</v>
      </c>
      <c r="V1382">
        <v>0</v>
      </c>
      <c r="W1382">
        <v>500000</v>
      </c>
      <c r="X1382" s="1">
        <v>43739</v>
      </c>
      <c r="Y1382" t="s">
        <v>131</v>
      </c>
      <c r="Z1382" t="s">
        <v>43</v>
      </c>
      <c r="AA1382" t="s">
        <v>115</v>
      </c>
      <c r="AB1382" t="s">
        <v>268</v>
      </c>
      <c r="AC1382" t="s">
        <v>269</v>
      </c>
      <c r="AF1382" t="s">
        <v>135</v>
      </c>
      <c r="AG1382" s="1">
        <v>43843</v>
      </c>
      <c r="AH1382" t="s">
        <v>125</v>
      </c>
      <c r="AI1382" t="s">
        <v>92</v>
      </c>
      <c r="AJ1382">
        <v>1278023</v>
      </c>
      <c r="AK1382">
        <v>12365300</v>
      </c>
      <c r="AL1382">
        <v>12900</v>
      </c>
    </row>
    <row r="1383" spans="1:38" x14ac:dyDescent="0.25">
      <c r="A1383" t="s">
        <v>180</v>
      </c>
      <c r="B1383" t="s">
        <v>422</v>
      </c>
      <c r="C1383" t="s">
        <v>40</v>
      </c>
      <c r="D1383" s="1">
        <v>43282</v>
      </c>
      <c r="E1383" s="1">
        <v>43646</v>
      </c>
      <c r="F1383" t="s">
        <v>72</v>
      </c>
      <c r="G1383">
        <v>3</v>
      </c>
      <c r="H1383" t="s">
        <v>125</v>
      </c>
      <c r="I1383" t="s">
        <v>43</v>
      </c>
      <c r="J1383" t="s">
        <v>126</v>
      </c>
      <c r="K1383" t="s">
        <v>44</v>
      </c>
      <c r="L1383">
        <v>45473.07</v>
      </c>
      <c r="M1383" s="1">
        <v>43646</v>
      </c>
      <c r="N1383" t="s">
        <v>45</v>
      </c>
      <c r="O1383" t="s">
        <v>46</v>
      </c>
      <c r="P1383" t="s">
        <v>47</v>
      </c>
      <c r="Q1383" s="1">
        <v>43852</v>
      </c>
      <c r="R1383" t="s">
        <v>48</v>
      </c>
      <c r="S1383" t="s">
        <v>72</v>
      </c>
      <c r="T1383" t="s">
        <v>270</v>
      </c>
      <c r="U1383" t="s">
        <v>125</v>
      </c>
      <c r="V1383">
        <v>0</v>
      </c>
      <c r="W1383">
        <v>500000</v>
      </c>
      <c r="X1383" s="1">
        <v>43739</v>
      </c>
      <c r="Y1383" t="s">
        <v>131</v>
      </c>
      <c r="Z1383" t="s">
        <v>43</v>
      </c>
      <c r="AA1383" t="s">
        <v>115</v>
      </c>
      <c r="AB1383" t="s">
        <v>268</v>
      </c>
      <c r="AC1383" t="s">
        <v>269</v>
      </c>
      <c r="AF1383" t="s">
        <v>136</v>
      </c>
      <c r="AG1383" s="1">
        <v>43839</v>
      </c>
      <c r="AH1383" t="s">
        <v>125</v>
      </c>
      <c r="AI1383" t="s">
        <v>92</v>
      </c>
      <c r="AJ1383">
        <v>1278023</v>
      </c>
      <c r="AK1383">
        <v>12365300</v>
      </c>
      <c r="AL1383">
        <v>12900</v>
      </c>
    </row>
    <row r="1384" spans="1:38" x14ac:dyDescent="0.25">
      <c r="A1384" t="s">
        <v>180</v>
      </c>
      <c r="B1384" t="s">
        <v>422</v>
      </c>
      <c r="C1384" t="s">
        <v>40</v>
      </c>
      <c r="D1384" s="1">
        <v>43282</v>
      </c>
      <c r="E1384" s="1">
        <v>43646</v>
      </c>
      <c r="F1384" t="s">
        <v>72</v>
      </c>
      <c r="G1384">
        <v>3</v>
      </c>
      <c r="H1384" t="s">
        <v>125</v>
      </c>
      <c r="I1384" t="s">
        <v>43</v>
      </c>
      <c r="J1384" t="s">
        <v>126</v>
      </c>
      <c r="K1384" t="s">
        <v>44</v>
      </c>
      <c r="L1384">
        <v>45473.07</v>
      </c>
      <c r="M1384" s="1">
        <v>43646</v>
      </c>
      <c r="N1384" t="s">
        <v>45</v>
      </c>
      <c r="O1384" t="s">
        <v>46</v>
      </c>
      <c r="P1384" t="s">
        <v>47</v>
      </c>
      <c r="Q1384" s="1">
        <v>43852</v>
      </c>
      <c r="R1384" t="s">
        <v>48</v>
      </c>
      <c r="S1384" t="s">
        <v>72</v>
      </c>
      <c r="T1384" t="s">
        <v>270</v>
      </c>
      <c r="U1384" t="s">
        <v>125</v>
      </c>
      <c r="V1384">
        <v>0</v>
      </c>
      <c r="W1384">
        <v>500000</v>
      </c>
      <c r="X1384" s="1">
        <v>43739</v>
      </c>
      <c r="Y1384" t="s">
        <v>131</v>
      </c>
      <c r="Z1384" t="s">
        <v>43</v>
      </c>
      <c r="AA1384" t="s">
        <v>115</v>
      </c>
      <c r="AB1384" t="s">
        <v>268</v>
      </c>
      <c r="AC1384" t="s">
        <v>269</v>
      </c>
      <c r="AF1384" t="s">
        <v>137</v>
      </c>
      <c r="AG1384" s="1">
        <v>43840</v>
      </c>
      <c r="AH1384" t="s">
        <v>125</v>
      </c>
      <c r="AI1384" t="s">
        <v>92</v>
      </c>
      <c r="AJ1384">
        <v>1278023</v>
      </c>
      <c r="AK1384">
        <v>12365300</v>
      </c>
      <c r="AL1384">
        <v>12900</v>
      </c>
    </row>
    <row r="1385" spans="1:38" x14ac:dyDescent="0.25">
      <c r="A1385" t="s">
        <v>180</v>
      </c>
      <c r="B1385" t="s">
        <v>422</v>
      </c>
      <c r="C1385" t="s">
        <v>40</v>
      </c>
      <c r="D1385" s="1">
        <v>43282</v>
      </c>
      <c r="E1385" s="1">
        <v>43646</v>
      </c>
      <c r="F1385" t="s">
        <v>72</v>
      </c>
      <c r="G1385">
        <v>3</v>
      </c>
      <c r="H1385" t="s">
        <v>125</v>
      </c>
      <c r="I1385" t="s">
        <v>43</v>
      </c>
      <c r="J1385" t="s">
        <v>126</v>
      </c>
      <c r="K1385" t="s">
        <v>44</v>
      </c>
      <c r="L1385">
        <v>45473.07</v>
      </c>
      <c r="M1385" s="1">
        <v>43646</v>
      </c>
      <c r="N1385" t="s">
        <v>45</v>
      </c>
      <c r="O1385" t="s">
        <v>46</v>
      </c>
      <c r="P1385" t="s">
        <v>47</v>
      </c>
      <c r="Q1385" s="1">
        <v>43852</v>
      </c>
      <c r="R1385" t="s">
        <v>48</v>
      </c>
      <c r="S1385" t="s">
        <v>271</v>
      </c>
      <c r="T1385" t="s">
        <v>272</v>
      </c>
      <c r="U1385" t="s">
        <v>125</v>
      </c>
      <c r="V1385">
        <v>0</v>
      </c>
      <c r="W1385">
        <v>50000</v>
      </c>
      <c r="X1385" s="1">
        <v>43738</v>
      </c>
      <c r="Y1385" t="s">
        <v>140</v>
      </c>
      <c r="Z1385" t="s">
        <v>43</v>
      </c>
      <c r="AA1385" t="s">
        <v>115</v>
      </c>
      <c r="AB1385" t="s">
        <v>268</v>
      </c>
      <c r="AC1385" t="s">
        <v>269</v>
      </c>
      <c r="AF1385" t="s">
        <v>134</v>
      </c>
      <c r="AG1385" s="1">
        <v>43843</v>
      </c>
      <c r="AH1385" t="s">
        <v>125</v>
      </c>
      <c r="AI1385" t="s">
        <v>92</v>
      </c>
      <c r="AJ1385">
        <v>1278023</v>
      </c>
      <c r="AK1385">
        <v>12365300</v>
      </c>
      <c r="AL1385">
        <v>12900</v>
      </c>
    </row>
    <row r="1386" spans="1:38" x14ac:dyDescent="0.25">
      <c r="A1386" t="s">
        <v>180</v>
      </c>
      <c r="B1386" t="s">
        <v>422</v>
      </c>
      <c r="C1386" t="s">
        <v>40</v>
      </c>
      <c r="D1386" s="1">
        <v>43282</v>
      </c>
      <c r="E1386" s="1">
        <v>43646</v>
      </c>
      <c r="F1386" t="s">
        <v>72</v>
      </c>
      <c r="G1386">
        <v>3</v>
      </c>
      <c r="H1386" t="s">
        <v>125</v>
      </c>
      <c r="I1386" t="s">
        <v>43</v>
      </c>
      <c r="J1386" t="s">
        <v>126</v>
      </c>
      <c r="K1386" t="s">
        <v>44</v>
      </c>
      <c r="L1386">
        <v>45473.07</v>
      </c>
      <c r="M1386" s="1">
        <v>43646</v>
      </c>
      <c r="N1386" t="s">
        <v>45</v>
      </c>
      <c r="O1386" t="s">
        <v>46</v>
      </c>
      <c r="P1386" t="s">
        <v>47</v>
      </c>
      <c r="Q1386" s="1">
        <v>43852</v>
      </c>
      <c r="R1386" t="s">
        <v>48</v>
      </c>
      <c r="S1386" t="s">
        <v>271</v>
      </c>
      <c r="T1386" t="s">
        <v>272</v>
      </c>
      <c r="U1386" t="s">
        <v>125</v>
      </c>
      <c r="V1386">
        <v>0</v>
      </c>
      <c r="W1386">
        <v>50000</v>
      </c>
      <c r="X1386" s="1">
        <v>43738</v>
      </c>
      <c r="Y1386" t="s">
        <v>140</v>
      </c>
      <c r="Z1386" t="s">
        <v>43</v>
      </c>
      <c r="AA1386" t="s">
        <v>115</v>
      </c>
      <c r="AB1386" t="s">
        <v>268</v>
      </c>
      <c r="AC1386" t="s">
        <v>269</v>
      </c>
      <c r="AF1386" t="s">
        <v>135</v>
      </c>
      <c r="AG1386" s="1">
        <v>43843</v>
      </c>
      <c r="AH1386" t="s">
        <v>125</v>
      </c>
      <c r="AI1386" t="s">
        <v>92</v>
      </c>
      <c r="AJ1386">
        <v>1278023</v>
      </c>
      <c r="AK1386">
        <v>12365300</v>
      </c>
      <c r="AL1386">
        <v>12900</v>
      </c>
    </row>
    <row r="1387" spans="1:38" x14ac:dyDescent="0.25">
      <c r="A1387" t="s">
        <v>180</v>
      </c>
      <c r="B1387" t="s">
        <v>422</v>
      </c>
      <c r="C1387" t="s">
        <v>40</v>
      </c>
      <c r="D1387" s="1">
        <v>43282</v>
      </c>
      <c r="E1387" s="1">
        <v>43646</v>
      </c>
      <c r="F1387" t="s">
        <v>72</v>
      </c>
      <c r="G1387">
        <v>3</v>
      </c>
      <c r="H1387" t="s">
        <v>125</v>
      </c>
      <c r="I1387" t="s">
        <v>43</v>
      </c>
      <c r="J1387" t="s">
        <v>126</v>
      </c>
      <c r="K1387" t="s">
        <v>44</v>
      </c>
      <c r="L1387">
        <v>45473.07</v>
      </c>
      <c r="M1387" s="1">
        <v>43646</v>
      </c>
      <c r="N1387" t="s">
        <v>45</v>
      </c>
      <c r="O1387" t="s">
        <v>46</v>
      </c>
      <c r="P1387" t="s">
        <v>47</v>
      </c>
      <c r="Q1387" s="1">
        <v>43852</v>
      </c>
      <c r="R1387" t="s">
        <v>48</v>
      </c>
      <c r="S1387" t="s">
        <v>271</v>
      </c>
      <c r="T1387" t="s">
        <v>272</v>
      </c>
      <c r="U1387" t="s">
        <v>125</v>
      </c>
      <c r="V1387">
        <v>0</v>
      </c>
      <c r="W1387">
        <v>50000</v>
      </c>
      <c r="X1387" s="1">
        <v>43738</v>
      </c>
      <c r="Y1387" t="s">
        <v>140</v>
      </c>
      <c r="Z1387" t="s">
        <v>43</v>
      </c>
      <c r="AA1387" t="s">
        <v>115</v>
      </c>
      <c r="AB1387" t="s">
        <v>268</v>
      </c>
      <c r="AC1387" t="s">
        <v>269</v>
      </c>
      <c r="AF1387" t="s">
        <v>136</v>
      </c>
      <c r="AG1387" s="1">
        <v>43839</v>
      </c>
      <c r="AH1387" t="s">
        <v>125</v>
      </c>
      <c r="AI1387" t="s">
        <v>92</v>
      </c>
      <c r="AJ1387">
        <v>1278023</v>
      </c>
      <c r="AK1387">
        <v>12365300</v>
      </c>
      <c r="AL1387">
        <v>12900</v>
      </c>
    </row>
    <row r="1388" spans="1:38" x14ac:dyDescent="0.25">
      <c r="A1388" t="s">
        <v>180</v>
      </c>
      <c r="B1388" t="s">
        <v>422</v>
      </c>
      <c r="C1388" t="s">
        <v>40</v>
      </c>
      <c r="D1388" s="1">
        <v>43282</v>
      </c>
      <c r="E1388" s="1">
        <v>43646</v>
      </c>
      <c r="F1388" t="s">
        <v>72</v>
      </c>
      <c r="G1388">
        <v>3</v>
      </c>
      <c r="H1388" t="s">
        <v>125</v>
      </c>
      <c r="I1388" t="s">
        <v>43</v>
      </c>
      <c r="J1388" t="s">
        <v>126</v>
      </c>
      <c r="K1388" t="s">
        <v>44</v>
      </c>
      <c r="L1388">
        <v>45473.07</v>
      </c>
      <c r="M1388" s="1">
        <v>43646</v>
      </c>
      <c r="N1388" t="s">
        <v>45</v>
      </c>
      <c r="O1388" t="s">
        <v>46</v>
      </c>
      <c r="P1388" t="s">
        <v>47</v>
      </c>
      <c r="Q1388" s="1">
        <v>43852</v>
      </c>
      <c r="R1388" t="s">
        <v>48</v>
      </c>
      <c r="S1388" t="s">
        <v>271</v>
      </c>
      <c r="T1388" t="s">
        <v>272</v>
      </c>
      <c r="U1388" t="s">
        <v>125</v>
      </c>
      <c r="V1388">
        <v>0</v>
      </c>
      <c r="W1388">
        <v>50000</v>
      </c>
      <c r="X1388" s="1">
        <v>43738</v>
      </c>
      <c r="Y1388" t="s">
        <v>140</v>
      </c>
      <c r="Z1388" t="s">
        <v>43</v>
      </c>
      <c r="AA1388" t="s">
        <v>115</v>
      </c>
      <c r="AB1388" t="s">
        <v>268</v>
      </c>
      <c r="AC1388" t="s">
        <v>269</v>
      </c>
      <c r="AF1388" t="s">
        <v>137</v>
      </c>
      <c r="AG1388" s="1">
        <v>43840</v>
      </c>
      <c r="AH1388" t="s">
        <v>125</v>
      </c>
      <c r="AI1388" t="s">
        <v>92</v>
      </c>
      <c r="AJ1388">
        <v>1278023</v>
      </c>
      <c r="AK1388">
        <v>12365300</v>
      </c>
      <c r="AL1388">
        <v>12900</v>
      </c>
    </row>
    <row r="1389" spans="1:38" x14ac:dyDescent="0.25">
      <c r="A1389" t="s">
        <v>181</v>
      </c>
      <c r="B1389" t="s">
        <v>423</v>
      </c>
      <c r="C1389" t="s">
        <v>40</v>
      </c>
      <c r="D1389" s="1">
        <v>43282</v>
      </c>
      <c r="E1389" s="1">
        <v>43646</v>
      </c>
      <c r="F1389" t="s">
        <v>76</v>
      </c>
      <c r="G1389">
        <v>3</v>
      </c>
      <c r="H1389" t="s">
        <v>125</v>
      </c>
      <c r="I1389" t="s">
        <v>43</v>
      </c>
      <c r="J1389" t="s">
        <v>126</v>
      </c>
      <c r="K1389" t="s">
        <v>44</v>
      </c>
      <c r="L1389">
        <v>9436.56</v>
      </c>
      <c r="M1389" s="1">
        <v>43646</v>
      </c>
      <c r="N1389" t="s">
        <v>45</v>
      </c>
      <c r="O1389" t="s">
        <v>46</v>
      </c>
      <c r="P1389" t="s">
        <v>47</v>
      </c>
      <c r="Q1389" s="1">
        <v>43852</v>
      </c>
      <c r="R1389" t="s">
        <v>48</v>
      </c>
    </row>
    <row r="1390" spans="1:38" x14ac:dyDescent="0.25">
      <c r="A1390" t="s">
        <v>183</v>
      </c>
      <c r="B1390" t="s">
        <v>424</v>
      </c>
      <c r="C1390" t="s">
        <v>40</v>
      </c>
      <c r="D1390" s="1">
        <v>43282</v>
      </c>
      <c r="E1390" s="1">
        <v>43646</v>
      </c>
      <c r="F1390" t="s">
        <v>77</v>
      </c>
      <c r="G1390">
        <v>3</v>
      </c>
      <c r="H1390" t="s">
        <v>125</v>
      </c>
      <c r="I1390" t="s">
        <v>43</v>
      </c>
      <c r="J1390" t="s">
        <v>126</v>
      </c>
      <c r="K1390" t="s">
        <v>44</v>
      </c>
      <c r="L1390">
        <v>30030.63</v>
      </c>
      <c r="M1390" s="1">
        <v>43646</v>
      </c>
      <c r="N1390" t="s">
        <v>45</v>
      </c>
      <c r="O1390" t="s">
        <v>46</v>
      </c>
      <c r="P1390" t="s">
        <v>47</v>
      </c>
      <c r="Q1390" s="1">
        <v>43852</v>
      </c>
      <c r="R1390" t="s">
        <v>48</v>
      </c>
    </row>
    <row r="1391" spans="1:38" x14ac:dyDescent="0.25">
      <c r="A1391" t="s">
        <v>185</v>
      </c>
      <c r="B1391" t="s">
        <v>425</v>
      </c>
      <c r="C1391" t="s">
        <v>40</v>
      </c>
      <c r="D1391" s="1">
        <v>43369</v>
      </c>
      <c r="E1391" s="1">
        <v>43733</v>
      </c>
      <c r="F1391" t="s">
        <v>41</v>
      </c>
      <c r="G1391">
        <v>1</v>
      </c>
      <c r="H1391" t="s">
        <v>42</v>
      </c>
      <c r="I1391" t="s">
        <v>43</v>
      </c>
      <c r="J1391" t="s">
        <v>41</v>
      </c>
      <c r="K1391" t="s">
        <v>127</v>
      </c>
      <c r="L1391">
        <v>2722.5</v>
      </c>
      <c r="M1391" s="1">
        <v>43369</v>
      </c>
      <c r="N1391" t="s">
        <v>45</v>
      </c>
      <c r="O1391" t="s">
        <v>46</v>
      </c>
      <c r="P1391" t="s">
        <v>47</v>
      </c>
      <c r="Q1391" s="1">
        <v>43852</v>
      </c>
      <c r="R1391" t="s">
        <v>48</v>
      </c>
      <c r="S1391" t="s">
        <v>49</v>
      </c>
      <c r="T1391" t="s">
        <v>50</v>
      </c>
      <c r="U1391" t="s">
        <v>42</v>
      </c>
      <c r="V1391">
        <v>0</v>
      </c>
      <c r="W1391">
        <v>100000</v>
      </c>
      <c r="X1391" s="1">
        <v>44012</v>
      </c>
      <c r="Y1391" t="s">
        <v>51</v>
      </c>
      <c r="Z1391" t="s">
        <v>43</v>
      </c>
      <c r="AA1391" t="s">
        <v>41</v>
      </c>
      <c r="AB1391" t="s">
        <v>52</v>
      </c>
      <c r="AC1391" t="s">
        <v>53</v>
      </c>
      <c r="AF1391" t="s">
        <v>54</v>
      </c>
      <c r="AG1391" s="1">
        <v>43832</v>
      </c>
      <c r="AH1391" t="s">
        <v>42</v>
      </c>
      <c r="AI1391" t="s">
        <v>55</v>
      </c>
      <c r="AJ1391">
        <v>12788092</v>
      </c>
      <c r="AK1391">
        <v>250000</v>
      </c>
      <c r="AL1391">
        <v>1500000</v>
      </c>
    </row>
    <row r="1392" spans="1:38" x14ac:dyDescent="0.25">
      <c r="A1392" t="s">
        <v>185</v>
      </c>
      <c r="B1392" t="s">
        <v>425</v>
      </c>
      <c r="C1392" t="s">
        <v>40</v>
      </c>
      <c r="D1392" s="1">
        <v>43369</v>
      </c>
      <c r="E1392" s="1">
        <v>43733</v>
      </c>
      <c r="F1392" t="s">
        <v>41</v>
      </c>
      <c r="G1392">
        <v>1</v>
      </c>
      <c r="H1392" t="s">
        <v>42</v>
      </c>
      <c r="I1392" t="s">
        <v>43</v>
      </c>
      <c r="J1392" t="s">
        <v>41</v>
      </c>
      <c r="K1392" t="s">
        <v>127</v>
      </c>
      <c r="L1392">
        <v>2722.5</v>
      </c>
      <c r="M1392" s="1">
        <v>43369</v>
      </c>
      <c r="N1392" t="s">
        <v>45</v>
      </c>
      <c r="O1392" t="s">
        <v>46</v>
      </c>
      <c r="P1392" t="s">
        <v>47</v>
      </c>
      <c r="Q1392" s="1">
        <v>43852</v>
      </c>
      <c r="R1392" t="s">
        <v>48</v>
      </c>
      <c r="S1392" t="s">
        <v>49</v>
      </c>
      <c r="T1392" t="s">
        <v>50</v>
      </c>
      <c r="U1392" t="s">
        <v>42</v>
      </c>
      <c r="V1392">
        <v>0</v>
      </c>
      <c r="W1392">
        <v>100000</v>
      </c>
      <c r="X1392" s="1">
        <v>44012</v>
      </c>
      <c r="Y1392" t="s">
        <v>51</v>
      </c>
      <c r="Z1392" t="s">
        <v>43</v>
      </c>
      <c r="AA1392" t="s">
        <v>41</v>
      </c>
      <c r="AB1392" t="s">
        <v>52</v>
      </c>
      <c r="AC1392" t="s">
        <v>53</v>
      </c>
      <c r="AF1392" t="s">
        <v>56</v>
      </c>
      <c r="AG1392" s="1">
        <v>43833</v>
      </c>
      <c r="AH1392" t="s">
        <v>42</v>
      </c>
      <c r="AI1392" t="s">
        <v>55</v>
      </c>
      <c r="AJ1392">
        <v>12788092</v>
      </c>
      <c r="AK1392">
        <v>250000</v>
      </c>
      <c r="AL1392">
        <v>1500000</v>
      </c>
    </row>
    <row r="1393" spans="1:38" x14ac:dyDescent="0.25">
      <c r="A1393" t="s">
        <v>185</v>
      </c>
      <c r="B1393" t="s">
        <v>425</v>
      </c>
      <c r="C1393" t="s">
        <v>40</v>
      </c>
      <c r="D1393" s="1">
        <v>43369</v>
      </c>
      <c r="E1393" s="1">
        <v>43733</v>
      </c>
      <c r="F1393" t="s">
        <v>41</v>
      </c>
      <c r="G1393">
        <v>1</v>
      </c>
      <c r="H1393" t="s">
        <v>42</v>
      </c>
      <c r="I1393" t="s">
        <v>43</v>
      </c>
      <c r="J1393" t="s">
        <v>41</v>
      </c>
      <c r="K1393" t="s">
        <v>127</v>
      </c>
      <c r="L1393">
        <v>2722.5</v>
      </c>
      <c r="M1393" s="1">
        <v>43369</v>
      </c>
      <c r="N1393" t="s">
        <v>45</v>
      </c>
      <c r="O1393" t="s">
        <v>46</v>
      </c>
      <c r="P1393" t="s">
        <v>47</v>
      </c>
      <c r="Q1393" s="1">
        <v>43852</v>
      </c>
      <c r="R1393" t="s">
        <v>48</v>
      </c>
      <c r="S1393" t="s">
        <v>49</v>
      </c>
      <c r="T1393" t="s">
        <v>50</v>
      </c>
      <c r="U1393" t="s">
        <v>42</v>
      </c>
      <c r="V1393">
        <v>0</v>
      </c>
      <c r="W1393">
        <v>100000</v>
      </c>
      <c r="X1393" s="1">
        <v>44012</v>
      </c>
      <c r="Y1393" t="s">
        <v>51</v>
      </c>
      <c r="Z1393" t="s">
        <v>43</v>
      </c>
      <c r="AA1393" t="s">
        <v>41</v>
      </c>
      <c r="AB1393" t="s">
        <v>52</v>
      </c>
      <c r="AC1393" t="s">
        <v>53</v>
      </c>
      <c r="AF1393" t="s">
        <v>57</v>
      </c>
      <c r="AG1393" s="1">
        <v>43836</v>
      </c>
      <c r="AH1393" t="s">
        <v>42</v>
      </c>
      <c r="AI1393" t="s">
        <v>55</v>
      </c>
      <c r="AJ1393">
        <v>12788092</v>
      </c>
      <c r="AK1393">
        <v>250000</v>
      </c>
      <c r="AL1393">
        <v>1500000</v>
      </c>
    </row>
    <row r="1394" spans="1:38" x14ac:dyDescent="0.25">
      <c r="A1394" t="s">
        <v>185</v>
      </c>
      <c r="B1394" t="s">
        <v>425</v>
      </c>
      <c r="C1394" t="s">
        <v>40</v>
      </c>
      <c r="D1394" s="1">
        <v>43369</v>
      </c>
      <c r="E1394" s="1">
        <v>43733</v>
      </c>
      <c r="F1394" t="s">
        <v>41</v>
      </c>
      <c r="G1394">
        <v>1</v>
      </c>
      <c r="H1394" t="s">
        <v>42</v>
      </c>
      <c r="I1394" t="s">
        <v>43</v>
      </c>
      <c r="J1394" t="s">
        <v>41</v>
      </c>
      <c r="K1394" t="s">
        <v>127</v>
      </c>
      <c r="L1394">
        <v>2722.5</v>
      </c>
      <c r="M1394" s="1">
        <v>43369</v>
      </c>
      <c r="N1394" t="s">
        <v>45</v>
      </c>
      <c r="O1394" t="s">
        <v>46</v>
      </c>
      <c r="P1394" t="s">
        <v>47</v>
      </c>
      <c r="Q1394" s="1">
        <v>43852</v>
      </c>
      <c r="R1394" t="s">
        <v>48</v>
      </c>
      <c r="S1394" t="s">
        <v>49</v>
      </c>
      <c r="T1394" t="s">
        <v>50</v>
      </c>
      <c r="U1394" t="s">
        <v>42</v>
      </c>
      <c r="V1394">
        <v>0</v>
      </c>
      <c r="W1394">
        <v>100000</v>
      </c>
      <c r="X1394" s="1">
        <v>44012</v>
      </c>
      <c r="Y1394" t="s">
        <v>51</v>
      </c>
      <c r="Z1394" t="s">
        <v>43</v>
      </c>
      <c r="AA1394" t="s">
        <v>41</v>
      </c>
      <c r="AB1394" t="s">
        <v>52</v>
      </c>
      <c r="AC1394" t="s">
        <v>53</v>
      </c>
      <c r="AF1394" t="s">
        <v>58</v>
      </c>
      <c r="AG1394" s="1">
        <v>43837</v>
      </c>
      <c r="AH1394" t="s">
        <v>42</v>
      </c>
      <c r="AI1394" t="s">
        <v>55</v>
      </c>
      <c r="AJ1394">
        <v>12788092</v>
      </c>
      <c r="AK1394">
        <v>250000</v>
      </c>
      <c r="AL1394">
        <v>1500000</v>
      </c>
    </row>
    <row r="1395" spans="1:38" x14ac:dyDescent="0.25">
      <c r="A1395" t="s">
        <v>185</v>
      </c>
      <c r="B1395" t="s">
        <v>425</v>
      </c>
      <c r="C1395" t="s">
        <v>40</v>
      </c>
      <c r="D1395" s="1">
        <v>43369</v>
      </c>
      <c r="E1395" s="1">
        <v>43733</v>
      </c>
      <c r="F1395" t="s">
        <v>41</v>
      </c>
      <c r="G1395">
        <v>1</v>
      </c>
      <c r="H1395" t="s">
        <v>42</v>
      </c>
      <c r="I1395" t="s">
        <v>43</v>
      </c>
      <c r="J1395" t="s">
        <v>41</v>
      </c>
      <c r="K1395" t="s">
        <v>127</v>
      </c>
      <c r="L1395">
        <v>2722.5</v>
      </c>
      <c r="M1395" s="1">
        <v>43369</v>
      </c>
      <c r="N1395" t="s">
        <v>45</v>
      </c>
      <c r="O1395" t="s">
        <v>46</v>
      </c>
      <c r="P1395" t="s">
        <v>47</v>
      </c>
      <c r="Q1395" s="1">
        <v>43852</v>
      </c>
      <c r="R1395" t="s">
        <v>48</v>
      </c>
      <c r="S1395" t="s">
        <v>49</v>
      </c>
      <c r="T1395" t="s">
        <v>50</v>
      </c>
      <c r="U1395" t="s">
        <v>42</v>
      </c>
      <c r="V1395">
        <v>0</v>
      </c>
      <c r="W1395">
        <v>100000</v>
      </c>
      <c r="X1395" s="1">
        <v>44012</v>
      </c>
      <c r="Y1395" t="s">
        <v>51</v>
      </c>
      <c r="Z1395" t="s">
        <v>43</v>
      </c>
      <c r="AA1395" t="s">
        <v>41</v>
      </c>
      <c r="AB1395" t="s">
        <v>52</v>
      </c>
      <c r="AC1395" t="s">
        <v>53</v>
      </c>
      <c r="AF1395" t="s">
        <v>59</v>
      </c>
      <c r="AG1395" s="1">
        <v>43838</v>
      </c>
      <c r="AH1395" t="s">
        <v>42</v>
      </c>
      <c r="AI1395" t="s">
        <v>55</v>
      </c>
      <c r="AJ1395">
        <v>12788092</v>
      </c>
      <c r="AK1395">
        <v>250000</v>
      </c>
      <c r="AL1395">
        <v>1500000</v>
      </c>
    </row>
    <row r="1396" spans="1:38" x14ac:dyDescent="0.25">
      <c r="A1396" t="s">
        <v>185</v>
      </c>
      <c r="B1396" t="s">
        <v>425</v>
      </c>
      <c r="C1396" t="s">
        <v>40</v>
      </c>
      <c r="D1396" s="1">
        <v>43369</v>
      </c>
      <c r="E1396" s="1">
        <v>43733</v>
      </c>
      <c r="F1396" t="s">
        <v>41</v>
      </c>
      <c r="G1396">
        <v>1</v>
      </c>
      <c r="H1396" t="s">
        <v>42</v>
      </c>
      <c r="I1396" t="s">
        <v>43</v>
      </c>
      <c r="J1396" t="s">
        <v>41</v>
      </c>
      <c r="K1396" t="s">
        <v>127</v>
      </c>
      <c r="L1396">
        <v>2722.5</v>
      </c>
      <c r="M1396" s="1">
        <v>43369</v>
      </c>
      <c r="N1396" t="s">
        <v>45</v>
      </c>
      <c r="O1396" t="s">
        <v>46</v>
      </c>
      <c r="P1396" t="s">
        <v>47</v>
      </c>
      <c r="Q1396" s="1">
        <v>43852</v>
      </c>
      <c r="R1396" t="s">
        <v>48</v>
      </c>
      <c r="S1396" t="s">
        <v>60</v>
      </c>
      <c r="T1396" t="s">
        <v>61</v>
      </c>
      <c r="U1396" t="s">
        <v>42</v>
      </c>
      <c r="V1396">
        <v>0</v>
      </c>
      <c r="W1396">
        <v>100000</v>
      </c>
      <c r="X1396" s="1">
        <v>43921</v>
      </c>
      <c r="Y1396" t="s">
        <v>51</v>
      </c>
      <c r="Z1396" t="s">
        <v>43</v>
      </c>
      <c r="AA1396" t="s">
        <v>41</v>
      </c>
      <c r="AB1396" t="s">
        <v>52</v>
      </c>
      <c r="AC1396" t="s">
        <v>53</v>
      </c>
      <c r="AF1396" t="s">
        <v>54</v>
      </c>
      <c r="AG1396" s="1">
        <v>43832</v>
      </c>
      <c r="AH1396" t="s">
        <v>42</v>
      </c>
      <c r="AI1396" t="s">
        <v>55</v>
      </c>
      <c r="AJ1396">
        <v>12788092</v>
      </c>
      <c r="AK1396">
        <v>250000</v>
      </c>
      <c r="AL1396">
        <v>1500000</v>
      </c>
    </row>
    <row r="1397" spans="1:38" x14ac:dyDescent="0.25">
      <c r="A1397" t="s">
        <v>185</v>
      </c>
      <c r="B1397" t="s">
        <v>425</v>
      </c>
      <c r="C1397" t="s">
        <v>40</v>
      </c>
      <c r="D1397" s="1">
        <v>43369</v>
      </c>
      <c r="E1397" s="1">
        <v>43733</v>
      </c>
      <c r="F1397" t="s">
        <v>41</v>
      </c>
      <c r="G1397">
        <v>1</v>
      </c>
      <c r="H1397" t="s">
        <v>42</v>
      </c>
      <c r="I1397" t="s">
        <v>43</v>
      </c>
      <c r="J1397" t="s">
        <v>41</v>
      </c>
      <c r="K1397" t="s">
        <v>127</v>
      </c>
      <c r="L1397">
        <v>2722.5</v>
      </c>
      <c r="M1397" s="1">
        <v>43369</v>
      </c>
      <c r="N1397" t="s">
        <v>45</v>
      </c>
      <c r="O1397" t="s">
        <v>46</v>
      </c>
      <c r="P1397" t="s">
        <v>47</v>
      </c>
      <c r="Q1397" s="1">
        <v>43852</v>
      </c>
      <c r="R1397" t="s">
        <v>48</v>
      </c>
      <c r="S1397" t="s">
        <v>60</v>
      </c>
      <c r="T1397" t="s">
        <v>61</v>
      </c>
      <c r="U1397" t="s">
        <v>42</v>
      </c>
      <c r="V1397">
        <v>0</v>
      </c>
      <c r="W1397">
        <v>100000</v>
      </c>
      <c r="X1397" s="1">
        <v>43921</v>
      </c>
      <c r="Y1397" t="s">
        <v>51</v>
      </c>
      <c r="Z1397" t="s">
        <v>43</v>
      </c>
      <c r="AA1397" t="s">
        <v>41</v>
      </c>
      <c r="AB1397" t="s">
        <v>52</v>
      </c>
      <c r="AC1397" t="s">
        <v>53</v>
      </c>
      <c r="AF1397" t="s">
        <v>56</v>
      </c>
      <c r="AG1397" s="1">
        <v>43833</v>
      </c>
      <c r="AH1397" t="s">
        <v>42</v>
      </c>
      <c r="AI1397" t="s">
        <v>55</v>
      </c>
      <c r="AJ1397">
        <v>12788092</v>
      </c>
      <c r="AK1397">
        <v>250000</v>
      </c>
      <c r="AL1397">
        <v>1500000</v>
      </c>
    </row>
    <row r="1398" spans="1:38" x14ac:dyDescent="0.25">
      <c r="A1398" t="s">
        <v>185</v>
      </c>
      <c r="B1398" t="s">
        <v>425</v>
      </c>
      <c r="C1398" t="s">
        <v>40</v>
      </c>
      <c r="D1398" s="1">
        <v>43369</v>
      </c>
      <c r="E1398" s="1">
        <v>43733</v>
      </c>
      <c r="F1398" t="s">
        <v>41</v>
      </c>
      <c r="G1398">
        <v>1</v>
      </c>
      <c r="H1398" t="s">
        <v>42</v>
      </c>
      <c r="I1398" t="s">
        <v>43</v>
      </c>
      <c r="J1398" t="s">
        <v>41</v>
      </c>
      <c r="K1398" t="s">
        <v>127</v>
      </c>
      <c r="L1398">
        <v>2722.5</v>
      </c>
      <c r="M1398" s="1">
        <v>43369</v>
      </c>
      <c r="N1398" t="s">
        <v>45</v>
      </c>
      <c r="O1398" t="s">
        <v>46</v>
      </c>
      <c r="P1398" t="s">
        <v>47</v>
      </c>
      <c r="Q1398" s="1">
        <v>43852</v>
      </c>
      <c r="R1398" t="s">
        <v>48</v>
      </c>
      <c r="S1398" t="s">
        <v>60</v>
      </c>
      <c r="T1398" t="s">
        <v>61</v>
      </c>
      <c r="U1398" t="s">
        <v>42</v>
      </c>
      <c r="V1398">
        <v>0</v>
      </c>
      <c r="W1398">
        <v>100000</v>
      </c>
      <c r="X1398" s="1">
        <v>43921</v>
      </c>
      <c r="Y1398" t="s">
        <v>51</v>
      </c>
      <c r="Z1398" t="s">
        <v>43</v>
      </c>
      <c r="AA1398" t="s">
        <v>41</v>
      </c>
      <c r="AB1398" t="s">
        <v>52</v>
      </c>
      <c r="AC1398" t="s">
        <v>53</v>
      </c>
      <c r="AF1398" t="s">
        <v>57</v>
      </c>
      <c r="AG1398" s="1">
        <v>43836</v>
      </c>
      <c r="AH1398" t="s">
        <v>42</v>
      </c>
      <c r="AI1398" t="s">
        <v>55</v>
      </c>
      <c r="AJ1398">
        <v>12788092</v>
      </c>
      <c r="AK1398">
        <v>250000</v>
      </c>
      <c r="AL1398">
        <v>1500000</v>
      </c>
    </row>
    <row r="1399" spans="1:38" x14ac:dyDescent="0.25">
      <c r="A1399" t="s">
        <v>185</v>
      </c>
      <c r="B1399" t="s">
        <v>425</v>
      </c>
      <c r="C1399" t="s">
        <v>40</v>
      </c>
      <c r="D1399" s="1">
        <v>43369</v>
      </c>
      <c r="E1399" s="1">
        <v>43733</v>
      </c>
      <c r="F1399" t="s">
        <v>41</v>
      </c>
      <c r="G1399">
        <v>1</v>
      </c>
      <c r="H1399" t="s">
        <v>42</v>
      </c>
      <c r="I1399" t="s">
        <v>43</v>
      </c>
      <c r="J1399" t="s">
        <v>41</v>
      </c>
      <c r="K1399" t="s">
        <v>127</v>
      </c>
      <c r="L1399">
        <v>2722.5</v>
      </c>
      <c r="M1399" s="1">
        <v>43369</v>
      </c>
      <c r="N1399" t="s">
        <v>45</v>
      </c>
      <c r="O1399" t="s">
        <v>46</v>
      </c>
      <c r="P1399" t="s">
        <v>47</v>
      </c>
      <c r="Q1399" s="1">
        <v>43852</v>
      </c>
      <c r="R1399" t="s">
        <v>48</v>
      </c>
      <c r="S1399" t="s">
        <v>60</v>
      </c>
      <c r="T1399" t="s">
        <v>61</v>
      </c>
      <c r="U1399" t="s">
        <v>42</v>
      </c>
      <c r="V1399">
        <v>0</v>
      </c>
      <c r="W1399">
        <v>100000</v>
      </c>
      <c r="X1399" s="1">
        <v>43921</v>
      </c>
      <c r="Y1399" t="s">
        <v>51</v>
      </c>
      <c r="Z1399" t="s">
        <v>43</v>
      </c>
      <c r="AA1399" t="s">
        <v>41</v>
      </c>
      <c r="AB1399" t="s">
        <v>52</v>
      </c>
      <c r="AC1399" t="s">
        <v>53</v>
      </c>
      <c r="AF1399" t="s">
        <v>58</v>
      </c>
      <c r="AG1399" s="1">
        <v>43837</v>
      </c>
      <c r="AH1399" t="s">
        <v>42</v>
      </c>
      <c r="AI1399" t="s">
        <v>55</v>
      </c>
      <c r="AJ1399">
        <v>12788092</v>
      </c>
      <c r="AK1399">
        <v>250000</v>
      </c>
      <c r="AL1399">
        <v>1500000</v>
      </c>
    </row>
    <row r="1400" spans="1:38" x14ac:dyDescent="0.25">
      <c r="A1400" t="s">
        <v>185</v>
      </c>
      <c r="B1400" t="s">
        <v>425</v>
      </c>
      <c r="C1400" t="s">
        <v>40</v>
      </c>
      <c r="D1400" s="1">
        <v>43369</v>
      </c>
      <c r="E1400" s="1">
        <v>43733</v>
      </c>
      <c r="F1400" t="s">
        <v>41</v>
      </c>
      <c r="G1400">
        <v>1</v>
      </c>
      <c r="H1400" t="s">
        <v>42</v>
      </c>
      <c r="I1400" t="s">
        <v>43</v>
      </c>
      <c r="J1400" t="s">
        <v>41</v>
      </c>
      <c r="K1400" t="s">
        <v>127</v>
      </c>
      <c r="L1400">
        <v>2722.5</v>
      </c>
      <c r="M1400" s="1">
        <v>43369</v>
      </c>
      <c r="N1400" t="s">
        <v>45</v>
      </c>
      <c r="O1400" t="s">
        <v>46</v>
      </c>
      <c r="P1400" t="s">
        <v>47</v>
      </c>
      <c r="Q1400" s="1">
        <v>43852</v>
      </c>
      <c r="R1400" t="s">
        <v>48</v>
      </c>
      <c r="S1400" t="s">
        <v>60</v>
      </c>
      <c r="T1400" t="s">
        <v>61</v>
      </c>
      <c r="U1400" t="s">
        <v>42</v>
      </c>
      <c r="V1400">
        <v>0</v>
      </c>
      <c r="W1400">
        <v>100000</v>
      </c>
      <c r="X1400" s="1">
        <v>43921</v>
      </c>
      <c r="Y1400" t="s">
        <v>51</v>
      </c>
      <c r="Z1400" t="s">
        <v>43</v>
      </c>
      <c r="AA1400" t="s">
        <v>41</v>
      </c>
      <c r="AB1400" t="s">
        <v>52</v>
      </c>
      <c r="AC1400" t="s">
        <v>53</v>
      </c>
      <c r="AF1400" t="s">
        <v>59</v>
      </c>
      <c r="AG1400" s="1">
        <v>43838</v>
      </c>
      <c r="AH1400" t="s">
        <v>42</v>
      </c>
      <c r="AI1400" t="s">
        <v>55</v>
      </c>
      <c r="AJ1400">
        <v>12788092</v>
      </c>
      <c r="AK1400">
        <v>250000</v>
      </c>
      <c r="AL1400">
        <v>1500000</v>
      </c>
    </row>
    <row r="1401" spans="1:38" x14ac:dyDescent="0.25">
      <c r="A1401" t="s">
        <v>185</v>
      </c>
      <c r="B1401" t="s">
        <v>425</v>
      </c>
      <c r="C1401" t="s">
        <v>40</v>
      </c>
      <c r="D1401" s="1">
        <v>43369</v>
      </c>
      <c r="E1401" s="1">
        <v>43733</v>
      </c>
      <c r="F1401" t="s">
        <v>41</v>
      </c>
      <c r="G1401">
        <v>1</v>
      </c>
      <c r="H1401" t="s">
        <v>42</v>
      </c>
      <c r="I1401" t="s">
        <v>43</v>
      </c>
      <c r="J1401" t="s">
        <v>41</v>
      </c>
      <c r="K1401" t="s">
        <v>127</v>
      </c>
      <c r="L1401">
        <v>2722.5</v>
      </c>
      <c r="M1401" s="1">
        <v>43369</v>
      </c>
      <c r="N1401" t="s">
        <v>45</v>
      </c>
      <c r="O1401" t="s">
        <v>46</v>
      </c>
      <c r="P1401" t="s">
        <v>47</v>
      </c>
      <c r="Q1401" s="1">
        <v>43852</v>
      </c>
      <c r="R1401" t="s">
        <v>48</v>
      </c>
      <c r="S1401" t="s">
        <v>62</v>
      </c>
      <c r="T1401" t="s">
        <v>63</v>
      </c>
      <c r="U1401" t="s">
        <v>42</v>
      </c>
      <c r="V1401">
        <v>0</v>
      </c>
      <c r="W1401">
        <v>100000</v>
      </c>
      <c r="X1401" s="1">
        <v>43982</v>
      </c>
      <c r="Y1401" t="s">
        <v>51</v>
      </c>
      <c r="Z1401" t="s">
        <v>43</v>
      </c>
      <c r="AA1401" t="s">
        <v>41</v>
      </c>
      <c r="AB1401" t="s">
        <v>52</v>
      </c>
      <c r="AC1401" t="s">
        <v>53</v>
      </c>
      <c r="AF1401" t="s">
        <v>54</v>
      </c>
      <c r="AG1401" s="1">
        <v>43832</v>
      </c>
      <c r="AH1401" t="s">
        <v>42</v>
      </c>
      <c r="AI1401" t="s">
        <v>55</v>
      </c>
      <c r="AJ1401">
        <v>12788092</v>
      </c>
      <c r="AK1401">
        <v>250000</v>
      </c>
      <c r="AL1401">
        <v>1500000</v>
      </c>
    </row>
    <row r="1402" spans="1:38" x14ac:dyDescent="0.25">
      <c r="A1402" t="s">
        <v>185</v>
      </c>
      <c r="B1402" t="s">
        <v>425</v>
      </c>
      <c r="C1402" t="s">
        <v>40</v>
      </c>
      <c r="D1402" s="1">
        <v>43369</v>
      </c>
      <c r="E1402" s="1">
        <v>43733</v>
      </c>
      <c r="F1402" t="s">
        <v>41</v>
      </c>
      <c r="G1402">
        <v>1</v>
      </c>
      <c r="H1402" t="s">
        <v>42</v>
      </c>
      <c r="I1402" t="s">
        <v>43</v>
      </c>
      <c r="J1402" t="s">
        <v>41</v>
      </c>
      <c r="K1402" t="s">
        <v>127</v>
      </c>
      <c r="L1402">
        <v>2722.5</v>
      </c>
      <c r="M1402" s="1">
        <v>43369</v>
      </c>
      <c r="N1402" t="s">
        <v>45</v>
      </c>
      <c r="O1402" t="s">
        <v>46</v>
      </c>
      <c r="P1402" t="s">
        <v>47</v>
      </c>
      <c r="Q1402" s="1">
        <v>43852</v>
      </c>
      <c r="R1402" t="s">
        <v>48</v>
      </c>
      <c r="S1402" t="s">
        <v>62</v>
      </c>
      <c r="T1402" t="s">
        <v>63</v>
      </c>
      <c r="U1402" t="s">
        <v>42</v>
      </c>
      <c r="V1402">
        <v>0</v>
      </c>
      <c r="W1402">
        <v>100000</v>
      </c>
      <c r="X1402" s="1">
        <v>43982</v>
      </c>
      <c r="Y1402" t="s">
        <v>51</v>
      </c>
      <c r="Z1402" t="s">
        <v>43</v>
      </c>
      <c r="AA1402" t="s">
        <v>41</v>
      </c>
      <c r="AB1402" t="s">
        <v>52</v>
      </c>
      <c r="AC1402" t="s">
        <v>53</v>
      </c>
      <c r="AF1402" t="s">
        <v>56</v>
      </c>
      <c r="AG1402" s="1">
        <v>43833</v>
      </c>
      <c r="AH1402" t="s">
        <v>42</v>
      </c>
      <c r="AI1402" t="s">
        <v>55</v>
      </c>
      <c r="AJ1402">
        <v>12788092</v>
      </c>
      <c r="AK1402">
        <v>250000</v>
      </c>
      <c r="AL1402">
        <v>1500000</v>
      </c>
    </row>
    <row r="1403" spans="1:38" x14ac:dyDescent="0.25">
      <c r="A1403" t="s">
        <v>185</v>
      </c>
      <c r="B1403" t="s">
        <v>425</v>
      </c>
      <c r="C1403" t="s">
        <v>40</v>
      </c>
      <c r="D1403" s="1">
        <v>43369</v>
      </c>
      <c r="E1403" s="1">
        <v>43733</v>
      </c>
      <c r="F1403" t="s">
        <v>41</v>
      </c>
      <c r="G1403">
        <v>1</v>
      </c>
      <c r="H1403" t="s">
        <v>42</v>
      </c>
      <c r="I1403" t="s">
        <v>43</v>
      </c>
      <c r="J1403" t="s">
        <v>41</v>
      </c>
      <c r="K1403" t="s">
        <v>127</v>
      </c>
      <c r="L1403">
        <v>2722.5</v>
      </c>
      <c r="M1403" s="1">
        <v>43369</v>
      </c>
      <c r="N1403" t="s">
        <v>45</v>
      </c>
      <c r="O1403" t="s">
        <v>46</v>
      </c>
      <c r="P1403" t="s">
        <v>47</v>
      </c>
      <c r="Q1403" s="1">
        <v>43852</v>
      </c>
      <c r="R1403" t="s">
        <v>48</v>
      </c>
      <c r="S1403" t="s">
        <v>62</v>
      </c>
      <c r="T1403" t="s">
        <v>63</v>
      </c>
      <c r="U1403" t="s">
        <v>42</v>
      </c>
      <c r="V1403">
        <v>0</v>
      </c>
      <c r="W1403">
        <v>100000</v>
      </c>
      <c r="X1403" s="1">
        <v>43982</v>
      </c>
      <c r="Y1403" t="s">
        <v>51</v>
      </c>
      <c r="Z1403" t="s">
        <v>43</v>
      </c>
      <c r="AA1403" t="s">
        <v>41</v>
      </c>
      <c r="AB1403" t="s">
        <v>52</v>
      </c>
      <c r="AC1403" t="s">
        <v>53</v>
      </c>
      <c r="AF1403" t="s">
        <v>57</v>
      </c>
      <c r="AG1403" s="1">
        <v>43836</v>
      </c>
      <c r="AH1403" t="s">
        <v>42</v>
      </c>
      <c r="AI1403" t="s">
        <v>55</v>
      </c>
      <c r="AJ1403">
        <v>12788092</v>
      </c>
      <c r="AK1403">
        <v>250000</v>
      </c>
      <c r="AL1403">
        <v>1500000</v>
      </c>
    </row>
    <row r="1404" spans="1:38" x14ac:dyDescent="0.25">
      <c r="A1404" t="s">
        <v>185</v>
      </c>
      <c r="B1404" t="s">
        <v>425</v>
      </c>
      <c r="C1404" t="s">
        <v>40</v>
      </c>
      <c r="D1404" s="1">
        <v>43369</v>
      </c>
      <c r="E1404" s="1">
        <v>43733</v>
      </c>
      <c r="F1404" t="s">
        <v>41</v>
      </c>
      <c r="G1404">
        <v>1</v>
      </c>
      <c r="H1404" t="s">
        <v>42</v>
      </c>
      <c r="I1404" t="s">
        <v>43</v>
      </c>
      <c r="J1404" t="s">
        <v>41</v>
      </c>
      <c r="K1404" t="s">
        <v>127</v>
      </c>
      <c r="L1404">
        <v>2722.5</v>
      </c>
      <c r="M1404" s="1">
        <v>43369</v>
      </c>
      <c r="N1404" t="s">
        <v>45</v>
      </c>
      <c r="O1404" t="s">
        <v>46</v>
      </c>
      <c r="P1404" t="s">
        <v>47</v>
      </c>
      <c r="Q1404" s="1">
        <v>43852</v>
      </c>
      <c r="R1404" t="s">
        <v>48</v>
      </c>
      <c r="S1404" t="s">
        <v>62</v>
      </c>
      <c r="T1404" t="s">
        <v>63</v>
      </c>
      <c r="U1404" t="s">
        <v>42</v>
      </c>
      <c r="V1404">
        <v>0</v>
      </c>
      <c r="W1404">
        <v>100000</v>
      </c>
      <c r="X1404" s="1">
        <v>43982</v>
      </c>
      <c r="Y1404" t="s">
        <v>51</v>
      </c>
      <c r="Z1404" t="s">
        <v>43</v>
      </c>
      <c r="AA1404" t="s">
        <v>41</v>
      </c>
      <c r="AB1404" t="s">
        <v>52</v>
      </c>
      <c r="AC1404" t="s">
        <v>53</v>
      </c>
      <c r="AF1404" t="s">
        <v>58</v>
      </c>
      <c r="AG1404" s="1">
        <v>43837</v>
      </c>
      <c r="AH1404" t="s">
        <v>42</v>
      </c>
      <c r="AI1404" t="s">
        <v>55</v>
      </c>
      <c r="AJ1404">
        <v>12788092</v>
      </c>
      <c r="AK1404">
        <v>250000</v>
      </c>
      <c r="AL1404">
        <v>1500000</v>
      </c>
    </row>
    <row r="1405" spans="1:38" x14ac:dyDescent="0.25">
      <c r="A1405" t="s">
        <v>185</v>
      </c>
      <c r="B1405" t="s">
        <v>425</v>
      </c>
      <c r="C1405" t="s">
        <v>40</v>
      </c>
      <c r="D1405" s="1">
        <v>43369</v>
      </c>
      <c r="E1405" s="1">
        <v>43733</v>
      </c>
      <c r="F1405" t="s">
        <v>41</v>
      </c>
      <c r="G1405">
        <v>1</v>
      </c>
      <c r="H1405" t="s">
        <v>42</v>
      </c>
      <c r="I1405" t="s">
        <v>43</v>
      </c>
      <c r="J1405" t="s">
        <v>41</v>
      </c>
      <c r="K1405" t="s">
        <v>127</v>
      </c>
      <c r="L1405">
        <v>2722.5</v>
      </c>
      <c r="M1405" s="1">
        <v>43369</v>
      </c>
      <c r="N1405" t="s">
        <v>45</v>
      </c>
      <c r="O1405" t="s">
        <v>46</v>
      </c>
      <c r="P1405" t="s">
        <v>47</v>
      </c>
      <c r="Q1405" s="1">
        <v>43852</v>
      </c>
      <c r="R1405" t="s">
        <v>48</v>
      </c>
      <c r="S1405" t="s">
        <v>62</v>
      </c>
      <c r="T1405" t="s">
        <v>63</v>
      </c>
      <c r="U1405" t="s">
        <v>42</v>
      </c>
      <c r="V1405">
        <v>0</v>
      </c>
      <c r="W1405">
        <v>100000</v>
      </c>
      <c r="X1405" s="1">
        <v>43982</v>
      </c>
      <c r="Y1405" t="s">
        <v>51</v>
      </c>
      <c r="Z1405" t="s">
        <v>43</v>
      </c>
      <c r="AA1405" t="s">
        <v>41</v>
      </c>
      <c r="AB1405" t="s">
        <v>52</v>
      </c>
      <c r="AC1405" t="s">
        <v>53</v>
      </c>
      <c r="AF1405" t="s">
        <v>59</v>
      </c>
      <c r="AG1405" s="1">
        <v>43838</v>
      </c>
      <c r="AH1405" t="s">
        <v>42</v>
      </c>
      <c r="AI1405" t="s">
        <v>55</v>
      </c>
      <c r="AJ1405">
        <v>12788092</v>
      </c>
      <c r="AK1405">
        <v>250000</v>
      </c>
      <c r="AL1405">
        <v>1500000</v>
      </c>
    </row>
    <row r="1406" spans="1:38" x14ac:dyDescent="0.25">
      <c r="A1406" t="s">
        <v>185</v>
      </c>
      <c r="B1406" t="s">
        <v>425</v>
      </c>
      <c r="C1406" t="s">
        <v>40</v>
      </c>
      <c r="D1406" s="1">
        <v>43369</v>
      </c>
      <c r="E1406" s="1">
        <v>43733</v>
      </c>
      <c r="F1406" t="s">
        <v>41</v>
      </c>
      <c r="G1406">
        <v>1</v>
      </c>
      <c r="H1406" t="s">
        <v>42</v>
      </c>
      <c r="I1406" t="s">
        <v>43</v>
      </c>
      <c r="J1406" t="s">
        <v>41</v>
      </c>
      <c r="K1406" t="s">
        <v>127</v>
      </c>
      <c r="L1406">
        <v>2722.5</v>
      </c>
      <c r="M1406" s="1">
        <v>43369</v>
      </c>
      <c r="N1406" t="s">
        <v>45</v>
      </c>
      <c r="O1406" t="s">
        <v>46</v>
      </c>
      <c r="P1406" t="s">
        <v>47</v>
      </c>
      <c r="Q1406" s="1">
        <v>43852</v>
      </c>
      <c r="R1406" t="s">
        <v>48</v>
      </c>
      <c r="S1406" t="s">
        <v>64</v>
      </c>
      <c r="T1406" t="s">
        <v>65</v>
      </c>
      <c r="U1406" t="s">
        <v>42</v>
      </c>
      <c r="V1406">
        <v>0</v>
      </c>
      <c r="W1406">
        <v>100000</v>
      </c>
      <c r="X1406" s="1">
        <v>43921</v>
      </c>
      <c r="Y1406" t="s">
        <v>51</v>
      </c>
      <c r="Z1406" t="s">
        <v>43</v>
      </c>
      <c r="AA1406" t="s">
        <v>41</v>
      </c>
      <c r="AB1406" t="s">
        <v>52</v>
      </c>
      <c r="AC1406" t="s">
        <v>53</v>
      </c>
      <c r="AF1406" t="s">
        <v>54</v>
      </c>
      <c r="AG1406" s="1">
        <v>43832</v>
      </c>
      <c r="AH1406" t="s">
        <v>42</v>
      </c>
      <c r="AI1406" t="s">
        <v>55</v>
      </c>
      <c r="AJ1406">
        <v>12788092</v>
      </c>
      <c r="AK1406">
        <v>250000</v>
      </c>
      <c r="AL1406">
        <v>1500000</v>
      </c>
    </row>
    <row r="1407" spans="1:38" x14ac:dyDescent="0.25">
      <c r="A1407" t="s">
        <v>185</v>
      </c>
      <c r="B1407" t="s">
        <v>425</v>
      </c>
      <c r="C1407" t="s">
        <v>40</v>
      </c>
      <c r="D1407" s="1">
        <v>43369</v>
      </c>
      <c r="E1407" s="1">
        <v>43733</v>
      </c>
      <c r="F1407" t="s">
        <v>41</v>
      </c>
      <c r="G1407">
        <v>1</v>
      </c>
      <c r="H1407" t="s">
        <v>42</v>
      </c>
      <c r="I1407" t="s">
        <v>43</v>
      </c>
      <c r="J1407" t="s">
        <v>41</v>
      </c>
      <c r="K1407" t="s">
        <v>127</v>
      </c>
      <c r="L1407">
        <v>2722.5</v>
      </c>
      <c r="M1407" s="1">
        <v>43369</v>
      </c>
      <c r="N1407" t="s">
        <v>45</v>
      </c>
      <c r="O1407" t="s">
        <v>46</v>
      </c>
      <c r="P1407" t="s">
        <v>47</v>
      </c>
      <c r="Q1407" s="1">
        <v>43852</v>
      </c>
      <c r="R1407" t="s">
        <v>48</v>
      </c>
      <c r="S1407" t="s">
        <v>64</v>
      </c>
      <c r="T1407" t="s">
        <v>65</v>
      </c>
      <c r="U1407" t="s">
        <v>42</v>
      </c>
      <c r="V1407">
        <v>0</v>
      </c>
      <c r="W1407">
        <v>100000</v>
      </c>
      <c r="X1407" s="1">
        <v>43921</v>
      </c>
      <c r="Y1407" t="s">
        <v>51</v>
      </c>
      <c r="Z1407" t="s">
        <v>43</v>
      </c>
      <c r="AA1407" t="s">
        <v>41</v>
      </c>
      <c r="AB1407" t="s">
        <v>52</v>
      </c>
      <c r="AC1407" t="s">
        <v>53</v>
      </c>
      <c r="AF1407" t="s">
        <v>56</v>
      </c>
      <c r="AG1407" s="1">
        <v>43833</v>
      </c>
      <c r="AH1407" t="s">
        <v>42</v>
      </c>
      <c r="AI1407" t="s">
        <v>55</v>
      </c>
      <c r="AJ1407">
        <v>12788092</v>
      </c>
      <c r="AK1407">
        <v>250000</v>
      </c>
      <c r="AL1407">
        <v>1500000</v>
      </c>
    </row>
    <row r="1408" spans="1:38" x14ac:dyDescent="0.25">
      <c r="A1408" t="s">
        <v>185</v>
      </c>
      <c r="B1408" t="s">
        <v>425</v>
      </c>
      <c r="C1408" t="s">
        <v>40</v>
      </c>
      <c r="D1408" s="1">
        <v>43369</v>
      </c>
      <c r="E1408" s="1">
        <v>43733</v>
      </c>
      <c r="F1408" t="s">
        <v>41</v>
      </c>
      <c r="G1408">
        <v>1</v>
      </c>
      <c r="H1408" t="s">
        <v>42</v>
      </c>
      <c r="I1408" t="s">
        <v>43</v>
      </c>
      <c r="J1408" t="s">
        <v>41</v>
      </c>
      <c r="K1408" t="s">
        <v>127</v>
      </c>
      <c r="L1408">
        <v>2722.5</v>
      </c>
      <c r="M1408" s="1">
        <v>43369</v>
      </c>
      <c r="N1408" t="s">
        <v>45</v>
      </c>
      <c r="O1408" t="s">
        <v>46</v>
      </c>
      <c r="P1408" t="s">
        <v>47</v>
      </c>
      <c r="Q1408" s="1">
        <v>43852</v>
      </c>
      <c r="R1408" t="s">
        <v>48</v>
      </c>
      <c r="S1408" t="s">
        <v>64</v>
      </c>
      <c r="T1408" t="s">
        <v>65</v>
      </c>
      <c r="U1408" t="s">
        <v>42</v>
      </c>
      <c r="V1408">
        <v>0</v>
      </c>
      <c r="W1408">
        <v>100000</v>
      </c>
      <c r="X1408" s="1">
        <v>43921</v>
      </c>
      <c r="Y1408" t="s">
        <v>51</v>
      </c>
      <c r="Z1408" t="s">
        <v>43</v>
      </c>
      <c r="AA1408" t="s">
        <v>41</v>
      </c>
      <c r="AB1408" t="s">
        <v>52</v>
      </c>
      <c r="AC1408" t="s">
        <v>53</v>
      </c>
      <c r="AF1408" t="s">
        <v>57</v>
      </c>
      <c r="AG1408" s="1">
        <v>43836</v>
      </c>
      <c r="AH1408" t="s">
        <v>42</v>
      </c>
      <c r="AI1408" t="s">
        <v>55</v>
      </c>
      <c r="AJ1408">
        <v>12788092</v>
      </c>
      <c r="AK1408">
        <v>250000</v>
      </c>
      <c r="AL1408">
        <v>1500000</v>
      </c>
    </row>
    <row r="1409" spans="1:38" x14ac:dyDescent="0.25">
      <c r="A1409" t="s">
        <v>185</v>
      </c>
      <c r="B1409" t="s">
        <v>425</v>
      </c>
      <c r="C1409" t="s">
        <v>40</v>
      </c>
      <c r="D1409" s="1">
        <v>43369</v>
      </c>
      <c r="E1409" s="1">
        <v>43733</v>
      </c>
      <c r="F1409" t="s">
        <v>41</v>
      </c>
      <c r="G1409">
        <v>1</v>
      </c>
      <c r="H1409" t="s">
        <v>42</v>
      </c>
      <c r="I1409" t="s">
        <v>43</v>
      </c>
      <c r="J1409" t="s">
        <v>41</v>
      </c>
      <c r="K1409" t="s">
        <v>127</v>
      </c>
      <c r="L1409">
        <v>2722.5</v>
      </c>
      <c r="M1409" s="1">
        <v>43369</v>
      </c>
      <c r="N1409" t="s">
        <v>45</v>
      </c>
      <c r="O1409" t="s">
        <v>46</v>
      </c>
      <c r="P1409" t="s">
        <v>47</v>
      </c>
      <c r="Q1409" s="1">
        <v>43852</v>
      </c>
      <c r="R1409" t="s">
        <v>48</v>
      </c>
      <c r="S1409" t="s">
        <v>64</v>
      </c>
      <c r="T1409" t="s">
        <v>65</v>
      </c>
      <c r="U1409" t="s">
        <v>42</v>
      </c>
      <c r="V1409">
        <v>0</v>
      </c>
      <c r="W1409">
        <v>100000</v>
      </c>
      <c r="X1409" s="1">
        <v>43921</v>
      </c>
      <c r="Y1409" t="s">
        <v>51</v>
      </c>
      <c r="Z1409" t="s">
        <v>43</v>
      </c>
      <c r="AA1409" t="s">
        <v>41</v>
      </c>
      <c r="AB1409" t="s">
        <v>52</v>
      </c>
      <c r="AC1409" t="s">
        <v>53</v>
      </c>
      <c r="AF1409" t="s">
        <v>58</v>
      </c>
      <c r="AG1409" s="1">
        <v>43837</v>
      </c>
      <c r="AH1409" t="s">
        <v>42</v>
      </c>
      <c r="AI1409" t="s">
        <v>55</v>
      </c>
      <c r="AJ1409">
        <v>12788092</v>
      </c>
      <c r="AK1409">
        <v>250000</v>
      </c>
      <c r="AL1409">
        <v>1500000</v>
      </c>
    </row>
    <row r="1410" spans="1:38" x14ac:dyDescent="0.25">
      <c r="A1410" t="s">
        <v>185</v>
      </c>
      <c r="B1410" t="s">
        <v>425</v>
      </c>
      <c r="C1410" t="s">
        <v>40</v>
      </c>
      <c r="D1410" s="1">
        <v>43369</v>
      </c>
      <c r="E1410" s="1">
        <v>43733</v>
      </c>
      <c r="F1410" t="s">
        <v>41</v>
      </c>
      <c r="G1410">
        <v>1</v>
      </c>
      <c r="H1410" t="s">
        <v>42</v>
      </c>
      <c r="I1410" t="s">
        <v>43</v>
      </c>
      <c r="J1410" t="s">
        <v>41</v>
      </c>
      <c r="K1410" t="s">
        <v>127</v>
      </c>
      <c r="L1410">
        <v>2722.5</v>
      </c>
      <c r="M1410" s="1">
        <v>43369</v>
      </c>
      <c r="N1410" t="s">
        <v>45</v>
      </c>
      <c r="O1410" t="s">
        <v>46</v>
      </c>
      <c r="P1410" t="s">
        <v>47</v>
      </c>
      <c r="Q1410" s="1">
        <v>43852</v>
      </c>
      <c r="R1410" t="s">
        <v>48</v>
      </c>
      <c r="S1410" t="s">
        <v>64</v>
      </c>
      <c r="T1410" t="s">
        <v>65</v>
      </c>
      <c r="U1410" t="s">
        <v>42</v>
      </c>
      <c r="V1410">
        <v>0</v>
      </c>
      <c r="W1410">
        <v>100000</v>
      </c>
      <c r="X1410" s="1">
        <v>43921</v>
      </c>
      <c r="Y1410" t="s">
        <v>51</v>
      </c>
      <c r="Z1410" t="s">
        <v>43</v>
      </c>
      <c r="AA1410" t="s">
        <v>41</v>
      </c>
      <c r="AB1410" t="s">
        <v>52</v>
      </c>
      <c r="AC1410" t="s">
        <v>53</v>
      </c>
      <c r="AF1410" t="s">
        <v>59</v>
      </c>
      <c r="AG1410" s="1">
        <v>43838</v>
      </c>
      <c r="AH1410" t="s">
        <v>42</v>
      </c>
      <c r="AI1410" t="s">
        <v>55</v>
      </c>
      <c r="AJ1410">
        <v>12788092</v>
      </c>
      <c r="AK1410">
        <v>250000</v>
      </c>
      <c r="AL1410">
        <v>1500000</v>
      </c>
    </row>
    <row r="1411" spans="1:38" x14ac:dyDescent="0.25">
      <c r="A1411" t="s">
        <v>186</v>
      </c>
      <c r="B1411" s="2">
        <v>9.1E+19</v>
      </c>
      <c r="C1411" t="s">
        <v>71</v>
      </c>
      <c r="D1411" s="1">
        <v>43081</v>
      </c>
      <c r="E1411" s="1">
        <v>43445</v>
      </c>
      <c r="F1411" t="s">
        <v>77</v>
      </c>
      <c r="G1411">
        <v>6</v>
      </c>
      <c r="H1411" t="s">
        <v>187</v>
      </c>
      <c r="I1411" t="s">
        <v>43</v>
      </c>
      <c r="J1411" t="s">
        <v>77</v>
      </c>
      <c r="K1411" t="s">
        <v>68</v>
      </c>
      <c r="L1411">
        <v>71875</v>
      </c>
      <c r="M1411" s="1">
        <v>43081</v>
      </c>
      <c r="N1411" t="s">
        <v>45</v>
      </c>
      <c r="O1411" t="s">
        <v>46</v>
      </c>
      <c r="P1411" t="s">
        <v>47</v>
      </c>
      <c r="Q1411" s="1">
        <v>43852</v>
      </c>
      <c r="R1411" t="s">
        <v>48</v>
      </c>
    </row>
    <row r="1412" spans="1:38" x14ac:dyDescent="0.25">
      <c r="A1412" t="s">
        <v>188</v>
      </c>
      <c r="B1412" s="2">
        <v>9.1E+19</v>
      </c>
      <c r="C1412" t="s">
        <v>40</v>
      </c>
      <c r="D1412" s="1">
        <v>43446</v>
      </c>
      <c r="E1412" s="1">
        <v>43810</v>
      </c>
      <c r="F1412" t="s">
        <v>77</v>
      </c>
      <c r="G1412">
        <v>6</v>
      </c>
      <c r="H1412" t="s">
        <v>187</v>
      </c>
      <c r="I1412" t="s">
        <v>43</v>
      </c>
      <c r="J1412" t="s">
        <v>77</v>
      </c>
      <c r="K1412" t="s">
        <v>44</v>
      </c>
      <c r="L1412">
        <v>62500</v>
      </c>
      <c r="M1412" s="1">
        <v>43446</v>
      </c>
      <c r="N1412" t="s">
        <v>45</v>
      </c>
      <c r="O1412" t="s">
        <v>44</v>
      </c>
      <c r="P1412" t="s">
        <v>47</v>
      </c>
      <c r="Q1412" s="1">
        <v>43852</v>
      </c>
      <c r="R1412" t="s">
        <v>48</v>
      </c>
    </row>
    <row r="1413" spans="1:38" x14ac:dyDescent="0.25">
      <c r="A1413" t="s">
        <v>189</v>
      </c>
      <c r="B1413">
        <v>304001140</v>
      </c>
      <c r="C1413" t="s">
        <v>40</v>
      </c>
      <c r="D1413" s="1">
        <v>43313</v>
      </c>
      <c r="E1413" s="1">
        <v>43677</v>
      </c>
      <c r="F1413" t="s">
        <v>77</v>
      </c>
      <c r="G1413">
        <v>6</v>
      </c>
      <c r="H1413" t="s">
        <v>187</v>
      </c>
      <c r="I1413" t="s">
        <v>43</v>
      </c>
      <c r="J1413" t="s">
        <v>77</v>
      </c>
      <c r="K1413" t="s">
        <v>44</v>
      </c>
      <c r="L1413">
        <v>84375</v>
      </c>
      <c r="M1413" s="1">
        <v>43313</v>
      </c>
      <c r="N1413" t="s">
        <v>45</v>
      </c>
      <c r="O1413" t="s">
        <v>46</v>
      </c>
      <c r="P1413" t="s">
        <v>47</v>
      </c>
      <c r="Q1413" s="1">
        <v>43852</v>
      </c>
      <c r="R1413" t="s">
        <v>48</v>
      </c>
    </row>
    <row r="1414" spans="1:38" x14ac:dyDescent="0.25">
      <c r="A1414" t="s">
        <v>191</v>
      </c>
      <c r="B1414">
        <v>635003567</v>
      </c>
      <c r="C1414" t="s">
        <v>71</v>
      </c>
      <c r="D1414" s="1">
        <v>43070</v>
      </c>
      <c r="E1414" s="1">
        <v>43434</v>
      </c>
      <c r="F1414" t="s">
        <v>76</v>
      </c>
      <c r="G1414">
        <v>3</v>
      </c>
      <c r="H1414" t="s">
        <v>125</v>
      </c>
      <c r="I1414" t="s">
        <v>43</v>
      </c>
      <c r="J1414" t="s">
        <v>126</v>
      </c>
      <c r="K1414" t="s">
        <v>68</v>
      </c>
      <c r="L1414">
        <v>55107.13</v>
      </c>
      <c r="M1414" s="1">
        <v>43070</v>
      </c>
      <c r="N1414" t="s">
        <v>45</v>
      </c>
      <c r="O1414" t="s">
        <v>46</v>
      </c>
      <c r="P1414" t="s">
        <v>47</v>
      </c>
      <c r="Q1414" s="1">
        <v>43852</v>
      </c>
      <c r="R1414" t="s">
        <v>48</v>
      </c>
    </row>
    <row r="1415" spans="1:38" x14ac:dyDescent="0.25">
      <c r="A1415" t="s">
        <v>193</v>
      </c>
      <c r="B1415" t="s">
        <v>426</v>
      </c>
      <c r="C1415" t="s">
        <v>40</v>
      </c>
      <c r="D1415" s="1">
        <v>43435</v>
      </c>
      <c r="E1415" s="1">
        <v>43799</v>
      </c>
      <c r="F1415" t="s">
        <v>76</v>
      </c>
      <c r="G1415">
        <v>12</v>
      </c>
      <c r="H1415" t="s">
        <v>155</v>
      </c>
      <c r="I1415" t="s">
        <v>43</v>
      </c>
      <c r="J1415" t="s">
        <v>126</v>
      </c>
      <c r="K1415" t="s">
        <v>44</v>
      </c>
      <c r="L1415">
        <v>231094.04</v>
      </c>
      <c r="M1415" s="1">
        <v>43435</v>
      </c>
      <c r="N1415" t="s">
        <v>45</v>
      </c>
      <c r="O1415" t="s">
        <v>44</v>
      </c>
      <c r="P1415" t="s">
        <v>47</v>
      </c>
      <c r="Q1415" s="1">
        <v>43852</v>
      </c>
      <c r="R1415" t="s">
        <v>48</v>
      </c>
    </row>
    <row r="1416" spans="1:38" x14ac:dyDescent="0.25">
      <c r="A1416" t="s">
        <v>195</v>
      </c>
      <c r="B1416" t="s">
        <v>427</v>
      </c>
      <c r="C1416" t="s">
        <v>40</v>
      </c>
      <c r="D1416" s="1">
        <v>43245</v>
      </c>
      <c r="E1416" s="1">
        <v>43609</v>
      </c>
      <c r="F1416" t="s">
        <v>76</v>
      </c>
      <c r="G1416">
        <v>1</v>
      </c>
      <c r="H1416" t="s">
        <v>42</v>
      </c>
      <c r="I1416" t="s">
        <v>43</v>
      </c>
      <c r="J1416" t="s">
        <v>77</v>
      </c>
      <c r="K1416" t="s">
        <v>127</v>
      </c>
      <c r="L1416">
        <v>943.5</v>
      </c>
      <c r="M1416" s="1">
        <v>43246</v>
      </c>
      <c r="N1416" t="s">
        <v>45</v>
      </c>
      <c r="O1416" t="s">
        <v>46</v>
      </c>
      <c r="P1416" t="s">
        <v>47</v>
      </c>
      <c r="Q1416" s="1">
        <v>43852</v>
      </c>
      <c r="R1416" t="s">
        <v>48</v>
      </c>
      <c r="S1416" t="s">
        <v>78</v>
      </c>
      <c r="T1416" t="s">
        <v>79</v>
      </c>
      <c r="U1416" t="s">
        <v>42</v>
      </c>
      <c r="V1416">
        <v>1200000</v>
      </c>
      <c r="W1416">
        <v>100000</v>
      </c>
      <c r="X1416" s="1">
        <v>43921</v>
      </c>
      <c r="Y1416" t="s">
        <v>51</v>
      </c>
      <c r="Z1416" t="s">
        <v>43</v>
      </c>
      <c r="AA1416" t="s">
        <v>80</v>
      </c>
      <c r="AB1416" t="s">
        <v>76</v>
      </c>
      <c r="AC1416" t="s">
        <v>81</v>
      </c>
      <c r="AF1416" t="s">
        <v>54</v>
      </c>
      <c r="AG1416" s="1">
        <v>43832</v>
      </c>
      <c r="AH1416" t="s">
        <v>42</v>
      </c>
      <c r="AI1416" t="s">
        <v>55</v>
      </c>
      <c r="AJ1416">
        <v>12788092</v>
      </c>
      <c r="AK1416">
        <v>250000</v>
      </c>
      <c r="AL1416">
        <v>1500000</v>
      </c>
    </row>
    <row r="1417" spans="1:38" x14ac:dyDescent="0.25">
      <c r="A1417" t="s">
        <v>195</v>
      </c>
      <c r="B1417" t="s">
        <v>427</v>
      </c>
      <c r="C1417" t="s">
        <v>40</v>
      </c>
      <c r="D1417" s="1">
        <v>43245</v>
      </c>
      <c r="E1417" s="1">
        <v>43609</v>
      </c>
      <c r="F1417" t="s">
        <v>76</v>
      </c>
      <c r="G1417">
        <v>1</v>
      </c>
      <c r="H1417" t="s">
        <v>42</v>
      </c>
      <c r="I1417" t="s">
        <v>43</v>
      </c>
      <c r="J1417" t="s">
        <v>77</v>
      </c>
      <c r="K1417" t="s">
        <v>127</v>
      </c>
      <c r="L1417">
        <v>943.5</v>
      </c>
      <c r="M1417" s="1">
        <v>43246</v>
      </c>
      <c r="N1417" t="s">
        <v>45</v>
      </c>
      <c r="O1417" t="s">
        <v>46</v>
      </c>
      <c r="P1417" t="s">
        <v>47</v>
      </c>
      <c r="Q1417" s="1">
        <v>43852</v>
      </c>
      <c r="R1417" t="s">
        <v>48</v>
      </c>
      <c r="S1417" t="s">
        <v>78</v>
      </c>
      <c r="T1417" t="s">
        <v>79</v>
      </c>
      <c r="U1417" t="s">
        <v>42</v>
      </c>
      <c r="V1417">
        <v>1200000</v>
      </c>
      <c r="W1417">
        <v>100000</v>
      </c>
      <c r="X1417" s="1">
        <v>43921</v>
      </c>
      <c r="Y1417" t="s">
        <v>51</v>
      </c>
      <c r="Z1417" t="s">
        <v>43</v>
      </c>
      <c r="AA1417" t="s">
        <v>80</v>
      </c>
      <c r="AB1417" t="s">
        <v>76</v>
      </c>
      <c r="AC1417" t="s">
        <v>81</v>
      </c>
      <c r="AF1417" t="s">
        <v>56</v>
      </c>
      <c r="AG1417" s="1">
        <v>43833</v>
      </c>
      <c r="AH1417" t="s">
        <v>42</v>
      </c>
      <c r="AI1417" t="s">
        <v>55</v>
      </c>
      <c r="AJ1417">
        <v>12788092</v>
      </c>
      <c r="AK1417">
        <v>250000</v>
      </c>
      <c r="AL1417">
        <v>1500000</v>
      </c>
    </row>
    <row r="1418" spans="1:38" x14ac:dyDescent="0.25">
      <c r="A1418" t="s">
        <v>195</v>
      </c>
      <c r="B1418" t="s">
        <v>427</v>
      </c>
      <c r="C1418" t="s">
        <v>40</v>
      </c>
      <c r="D1418" s="1">
        <v>43245</v>
      </c>
      <c r="E1418" s="1">
        <v>43609</v>
      </c>
      <c r="F1418" t="s">
        <v>76</v>
      </c>
      <c r="G1418">
        <v>1</v>
      </c>
      <c r="H1418" t="s">
        <v>42</v>
      </c>
      <c r="I1418" t="s">
        <v>43</v>
      </c>
      <c r="J1418" t="s">
        <v>77</v>
      </c>
      <c r="K1418" t="s">
        <v>127</v>
      </c>
      <c r="L1418">
        <v>943.5</v>
      </c>
      <c r="M1418" s="1">
        <v>43246</v>
      </c>
      <c r="N1418" t="s">
        <v>45</v>
      </c>
      <c r="O1418" t="s">
        <v>46</v>
      </c>
      <c r="P1418" t="s">
        <v>47</v>
      </c>
      <c r="Q1418" s="1">
        <v>43852</v>
      </c>
      <c r="R1418" t="s">
        <v>48</v>
      </c>
      <c r="S1418" t="s">
        <v>78</v>
      </c>
      <c r="T1418" t="s">
        <v>79</v>
      </c>
      <c r="U1418" t="s">
        <v>42</v>
      </c>
      <c r="V1418">
        <v>1200000</v>
      </c>
      <c r="W1418">
        <v>100000</v>
      </c>
      <c r="X1418" s="1">
        <v>43921</v>
      </c>
      <c r="Y1418" t="s">
        <v>51</v>
      </c>
      <c r="Z1418" t="s">
        <v>43</v>
      </c>
      <c r="AA1418" t="s">
        <v>80</v>
      </c>
      <c r="AB1418" t="s">
        <v>76</v>
      </c>
      <c r="AC1418" t="s">
        <v>81</v>
      </c>
      <c r="AF1418" t="s">
        <v>57</v>
      </c>
      <c r="AG1418" s="1">
        <v>43836</v>
      </c>
      <c r="AH1418" t="s">
        <v>42</v>
      </c>
      <c r="AI1418" t="s">
        <v>55</v>
      </c>
      <c r="AJ1418">
        <v>12788092</v>
      </c>
      <c r="AK1418">
        <v>250000</v>
      </c>
      <c r="AL1418">
        <v>1500000</v>
      </c>
    </row>
    <row r="1419" spans="1:38" x14ac:dyDescent="0.25">
      <c r="A1419" t="s">
        <v>195</v>
      </c>
      <c r="B1419" t="s">
        <v>427</v>
      </c>
      <c r="C1419" t="s">
        <v>40</v>
      </c>
      <c r="D1419" s="1">
        <v>43245</v>
      </c>
      <c r="E1419" s="1">
        <v>43609</v>
      </c>
      <c r="F1419" t="s">
        <v>76</v>
      </c>
      <c r="G1419">
        <v>1</v>
      </c>
      <c r="H1419" t="s">
        <v>42</v>
      </c>
      <c r="I1419" t="s">
        <v>43</v>
      </c>
      <c r="J1419" t="s">
        <v>77</v>
      </c>
      <c r="K1419" t="s">
        <v>127</v>
      </c>
      <c r="L1419">
        <v>943.5</v>
      </c>
      <c r="M1419" s="1">
        <v>43246</v>
      </c>
      <c r="N1419" t="s">
        <v>45</v>
      </c>
      <c r="O1419" t="s">
        <v>46</v>
      </c>
      <c r="P1419" t="s">
        <v>47</v>
      </c>
      <c r="Q1419" s="1">
        <v>43852</v>
      </c>
      <c r="R1419" t="s">
        <v>48</v>
      </c>
      <c r="S1419" t="s">
        <v>78</v>
      </c>
      <c r="T1419" t="s">
        <v>79</v>
      </c>
      <c r="U1419" t="s">
        <v>42</v>
      </c>
      <c r="V1419">
        <v>1200000</v>
      </c>
      <c r="W1419">
        <v>100000</v>
      </c>
      <c r="X1419" s="1">
        <v>43921</v>
      </c>
      <c r="Y1419" t="s">
        <v>51</v>
      </c>
      <c r="Z1419" t="s">
        <v>43</v>
      </c>
      <c r="AA1419" t="s">
        <v>80</v>
      </c>
      <c r="AB1419" t="s">
        <v>76</v>
      </c>
      <c r="AC1419" t="s">
        <v>81</v>
      </c>
      <c r="AF1419" t="s">
        <v>58</v>
      </c>
      <c r="AG1419" s="1">
        <v>43837</v>
      </c>
      <c r="AH1419" t="s">
        <v>42</v>
      </c>
      <c r="AI1419" t="s">
        <v>55</v>
      </c>
      <c r="AJ1419">
        <v>12788092</v>
      </c>
      <c r="AK1419">
        <v>250000</v>
      </c>
      <c r="AL1419">
        <v>1500000</v>
      </c>
    </row>
    <row r="1420" spans="1:38" x14ac:dyDescent="0.25">
      <c r="A1420" t="s">
        <v>195</v>
      </c>
      <c r="B1420" t="s">
        <v>427</v>
      </c>
      <c r="C1420" t="s">
        <v>40</v>
      </c>
      <c r="D1420" s="1">
        <v>43245</v>
      </c>
      <c r="E1420" s="1">
        <v>43609</v>
      </c>
      <c r="F1420" t="s">
        <v>76</v>
      </c>
      <c r="G1420">
        <v>1</v>
      </c>
      <c r="H1420" t="s">
        <v>42</v>
      </c>
      <c r="I1420" t="s">
        <v>43</v>
      </c>
      <c r="J1420" t="s">
        <v>77</v>
      </c>
      <c r="K1420" t="s">
        <v>127</v>
      </c>
      <c r="L1420">
        <v>943.5</v>
      </c>
      <c r="M1420" s="1">
        <v>43246</v>
      </c>
      <c r="N1420" t="s">
        <v>45</v>
      </c>
      <c r="O1420" t="s">
        <v>46</v>
      </c>
      <c r="P1420" t="s">
        <v>47</v>
      </c>
      <c r="Q1420" s="1">
        <v>43852</v>
      </c>
      <c r="R1420" t="s">
        <v>48</v>
      </c>
      <c r="S1420" t="s">
        <v>78</v>
      </c>
      <c r="T1420" t="s">
        <v>79</v>
      </c>
      <c r="U1420" t="s">
        <v>42</v>
      </c>
      <c r="V1420">
        <v>1200000</v>
      </c>
      <c r="W1420">
        <v>100000</v>
      </c>
      <c r="X1420" s="1">
        <v>43921</v>
      </c>
      <c r="Y1420" t="s">
        <v>51</v>
      </c>
      <c r="Z1420" t="s">
        <v>43</v>
      </c>
      <c r="AA1420" t="s">
        <v>80</v>
      </c>
      <c r="AB1420" t="s">
        <v>76</v>
      </c>
      <c r="AC1420" t="s">
        <v>81</v>
      </c>
      <c r="AF1420" t="s">
        <v>59</v>
      </c>
      <c r="AG1420" s="1">
        <v>43838</v>
      </c>
      <c r="AH1420" t="s">
        <v>42</v>
      </c>
      <c r="AI1420" t="s">
        <v>55</v>
      </c>
      <c r="AJ1420">
        <v>12788092</v>
      </c>
      <c r="AK1420">
        <v>250000</v>
      </c>
      <c r="AL1420">
        <v>1500000</v>
      </c>
    </row>
    <row r="1421" spans="1:38" x14ac:dyDescent="0.25">
      <c r="A1421" t="s">
        <v>197</v>
      </c>
      <c r="B1421" t="s">
        <v>428</v>
      </c>
      <c r="C1421" t="s">
        <v>40</v>
      </c>
      <c r="D1421" s="1">
        <v>43245</v>
      </c>
      <c r="E1421" s="1">
        <v>43609</v>
      </c>
      <c r="F1421" t="s">
        <v>76</v>
      </c>
      <c r="G1421">
        <v>1</v>
      </c>
      <c r="H1421" t="s">
        <v>42</v>
      </c>
      <c r="I1421" t="s">
        <v>43</v>
      </c>
      <c r="J1421" t="s">
        <v>77</v>
      </c>
      <c r="K1421" t="s">
        <v>127</v>
      </c>
      <c r="L1421">
        <v>2809.13</v>
      </c>
      <c r="M1421" s="1">
        <v>43245</v>
      </c>
      <c r="N1421" t="s">
        <v>45</v>
      </c>
      <c r="O1421" t="s">
        <v>46</v>
      </c>
      <c r="P1421" t="s">
        <v>47</v>
      </c>
      <c r="Q1421" s="1">
        <v>43852</v>
      </c>
      <c r="R1421" t="s">
        <v>48</v>
      </c>
      <c r="S1421" t="s">
        <v>78</v>
      </c>
      <c r="T1421" t="s">
        <v>79</v>
      </c>
      <c r="U1421" t="s">
        <v>42</v>
      </c>
      <c r="V1421">
        <v>1200000</v>
      </c>
      <c r="W1421">
        <v>100000</v>
      </c>
      <c r="X1421" s="1">
        <v>43921</v>
      </c>
      <c r="Y1421" t="s">
        <v>51</v>
      </c>
      <c r="Z1421" t="s">
        <v>43</v>
      </c>
      <c r="AA1421" t="s">
        <v>80</v>
      </c>
      <c r="AB1421" t="s">
        <v>76</v>
      </c>
      <c r="AC1421" t="s">
        <v>81</v>
      </c>
      <c r="AF1421" t="s">
        <v>54</v>
      </c>
      <c r="AG1421" s="1">
        <v>43832</v>
      </c>
      <c r="AH1421" t="s">
        <v>42</v>
      </c>
      <c r="AI1421" t="s">
        <v>55</v>
      </c>
      <c r="AJ1421">
        <v>12788092</v>
      </c>
      <c r="AK1421">
        <v>250000</v>
      </c>
      <c r="AL1421">
        <v>1500000</v>
      </c>
    </row>
    <row r="1422" spans="1:38" x14ac:dyDescent="0.25">
      <c r="A1422" t="s">
        <v>197</v>
      </c>
      <c r="B1422" t="s">
        <v>428</v>
      </c>
      <c r="C1422" t="s">
        <v>40</v>
      </c>
      <c r="D1422" s="1">
        <v>43245</v>
      </c>
      <c r="E1422" s="1">
        <v>43609</v>
      </c>
      <c r="F1422" t="s">
        <v>76</v>
      </c>
      <c r="G1422">
        <v>1</v>
      </c>
      <c r="H1422" t="s">
        <v>42</v>
      </c>
      <c r="I1422" t="s">
        <v>43</v>
      </c>
      <c r="J1422" t="s">
        <v>77</v>
      </c>
      <c r="K1422" t="s">
        <v>127</v>
      </c>
      <c r="L1422">
        <v>2809.13</v>
      </c>
      <c r="M1422" s="1">
        <v>43245</v>
      </c>
      <c r="N1422" t="s">
        <v>45</v>
      </c>
      <c r="O1422" t="s">
        <v>46</v>
      </c>
      <c r="P1422" t="s">
        <v>47</v>
      </c>
      <c r="Q1422" s="1">
        <v>43852</v>
      </c>
      <c r="R1422" t="s">
        <v>48</v>
      </c>
      <c r="S1422" t="s">
        <v>78</v>
      </c>
      <c r="T1422" t="s">
        <v>79</v>
      </c>
      <c r="U1422" t="s">
        <v>42</v>
      </c>
      <c r="V1422">
        <v>1200000</v>
      </c>
      <c r="W1422">
        <v>100000</v>
      </c>
      <c r="X1422" s="1">
        <v>43921</v>
      </c>
      <c r="Y1422" t="s">
        <v>51</v>
      </c>
      <c r="Z1422" t="s">
        <v>43</v>
      </c>
      <c r="AA1422" t="s">
        <v>80</v>
      </c>
      <c r="AB1422" t="s">
        <v>76</v>
      </c>
      <c r="AC1422" t="s">
        <v>81</v>
      </c>
      <c r="AF1422" t="s">
        <v>56</v>
      </c>
      <c r="AG1422" s="1">
        <v>43833</v>
      </c>
      <c r="AH1422" t="s">
        <v>42</v>
      </c>
      <c r="AI1422" t="s">
        <v>55</v>
      </c>
      <c r="AJ1422">
        <v>12788092</v>
      </c>
      <c r="AK1422">
        <v>250000</v>
      </c>
      <c r="AL1422">
        <v>1500000</v>
      </c>
    </row>
    <row r="1423" spans="1:38" x14ac:dyDescent="0.25">
      <c r="A1423" t="s">
        <v>197</v>
      </c>
      <c r="B1423" t="s">
        <v>428</v>
      </c>
      <c r="C1423" t="s">
        <v>40</v>
      </c>
      <c r="D1423" s="1">
        <v>43245</v>
      </c>
      <c r="E1423" s="1">
        <v>43609</v>
      </c>
      <c r="F1423" t="s">
        <v>76</v>
      </c>
      <c r="G1423">
        <v>1</v>
      </c>
      <c r="H1423" t="s">
        <v>42</v>
      </c>
      <c r="I1423" t="s">
        <v>43</v>
      </c>
      <c r="J1423" t="s">
        <v>77</v>
      </c>
      <c r="K1423" t="s">
        <v>127</v>
      </c>
      <c r="L1423">
        <v>2809.13</v>
      </c>
      <c r="M1423" s="1">
        <v>43245</v>
      </c>
      <c r="N1423" t="s">
        <v>45</v>
      </c>
      <c r="O1423" t="s">
        <v>46</v>
      </c>
      <c r="P1423" t="s">
        <v>47</v>
      </c>
      <c r="Q1423" s="1">
        <v>43852</v>
      </c>
      <c r="R1423" t="s">
        <v>48</v>
      </c>
      <c r="S1423" t="s">
        <v>78</v>
      </c>
      <c r="T1423" t="s">
        <v>79</v>
      </c>
      <c r="U1423" t="s">
        <v>42</v>
      </c>
      <c r="V1423">
        <v>1200000</v>
      </c>
      <c r="W1423">
        <v>100000</v>
      </c>
      <c r="X1423" s="1">
        <v>43921</v>
      </c>
      <c r="Y1423" t="s">
        <v>51</v>
      </c>
      <c r="Z1423" t="s">
        <v>43</v>
      </c>
      <c r="AA1423" t="s">
        <v>80</v>
      </c>
      <c r="AB1423" t="s">
        <v>76</v>
      </c>
      <c r="AC1423" t="s">
        <v>81</v>
      </c>
      <c r="AF1423" t="s">
        <v>57</v>
      </c>
      <c r="AG1423" s="1">
        <v>43836</v>
      </c>
      <c r="AH1423" t="s">
        <v>42</v>
      </c>
      <c r="AI1423" t="s">
        <v>55</v>
      </c>
      <c r="AJ1423">
        <v>12788092</v>
      </c>
      <c r="AK1423">
        <v>250000</v>
      </c>
      <c r="AL1423">
        <v>1500000</v>
      </c>
    </row>
    <row r="1424" spans="1:38" x14ac:dyDescent="0.25">
      <c r="A1424" t="s">
        <v>197</v>
      </c>
      <c r="B1424" t="s">
        <v>428</v>
      </c>
      <c r="C1424" t="s">
        <v>40</v>
      </c>
      <c r="D1424" s="1">
        <v>43245</v>
      </c>
      <c r="E1424" s="1">
        <v>43609</v>
      </c>
      <c r="F1424" t="s">
        <v>76</v>
      </c>
      <c r="G1424">
        <v>1</v>
      </c>
      <c r="H1424" t="s">
        <v>42</v>
      </c>
      <c r="I1424" t="s">
        <v>43</v>
      </c>
      <c r="J1424" t="s">
        <v>77</v>
      </c>
      <c r="K1424" t="s">
        <v>127</v>
      </c>
      <c r="L1424">
        <v>2809.13</v>
      </c>
      <c r="M1424" s="1">
        <v>43245</v>
      </c>
      <c r="N1424" t="s">
        <v>45</v>
      </c>
      <c r="O1424" t="s">
        <v>46</v>
      </c>
      <c r="P1424" t="s">
        <v>47</v>
      </c>
      <c r="Q1424" s="1">
        <v>43852</v>
      </c>
      <c r="R1424" t="s">
        <v>48</v>
      </c>
      <c r="S1424" t="s">
        <v>78</v>
      </c>
      <c r="T1424" t="s">
        <v>79</v>
      </c>
      <c r="U1424" t="s">
        <v>42</v>
      </c>
      <c r="V1424">
        <v>1200000</v>
      </c>
      <c r="W1424">
        <v>100000</v>
      </c>
      <c r="X1424" s="1">
        <v>43921</v>
      </c>
      <c r="Y1424" t="s">
        <v>51</v>
      </c>
      <c r="Z1424" t="s">
        <v>43</v>
      </c>
      <c r="AA1424" t="s">
        <v>80</v>
      </c>
      <c r="AB1424" t="s">
        <v>76</v>
      </c>
      <c r="AC1424" t="s">
        <v>81</v>
      </c>
      <c r="AF1424" t="s">
        <v>58</v>
      </c>
      <c r="AG1424" s="1">
        <v>43837</v>
      </c>
      <c r="AH1424" t="s">
        <v>42</v>
      </c>
      <c r="AI1424" t="s">
        <v>55</v>
      </c>
      <c r="AJ1424">
        <v>12788092</v>
      </c>
      <c r="AK1424">
        <v>250000</v>
      </c>
      <c r="AL1424">
        <v>1500000</v>
      </c>
    </row>
    <row r="1425" spans="1:38" x14ac:dyDescent="0.25">
      <c r="A1425" t="s">
        <v>197</v>
      </c>
      <c r="B1425" t="s">
        <v>428</v>
      </c>
      <c r="C1425" t="s">
        <v>40</v>
      </c>
      <c r="D1425" s="1">
        <v>43245</v>
      </c>
      <c r="E1425" s="1">
        <v>43609</v>
      </c>
      <c r="F1425" t="s">
        <v>76</v>
      </c>
      <c r="G1425">
        <v>1</v>
      </c>
      <c r="H1425" t="s">
        <v>42</v>
      </c>
      <c r="I1425" t="s">
        <v>43</v>
      </c>
      <c r="J1425" t="s">
        <v>77</v>
      </c>
      <c r="K1425" t="s">
        <v>127</v>
      </c>
      <c r="L1425">
        <v>2809.13</v>
      </c>
      <c r="M1425" s="1">
        <v>43245</v>
      </c>
      <c r="N1425" t="s">
        <v>45</v>
      </c>
      <c r="O1425" t="s">
        <v>46</v>
      </c>
      <c r="P1425" t="s">
        <v>47</v>
      </c>
      <c r="Q1425" s="1">
        <v>43852</v>
      </c>
      <c r="R1425" t="s">
        <v>48</v>
      </c>
      <c r="S1425" t="s">
        <v>78</v>
      </c>
      <c r="T1425" t="s">
        <v>79</v>
      </c>
      <c r="U1425" t="s">
        <v>42</v>
      </c>
      <c r="V1425">
        <v>1200000</v>
      </c>
      <c r="W1425">
        <v>100000</v>
      </c>
      <c r="X1425" s="1">
        <v>43921</v>
      </c>
      <c r="Y1425" t="s">
        <v>51</v>
      </c>
      <c r="Z1425" t="s">
        <v>43</v>
      </c>
      <c r="AA1425" t="s">
        <v>80</v>
      </c>
      <c r="AB1425" t="s">
        <v>76</v>
      </c>
      <c r="AC1425" t="s">
        <v>81</v>
      </c>
      <c r="AF1425" t="s">
        <v>59</v>
      </c>
      <c r="AG1425" s="1">
        <v>43838</v>
      </c>
      <c r="AH1425" t="s">
        <v>42</v>
      </c>
      <c r="AI1425" t="s">
        <v>55</v>
      </c>
      <c r="AJ1425">
        <v>12788092</v>
      </c>
      <c r="AK1425">
        <v>250000</v>
      </c>
      <c r="AL1425">
        <v>1500000</v>
      </c>
    </row>
    <row r="1426" spans="1:38" x14ac:dyDescent="0.25">
      <c r="A1426" t="s">
        <v>198</v>
      </c>
      <c r="B1426" t="s">
        <v>429</v>
      </c>
      <c r="C1426" t="s">
        <v>40</v>
      </c>
      <c r="D1426" s="1">
        <v>43245</v>
      </c>
      <c r="E1426" s="1">
        <v>43609</v>
      </c>
      <c r="F1426" t="s">
        <v>76</v>
      </c>
      <c r="G1426">
        <v>1</v>
      </c>
      <c r="H1426" t="s">
        <v>42</v>
      </c>
      <c r="I1426" t="s">
        <v>43</v>
      </c>
      <c r="J1426" t="s">
        <v>77</v>
      </c>
      <c r="K1426" t="s">
        <v>44</v>
      </c>
      <c r="L1426">
        <v>2809.25</v>
      </c>
      <c r="M1426" s="1">
        <v>43245</v>
      </c>
      <c r="N1426" t="s">
        <v>45</v>
      </c>
      <c r="O1426" t="s">
        <v>46</v>
      </c>
      <c r="P1426" t="s">
        <v>47</v>
      </c>
      <c r="Q1426" s="1">
        <v>43852</v>
      </c>
      <c r="R1426" t="s">
        <v>48</v>
      </c>
      <c r="S1426" t="s">
        <v>78</v>
      </c>
      <c r="T1426" t="s">
        <v>79</v>
      </c>
      <c r="U1426" t="s">
        <v>42</v>
      </c>
      <c r="V1426">
        <v>1200000</v>
      </c>
      <c r="W1426">
        <v>100000</v>
      </c>
      <c r="X1426" s="1">
        <v>43921</v>
      </c>
      <c r="Y1426" t="s">
        <v>51</v>
      </c>
      <c r="Z1426" t="s">
        <v>43</v>
      </c>
      <c r="AA1426" t="s">
        <v>80</v>
      </c>
      <c r="AB1426" t="s">
        <v>76</v>
      </c>
      <c r="AC1426" t="s">
        <v>81</v>
      </c>
      <c r="AF1426" t="s">
        <v>54</v>
      </c>
      <c r="AG1426" s="1">
        <v>43832</v>
      </c>
      <c r="AH1426" t="s">
        <v>42</v>
      </c>
      <c r="AI1426" t="s">
        <v>55</v>
      </c>
      <c r="AJ1426">
        <v>12788092</v>
      </c>
      <c r="AK1426">
        <v>250000</v>
      </c>
      <c r="AL1426">
        <v>1500000</v>
      </c>
    </row>
    <row r="1427" spans="1:38" x14ac:dyDescent="0.25">
      <c r="A1427" t="s">
        <v>198</v>
      </c>
      <c r="B1427" t="s">
        <v>429</v>
      </c>
      <c r="C1427" t="s">
        <v>40</v>
      </c>
      <c r="D1427" s="1">
        <v>43245</v>
      </c>
      <c r="E1427" s="1">
        <v>43609</v>
      </c>
      <c r="F1427" t="s">
        <v>76</v>
      </c>
      <c r="G1427">
        <v>1</v>
      </c>
      <c r="H1427" t="s">
        <v>42</v>
      </c>
      <c r="I1427" t="s">
        <v>43</v>
      </c>
      <c r="J1427" t="s">
        <v>77</v>
      </c>
      <c r="K1427" t="s">
        <v>44</v>
      </c>
      <c r="L1427">
        <v>2809.25</v>
      </c>
      <c r="M1427" s="1">
        <v>43245</v>
      </c>
      <c r="N1427" t="s">
        <v>45</v>
      </c>
      <c r="O1427" t="s">
        <v>46</v>
      </c>
      <c r="P1427" t="s">
        <v>47</v>
      </c>
      <c r="Q1427" s="1">
        <v>43852</v>
      </c>
      <c r="R1427" t="s">
        <v>48</v>
      </c>
      <c r="S1427" t="s">
        <v>78</v>
      </c>
      <c r="T1427" t="s">
        <v>79</v>
      </c>
      <c r="U1427" t="s">
        <v>42</v>
      </c>
      <c r="V1427">
        <v>1200000</v>
      </c>
      <c r="W1427">
        <v>100000</v>
      </c>
      <c r="X1427" s="1">
        <v>43921</v>
      </c>
      <c r="Y1427" t="s">
        <v>51</v>
      </c>
      <c r="Z1427" t="s">
        <v>43</v>
      </c>
      <c r="AA1427" t="s">
        <v>80</v>
      </c>
      <c r="AB1427" t="s">
        <v>76</v>
      </c>
      <c r="AC1427" t="s">
        <v>81</v>
      </c>
      <c r="AF1427" t="s">
        <v>56</v>
      </c>
      <c r="AG1427" s="1">
        <v>43833</v>
      </c>
      <c r="AH1427" t="s">
        <v>42</v>
      </c>
      <c r="AI1427" t="s">
        <v>55</v>
      </c>
      <c r="AJ1427">
        <v>12788092</v>
      </c>
      <c r="AK1427">
        <v>250000</v>
      </c>
      <c r="AL1427">
        <v>1500000</v>
      </c>
    </row>
    <row r="1428" spans="1:38" x14ac:dyDescent="0.25">
      <c r="A1428" t="s">
        <v>198</v>
      </c>
      <c r="B1428" t="s">
        <v>429</v>
      </c>
      <c r="C1428" t="s">
        <v>40</v>
      </c>
      <c r="D1428" s="1">
        <v>43245</v>
      </c>
      <c r="E1428" s="1">
        <v>43609</v>
      </c>
      <c r="F1428" t="s">
        <v>76</v>
      </c>
      <c r="G1428">
        <v>1</v>
      </c>
      <c r="H1428" t="s">
        <v>42</v>
      </c>
      <c r="I1428" t="s">
        <v>43</v>
      </c>
      <c r="J1428" t="s">
        <v>77</v>
      </c>
      <c r="K1428" t="s">
        <v>44</v>
      </c>
      <c r="L1428">
        <v>2809.25</v>
      </c>
      <c r="M1428" s="1">
        <v>43245</v>
      </c>
      <c r="N1428" t="s">
        <v>45</v>
      </c>
      <c r="O1428" t="s">
        <v>46</v>
      </c>
      <c r="P1428" t="s">
        <v>47</v>
      </c>
      <c r="Q1428" s="1">
        <v>43852</v>
      </c>
      <c r="R1428" t="s">
        <v>48</v>
      </c>
      <c r="S1428" t="s">
        <v>78</v>
      </c>
      <c r="T1428" t="s">
        <v>79</v>
      </c>
      <c r="U1428" t="s">
        <v>42</v>
      </c>
      <c r="V1428">
        <v>1200000</v>
      </c>
      <c r="W1428">
        <v>100000</v>
      </c>
      <c r="X1428" s="1">
        <v>43921</v>
      </c>
      <c r="Y1428" t="s">
        <v>51</v>
      </c>
      <c r="Z1428" t="s">
        <v>43</v>
      </c>
      <c r="AA1428" t="s">
        <v>80</v>
      </c>
      <c r="AB1428" t="s">
        <v>76</v>
      </c>
      <c r="AC1428" t="s">
        <v>81</v>
      </c>
      <c r="AF1428" t="s">
        <v>57</v>
      </c>
      <c r="AG1428" s="1">
        <v>43836</v>
      </c>
      <c r="AH1428" t="s">
        <v>42</v>
      </c>
      <c r="AI1428" t="s">
        <v>55</v>
      </c>
      <c r="AJ1428">
        <v>12788092</v>
      </c>
      <c r="AK1428">
        <v>250000</v>
      </c>
      <c r="AL1428">
        <v>1500000</v>
      </c>
    </row>
    <row r="1429" spans="1:38" x14ac:dyDescent="0.25">
      <c r="A1429" t="s">
        <v>198</v>
      </c>
      <c r="B1429" t="s">
        <v>429</v>
      </c>
      <c r="C1429" t="s">
        <v>40</v>
      </c>
      <c r="D1429" s="1">
        <v>43245</v>
      </c>
      <c r="E1429" s="1">
        <v>43609</v>
      </c>
      <c r="F1429" t="s">
        <v>76</v>
      </c>
      <c r="G1429">
        <v>1</v>
      </c>
      <c r="H1429" t="s">
        <v>42</v>
      </c>
      <c r="I1429" t="s">
        <v>43</v>
      </c>
      <c r="J1429" t="s">
        <v>77</v>
      </c>
      <c r="K1429" t="s">
        <v>44</v>
      </c>
      <c r="L1429">
        <v>2809.25</v>
      </c>
      <c r="M1429" s="1">
        <v>43245</v>
      </c>
      <c r="N1429" t="s">
        <v>45</v>
      </c>
      <c r="O1429" t="s">
        <v>46</v>
      </c>
      <c r="P1429" t="s">
        <v>47</v>
      </c>
      <c r="Q1429" s="1">
        <v>43852</v>
      </c>
      <c r="R1429" t="s">
        <v>48</v>
      </c>
      <c r="S1429" t="s">
        <v>78</v>
      </c>
      <c r="T1429" t="s">
        <v>79</v>
      </c>
      <c r="U1429" t="s">
        <v>42</v>
      </c>
      <c r="V1429">
        <v>1200000</v>
      </c>
      <c r="W1429">
        <v>100000</v>
      </c>
      <c r="X1429" s="1">
        <v>43921</v>
      </c>
      <c r="Y1429" t="s">
        <v>51</v>
      </c>
      <c r="Z1429" t="s">
        <v>43</v>
      </c>
      <c r="AA1429" t="s">
        <v>80</v>
      </c>
      <c r="AB1429" t="s">
        <v>76</v>
      </c>
      <c r="AC1429" t="s">
        <v>81</v>
      </c>
      <c r="AF1429" t="s">
        <v>58</v>
      </c>
      <c r="AG1429" s="1">
        <v>43837</v>
      </c>
      <c r="AH1429" t="s">
        <v>42</v>
      </c>
      <c r="AI1429" t="s">
        <v>55</v>
      </c>
      <c r="AJ1429">
        <v>12788092</v>
      </c>
      <c r="AK1429">
        <v>250000</v>
      </c>
      <c r="AL1429">
        <v>1500000</v>
      </c>
    </row>
    <row r="1430" spans="1:38" x14ac:dyDescent="0.25">
      <c r="A1430" t="s">
        <v>198</v>
      </c>
      <c r="B1430" t="s">
        <v>429</v>
      </c>
      <c r="C1430" t="s">
        <v>40</v>
      </c>
      <c r="D1430" s="1">
        <v>43245</v>
      </c>
      <c r="E1430" s="1">
        <v>43609</v>
      </c>
      <c r="F1430" t="s">
        <v>76</v>
      </c>
      <c r="G1430">
        <v>1</v>
      </c>
      <c r="H1430" t="s">
        <v>42</v>
      </c>
      <c r="I1430" t="s">
        <v>43</v>
      </c>
      <c r="J1430" t="s">
        <v>77</v>
      </c>
      <c r="K1430" t="s">
        <v>44</v>
      </c>
      <c r="L1430">
        <v>2809.25</v>
      </c>
      <c r="M1430" s="1">
        <v>43245</v>
      </c>
      <c r="N1430" t="s">
        <v>45</v>
      </c>
      <c r="O1430" t="s">
        <v>46</v>
      </c>
      <c r="P1430" t="s">
        <v>47</v>
      </c>
      <c r="Q1430" s="1">
        <v>43852</v>
      </c>
      <c r="R1430" t="s">
        <v>48</v>
      </c>
      <c r="S1430" t="s">
        <v>78</v>
      </c>
      <c r="T1430" t="s">
        <v>79</v>
      </c>
      <c r="U1430" t="s">
        <v>42</v>
      </c>
      <c r="V1430">
        <v>1200000</v>
      </c>
      <c r="W1430">
        <v>100000</v>
      </c>
      <c r="X1430" s="1">
        <v>43921</v>
      </c>
      <c r="Y1430" t="s">
        <v>51</v>
      </c>
      <c r="Z1430" t="s">
        <v>43</v>
      </c>
      <c r="AA1430" t="s">
        <v>80</v>
      </c>
      <c r="AB1430" t="s">
        <v>76</v>
      </c>
      <c r="AC1430" t="s">
        <v>81</v>
      </c>
      <c r="AF1430" t="s">
        <v>59</v>
      </c>
      <c r="AG1430" s="1">
        <v>43838</v>
      </c>
      <c r="AH1430" t="s">
        <v>42</v>
      </c>
      <c r="AI1430" t="s">
        <v>55</v>
      </c>
      <c r="AJ1430">
        <v>12788092</v>
      </c>
      <c r="AK1430">
        <v>250000</v>
      </c>
      <c r="AL1430">
        <v>1500000</v>
      </c>
    </row>
    <row r="1431" spans="1:38" x14ac:dyDescent="0.25">
      <c r="A1431" t="s">
        <v>200</v>
      </c>
      <c r="B1431">
        <v>15552994</v>
      </c>
      <c r="C1431" t="s">
        <v>40</v>
      </c>
      <c r="D1431" s="1">
        <v>43801</v>
      </c>
      <c r="E1431" s="1">
        <v>44166</v>
      </c>
      <c r="F1431" t="s">
        <v>41</v>
      </c>
      <c r="G1431">
        <v>2</v>
      </c>
      <c r="H1431" t="s">
        <v>67</v>
      </c>
      <c r="I1431" t="s">
        <v>43</v>
      </c>
      <c r="J1431" t="s">
        <v>41</v>
      </c>
      <c r="K1431" t="s">
        <v>68</v>
      </c>
      <c r="L1431">
        <v>20625</v>
      </c>
      <c r="M1431" s="1">
        <v>43801</v>
      </c>
      <c r="N1431" t="s">
        <v>45</v>
      </c>
      <c r="O1431" t="s">
        <v>46</v>
      </c>
      <c r="P1431" t="s">
        <v>47</v>
      </c>
      <c r="Q1431" s="1">
        <v>43852</v>
      </c>
      <c r="R1431" t="s">
        <v>48</v>
      </c>
    </row>
    <row r="1432" spans="1:38" x14ac:dyDescent="0.25">
      <c r="A1432" t="s">
        <v>202</v>
      </c>
      <c r="B1432" s="2">
        <v>9.9E+19</v>
      </c>
      <c r="C1432" t="s">
        <v>40</v>
      </c>
      <c r="D1432" s="1">
        <v>43675</v>
      </c>
      <c r="E1432" s="1">
        <v>44040</v>
      </c>
      <c r="F1432" t="s">
        <v>72</v>
      </c>
      <c r="G1432">
        <v>2</v>
      </c>
      <c r="H1432" t="s">
        <v>67</v>
      </c>
      <c r="I1432" t="s">
        <v>43</v>
      </c>
      <c r="J1432" t="s">
        <v>122</v>
      </c>
      <c r="K1432" t="s">
        <v>68</v>
      </c>
      <c r="L1432">
        <v>32683</v>
      </c>
      <c r="M1432" s="1">
        <v>43675</v>
      </c>
      <c r="N1432" t="s">
        <v>45</v>
      </c>
      <c r="O1432" t="s">
        <v>46</v>
      </c>
      <c r="P1432" t="s">
        <v>47</v>
      </c>
      <c r="Q1432" s="1">
        <v>43852</v>
      </c>
      <c r="R1432" t="s">
        <v>48</v>
      </c>
    </row>
    <row r="1433" spans="1:38" x14ac:dyDescent="0.25">
      <c r="A1433" t="s">
        <v>203</v>
      </c>
      <c r="B1433" s="2">
        <v>9.9E+19</v>
      </c>
      <c r="C1433" t="s">
        <v>40</v>
      </c>
      <c r="D1433" s="1">
        <v>43675</v>
      </c>
      <c r="E1433" s="1">
        <v>44040</v>
      </c>
      <c r="F1433" t="s">
        <v>72</v>
      </c>
      <c r="G1433">
        <v>2</v>
      </c>
      <c r="H1433" t="s">
        <v>67</v>
      </c>
      <c r="I1433" t="s">
        <v>43</v>
      </c>
      <c r="J1433" t="s">
        <v>122</v>
      </c>
      <c r="K1433" t="s">
        <v>68</v>
      </c>
      <c r="L1433">
        <v>84590.55</v>
      </c>
      <c r="M1433" s="1">
        <v>43675</v>
      </c>
      <c r="N1433" t="s">
        <v>45</v>
      </c>
      <c r="O1433" t="s">
        <v>46</v>
      </c>
      <c r="P1433" t="s">
        <v>47</v>
      </c>
      <c r="Q1433" s="1">
        <v>43852</v>
      </c>
      <c r="R1433" t="s">
        <v>48</v>
      </c>
    </row>
    <row r="1434" spans="1:38" x14ac:dyDescent="0.25">
      <c r="A1434" t="s">
        <v>205</v>
      </c>
      <c r="B1434" s="2">
        <v>9.9E+19</v>
      </c>
      <c r="C1434" t="s">
        <v>40</v>
      </c>
      <c r="D1434" s="1">
        <v>43675</v>
      </c>
      <c r="E1434" s="1">
        <v>44040</v>
      </c>
      <c r="F1434" t="s">
        <v>76</v>
      </c>
      <c r="G1434">
        <v>2</v>
      </c>
      <c r="H1434" t="s">
        <v>67</v>
      </c>
      <c r="I1434" t="s">
        <v>43</v>
      </c>
      <c r="J1434" t="s">
        <v>122</v>
      </c>
      <c r="K1434" t="s">
        <v>68</v>
      </c>
      <c r="L1434">
        <v>10547.63</v>
      </c>
      <c r="M1434" s="1">
        <v>43675</v>
      </c>
      <c r="N1434" t="s">
        <v>45</v>
      </c>
      <c r="O1434" t="s">
        <v>46</v>
      </c>
      <c r="P1434" t="s">
        <v>47</v>
      </c>
      <c r="Q1434" s="1">
        <v>43852</v>
      </c>
      <c r="R1434" t="s">
        <v>48</v>
      </c>
    </row>
    <row r="1435" spans="1:38" x14ac:dyDescent="0.25">
      <c r="A1435" t="s">
        <v>209</v>
      </c>
      <c r="B1435">
        <v>14055133</v>
      </c>
      <c r="C1435" t="s">
        <v>40</v>
      </c>
      <c r="D1435" s="1">
        <v>43672</v>
      </c>
      <c r="E1435" s="1">
        <v>44037</v>
      </c>
      <c r="F1435" t="s">
        <v>77</v>
      </c>
      <c r="G1435">
        <v>2</v>
      </c>
      <c r="H1435" t="s">
        <v>67</v>
      </c>
      <c r="I1435" t="s">
        <v>43</v>
      </c>
      <c r="J1435" t="s">
        <v>77</v>
      </c>
      <c r="K1435" t="s">
        <v>127</v>
      </c>
      <c r="L1435">
        <v>63000</v>
      </c>
      <c r="M1435" s="1">
        <v>43672</v>
      </c>
      <c r="N1435" t="s">
        <v>45</v>
      </c>
      <c r="O1435" t="s">
        <v>46</v>
      </c>
      <c r="P1435" t="s">
        <v>47</v>
      </c>
      <c r="Q1435" s="1">
        <v>43852</v>
      </c>
      <c r="R1435" t="s">
        <v>48</v>
      </c>
    </row>
    <row r="1436" spans="1:38" x14ac:dyDescent="0.25">
      <c r="A1436" t="s">
        <v>211</v>
      </c>
      <c r="B1436">
        <v>2000010048</v>
      </c>
      <c r="C1436" t="s">
        <v>71</v>
      </c>
      <c r="D1436" s="1">
        <v>43309</v>
      </c>
      <c r="E1436" s="1">
        <v>43673</v>
      </c>
      <c r="F1436" t="s">
        <v>76</v>
      </c>
      <c r="G1436">
        <v>8</v>
      </c>
      <c r="H1436" t="s">
        <v>430</v>
      </c>
      <c r="I1436" t="s">
        <v>43</v>
      </c>
      <c r="J1436" t="s">
        <v>80</v>
      </c>
      <c r="K1436" t="s">
        <v>44</v>
      </c>
      <c r="L1436">
        <v>121875</v>
      </c>
      <c r="M1436" s="1">
        <v>43309</v>
      </c>
      <c r="N1436" t="s">
        <v>45</v>
      </c>
      <c r="O1436" t="s">
        <v>106</v>
      </c>
      <c r="P1436" t="s">
        <v>47</v>
      </c>
      <c r="Q1436" s="1">
        <v>43852</v>
      </c>
      <c r="R1436" t="s">
        <v>48</v>
      </c>
    </row>
    <row r="1437" spans="1:38" x14ac:dyDescent="0.25">
      <c r="A1437" t="s">
        <v>213</v>
      </c>
      <c r="B1437">
        <v>2000010048</v>
      </c>
      <c r="C1437" t="s">
        <v>71</v>
      </c>
      <c r="D1437" s="1">
        <v>43309</v>
      </c>
      <c r="E1437" s="1">
        <v>43673</v>
      </c>
      <c r="F1437" t="s">
        <v>76</v>
      </c>
      <c r="G1437">
        <v>8</v>
      </c>
      <c r="H1437" t="s">
        <v>430</v>
      </c>
      <c r="I1437" t="s">
        <v>43</v>
      </c>
      <c r="J1437" t="s">
        <v>80</v>
      </c>
      <c r="K1437" t="s">
        <v>44</v>
      </c>
      <c r="L1437">
        <v>8174.5</v>
      </c>
      <c r="M1437" s="1">
        <v>43664</v>
      </c>
      <c r="N1437" t="s">
        <v>108</v>
      </c>
      <c r="O1437" t="s">
        <v>106</v>
      </c>
      <c r="P1437" t="s">
        <v>47</v>
      </c>
      <c r="Q1437" s="1">
        <v>43852</v>
      </c>
      <c r="R1437" t="s">
        <v>48</v>
      </c>
    </row>
    <row r="1438" spans="1:38" x14ac:dyDescent="0.25">
      <c r="A1438" t="s">
        <v>215</v>
      </c>
      <c r="B1438">
        <v>2000010048</v>
      </c>
      <c r="C1438" t="s">
        <v>40</v>
      </c>
      <c r="D1438" s="1">
        <v>43674</v>
      </c>
      <c r="E1438" s="1">
        <v>44039</v>
      </c>
      <c r="F1438" t="s">
        <v>76</v>
      </c>
      <c r="G1438">
        <v>4</v>
      </c>
      <c r="H1438" t="s">
        <v>431</v>
      </c>
      <c r="I1438" t="s">
        <v>43</v>
      </c>
      <c r="J1438" t="s">
        <v>80</v>
      </c>
      <c r="K1438" t="s">
        <v>44</v>
      </c>
      <c r="L1438">
        <v>115781.25</v>
      </c>
      <c r="M1438" s="1">
        <v>43674</v>
      </c>
      <c r="N1438" t="s">
        <v>45</v>
      </c>
      <c r="O1438" t="s">
        <v>44</v>
      </c>
      <c r="P1438" t="s">
        <v>47</v>
      </c>
      <c r="Q1438" s="1">
        <v>43852</v>
      </c>
      <c r="R1438" t="s">
        <v>48</v>
      </c>
    </row>
    <row r="1439" spans="1:38" x14ac:dyDescent="0.25">
      <c r="A1439" t="s">
        <v>217</v>
      </c>
      <c r="B1439">
        <v>304001925</v>
      </c>
      <c r="C1439" t="s">
        <v>71</v>
      </c>
      <c r="D1439" s="1">
        <v>43191</v>
      </c>
      <c r="E1439" s="1">
        <v>43555</v>
      </c>
      <c r="F1439" t="s">
        <v>77</v>
      </c>
      <c r="G1439">
        <v>3</v>
      </c>
      <c r="H1439" t="s">
        <v>125</v>
      </c>
      <c r="I1439" t="s">
        <v>43</v>
      </c>
      <c r="J1439" t="s">
        <v>126</v>
      </c>
      <c r="K1439" t="s">
        <v>44</v>
      </c>
      <c r="L1439">
        <v>318411.5</v>
      </c>
      <c r="M1439" s="1">
        <v>43555</v>
      </c>
      <c r="N1439" t="s">
        <v>45</v>
      </c>
      <c r="O1439" t="s">
        <v>46</v>
      </c>
      <c r="P1439" t="s">
        <v>47</v>
      </c>
      <c r="Q1439" s="1">
        <v>43852</v>
      </c>
      <c r="R1439" t="s">
        <v>48</v>
      </c>
    </row>
    <row r="1440" spans="1:38" x14ac:dyDescent="0.25">
      <c r="A1440" t="s">
        <v>220</v>
      </c>
      <c r="B1440">
        <v>304003763</v>
      </c>
      <c r="C1440" t="s">
        <v>40</v>
      </c>
      <c r="D1440" s="1">
        <v>43556</v>
      </c>
      <c r="E1440" s="1">
        <v>43921</v>
      </c>
      <c r="F1440" t="s">
        <v>77</v>
      </c>
      <c r="G1440">
        <v>3</v>
      </c>
      <c r="H1440" t="s">
        <v>125</v>
      </c>
      <c r="I1440" t="s">
        <v>43</v>
      </c>
      <c r="J1440" t="s">
        <v>126</v>
      </c>
      <c r="K1440" t="s">
        <v>44</v>
      </c>
      <c r="L1440">
        <v>344794.13</v>
      </c>
      <c r="M1440" s="1">
        <v>43556</v>
      </c>
      <c r="N1440" t="s">
        <v>45</v>
      </c>
      <c r="O1440" t="s">
        <v>44</v>
      </c>
      <c r="P1440" t="s">
        <v>47</v>
      </c>
      <c r="Q1440" s="1">
        <v>43852</v>
      </c>
      <c r="R1440" t="s">
        <v>48</v>
      </c>
    </row>
    <row r="1441" spans="1:38" x14ac:dyDescent="0.25">
      <c r="A1441" t="s">
        <v>221</v>
      </c>
      <c r="B1441" t="s">
        <v>432</v>
      </c>
      <c r="C1441" t="s">
        <v>40</v>
      </c>
      <c r="D1441" s="1">
        <v>43291</v>
      </c>
      <c r="E1441" s="1">
        <v>43655</v>
      </c>
      <c r="F1441" t="s">
        <v>76</v>
      </c>
      <c r="G1441">
        <v>3</v>
      </c>
      <c r="H1441" t="s">
        <v>125</v>
      </c>
      <c r="I1441" t="s">
        <v>43</v>
      </c>
      <c r="J1441" t="s">
        <v>126</v>
      </c>
      <c r="K1441" t="s">
        <v>44</v>
      </c>
      <c r="L1441">
        <v>140949.5</v>
      </c>
      <c r="M1441" s="1">
        <v>43291</v>
      </c>
      <c r="N1441" t="s">
        <v>45</v>
      </c>
      <c r="O1441" t="s">
        <v>46</v>
      </c>
      <c r="P1441" t="s">
        <v>47</v>
      </c>
      <c r="Q1441" s="1">
        <v>43852</v>
      </c>
      <c r="R1441" t="s">
        <v>48</v>
      </c>
    </row>
    <row r="1442" spans="1:38" x14ac:dyDescent="0.25">
      <c r="A1442" t="s">
        <v>224</v>
      </c>
      <c r="B1442" t="s">
        <v>433</v>
      </c>
      <c r="C1442" t="s">
        <v>71</v>
      </c>
      <c r="D1442" s="1">
        <v>43101</v>
      </c>
      <c r="E1442" s="1">
        <v>43465</v>
      </c>
      <c r="F1442" t="s">
        <v>72</v>
      </c>
      <c r="G1442">
        <v>3</v>
      </c>
      <c r="H1442" t="s">
        <v>125</v>
      </c>
      <c r="I1442" t="s">
        <v>43</v>
      </c>
      <c r="J1442" t="s">
        <v>126</v>
      </c>
      <c r="K1442" t="s">
        <v>44</v>
      </c>
      <c r="L1442">
        <v>460832.14</v>
      </c>
      <c r="M1442" s="1">
        <v>43101</v>
      </c>
      <c r="N1442" t="s">
        <v>45</v>
      </c>
      <c r="O1442" t="s">
        <v>46</v>
      </c>
      <c r="P1442" t="s">
        <v>47</v>
      </c>
      <c r="Q1442" s="1">
        <v>43852</v>
      </c>
      <c r="R1442" t="s">
        <v>48</v>
      </c>
      <c r="S1442" t="s">
        <v>266</v>
      </c>
      <c r="T1442" t="s">
        <v>267</v>
      </c>
      <c r="U1442" t="s">
        <v>125</v>
      </c>
      <c r="V1442">
        <v>700000</v>
      </c>
      <c r="W1442">
        <v>100000</v>
      </c>
      <c r="X1442" s="1">
        <v>43830</v>
      </c>
      <c r="Y1442" t="s">
        <v>51</v>
      </c>
      <c r="Z1442" t="s">
        <v>43</v>
      </c>
      <c r="AA1442" t="s">
        <v>115</v>
      </c>
      <c r="AB1442" t="s">
        <v>268</v>
      </c>
      <c r="AC1442" t="s">
        <v>269</v>
      </c>
      <c r="AF1442" t="s">
        <v>134</v>
      </c>
      <c r="AG1442" s="1">
        <v>43843</v>
      </c>
      <c r="AH1442" t="s">
        <v>125</v>
      </c>
      <c r="AI1442" t="s">
        <v>92</v>
      </c>
      <c r="AJ1442">
        <v>1278023</v>
      </c>
      <c r="AK1442">
        <v>12365300</v>
      </c>
      <c r="AL1442">
        <v>12900</v>
      </c>
    </row>
    <row r="1443" spans="1:38" x14ac:dyDescent="0.25">
      <c r="A1443" t="s">
        <v>224</v>
      </c>
      <c r="B1443" t="s">
        <v>433</v>
      </c>
      <c r="C1443" t="s">
        <v>71</v>
      </c>
      <c r="D1443" s="1">
        <v>43101</v>
      </c>
      <c r="E1443" s="1">
        <v>43465</v>
      </c>
      <c r="F1443" t="s">
        <v>72</v>
      </c>
      <c r="G1443">
        <v>3</v>
      </c>
      <c r="H1443" t="s">
        <v>125</v>
      </c>
      <c r="I1443" t="s">
        <v>43</v>
      </c>
      <c r="J1443" t="s">
        <v>126</v>
      </c>
      <c r="K1443" t="s">
        <v>44</v>
      </c>
      <c r="L1443">
        <v>460832.14</v>
      </c>
      <c r="M1443" s="1">
        <v>43101</v>
      </c>
      <c r="N1443" t="s">
        <v>45</v>
      </c>
      <c r="O1443" t="s">
        <v>46</v>
      </c>
      <c r="P1443" t="s">
        <v>47</v>
      </c>
      <c r="Q1443" s="1">
        <v>43852</v>
      </c>
      <c r="R1443" t="s">
        <v>48</v>
      </c>
      <c r="S1443" t="s">
        <v>266</v>
      </c>
      <c r="T1443" t="s">
        <v>267</v>
      </c>
      <c r="U1443" t="s">
        <v>125</v>
      </c>
      <c r="V1443">
        <v>700000</v>
      </c>
      <c r="W1443">
        <v>100000</v>
      </c>
      <c r="X1443" s="1">
        <v>43830</v>
      </c>
      <c r="Y1443" t="s">
        <v>51</v>
      </c>
      <c r="Z1443" t="s">
        <v>43</v>
      </c>
      <c r="AA1443" t="s">
        <v>115</v>
      </c>
      <c r="AB1443" t="s">
        <v>268</v>
      </c>
      <c r="AC1443" t="s">
        <v>269</v>
      </c>
      <c r="AF1443" t="s">
        <v>135</v>
      </c>
      <c r="AG1443" s="1">
        <v>43843</v>
      </c>
      <c r="AH1443" t="s">
        <v>125</v>
      </c>
      <c r="AI1443" t="s">
        <v>92</v>
      </c>
      <c r="AJ1443">
        <v>1278023</v>
      </c>
      <c r="AK1443">
        <v>12365300</v>
      </c>
      <c r="AL1443">
        <v>12900</v>
      </c>
    </row>
    <row r="1444" spans="1:38" x14ac:dyDescent="0.25">
      <c r="A1444" t="s">
        <v>224</v>
      </c>
      <c r="B1444" t="s">
        <v>433</v>
      </c>
      <c r="C1444" t="s">
        <v>71</v>
      </c>
      <c r="D1444" s="1">
        <v>43101</v>
      </c>
      <c r="E1444" s="1">
        <v>43465</v>
      </c>
      <c r="F1444" t="s">
        <v>72</v>
      </c>
      <c r="G1444">
        <v>3</v>
      </c>
      <c r="H1444" t="s">
        <v>125</v>
      </c>
      <c r="I1444" t="s">
        <v>43</v>
      </c>
      <c r="J1444" t="s">
        <v>126</v>
      </c>
      <c r="K1444" t="s">
        <v>44</v>
      </c>
      <c r="L1444">
        <v>460832.14</v>
      </c>
      <c r="M1444" s="1">
        <v>43101</v>
      </c>
      <c r="N1444" t="s">
        <v>45</v>
      </c>
      <c r="O1444" t="s">
        <v>46</v>
      </c>
      <c r="P1444" t="s">
        <v>47</v>
      </c>
      <c r="Q1444" s="1">
        <v>43852</v>
      </c>
      <c r="R1444" t="s">
        <v>48</v>
      </c>
      <c r="S1444" t="s">
        <v>266</v>
      </c>
      <c r="T1444" t="s">
        <v>267</v>
      </c>
      <c r="U1444" t="s">
        <v>125</v>
      </c>
      <c r="V1444">
        <v>700000</v>
      </c>
      <c r="W1444">
        <v>100000</v>
      </c>
      <c r="X1444" s="1">
        <v>43830</v>
      </c>
      <c r="Y1444" t="s">
        <v>51</v>
      </c>
      <c r="Z1444" t="s">
        <v>43</v>
      </c>
      <c r="AA1444" t="s">
        <v>115</v>
      </c>
      <c r="AB1444" t="s">
        <v>268</v>
      </c>
      <c r="AC1444" t="s">
        <v>269</v>
      </c>
      <c r="AF1444" t="s">
        <v>136</v>
      </c>
      <c r="AG1444" s="1">
        <v>43839</v>
      </c>
      <c r="AH1444" t="s">
        <v>125</v>
      </c>
      <c r="AI1444" t="s">
        <v>92</v>
      </c>
      <c r="AJ1444">
        <v>1278023</v>
      </c>
      <c r="AK1444">
        <v>12365300</v>
      </c>
      <c r="AL1444">
        <v>12900</v>
      </c>
    </row>
    <row r="1445" spans="1:38" x14ac:dyDescent="0.25">
      <c r="A1445" t="s">
        <v>224</v>
      </c>
      <c r="B1445" t="s">
        <v>433</v>
      </c>
      <c r="C1445" t="s">
        <v>71</v>
      </c>
      <c r="D1445" s="1">
        <v>43101</v>
      </c>
      <c r="E1445" s="1">
        <v>43465</v>
      </c>
      <c r="F1445" t="s">
        <v>72</v>
      </c>
      <c r="G1445">
        <v>3</v>
      </c>
      <c r="H1445" t="s">
        <v>125</v>
      </c>
      <c r="I1445" t="s">
        <v>43</v>
      </c>
      <c r="J1445" t="s">
        <v>126</v>
      </c>
      <c r="K1445" t="s">
        <v>44</v>
      </c>
      <c r="L1445">
        <v>460832.14</v>
      </c>
      <c r="M1445" s="1">
        <v>43101</v>
      </c>
      <c r="N1445" t="s">
        <v>45</v>
      </c>
      <c r="O1445" t="s">
        <v>46</v>
      </c>
      <c r="P1445" t="s">
        <v>47</v>
      </c>
      <c r="Q1445" s="1">
        <v>43852</v>
      </c>
      <c r="R1445" t="s">
        <v>48</v>
      </c>
      <c r="S1445" t="s">
        <v>266</v>
      </c>
      <c r="T1445" t="s">
        <v>267</v>
      </c>
      <c r="U1445" t="s">
        <v>125</v>
      </c>
      <c r="V1445">
        <v>700000</v>
      </c>
      <c r="W1445">
        <v>100000</v>
      </c>
      <c r="X1445" s="1">
        <v>43830</v>
      </c>
      <c r="Y1445" t="s">
        <v>51</v>
      </c>
      <c r="Z1445" t="s">
        <v>43</v>
      </c>
      <c r="AA1445" t="s">
        <v>115</v>
      </c>
      <c r="AB1445" t="s">
        <v>268</v>
      </c>
      <c r="AC1445" t="s">
        <v>269</v>
      </c>
      <c r="AF1445" t="s">
        <v>137</v>
      </c>
      <c r="AG1445" s="1">
        <v>43840</v>
      </c>
      <c r="AH1445" t="s">
        <v>125</v>
      </c>
      <c r="AI1445" t="s">
        <v>92</v>
      </c>
      <c r="AJ1445">
        <v>1278023</v>
      </c>
      <c r="AK1445">
        <v>12365300</v>
      </c>
      <c r="AL1445">
        <v>12900</v>
      </c>
    </row>
    <row r="1446" spans="1:38" x14ac:dyDescent="0.25">
      <c r="A1446" t="s">
        <v>224</v>
      </c>
      <c r="B1446" t="s">
        <v>433</v>
      </c>
      <c r="C1446" t="s">
        <v>71</v>
      </c>
      <c r="D1446" s="1">
        <v>43101</v>
      </c>
      <c r="E1446" s="1">
        <v>43465</v>
      </c>
      <c r="F1446" t="s">
        <v>72</v>
      </c>
      <c r="G1446">
        <v>3</v>
      </c>
      <c r="H1446" t="s">
        <v>125</v>
      </c>
      <c r="I1446" t="s">
        <v>43</v>
      </c>
      <c r="J1446" t="s">
        <v>126</v>
      </c>
      <c r="K1446" t="s">
        <v>44</v>
      </c>
      <c r="L1446">
        <v>460832.14</v>
      </c>
      <c r="M1446" s="1">
        <v>43101</v>
      </c>
      <c r="N1446" t="s">
        <v>45</v>
      </c>
      <c r="O1446" t="s">
        <v>46</v>
      </c>
      <c r="P1446" t="s">
        <v>47</v>
      </c>
      <c r="Q1446" s="1">
        <v>43852</v>
      </c>
      <c r="R1446" t="s">
        <v>48</v>
      </c>
      <c r="S1446" t="s">
        <v>72</v>
      </c>
      <c r="T1446" t="s">
        <v>270</v>
      </c>
      <c r="U1446" t="s">
        <v>125</v>
      </c>
      <c r="V1446">
        <v>0</v>
      </c>
      <c r="W1446">
        <v>500000</v>
      </c>
      <c r="X1446" s="1">
        <v>43739</v>
      </c>
      <c r="Y1446" t="s">
        <v>131</v>
      </c>
      <c r="Z1446" t="s">
        <v>43</v>
      </c>
      <c r="AA1446" t="s">
        <v>115</v>
      </c>
      <c r="AB1446" t="s">
        <v>268</v>
      </c>
      <c r="AC1446" t="s">
        <v>269</v>
      </c>
      <c r="AF1446" t="s">
        <v>134</v>
      </c>
      <c r="AG1446" s="1">
        <v>43843</v>
      </c>
      <c r="AH1446" t="s">
        <v>125</v>
      </c>
      <c r="AI1446" t="s">
        <v>92</v>
      </c>
      <c r="AJ1446">
        <v>1278023</v>
      </c>
      <c r="AK1446">
        <v>12365300</v>
      </c>
      <c r="AL1446">
        <v>12900</v>
      </c>
    </row>
    <row r="1447" spans="1:38" x14ac:dyDescent="0.25">
      <c r="A1447" t="s">
        <v>224</v>
      </c>
      <c r="B1447" t="s">
        <v>433</v>
      </c>
      <c r="C1447" t="s">
        <v>71</v>
      </c>
      <c r="D1447" s="1">
        <v>43101</v>
      </c>
      <c r="E1447" s="1">
        <v>43465</v>
      </c>
      <c r="F1447" t="s">
        <v>72</v>
      </c>
      <c r="G1447">
        <v>3</v>
      </c>
      <c r="H1447" t="s">
        <v>125</v>
      </c>
      <c r="I1447" t="s">
        <v>43</v>
      </c>
      <c r="J1447" t="s">
        <v>126</v>
      </c>
      <c r="K1447" t="s">
        <v>44</v>
      </c>
      <c r="L1447">
        <v>460832.14</v>
      </c>
      <c r="M1447" s="1">
        <v>43101</v>
      </c>
      <c r="N1447" t="s">
        <v>45</v>
      </c>
      <c r="O1447" t="s">
        <v>46</v>
      </c>
      <c r="P1447" t="s">
        <v>47</v>
      </c>
      <c r="Q1447" s="1">
        <v>43852</v>
      </c>
      <c r="R1447" t="s">
        <v>48</v>
      </c>
      <c r="S1447" t="s">
        <v>72</v>
      </c>
      <c r="T1447" t="s">
        <v>270</v>
      </c>
      <c r="U1447" t="s">
        <v>125</v>
      </c>
      <c r="V1447">
        <v>0</v>
      </c>
      <c r="W1447">
        <v>500000</v>
      </c>
      <c r="X1447" s="1">
        <v>43739</v>
      </c>
      <c r="Y1447" t="s">
        <v>131</v>
      </c>
      <c r="Z1447" t="s">
        <v>43</v>
      </c>
      <c r="AA1447" t="s">
        <v>115</v>
      </c>
      <c r="AB1447" t="s">
        <v>268</v>
      </c>
      <c r="AC1447" t="s">
        <v>269</v>
      </c>
      <c r="AF1447" t="s">
        <v>135</v>
      </c>
      <c r="AG1447" s="1">
        <v>43843</v>
      </c>
      <c r="AH1447" t="s">
        <v>125</v>
      </c>
      <c r="AI1447" t="s">
        <v>92</v>
      </c>
      <c r="AJ1447">
        <v>1278023</v>
      </c>
      <c r="AK1447">
        <v>12365300</v>
      </c>
      <c r="AL1447">
        <v>12900</v>
      </c>
    </row>
    <row r="1448" spans="1:38" x14ac:dyDescent="0.25">
      <c r="A1448" t="s">
        <v>224</v>
      </c>
      <c r="B1448" t="s">
        <v>433</v>
      </c>
      <c r="C1448" t="s">
        <v>71</v>
      </c>
      <c r="D1448" s="1">
        <v>43101</v>
      </c>
      <c r="E1448" s="1">
        <v>43465</v>
      </c>
      <c r="F1448" t="s">
        <v>72</v>
      </c>
      <c r="G1448">
        <v>3</v>
      </c>
      <c r="H1448" t="s">
        <v>125</v>
      </c>
      <c r="I1448" t="s">
        <v>43</v>
      </c>
      <c r="J1448" t="s">
        <v>126</v>
      </c>
      <c r="K1448" t="s">
        <v>44</v>
      </c>
      <c r="L1448">
        <v>460832.14</v>
      </c>
      <c r="M1448" s="1">
        <v>43101</v>
      </c>
      <c r="N1448" t="s">
        <v>45</v>
      </c>
      <c r="O1448" t="s">
        <v>46</v>
      </c>
      <c r="P1448" t="s">
        <v>47</v>
      </c>
      <c r="Q1448" s="1">
        <v>43852</v>
      </c>
      <c r="R1448" t="s">
        <v>48</v>
      </c>
      <c r="S1448" t="s">
        <v>72</v>
      </c>
      <c r="T1448" t="s">
        <v>270</v>
      </c>
      <c r="U1448" t="s">
        <v>125</v>
      </c>
      <c r="V1448">
        <v>0</v>
      </c>
      <c r="W1448">
        <v>500000</v>
      </c>
      <c r="X1448" s="1">
        <v>43739</v>
      </c>
      <c r="Y1448" t="s">
        <v>131</v>
      </c>
      <c r="Z1448" t="s">
        <v>43</v>
      </c>
      <c r="AA1448" t="s">
        <v>115</v>
      </c>
      <c r="AB1448" t="s">
        <v>268</v>
      </c>
      <c r="AC1448" t="s">
        <v>269</v>
      </c>
      <c r="AF1448" t="s">
        <v>136</v>
      </c>
      <c r="AG1448" s="1">
        <v>43839</v>
      </c>
      <c r="AH1448" t="s">
        <v>125</v>
      </c>
      <c r="AI1448" t="s">
        <v>92</v>
      </c>
      <c r="AJ1448">
        <v>1278023</v>
      </c>
      <c r="AK1448">
        <v>12365300</v>
      </c>
      <c r="AL1448">
        <v>12900</v>
      </c>
    </row>
    <row r="1449" spans="1:38" x14ac:dyDescent="0.25">
      <c r="A1449" t="s">
        <v>224</v>
      </c>
      <c r="B1449" t="s">
        <v>433</v>
      </c>
      <c r="C1449" t="s">
        <v>71</v>
      </c>
      <c r="D1449" s="1">
        <v>43101</v>
      </c>
      <c r="E1449" s="1">
        <v>43465</v>
      </c>
      <c r="F1449" t="s">
        <v>72</v>
      </c>
      <c r="G1449">
        <v>3</v>
      </c>
      <c r="H1449" t="s">
        <v>125</v>
      </c>
      <c r="I1449" t="s">
        <v>43</v>
      </c>
      <c r="J1449" t="s">
        <v>126</v>
      </c>
      <c r="K1449" t="s">
        <v>44</v>
      </c>
      <c r="L1449">
        <v>460832.14</v>
      </c>
      <c r="M1449" s="1">
        <v>43101</v>
      </c>
      <c r="N1449" t="s">
        <v>45</v>
      </c>
      <c r="O1449" t="s">
        <v>46</v>
      </c>
      <c r="P1449" t="s">
        <v>47</v>
      </c>
      <c r="Q1449" s="1">
        <v>43852</v>
      </c>
      <c r="R1449" t="s">
        <v>48</v>
      </c>
      <c r="S1449" t="s">
        <v>72</v>
      </c>
      <c r="T1449" t="s">
        <v>270</v>
      </c>
      <c r="U1449" t="s">
        <v>125</v>
      </c>
      <c r="V1449">
        <v>0</v>
      </c>
      <c r="W1449">
        <v>500000</v>
      </c>
      <c r="X1449" s="1">
        <v>43739</v>
      </c>
      <c r="Y1449" t="s">
        <v>131</v>
      </c>
      <c r="Z1449" t="s">
        <v>43</v>
      </c>
      <c r="AA1449" t="s">
        <v>115</v>
      </c>
      <c r="AB1449" t="s">
        <v>268</v>
      </c>
      <c r="AC1449" t="s">
        <v>269</v>
      </c>
      <c r="AF1449" t="s">
        <v>137</v>
      </c>
      <c r="AG1449" s="1">
        <v>43840</v>
      </c>
      <c r="AH1449" t="s">
        <v>125</v>
      </c>
      <c r="AI1449" t="s">
        <v>92</v>
      </c>
      <c r="AJ1449">
        <v>1278023</v>
      </c>
      <c r="AK1449">
        <v>12365300</v>
      </c>
      <c r="AL1449">
        <v>12900</v>
      </c>
    </row>
    <row r="1450" spans="1:38" x14ac:dyDescent="0.25">
      <c r="A1450" t="s">
        <v>224</v>
      </c>
      <c r="B1450" t="s">
        <v>433</v>
      </c>
      <c r="C1450" t="s">
        <v>71</v>
      </c>
      <c r="D1450" s="1">
        <v>43101</v>
      </c>
      <c r="E1450" s="1">
        <v>43465</v>
      </c>
      <c r="F1450" t="s">
        <v>72</v>
      </c>
      <c r="G1450">
        <v>3</v>
      </c>
      <c r="H1450" t="s">
        <v>125</v>
      </c>
      <c r="I1450" t="s">
        <v>43</v>
      </c>
      <c r="J1450" t="s">
        <v>126</v>
      </c>
      <c r="K1450" t="s">
        <v>44</v>
      </c>
      <c r="L1450">
        <v>460832.14</v>
      </c>
      <c r="M1450" s="1">
        <v>43101</v>
      </c>
      <c r="N1450" t="s">
        <v>45</v>
      </c>
      <c r="O1450" t="s">
        <v>46</v>
      </c>
      <c r="P1450" t="s">
        <v>47</v>
      </c>
      <c r="Q1450" s="1">
        <v>43852</v>
      </c>
      <c r="R1450" t="s">
        <v>48</v>
      </c>
      <c r="S1450" t="s">
        <v>271</v>
      </c>
      <c r="T1450" t="s">
        <v>272</v>
      </c>
      <c r="U1450" t="s">
        <v>125</v>
      </c>
      <c r="V1450">
        <v>0</v>
      </c>
      <c r="W1450">
        <v>50000</v>
      </c>
      <c r="X1450" s="1">
        <v>43738</v>
      </c>
      <c r="Y1450" t="s">
        <v>140</v>
      </c>
      <c r="Z1450" t="s">
        <v>43</v>
      </c>
      <c r="AA1450" t="s">
        <v>115</v>
      </c>
      <c r="AB1450" t="s">
        <v>268</v>
      </c>
      <c r="AC1450" t="s">
        <v>269</v>
      </c>
      <c r="AF1450" t="s">
        <v>134</v>
      </c>
      <c r="AG1450" s="1">
        <v>43843</v>
      </c>
      <c r="AH1450" t="s">
        <v>125</v>
      </c>
      <c r="AI1450" t="s">
        <v>92</v>
      </c>
      <c r="AJ1450">
        <v>1278023</v>
      </c>
      <c r="AK1450">
        <v>12365300</v>
      </c>
      <c r="AL1450">
        <v>12900</v>
      </c>
    </row>
    <row r="1451" spans="1:38" x14ac:dyDescent="0.25">
      <c r="A1451" t="s">
        <v>224</v>
      </c>
      <c r="B1451" t="s">
        <v>433</v>
      </c>
      <c r="C1451" t="s">
        <v>71</v>
      </c>
      <c r="D1451" s="1">
        <v>43101</v>
      </c>
      <c r="E1451" s="1">
        <v>43465</v>
      </c>
      <c r="F1451" t="s">
        <v>72</v>
      </c>
      <c r="G1451">
        <v>3</v>
      </c>
      <c r="H1451" t="s">
        <v>125</v>
      </c>
      <c r="I1451" t="s">
        <v>43</v>
      </c>
      <c r="J1451" t="s">
        <v>126</v>
      </c>
      <c r="K1451" t="s">
        <v>44</v>
      </c>
      <c r="L1451">
        <v>460832.14</v>
      </c>
      <c r="M1451" s="1">
        <v>43101</v>
      </c>
      <c r="N1451" t="s">
        <v>45</v>
      </c>
      <c r="O1451" t="s">
        <v>46</v>
      </c>
      <c r="P1451" t="s">
        <v>47</v>
      </c>
      <c r="Q1451" s="1">
        <v>43852</v>
      </c>
      <c r="R1451" t="s">
        <v>48</v>
      </c>
      <c r="S1451" t="s">
        <v>271</v>
      </c>
      <c r="T1451" t="s">
        <v>272</v>
      </c>
      <c r="U1451" t="s">
        <v>125</v>
      </c>
      <c r="V1451">
        <v>0</v>
      </c>
      <c r="W1451">
        <v>50000</v>
      </c>
      <c r="X1451" s="1">
        <v>43738</v>
      </c>
      <c r="Y1451" t="s">
        <v>140</v>
      </c>
      <c r="Z1451" t="s">
        <v>43</v>
      </c>
      <c r="AA1451" t="s">
        <v>115</v>
      </c>
      <c r="AB1451" t="s">
        <v>268</v>
      </c>
      <c r="AC1451" t="s">
        <v>269</v>
      </c>
      <c r="AF1451" t="s">
        <v>135</v>
      </c>
      <c r="AG1451" s="1">
        <v>43843</v>
      </c>
      <c r="AH1451" t="s">
        <v>125</v>
      </c>
      <c r="AI1451" t="s">
        <v>92</v>
      </c>
      <c r="AJ1451">
        <v>1278023</v>
      </c>
      <c r="AK1451">
        <v>12365300</v>
      </c>
      <c r="AL1451">
        <v>12900</v>
      </c>
    </row>
    <row r="1452" spans="1:38" x14ac:dyDescent="0.25">
      <c r="A1452" t="s">
        <v>224</v>
      </c>
      <c r="B1452" t="s">
        <v>433</v>
      </c>
      <c r="C1452" t="s">
        <v>71</v>
      </c>
      <c r="D1452" s="1">
        <v>43101</v>
      </c>
      <c r="E1452" s="1">
        <v>43465</v>
      </c>
      <c r="F1452" t="s">
        <v>72</v>
      </c>
      <c r="G1452">
        <v>3</v>
      </c>
      <c r="H1452" t="s">
        <v>125</v>
      </c>
      <c r="I1452" t="s">
        <v>43</v>
      </c>
      <c r="J1452" t="s">
        <v>126</v>
      </c>
      <c r="K1452" t="s">
        <v>44</v>
      </c>
      <c r="L1452">
        <v>460832.14</v>
      </c>
      <c r="M1452" s="1">
        <v>43101</v>
      </c>
      <c r="N1452" t="s">
        <v>45</v>
      </c>
      <c r="O1452" t="s">
        <v>46</v>
      </c>
      <c r="P1452" t="s">
        <v>47</v>
      </c>
      <c r="Q1452" s="1">
        <v>43852</v>
      </c>
      <c r="R1452" t="s">
        <v>48</v>
      </c>
      <c r="S1452" t="s">
        <v>271</v>
      </c>
      <c r="T1452" t="s">
        <v>272</v>
      </c>
      <c r="U1452" t="s">
        <v>125</v>
      </c>
      <c r="V1452">
        <v>0</v>
      </c>
      <c r="W1452">
        <v>50000</v>
      </c>
      <c r="X1452" s="1">
        <v>43738</v>
      </c>
      <c r="Y1452" t="s">
        <v>140</v>
      </c>
      <c r="Z1452" t="s">
        <v>43</v>
      </c>
      <c r="AA1452" t="s">
        <v>115</v>
      </c>
      <c r="AB1452" t="s">
        <v>268</v>
      </c>
      <c r="AC1452" t="s">
        <v>269</v>
      </c>
      <c r="AF1452" t="s">
        <v>136</v>
      </c>
      <c r="AG1452" s="1">
        <v>43839</v>
      </c>
      <c r="AH1452" t="s">
        <v>125</v>
      </c>
      <c r="AI1452" t="s">
        <v>92</v>
      </c>
      <c r="AJ1452">
        <v>1278023</v>
      </c>
      <c r="AK1452">
        <v>12365300</v>
      </c>
      <c r="AL1452">
        <v>12900</v>
      </c>
    </row>
    <row r="1453" spans="1:38" x14ac:dyDescent="0.25">
      <c r="A1453" t="s">
        <v>224</v>
      </c>
      <c r="B1453" t="s">
        <v>433</v>
      </c>
      <c r="C1453" t="s">
        <v>71</v>
      </c>
      <c r="D1453" s="1">
        <v>43101</v>
      </c>
      <c r="E1453" s="1">
        <v>43465</v>
      </c>
      <c r="F1453" t="s">
        <v>72</v>
      </c>
      <c r="G1453">
        <v>3</v>
      </c>
      <c r="H1453" t="s">
        <v>125</v>
      </c>
      <c r="I1453" t="s">
        <v>43</v>
      </c>
      <c r="J1453" t="s">
        <v>126</v>
      </c>
      <c r="K1453" t="s">
        <v>44</v>
      </c>
      <c r="L1453">
        <v>460832.14</v>
      </c>
      <c r="M1453" s="1">
        <v>43101</v>
      </c>
      <c r="N1453" t="s">
        <v>45</v>
      </c>
      <c r="O1453" t="s">
        <v>46</v>
      </c>
      <c r="P1453" t="s">
        <v>47</v>
      </c>
      <c r="Q1453" s="1">
        <v>43852</v>
      </c>
      <c r="R1453" t="s">
        <v>48</v>
      </c>
      <c r="S1453" t="s">
        <v>271</v>
      </c>
      <c r="T1453" t="s">
        <v>272</v>
      </c>
      <c r="U1453" t="s">
        <v>125</v>
      </c>
      <c r="V1453">
        <v>0</v>
      </c>
      <c r="W1453">
        <v>50000</v>
      </c>
      <c r="X1453" s="1">
        <v>43738</v>
      </c>
      <c r="Y1453" t="s">
        <v>140</v>
      </c>
      <c r="Z1453" t="s">
        <v>43</v>
      </c>
      <c r="AA1453" t="s">
        <v>115</v>
      </c>
      <c r="AB1453" t="s">
        <v>268</v>
      </c>
      <c r="AC1453" t="s">
        <v>269</v>
      </c>
      <c r="AF1453" t="s">
        <v>137</v>
      </c>
      <c r="AG1453" s="1">
        <v>43840</v>
      </c>
      <c r="AH1453" t="s">
        <v>125</v>
      </c>
      <c r="AI1453" t="s">
        <v>92</v>
      </c>
      <c r="AJ1453">
        <v>1278023</v>
      </c>
      <c r="AK1453">
        <v>12365300</v>
      </c>
      <c r="AL1453">
        <v>12900</v>
      </c>
    </row>
    <row r="1454" spans="1:38" x14ac:dyDescent="0.25">
      <c r="A1454" t="s">
        <v>226</v>
      </c>
      <c r="B1454" t="s">
        <v>434</v>
      </c>
      <c r="C1454" t="s">
        <v>40</v>
      </c>
      <c r="D1454" s="1">
        <v>43466</v>
      </c>
      <c r="E1454" s="1">
        <v>43555</v>
      </c>
      <c r="F1454" t="s">
        <v>72</v>
      </c>
      <c r="G1454">
        <v>3</v>
      </c>
      <c r="H1454" t="s">
        <v>125</v>
      </c>
      <c r="I1454" t="s">
        <v>43</v>
      </c>
      <c r="J1454" t="s">
        <v>126</v>
      </c>
      <c r="K1454" t="s">
        <v>44</v>
      </c>
      <c r="L1454">
        <v>257590.8</v>
      </c>
      <c r="M1454" s="1">
        <v>43466</v>
      </c>
      <c r="N1454" t="s">
        <v>45</v>
      </c>
      <c r="O1454" t="s">
        <v>106</v>
      </c>
      <c r="P1454" t="s">
        <v>47</v>
      </c>
      <c r="Q1454" s="1">
        <v>43852</v>
      </c>
      <c r="R1454" t="s">
        <v>48</v>
      </c>
      <c r="S1454" t="s">
        <v>266</v>
      </c>
      <c r="T1454" t="s">
        <v>267</v>
      </c>
      <c r="U1454" t="s">
        <v>125</v>
      </c>
      <c r="V1454">
        <v>700000</v>
      </c>
      <c r="W1454">
        <v>100000</v>
      </c>
      <c r="X1454" s="1">
        <v>43830</v>
      </c>
      <c r="Y1454" t="s">
        <v>51</v>
      </c>
      <c r="Z1454" t="s">
        <v>43</v>
      </c>
      <c r="AA1454" t="s">
        <v>115</v>
      </c>
      <c r="AB1454" t="s">
        <v>268</v>
      </c>
      <c r="AC1454" t="s">
        <v>269</v>
      </c>
      <c r="AF1454" t="s">
        <v>134</v>
      </c>
      <c r="AG1454" s="1">
        <v>43843</v>
      </c>
      <c r="AH1454" t="s">
        <v>125</v>
      </c>
      <c r="AI1454" t="s">
        <v>92</v>
      </c>
      <c r="AJ1454">
        <v>1278023</v>
      </c>
      <c r="AK1454">
        <v>12365300</v>
      </c>
      <c r="AL1454">
        <v>12900</v>
      </c>
    </row>
    <row r="1455" spans="1:38" x14ac:dyDescent="0.25">
      <c r="A1455" t="s">
        <v>226</v>
      </c>
      <c r="B1455" t="s">
        <v>434</v>
      </c>
      <c r="C1455" t="s">
        <v>40</v>
      </c>
      <c r="D1455" s="1">
        <v>43466</v>
      </c>
      <c r="E1455" s="1">
        <v>43555</v>
      </c>
      <c r="F1455" t="s">
        <v>72</v>
      </c>
      <c r="G1455">
        <v>3</v>
      </c>
      <c r="H1455" t="s">
        <v>125</v>
      </c>
      <c r="I1455" t="s">
        <v>43</v>
      </c>
      <c r="J1455" t="s">
        <v>126</v>
      </c>
      <c r="K1455" t="s">
        <v>44</v>
      </c>
      <c r="L1455">
        <v>257590.8</v>
      </c>
      <c r="M1455" s="1">
        <v>43466</v>
      </c>
      <c r="N1455" t="s">
        <v>45</v>
      </c>
      <c r="O1455" t="s">
        <v>106</v>
      </c>
      <c r="P1455" t="s">
        <v>47</v>
      </c>
      <c r="Q1455" s="1">
        <v>43852</v>
      </c>
      <c r="R1455" t="s">
        <v>48</v>
      </c>
      <c r="S1455" t="s">
        <v>266</v>
      </c>
      <c r="T1455" t="s">
        <v>267</v>
      </c>
      <c r="U1455" t="s">
        <v>125</v>
      </c>
      <c r="V1455">
        <v>700000</v>
      </c>
      <c r="W1455">
        <v>100000</v>
      </c>
      <c r="X1455" s="1">
        <v>43830</v>
      </c>
      <c r="Y1455" t="s">
        <v>51</v>
      </c>
      <c r="Z1455" t="s">
        <v>43</v>
      </c>
      <c r="AA1455" t="s">
        <v>115</v>
      </c>
      <c r="AB1455" t="s">
        <v>268</v>
      </c>
      <c r="AC1455" t="s">
        <v>269</v>
      </c>
      <c r="AF1455" t="s">
        <v>135</v>
      </c>
      <c r="AG1455" s="1">
        <v>43843</v>
      </c>
      <c r="AH1455" t="s">
        <v>125</v>
      </c>
      <c r="AI1455" t="s">
        <v>92</v>
      </c>
      <c r="AJ1455">
        <v>1278023</v>
      </c>
      <c r="AK1455">
        <v>12365300</v>
      </c>
      <c r="AL1455">
        <v>12900</v>
      </c>
    </row>
    <row r="1456" spans="1:38" x14ac:dyDescent="0.25">
      <c r="A1456" t="s">
        <v>226</v>
      </c>
      <c r="B1456" t="s">
        <v>434</v>
      </c>
      <c r="C1456" t="s">
        <v>40</v>
      </c>
      <c r="D1456" s="1">
        <v>43466</v>
      </c>
      <c r="E1456" s="1">
        <v>43555</v>
      </c>
      <c r="F1456" t="s">
        <v>72</v>
      </c>
      <c r="G1456">
        <v>3</v>
      </c>
      <c r="H1456" t="s">
        <v>125</v>
      </c>
      <c r="I1456" t="s">
        <v>43</v>
      </c>
      <c r="J1456" t="s">
        <v>126</v>
      </c>
      <c r="K1456" t="s">
        <v>44</v>
      </c>
      <c r="L1456">
        <v>257590.8</v>
      </c>
      <c r="M1456" s="1">
        <v>43466</v>
      </c>
      <c r="N1456" t="s">
        <v>45</v>
      </c>
      <c r="O1456" t="s">
        <v>106</v>
      </c>
      <c r="P1456" t="s">
        <v>47</v>
      </c>
      <c r="Q1456" s="1">
        <v>43852</v>
      </c>
      <c r="R1456" t="s">
        <v>48</v>
      </c>
      <c r="S1456" t="s">
        <v>266</v>
      </c>
      <c r="T1456" t="s">
        <v>267</v>
      </c>
      <c r="U1456" t="s">
        <v>125</v>
      </c>
      <c r="V1456">
        <v>700000</v>
      </c>
      <c r="W1456">
        <v>100000</v>
      </c>
      <c r="X1456" s="1">
        <v>43830</v>
      </c>
      <c r="Y1456" t="s">
        <v>51</v>
      </c>
      <c r="Z1456" t="s">
        <v>43</v>
      </c>
      <c r="AA1456" t="s">
        <v>115</v>
      </c>
      <c r="AB1456" t="s">
        <v>268</v>
      </c>
      <c r="AC1456" t="s">
        <v>269</v>
      </c>
      <c r="AF1456" t="s">
        <v>136</v>
      </c>
      <c r="AG1456" s="1">
        <v>43839</v>
      </c>
      <c r="AH1456" t="s">
        <v>125</v>
      </c>
      <c r="AI1456" t="s">
        <v>92</v>
      </c>
      <c r="AJ1456">
        <v>1278023</v>
      </c>
      <c r="AK1456">
        <v>12365300</v>
      </c>
      <c r="AL1456">
        <v>12900</v>
      </c>
    </row>
    <row r="1457" spans="1:38" x14ac:dyDescent="0.25">
      <c r="A1457" t="s">
        <v>226</v>
      </c>
      <c r="B1457" t="s">
        <v>434</v>
      </c>
      <c r="C1457" t="s">
        <v>40</v>
      </c>
      <c r="D1457" s="1">
        <v>43466</v>
      </c>
      <c r="E1457" s="1">
        <v>43555</v>
      </c>
      <c r="F1457" t="s">
        <v>72</v>
      </c>
      <c r="G1457">
        <v>3</v>
      </c>
      <c r="H1457" t="s">
        <v>125</v>
      </c>
      <c r="I1457" t="s">
        <v>43</v>
      </c>
      <c r="J1457" t="s">
        <v>126</v>
      </c>
      <c r="K1457" t="s">
        <v>44</v>
      </c>
      <c r="L1457">
        <v>257590.8</v>
      </c>
      <c r="M1457" s="1">
        <v>43466</v>
      </c>
      <c r="N1457" t="s">
        <v>45</v>
      </c>
      <c r="O1457" t="s">
        <v>106</v>
      </c>
      <c r="P1457" t="s">
        <v>47</v>
      </c>
      <c r="Q1457" s="1">
        <v>43852</v>
      </c>
      <c r="R1457" t="s">
        <v>48</v>
      </c>
      <c r="S1457" t="s">
        <v>266</v>
      </c>
      <c r="T1457" t="s">
        <v>267</v>
      </c>
      <c r="U1457" t="s">
        <v>125</v>
      </c>
      <c r="V1457">
        <v>700000</v>
      </c>
      <c r="W1457">
        <v>100000</v>
      </c>
      <c r="X1457" s="1">
        <v>43830</v>
      </c>
      <c r="Y1457" t="s">
        <v>51</v>
      </c>
      <c r="Z1457" t="s">
        <v>43</v>
      </c>
      <c r="AA1457" t="s">
        <v>115</v>
      </c>
      <c r="AB1457" t="s">
        <v>268</v>
      </c>
      <c r="AC1457" t="s">
        <v>269</v>
      </c>
      <c r="AF1457" t="s">
        <v>137</v>
      </c>
      <c r="AG1457" s="1">
        <v>43840</v>
      </c>
      <c r="AH1457" t="s">
        <v>125</v>
      </c>
      <c r="AI1457" t="s">
        <v>92</v>
      </c>
      <c r="AJ1457">
        <v>1278023</v>
      </c>
      <c r="AK1457">
        <v>12365300</v>
      </c>
      <c r="AL1457">
        <v>12900</v>
      </c>
    </row>
    <row r="1458" spans="1:38" x14ac:dyDescent="0.25">
      <c r="A1458" t="s">
        <v>226</v>
      </c>
      <c r="B1458" t="s">
        <v>434</v>
      </c>
      <c r="C1458" t="s">
        <v>40</v>
      </c>
      <c r="D1458" s="1">
        <v>43466</v>
      </c>
      <c r="E1458" s="1">
        <v>43555</v>
      </c>
      <c r="F1458" t="s">
        <v>72</v>
      </c>
      <c r="G1458">
        <v>3</v>
      </c>
      <c r="H1458" t="s">
        <v>125</v>
      </c>
      <c r="I1458" t="s">
        <v>43</v>
      </c>
      <c r="J1458" t="s">
        <v>126</v>
      </c>
      <c r="K1458" t="s">
        <v>44</v>
      </c>
      <c r="L1458">
        <v>257590.8</v>
      </c>
      <c r="M1458" s="1">
        <v>43466</v>
      </c>
      <c r="N1458" t="s">
        <v>45</v>
      </c>
      <c r="O1458" t="s">
        <v>106</v>
      </c>
      <c r="P1458" t="s">
        <v>47</v>
      </c>
      <c r="Q1458" s="1">
        <v>43852</v>
      </c>
      <c r="R1458" t="s">
        <v>48</v>
      </c>
      <c r="S1458" t="s">
        <v>72</v>
      </c>
      <c r="T1458" t="s">
        <v>270</v>
      </c>
      <c r="U1458" t="s">
        <v>125</v>
      </c>
      <c r="V1458">
        <v>0</v>
      </c>
      <c r="W1458">
        <v>500000</v>
      </c>
      <c r="X1458" s="1">
        <v>43739</v>
      </c>
      <c r="Y1458" t="s">
        <v>131</v>
      </c>
      <c r="Z1458" t="s">
        <v>43</v>
      </c>
      <c r="AA1458" t="s">
        <v>115</v>
      </c>
      <c r="AB1458" t="s">
        <v>268</v>
      </c>
      <c r="AC1458" t="s">
        <v>269</v>
      </c>
      <c r="AF1458" t="s">
        <v>134</v>
      </c>
      <c r="AG1458" s="1">
        <v>43843</v>
      </c>
      <c r="AH1458" t="s">
        <v>125</v>
      </c>
      <c r="AI1458" t="s">
        <v>92</v>
      </c>
      <c r="AJ1458">
        <v>1278023</v>
      </c>
      <c r="AK1458">
        <v>12365300</v>
      </c>
      <c r="AL1458">
        <v>12900</v>
      </c>
    </row>
    <row r="1459" spans="1:38" x14ac:dyDescent="0.25">
      <c r="A1459" t="s">
        <v>226</v>
      </c>
      <c r="B1459" t="s">
        <v>434</v>
      </c>
      <c r="C1459" t="s">
        <v>40</v>
      </c>
      <c r="D1459" s="1">
        <v>43466</v>
      </c>
      <c r="E1459" s="1">
        <v>43555</v>
      </c>
      <c r="F1459" t="s">
        <v>72</v>
      </c>
      <c r="G1459">
        <v>3</v>
      </c>
      <c r="H1459" t="s">
        <v>125</v>
      </c>
      <c r="I1459" t="s">
        <v>43</v>
      </c>
      <c r="J1459" t="s">
        <v>126</v>
      </c>
      <c r="K1459" t="s">
        <v>44</v>
      </c>
      <c r="L1459">
        <v>257590.8</v>
      </c>
      <c r="M1459" s="1">
        <v>43466</v>
      </c>
      <c r="N1459" t="s">
        <v>45</v>
      </c>
      <c r="O1459" t="s">
        <v>106</v>
      </c>
      <c r="P1459" t="s">
        <v>47</v>
      </c>
      <c r="Q1459" s="1">
        <v>43852</v>
      </c>
      <c r="R1459" t="s">
        <v>48</v>
      </c>
      <c r="S1459" t="s">
        <v>72</v>
      </c>
      <c r="T1459" t="s">
        <v>270</v>
      </c>
      <c r="U1459" t="s">
        <v>125</v>
      </c>
      <c r="V1459">
        <v>0</v>
      </c>
      <c r="W1459">
        <v>500000</v>
      </c>
      <c r="X1459" s="1">
        <v>43739</v>
      </c>
      <c r="Y1459" t="s">
        <v>131</v>
      </c>
      <c r="Z1459" t="s">
        <v>43</v>
      </c>
      <c r="AA1459" t="s">
        <v>115</v>
      </c>
      <c r="AB1459" t="s">
        <v>268</v>
      </c>
      <c r="AC1459" t="s">
        <v>269</v>
      </c>
      <c r="AF1459" t="s">
        <v>135</v>
      </c>
      <c r="AG1459" s="1">
        <v>43843</v>
      </c>
      <c r="AH1459" t="s">
        <v>125</v>
      </c>
      <c r="AI1459" t="s">
        <v>92</v>
      </c>
      <c r="AJ1459">
        <v>1278023</v>
      </c>
      <c r="AK1459">
        <v>12365300</v>
      </c>
      <c r="AL1459">
        <v>12900</v>
      </c>
    </row>
    <row r="1460" spans="1:38" x14ac:dyDescent="0.25">
      <c r="A1460" t="s">
        <v>226</v>
      </c>
      <c r="B1460" t="s">
        <v>434</v>
      </c>
      <c r="C1460" t="s">
        <v>40</v>
      </c>
      <c r="D1460" s="1">
        <v>43466</v>
      </c>
      <c r="E1460" s="1">
        <v>43555</v>
      </c>
      <c r="F1460" t="s">
        <v>72</v>
      </c>
      <c r="G1460">
        <v>3</v>
      </c>
      <c r="H1460" t="s">
        <v>125</v>
      </c>
      <c r="I1460" t="s">
        <v>43</v>
      </c>
      <c r="J1460" t="s">
        <v>126</v>
      </c>
      <c r="K1460" t="s">
        <v>44</v>
      </c>
      <c r="L1460">
        <v>257590.8</v>
      </c>
      <c r="M1460" s="1">
        <v>43466</v>
      </c>
      <c r="N1460" t="s">
        <v>45</v>
      </c>
      <c r="O1460" t="s">
        <v>106</v>
      </c>
      <c r="P1460" t="s">
        <v>47</v>
      </c>
      <c r="Q1460" s="1">
        <v>43852</v>
      </c>
      <c r="R1460" t="s">
        <v>48</v>
      </c>
      <c r="S1460" t="s">
        <v>72</v>
      </c>
      <c r="T1460" t="s">
        <v>270</v>
      </c>
      <c r="U1460" t="s">
        <v>125</v>
      </c>
      <c r="V1460">
        <v>0</v>
      </c>
      <c r="W1460">
        <v>500000</v>
      </c>
      <c r="X1460" s="1">
        <v>43739</v>
      </c>
      <c r="Y1460" t="s">
        <v>131</v>
      </c>
      <c r="Z1460" t="s">
        <v>43</v>
      </c>
      <c r="AA1460" t="s">
        <v>115</v>
      </c>
      <c r="AB1460" t="s">
        <v>268</v>
      </c>
      <c r="AC1460" t="s">
        <v>269</v>
      </c>
      <c r="AF1460" t="s">
        <v>136</v>
      </c>
      <c r="AG1460" s="1">
        <v>43839</v>
      </c>
      <c r="AH1460" t="s">
        <v>125</v>
      </c>
      <c r="AI1460" t="s">
        <v>92</v>
      </c>
      <c r="AJ1460">
        <v>1278023</v>
      </c>
      <c r="AK1460">
        <v>12365300</v>
      </c>
      <c r="AL1460">
        <v>12900</v>
      </c>
    </row>
    <row r="1461" spans="1:38" x14ac:dyDescent="0.25">
      <c r="A1461" t="s">
        <v>226</v>
      </c>
      <c r="B1461" t="s">
        <v>434</v>
      </c>
      <c r="C1461" t="s">
        <v>40</v>
      </c>
      <c r="D1461" s="1">
        <v>43466</v>
      </c>
      <c r="E1461" s="1">
        <v>43555</v>
      </c>
      <c r="F1461" t="s">
        <v>72</v>
      </c>
      <c r="G1461">
        <v>3</v>
      </c>
      <c r="H1461" t="s">
        <v>125</v>
      </c>
      <c r="I1461" t="s">
        <v>43</v>
      </c>
      <c r="J1461" t="s">
        <v>126</v>
      </c>
      <c r="K1461" t="s">
        <v>44</v>
      </c>
      <c r="L1461">
        <v>257590.8</v>
      </c>
      <c r="M1461" s="1">
        <v>43466</v>
      </c>
      <c r="N1461" t="s">
        <v>45</v>
      </c>
      <c r="O1461" t="s">
        <v>106</v>
      </c>
      <c r="P1461" t="s">
        <v>47</v>
      </c>
      <c r="Q1461" s="1">
        <v>43852</v>
      </c>
      <c r="R1461" t="s">
        <v>48</v>
      </c>
      <c r="S1461" t="s">
        <v>72</v>
      </c>
      <c r="T1461" t="s">
        <v>270</v>
      </c>
      <c r="U1461" t="s">
        <v>125</v>
      </c>
      <c r="V1461">
        <v>0</v>
      </c>
      <c r="W1461">
        <v>500000</v>
      </c>
      <c r="X1461" s="1">
        <v>43739</v>
      </c>
      <c r="Y1461" t="s">
        <v>131</v>
      </c>
      <c r="Z1461" t="s">
        <v>43</v>
      </c>
      <c r="AA1461" t="s">
        <v>115</v>
      </c>
      <c r="AB1461" t="s">
        <v>268</v>
      </c>
      <c r="AC1461" t="s">
        <v>269</v>
      </c>
      <c r="AF1461" t="s">
        <v>137</v>
      </c>
      <c r="AG1461" s="1">
        <v>43840</v>
      </c>
      <c r="AH1461" t="s">
        <v>125</v>
      </c>
      <c r="AI1461" t="s">
        <v>92</v>
      </c>
      <c r="AJ1461">
        <v>1278023</v>
      </c>
      <c r="AK1461">
        <v>12365300</v>
      </c>
      <c r="AL1461">
        <v>12900</v>
      </c>
    </row>
    <row r="1462" spans="1:38" x14ac:dyDescent="0.25">
      <c r="A1462" t="s">
        <v>226</v>
      </c>
      <c r="B1462" t="s">
        <v>434</v>
      </c>
      <c r="C1462" t="s">
        <v>40</v>
      </c>
      <c r="D1462" s="1">
        <v>43466</v>
      </c>
      <c r="E1462" s="1">
        <v>43555</v>
      </c>
      <c r="F1462" t="s">
        <v>72</v>
      </c>
      <c r="G1462">
        <v>3</v>
      </c>
      <c r="H1462" t="s">
        <v>125</v>
      </c>
      <c r="I1462" t="s">
        <v>43</v>
      </c>
      <c r="J1462" t="s">
        <v>126</v>
      </c>
      <c r="K1462" t="s">
        <v>44</v>
      </c>
      <c r="L1462">
        <v>257590.8</v>
      </c>
      <c r="M1462" s="1">
        <v>43466</v>
      </c>
      <c r="N1462" t="s">
        <v>45</v>
      </c>
      <c r="O1462" t="s">
        <v>106</v>
      </c>
      <c r="P1462" t="s">
        <v>47</v>
      </c>
      <c r="Q1462" s="1">
        <v>43852</v>
      </c>
      <c r="R1462" t="s">
        <v>48</v>
      </c>
      <c r="S1462" t="s">
        <v>271</v>
      </c>
      <c r="T1462" t="s">
        <v>272</v>
      </c>
      <c r="U1462" t="s">
        <v>125</v>
      </c>
      <c r="V1462">
        <v>0</v>
      </c>
      <c r="W1462">
        <v>50000</v>
      </c>
      <c r="X1462" s="1">
        <v>43738</v>
      </c>
      <c r="Y1462" t="s">
        <v>140</v>
      </c>
      <c r="Z1462" t="s">
        <v>43</v>
      </c>
      <c r="AA1462" t="s">
        <v>115</v>
      </c>
      <c r="AB1462" t="s">
        <v>268</v>
      </c>
      <c r="AC1462" t="s">
        <v>269</v>
      </c>
      <c r="AF1462" t="s">
        <v>134</v>
      </c>
      <c r="AG1462" s="1">
        <v>43843</v>
      </c>
      <c r="AH1462" t="s">
        <v>125</v>
      </c>
      <c r="AI1462" t="s">
        <v>92</v>
      </c>
      <c r="AJ1462">
        <v>1278023</v>
      </c>
      <c r="AK1462">
        <v>12365300</v>
      </c>
      <c r="AL1462">
        <v>12900</v>
      </c>
    </row>
    <row r="1463" spans="1:38" x14ac:dyDescent="0.25">
      <c r="A1463" t="s">
        <v>226</v>
      </c>
      <c r="B1463" t="s">
        <v>434</v>
      </c>
      <c r="C1463" t="s">
        <v>40</v>
      </c>
      <c r="D1463" s="1">
        <v>43466</v>
      </c>
      <c r="E1463" s="1">
        <v>43555</v>
      </c>
      <c r="F1463" t="s">
        <v>72</v>
      </c>
      <c r="G1463">
        <v>3</v>
      </c>
      <c r="H1463" t="s">
        <v>125</v>
      </c>
      <c r="I1463" t="s">
        <v>43</v>
      </c>
      <c r="J1463" t="s">
        <v>126</v>
      </c>
      <c r="K1463" t="s">
        <v>44</v>
      </c>
      <c r="L1463">
        <v>257590.8</v>
      </c>
      <c r="M1463" s="1">
        <v>43466</v>
      </c>
      <c r="N1463" t="s">
        <v>45</v>
      </c>
      <c r="O1463" t="s">
        <v>106</v>
      </c>
      <c r="P1463" t="s">
        <v>47</v>
      </c>
      <c r="Q1463" s="1">
        <v>43852</v>
      </c>
      <c r="R1463" t="s">
        <v>48</v>
      </c>
      <c r="S1463" t="s">
        <v>271</v>
      </c>
      <c r="T1463" t="s">
        <v>272</v>
      </c>
      <c r="U1463" t="s">
        <v>125</v>
      </c>
      <c r="V1463">
        <v>0</v>
      </c>
      <c r="W1463">
        <v>50000</v>
      </c>
      <c r="X1463" s="1">
        <v>43738</v>
      </c>
      <c r="Y1463" t="s">
        <v>140</v>
      </c>
      <c r="Z1463" t="s">
        <v>43</v>
      </c>
      <c r="AA1463" t="s">
        <v>115</v>
      </c>
      <c r="AB1463" t="s">
        <v>268</v>
      </c>
      <c r="AC1463" t="s">
        <v>269</v>
      </c>
      <c r="AF1463" t="s">
        <v>135</v>
      </c>
      <c r="AG1463" s="1">
        <v>43843</v>
      </c>
      <c r="AH1463" t="s">
        <v>125</v>
      </c>
      <c r="AI1463" t="s">
        <v>92</v>
      </c>
      <c r="AJ1463">
        <v>1278023</v>
      </c>
      <c r="AK1463">
        <v>12365300</v>
      </c>
      <c r="AL1463">
        <v>12900</v>
      </c>
    </row>
    <row r="1464" spans="1:38" x14ac:dyDescent="0.25">
      <c r="A1464" t="s">
        <v>226</v>
      </c>
      <c r="B1464" t="s">
        <v>434</v>
      </c>
      <c r="C1464" t="s">
        <v>40</v>
      </c>
      <c r="D1464" s="1">
        <v>43466</v>
      </c>
      <c r="E1464" s="1">
        <v>43555</v>
      </c>
      <c r="F1464" t="s">
        <v>72</v>
      </c>
      <c r="G1464">
        <v>3</v>
      </c>
      <c r="H1464" t="s">
        <v>125</v>
      </c>
      <c r="I1464" t="s">
        <v>43</v>
      </c>
      <c r="J1464" t="s">
        <v>126</v>
      </c>
      <c r="K1464" t="s">
        <v>44</v>
      </c>
      <c r="L1464">
        <v>257590.8</v>
      </c>
      <c r="M1464" s="1">
        <v>43466</v>
      </c>
      <c r="N1464" t="s">
        <v>45</v>
      </c>
      <c r="O1464" t="s">
        <v>106</v>
      </c>
      <c r="P1464" t="s">
        <v>47</v>
      </c>
      <c r="Q1464" s="1">
        <v>43852</v>
      </c>
      <c r="R1464" t="s">
        <v>48</v>
      </c>
      <c r="S1464" t="s">
        <v>271</v>
      </c>
      <c r="T1464" t="s">
        <v>272</v>
      </c>
      <c r="U1464" t="s">
        <v>125</v>
      </c>
      <c r="V1464">
        <v>0</v>
      </c>
      <c r="W1464">
        <v>50000</v>
      </c>
      <c r="X1464" s="1">
        <v>43738</v>
      </c>
      <c r="Y1464" t="s">
        <v>140</v>
      </c>
      <c r="Z1464" t="s">
        <v>43</v>
      </c>
      <c r="AA1464" t="s">
        <v>115</v>
      </c>
      <c r="AB1464" t="s">
        <v>268</v>
      </c>
      <c r="AC1464" t="s">
        <v>269</v>
      </c>
      <c r="AF1464" t="s">
        <v>136</v>
      </c>
      <c r="AG1464" s="1">
        <v>43839</v>
      </c>
      <c r="AH1464" t="s">
        <v>125</v>
      </c>
      <c r="AI1464" t="s">
        <v>92</v>
      </c>
      <c r="AJ1464">
        <v>1278023</v>
      </c>
      <c r="AK1464">
        <v>12365300</v>
      </c>
      <c r="AL1464">
        <v>12900</v>
      </c>
    </row>
    <row r="1465" spans="1:38" x14ac:dyDescent="0.25">
      <c r="A1465" t="s">
        <v>226</v>
      </c>
      <c r="B1465" t="s">
        <v>434</v>
      </c>
      <c r="C1465" t="s">
        <v>40</v>
      </c>
      <c r="D1465" s="1">
        <v>43466</v>
      </c>
      <c r="E1465" s="1">
        <v>43555</v>
      </c>
      <c r="F1465" t="s">
        <v>72</v>
      </c>
      <c r="G1465">
        <v>3</v>
      </c>
      <c r="H1465" t="s">
        <v>125</v>
      </c>
      <c r="I1465" t="s">
        <v>43</v>
      </c>
      <c r="J1465" t="s">
        <v>126</v>
      </c>
      <c r="K1465" t="s">
        <v>44</v>
      </c>
      <c r="L1465">
        <v>257590.8</v>
      </c>
      <c r="M1465" s="1">
        <v>43466</v>
      </c>
      <c r="N1465" t="s">
        <v>45</v>
      </c>
      <c r="O1465" t="s">
        <v>106</v>
      </c>
      <c r="P1465" t="s">
        <v>47</v>
      </c>
      <c r="Q1465" s="1">
        <v>43852</v>
      </c>
      <c r="R1465" t="s">
        <v>48</v>
      </c>
      <c r="S1465" t="s">
        <v>271</v>
      </c>
      <c r="T1465" t="s">
        <v>272</v>
      </c>
      <c r="U1465" t="s">
        <v>125</v>
      </c>
      <c r="V1465">
        <v>0</v>
      </c>
      <c r="W1465">
        <v>50000</v>
      </c>
      <c r="X1465" s="1">
        <v>43738</v>
      </c>
      <c r="Y1465" t="s">
        <v>140</v>
      </c>
      <c r="Z1465" t="s">
        <v>43</v>
      </c>
      <c r="AA1465" t="s">
        <v>115</v>
      </c>
      <c r="AB1465" t="s">
        <v>268</v>
      </c>
      <c r="AC1465" t="s">
        <v>269</v>
      </c>
      <c r="AF1465" t="s">
        <v>137</v>
      </c>
      <c r="AG1465" s="1">
        <v>43840</v>
      </c>
      <c r="AH1465" t="s">
        <v>125</v>
      </c>
      <c r="AI1465" t="s">
        <v>92</v>
      </c>
      <c r="AJ1465">
        <v>1278023</v>
      </c>
      <c r="AK1465">
        <v>12365300</v>
      </c>
      <c r="AL1465">
        <v>12900</v>
      </c>
    </row>
    <row r="1466" spans="1:38" x14ac:dyDescent="0.25">
      <c r="A1466" t="s">
        <v>228</v>
      </c>
      <c r="B1466" t="s">
        <v>434</v>
      </c>
      <c r="C1466" t="s">
        <v>40</v>
      </c>
      <c r="D1466" s="1">
        <v>43466</v>
      </c>
      <c r="E1466" s="1">
        <v>43555</v>
      </c>
      <c r="F1466" t="s">
        <v>72</v>
      </c>
      <c r="G1466">
        <v>3</v>
      </c>
      <c r="H1466" t="s">
        <v>125</v>
      </c>
      <c r="I1466" t="s">
        <v>43</v>
      </c>
      <c r="J1466" t="s">
        <v>126</v>
      </c>
      <c r="K1466" t="s">
        <v>44</v>
      </c>
      <c r="L1466">
        <v>-98802.02</v>
      </c>
      <c r="M1466" s="1">
        <v>43466</v>
      </c>
      <c r="N1466" t="s">
        <v>108</v>
      </c>
      <c r="O1466" t="s">
        <v>106</v>
      </c>
      <c r="P1466" t="s">
        <v>47</v>
      </c>
      <c r="Q1466" s="1">
        <v>43852</v>
      </c>
      <c r="R1466" t="s">
        <v>48</v>
      </c>
      <c r="S1466" t="s">
        <v>266</v>
      </c>
      <c r="T1466" t="s">
        <v>267</v>
      </c>
      <c r="U1466" t="s">
        <v>125</v>
      </c>
      <c r="V1466">
        <v>700000</v>
      </c>
      <c r="W1466">
        <v>100000</v>
      </c>
      <c r="X1466" s="1">
        <v>43830</v>
      </c>
      <c r="Y1466" t="s">
        <v>51</v>
      </c>
      <c r="Z1466" t="s">
        <v>43</v>
      </c>
      <c r="AA1466" t="s">
        <v>115</v>
      </c>
      <c r="AB1466" t="s">
        <v>268</v>
      </c>
      <c r="AC1466" t="s">
        <v>269</v>
      </c>
      <c r="AF1466" t="s">
        <v>134</v>
      </c>
      <c r="AG1466" s="1">
        <v>43843</v>
      </c>
      <c r="AH1466" t="s">
        <v>125</v>
      </c>
      <c r="AI1466" t="s">
        <v>92</v>
      </c>
      <c r="AJ1466">
        <v>1278023</v>
      </c>
      <c r="AK1466">
        <v>12365300</v>
      </c>
      <c r="AL1466">
        <v>12900</v>
      </c>
    </row>
    <row r="1467" spans="1:38" x14ac:dyDescent="0.25">
      <c r="A1467" t="s">
        <v>228</v>
      </c>
      <c r="B1467" t="s">
        <v>434</v>
      </c>
      <c r="C1467" t="s">
        <v>40</v>
      </c>
      <c r="D1467" s="1">
        <v>43466</v>
      </c>
      <c r="E1467" s="1">
        <v>43555</v>
      </c>
      <c r="F1467" t="s">
        <v>72</v>
      </c>
      <c r="G1467">
        <v>3</v>
      </c>
      <c r="H1467" t="s">
        <v>125</v>
      </c>
      <c r="I1467" t="s">
        <v>43</v>
      </c>
      <c r="J1467" t="s">
        <v>126</v>
      </c>
      <c r="K1467" t="s">
        <v>44</v>
      </c>
      <c r="L1467">
        <v>-98802.02</v>
      </c>
      <c r="M1467" s="1">
        <v>43466</v>
      </c>
      <c r="N1467" t="s">
        <v>108</v>
      </c>
      <c r="O1467" t="s">
        <v>106</v>
      </c>
      <c r="P1467" t="s">
        <v>47</v>
      </c>
      <c r="Q1467" s="1">
        <v>43852</v>
      </c>
      <c r="R1467" t="s">
        <v>48</v>
      </c>
      <c r="S1467" t="s">
        <v>266</v>
      </c>
      <c r="T1467" t="s">
        <v>267</v>
      </c>
      <c r="U1467" t="s">
        <v>125</v>
      </c>
      <c r="V1467">
        <v>700000</v>
      </c>
      <c r="W1467">
        <v>100000</v>
      </c>
      <c r="X1467" s="1">
        <v>43830</v>
      </c>
      <c r="Y1467" t="s">
        <v>51</v>
      </c>
      <c r="Z1467" t="s">
        <v>43</v>
      </c>
      <c r="AA1467" t="s">
        <v>115</v>
      </c>
      <c r="AB1467" t="s">
        <v>268</v>
      </c>
      <c r="AC1467" t="s">
        <v>269</v>
      </c>
      <c r="AF1467" t="s">
        <v>135</v>
      </c>
      <c r="AG1467" s="1">
        <v>43843</v>
      </c>
      <c r="AH1467" t="s">
        <v>125</v>
      </c>
      <c r="AI1467" t="s">
        <v>92</v>
      </c>
      <c r="AJ1467">
        <v>1278023</v>
      </c>
      <c r="AK1467">
        <v>12365300</v>
      </c>
      <c r="AL1467">
        <v>12900</v>
      </c>
    </row>
    <row r="1468" spans="1:38" x14ac:dyDescent="0.25">
      <c r="A1468" t="s">
        <v>228</v>
      </c>
      <c r="B1468" t="s">
        <v>434</v>
      </c>
      <c r="C1468" t="s">
        <v>40</v>
      </c>
      <c r="D1468" s="1">
        <v>43466</v>
      </c>
      <c r="E1468" s="1">
        <v>43555</v>
      </c>
      <c r="F1468" t="s">
        <v>72</v>
      </c>
      <c r="G1468">
        <v>3</v>
      </c>
      <c r="H1468" t="s">
        <v>125</v>
      </c>
      <c r="I1468" t="s">
        <v>43</v>
      </c>
      <c r="J1468" t="s">
        <v>126</v>
      </c>
      <c r="K1468" t="s">
        <v>44</v>
      </c>
      <c r="L1468">
        <v>-98802.02</v>
      </c>
      <c r="M1468" s="1">
        <v>43466</v>
      </c>
      <c r="N1468" t="s">
        <v>108</v>
      </c>
      <c r="O1468" t="s">
        <v>106</v>
      </c>
      <c r="P1468" t="s">
        <v>47</v>
      </c>
      <c r="Q1468" s="1">
        <v>43852</v>
      </c>
      <c r="R1468" t="s">
        <v>48</v>
      </c>
      <c r="S1468" t="s">
        <v>266</v>
      </c>
      <c r="T1468" t="s">
        <v>267</v>
      </c>
      <c r="U1468" t="s">
        <v>125</v>
      </c>
      <c r="V1468">
        <v>700000</v>
      </c>
      <c r="W1468">
        <v>100000</v>
      </c>
      <c r="X1468" s="1">
        <v>43830</v>
      </c>
      <c r="Y1468" t="s">
        <v>51</v>
      </c>
      <c r="Z1468" t="s">
        <v>43</v>
      </c>
      <c r="AA1468" t="s">
        <v>115</v>
      </c>
      <c r="AB1468" t="s">
        <v>268</v>
      </c>
      <c r="AC1468" t="s">
        <v>269</v>
      </c>
      <c r="AF1468" t="s">
        <v>136</v>
      </c>
      <c r="AG1468" s="1">
        <v>43839</v>
      </c>
      <c r="AH1468" t="s">
        <v>125</v>
      </c>
      <c r="AI1468" t="s">
        <v>92</v>
      </c>
      <c r="AJ1468">
        <v>1278023</v>
      </c>
      <c r="AK1468">
        <v>12365300</v>
      </c>
      <c r="AL1468">
        <v>12900</v>
      </c>
    </row>
    <row r="1469" spans="1:38" x14ac:dyDescent="0.25">
      <c r="A1469" t="s">
        <v>228</v>
      </c>
      <c r="B1469" t="s">
        <v>434</v>
      </c>
      <c r="C1469" t="s">
        <v>40</v>
      </c>
      <c r="D1469" s="1">
        <v>43466</v>
      </c>
      <c r="E1469" s="1">
        <v>43555</v>
      </c>
      <c r="F1469" t="s">
        <v>72</v>
      </c>
      <c r="G1469">
        <v>3</v>
      </c>
      <c r="H1469" t="s">
        <v>125</v>
      </c>
      <c r="I1469" t="s">
        <v>43</v>
      </c>
      <c r="J1469" t="s">
        <v>126</v>
      </c>
      <c r="K1469" t="s">
        <v>44</v>
      </c>
      <c r="L1469">
        <v>-98802.02</v>
      </c>
      <c r="M1469" s="1">
        <v>43466</v>
      </c>
      <c r="N1469" t="s">
        <v>108</v>
      </c>
      <c r="O1469" t="s">
        <v>106</v>
      </c>
      <c r="P1469" t="s">
        <v>47</v>
      </c>
      <c r="Q1469" s="1">
        <v>43852</v>
      </c>
      <c r="R1469" t="s">
        <v>48</v>
      </c>
      <c r="S1469" t="s">
        <v>266</v>
      </c>
      <c r="T1469" t="s">
        <v>267</v>
      </c>
      <c r="U1469" t="s">
        <v>125</v>
      </c>
      <c r="V1469">
        <v>700000</v>
      </c>
      <c r="W1469">
        <v>100000</v>
      </c>
      <c r="X1469" s="1">
        <v>43830</v>
      </c>
      <c r="Y1469" t="s">
        <v>51</v>
      </c>
      <c r="Z1469" t="s">
        <v>43</v>
      </c>
      <c r="AA1469" t="s">
        <v>115</v>
      </c>
      <c r="AB1469" t="s">
        <v>268</v>
      </c>
      <c r="AC1469" t="s">
        <v>269</v>
      </c>
      <c r="AF1469" t="s">
        <v>137</v>
      </c>
      <c r="AG1469" s="1">
        <v>43840</v>
      </c>
      <c r="AH1469" t="s">
        <v>125</v>
      </c>
      <c r="AI1469" t="s">
        <v>92</v>
      </c>
      <c r="AJ1469">
        <v>1278023</v>
      </c>
      <c r="AK1469">
        <v>12365300</v>
      </c>
      <c r="AL1469">
        <v>12900</v>
      </c>
    </row>
    <row r="1470" spans="1:38" x14ac:dyDescent="0.25">
      <c r="A1470" t="s">
        <v>228</v>
      </c>
      <c r="B1470" t="s">
        <v>434</v>
      </c>
      <c r="C1470" t="s">
        <v>40</v>
      </c>
      <c r="D1470" s="1">
        <v>43466</v>
      </c>
      <c r="E1470" s="1">
        <v>43555</v>
      </c>
      <c r="F1470" t="s">
        <v>72</v>
      </c>
      <c r="G1470">
        <v>3</v>
      </c>
      <c r="H1470" t="s">
        <v>125</v>
      </c>
      <c r="I1470" t="s">
        <v>43</v>
      </c>
      <c r="J1470" t="s">
        <v>126</v>
      </c>
      <c r="K1470" t="s">
        <v>44</v>
      </c>
      <c r="L1470">
        <v>-98802.02</v>
      </c>
      <c r="M1470" s="1">
        <v>43466</v>
      </c>
      <c r="N1470" t="s">
        <v>108</v>
      </c>
      <c r="O1470" t="s">
        <v>106</v>
      </c>
      <c r="P1470" t="s">
        <v>47</v>
      </c>
      <c r="Q1470" s="1">
        <v>43852</v>
      </c>
      <c r="R1470" t="s">
        <v>48</v>
      </c>
      <c r="S1470" t="s">
        <v>72</v>
      </c>
      <c r="T1470" t="s">
        <v>270</v>
      </c>
      <c r="U1470" t="s">
        <v>125</v>
      </c>
      <c r="V1470">
        <v>0</v>
      </c>
      <c r="W1470">
        <v>500000</v>
      </c>
      <c r="X1470" s="1">
        <v>43739</v>
      </c>
      <c r="Y1470" t="s">
        <v>131</v>
      </c>
      <c r="Z1470" t="s">
        <v>43</v>
      </c>
      <c r="AA1470" t="s">
        <v>115</v>
      </c>
      <c r="AB1470" t="s">
        <v>268</v>
      </c>
      <c r="AC1470" t="s">
        <v>269</v>
      </c>
      <c r="AF1470" t="s">
        <v>134</v>
      </c>
      <c r="AG1470" s="1">
        <v>43843</v>
      </c>
      <c r="AH1470" t="s">
        <v>125</v>
      </c>
      <c r="AI1470" t="s">
        <v>92</v>
      </c>
      <c r="AJ1470">
        <v>1278023</v>
      </c>
      <c r="AK1470">
        <v>12365300</v>
      </c>
      <c r="AL1470">
        <v>12900</v>
      </c>
    </row>
    <row r="1471" spans="1:38" x14ac:dyDescent="0.25">
      <c r="A1471" t="s">
        <v>228</v>
      </c>
      <c r="B1471" t="s">
        <v>434</v>
      </c>
      <c r="C1471" t="s">
        <v>40</v>
      </c>
      <c r="D1471" s="1">
        <v>43466</v>
      </c>
      <c r="E1471" s="1">
        <v>43555</v>
      </c>
      <c r="F1471" t="s">
        <v>72</v>
      </c>
      <c r="G1471">
        <v>3</v>
      </c>
      <c r="H1471" t="s">
        <v>125</v>
      </c>
      <c r="I1471" t="s">
        <v>43</v>
      </c>
      <c r="J1471" t="s">
        <v>126</v>
      </c>
      <c r="K1471" t="s">
        <v>44</v>
      </c>
      <c r="L1471">
        <v>-98802.02</v>
      </c>
      <c r="M1471" s="1">
        <v>43466</v>
      </c>
      <c r="N1471" t="s">
        <v>108</v>
      </c>
      <c r="O1471" t="s">
        <v>106</v>
      </c>
      <c r="P1471" t="s">
        <v>47</v>
      </c>
      <c r="Q1471" s="1">
        <v>43852</v>
      </c>
      <c r="R1471" t="s">
        <v>48</v>
      </c>
      <c r="S1471" t="s">
        <v>72</v>
      </c>
      <c r="T1471" t="s">
        <v>270</v>
      </c>
      <c r="U1471" t="s">
        <v>125</v>
      </c>
      <c r="V1471">
        <v>0</v>
      </c>
      <c r="W1471">
        <v>500000</v>
      </c>
      <c r="X1471" s="1">
        <v>43739</v>
      </c>
      <c r="Y1471" t="s">
        <v>131</v>
      </c>
      <c r="Z1471" t="s">
        <v>43</v>
      </c>
      <c r="AA1471" t="s">
        <v>115</v>
      </c>
      <c r="AB1471" t="s">
        <v>268</v>
      </c>
      <c r="AC1471" t="s">
        <v>269</v>
      </c>
      <c r="AF1471" t="s">
        <v>135</v>
      </c>
      <c r="AG1471" s="1">
        <v>43843</v>
      </c>
      <c r="AH1471" t="s">
        <v>125</v>
      </c>
      <c r="AI1471" t="s">
        <v>92</v>
      </c>
      <c r="AJ1471">
        <v>1278023</v>
      </c>
      <c r="AK1471">
        <v>12365300</v>
      </c>
      <c r="AL1471">
        <v>12900</v>
      </c>
    </row>
    <row r="1472" spans="1:38" x14ac:dyDescent="0.25">
      <c r="A1472" t="s">
        <v>228</v>
      </c>
      <c r="B1472" t="s">
        <v>434</v>
      </c>
      <c r="C1472" t="s">
        <v>40</v>
      </c>
      <c r="D1472" s="1">
        <v>43466</v>
      </c>
      <c r="E1472" s="1">
        <v>43555</v>
      </c>
      <c r="F1472" t="s">
        <v>72</v>
      </c>
      <c r="G1472">
        <v>3</v>
      </c>
      <c r="H1472" t="s">
        <v>125</v>
      </c>
      <c r="I1472" t="s">
        <v>43</v>
      </c>
      <c r="J1472" t="s">
        <v>126</v>
      </c>
      <c r="K1472" t="s">
        <v>44</v>
      </c>
      <c r="L1472">
        <v>-98802.02</v>
      </c>
      <c r="M1472" s="1">
        <v>43466</v>
      </c>
      <c r="N1472" t="s">
        <v>108</v>
      </c>
      <c r="O1472" t="s">
        <v>106</v>
      </c>
      <c r="P1472" t="s">
        <v>47</v>
      </c>
      <c r="Q1472" s="1">
        <v>43852</v>
      </c>
      <c r="R1472" t="s">
        <v>48</v>
      </c>
      <c r="S1472" t="s">
        <v>72</v>
      </c>
      <c r="T1472" t="s">
        <v>270</v>
      </c>
      <c r="U1472" t="s">
        <v>125</v>
      </c>
      <c r="V1472">
        <v>0</v>
      </c>
      <c r="W1472">
        <v>500000</v>
      </c>
      <c r="X1472" s="1">
        <v>43739</v>
      </c>
      <c r="Y1472" t="s">
        <v>131</v>
      </c>
      <c r="Z1472" t="s">
        <v>43</v>
      </c>
      <c r="AA1472" t="s">
        <v>115</v>
      </c>
      <c r="AB1472" t="s">
        <v>268</v>
      </c>
      <c r="AC1472" t="s">
        <v>269</v>
      </c>
      <c r="AF1472" t="s">
        <v>136</v>
      </c>
      <c r="AG1472" s="1">
        <v>43839</v>
      </c>
      <c r="AH1472" t="s">
        <v>125</v>
      </c>
      <c r="AI1472" t="s">
        <v>92</v>
      </c>
      <c r="AJ1472">
        <v>1278023</v>
      </c>
      <c r="AK1472">
        <v>12365300</v>
      </c>
      <c r="AL1472">
        <v>12900</v>
      </c>
    </row>
    <row r="1473" spans="1:38" x14ac:dyDescent="0.25">
      <c r="A1473" t="s">
        <v>228</v>
      </c>
      <c r="B1473" t="s">
        <v>434</v>
      </c>
      <c r="C1473" t="s">
        <v>40</v>
      </c>
      <c r="D1473" s="1">
        <v>43466</v>
      </c>
      <c r="E1473" s="1">
        <v>43555</v>
      </c>
      <c r="F1473" t="s">
        <v>72</v>
      </c>
      <c r="G1473">
        <v>3</v>
      </c>
      <c r="H1473" t="s">
        <v>125</v>
      </c>
      <c r="I1473" t="s">
        <v>43</v>
      </c>
      <c r="J1473" t="s">
        <v>126</v>
      </c>
      <c r="K1473" t="s">
        <v>44</v>
      </c>
      <c r="L1473">
        <v>-98802.02</v>
      </c>
      <c r="M1473" s="1">
        <v>43466</v>
      </c>
      <c r="N1473" t="s">
        <v>108</v>
      </c>
      <c r="O1473" t="s">
        <v>106</v>
      </c>
      <c r="P1473" t="s">
        <v>47</v>
      </c>
      <c r="Q1473" s="1">
        <v>43852</v>
      </c>
      <c r="R1473" t="s">
        <v>48</v>
      </c>
      <c r="S1473" t="s">
        <v>72</v>
      </c>
      <c r="T1473" t="s">
        <v>270</v>
      </c>
      <c r="U1473" t="s">
        <v>125</v>
      </c>
      <c r="V1473">
        <v>0</v>
      </c>
      <c r="W1473">
        <v>500000</v>
      </c>
      <c r="X1473" s="1">
        <v>43739</v>
      </c>
      <c r="Y1473" t="s">
        <v>131</v>
      </c>
      <c r="Z1473" t="s">
        <v>43</v>
      </c>
      <c r="AA1473" t="s">
        <v>115</v>
      </c>
      <c r="AB1473" t="s">
        <v>268</v>
      </c>
      <c r="AC1473" t="s">
        <v>269</v>
      </c>
      <c r="AF1473" t="s">
        <v>137</v>
      </c>
      <c r="AG1473" s="1">
        <v>43840</v>
      </c>
      <c r="AH1473" t="s">
        <v>125</v>
      </c>
      <c r="AI1473" t="s">
        <v>92</v>
      </c>
      <c r="AJ1473">
        <v>1278023</v>
      </c>
      <c r="AK1473">
        <v>12365300</v>
      </c>
      <c r="AL1473">
        <v>12900</v>
      </c>
    </row>
    <row r="1474" spans="1:38" x14ac:dyDescent="0.25">
      <c r="A1474" t="s">
        <v>228</v>
      </c>
      <c r="B1474" t="s">
        <v>434</v>
      </c>
      <c r="C1474" t="s">
        <v>40</v>
      </c>
      <c r="D1474" s="1">
        <v>43466</v>
      </c>
      <c r="E1474" s="1">
        <v>43555</v>
      </c>
      <c r="F1474" t="s">
        <v>72</v>
      </c>
      <c r="G1474">
        <v>3</v>
      </c>
      <c r="H1474" t="s">
        <v>125</v>
      </c>
      <c r="I1474" t="s">
        <v>43</v>
      </c>
      <c r="J1474" t="s">
        <v>126</v>
      </c>
      <c r="K1474" t="s">
        <v>44</v>
      </c>
      <c r="L1474">
        <v>-98802.02</v>
      </c>
      <c r="M1474" s="1">
        <v>43466</v>
      </c>
      <c r="N1474" t="s">
        <v>108</v>
      </c>
      <c r="O1474" t="s">
        <v>106</v>
      </c>
      <c r="P1474" t="s">
        <v>47</v>
      </c>
      <c r="Q1474" s="1">
        <v>43852</v>
      </c>
      <c r="R1474" t="s">
        <v>48</v>
      </c>
      <c r="S1474" t="s">
        <v>271</v>
      </c>
      <c r="T1474" t="s">
        <v>272</v>
      </c>
      <c r="U1474" t="s">
        <v>125</v>
      </c>
      <c r="V1474">
        <v>0</v>
      </c>
      <c r="W1474">
        <v>50000</v>
      </c>
      <c r="X1474" s="1">
        <v>43738</v>
      </c>
      <c r="Y1474" t="s">
        <v>140</v>
      </c>
      <c r="Z1474" t="s">
        <v>43</v>
      </c>
      <c r="AA1474" t="s">
        <v>115</v>
      </c>
      <c r="AB1474" t="s">
        <v>268</v>
      </c>
      <c r="AC1474" t="s">
        <v>269</v>
      </c>
      <c r="AF1474" t="s">
        <v>134</v>
      </c>
      <c r="AG1474" s="1">
        <v>43843</v>
      </c>
      <c r="AH1474" t="s">
        <v>125</v>
      </c>
      <c r="AI1474" t="s">
        <v>92</v>
      </c>
      <c r="AJ1474">
        <v>1278023</v>
      </c>
      <c r="AK1474">
        <v>12365300</v>
      </c>
      <c r="AL1474">
        <v>12900</v>
      </c>
    </row>
    <row r="1475" spans="1:38" x14ac:dyDescent="0.25">
      <c r="A1475" t="s">
        <v>228</v>
      </c>
      <c r="B1475" t="s">
        <v>434</v>
      </c>
      <c r="C1475" t="s">
        <v>40</v>
      </c>
      <c r="D1475" s="1">
        <v>43466</v>
      </c>
      <c r="E1475" s="1">
        <v>43555</v>
      </c>
      <c r="F1475" t="s">
        <v>72</v>
      </c>
      <c r="G1475">
        <v>3</v>
      </c>
      <c r="H1475" t="s">
        <v>125</v>
      </c>
      <c r="I1475" t="s">
        <v>43</v>
      </c>
      <c r="J1475" t="s">
        <v>126</v>
      </c>
      <c r="K1475" t="s">
        <v>44</v>
      </c>
      <c r="L1475">
        <v>-98802.02</v>
      </c>
      <c r="M1475" s="1">
        <v>43466</v>
      </c>
      <c r="N1475" t="s">
        <v>108</v>
      </c>
      <c r="O1475" t="s">
        <v>106</v>
      </c>
      <c r="P1475" t="s">
        <v>47</v>
      </c>
      <c r="Q1475" s="1">
        <v>43852</v>
      </c>
      <c r="R1475" t="s">
        <v>48</v>
      </c>
      <c r="S1475" t="s">
        <v>271</v>
      </c>
      <c r="T1475" t="s">
        <v>272</v>
      </c>
      <c r="U1475" t="s">
        <v>125</v>
      </c>
      <c r="V1475">
        <v>0</v>
      </c>
      <c r="W1475">
        <v>50000</v>
      </c>
      <c r="X1475" s="1">
        <v>43738</v>
      </c>
      <c r="Y1475" t="s">
        <v>140</v>
      </c>
      <c r="Z1475" t="s">
        <v>43</v>
      </c>
      <c r="AA1475" t="s">
        <v>115</v>
      </c>
      <c r="AB1475" t="s">
        <v>268</v>
      </c>
      <c r="AC1475" t="s">
        <v>269</v>
      </c>
      <c r="AF1475" t="s">
        <v>135</v>
      </c>
      <c r="AG1475" s="1">
        <v>43843</v>
      </c>
      <c r="AH1475" t="s">
        <v>125</v>
      </c>
      <c r="AI1475" t="s">
        <v>92</v>
      </c>
      <c r="AJ1475">
        <v>1278023</v>
      </c>
      <c r="AK1475">
        <v>12365300</v>
      </c>
      <c r="AL1475">
        <v>12900</v>
      </c>
    </row>
    <row r="1476" spans="1:38" x14ac:dyDescent="0.25">
      <c r="A1476" t="s">
        <v>228</v>
      </c>
      <c r="B1476" t="s">
        <v>434</v>
      </c>
      <c r="C1476" t="s">
        <v>40</v>
      </c>
      <c r="D1476" s="1">
        <v>43466</v>
      </c>
      <c r="E1476" s="1">
        <v>43555</v>
      </c>
      <c r="F1476" t="s">
        <v>72</v>
      </c>
      <c r="G1476">
        <v>3</v>
      </c>
      <c r="H1476" t="s">
        <v>125</v>
      </c>
      <c r="I1476" t="s">
        <v>43</v>
      </c>
      <c r="J1476" t="s">
        <v>126</v>
      </c>
      <c r="K1476" t="s">
        <v>44</v>
      </c>
      <c r="L1476">
        <v>-98802.02</v>
      </c>
      <c r="M1476" s="1">
        <v>43466</v>
      </c>
      <c r="N1476" t="s">
        <v>108</v>
      </c>
      <c r="O1476" t="s">
        <v>106</v>
      </c>
      <c r="P1476" t="s">
        <v>47</v>
      </c>
      <c r="Q1476" s="1">
        <v>43852</v>
      </c>
      <c r="R1476" t="s">
        <v>48</v>
      </c>
      <c r="S1476" t="s">
        <v>271</v>
      </c>
      <c r="T1476" t="s">
        <v>272</v>
      </c>
      <c r="U1476" t="s">
        <v>125</v>
      </c>
      <c r="V1476">
        <v>0</v>
      </c>
      <c r="W1476">
        <v>50000</v>
      </c>
      <c r="X1476" s="1">
        <v>43738</v>
      </c>
      <c r="Y1476" t="s">
        <v>140</v>
      </c>
      <c r="Z1476" t="s">
        <v>43</v>
      </c>
      <c r="AA1476" t="s">
        <v>115</v>
      </c>
      <c r="AB1476" t="s">
        <v>268</v>
      </c>
      <c r="AC1476" t="s">
        <v>269</v>
      </c>
      <c r="AF1476" t="s">
        <v>136</v>
      </c>
      <c r="AG1476" s="1">
        <v>43839</v>
      </c>
      <c r="AH1476" t="s">
        <v>125</v>
      </c>
      <c r="AI1476" t="s">
        <v>92</v>
      </c>
      <c r="AJ1476">
        <v>1278023</v>
      </c>
      <c r="AK1476">
        <v>12365300</v>
      </c>
      <c r="AL1476">
        <v>12900</v>
      </c>
    </row>
    <row r="1477" spans="1:38" x14ac:dyDescent="0.25">
      <c r="A1477" t="s">
        <v>228</v>
      </c>
      <c r="B1477" t="s">
        <v>434</v>
      </c>
      <c r="C1477" t="s">
        <v>40</v>
      </c>
      <c r="D1477" s="1">
        <v>43466</v>
      </c>
      <c r="E1477" s="1">
        <v>43555</v>
      </c>
      <c r="F1477" t="s">
        <v>72</v>
      </c>
      <c r="G1477">
        <v>3</v>
      </c>
      <c r="H1477" t="s">
        <v>125</v>
      </c>
      <c r="I1477" t="s">
        <v>43</v>
      </c>
      <c r="J1477" t="s">
        <v>126</v>
      </c>
      <c r="K1477" t="s">
        <v>44</v>
      </c>
      <c r="L1477">
        <v>-98802.02</v>
      </c>
      <c r="M1477" s="1">
        <v>43466</v>
      </c>
      <c r="N1477" t="s">
        <v>108</v>
      </c>
      <c r="O1477" t="s">
        <v>106</v>
      </c>
      <c r="P1477" t="s">
        <v>47</v>
      </c>
      <c r="Q1477" s="1">
        <v>43852</v>
      </c>
      <c r="R1477" t="s">
        <v>48</v>
      </c>
      <c r="S1477" t="s">
        <v>271</v>
      </c>
      <c r="T1477" t="s">
        <v>272</v>
      </c>
      <c r="U1477" t="s">
        <v>125</v>
      </c>
      <c r="V1477">
        <v>0</v>
      </c>
      <c r="W1477">
        <v>50000</v>
      </c>
      <c r="X1477" s="1">
        <v>43738</v>
      </c>
      <c r="Y1477" t="s">
        <v>140</v>
      </c>
      <c r="Z1477" t="s">
        <v>43</v>
      </c>
      <c r="AA1477" t="s">
        <v>115</v>
      </c>
      <c r="AB1477" t="s">
        <v>268</v>
      </c>
      <c r="AC1477" t="s">
        <v>269</v>
      </c>
      <c r="AF1477" t="s">
        <v>137</v>
      </c>
      <c r="AG1477" s="1">
        <v>43840</v>
      </c>
      <c r="AH1477" t="s">
        <v>125</v>
      </c>
      <c r="AI1477" t="s">
        <v>92</v>
      </c>
      <c r="AJ1477">
        <v>1278023</v>
      </c>
      <c r="AK1477">
        <v>12365300</v>
      </c>
      <c r="AL1477">
        <v>12900</v>
      </c>
    </row>
    <row r="1478" spans="1:38" x14ac:dyDescent="0.25">
      <c r="A1478" t="s">
        <v>229</v>
      </c>
      <c r="B1478">
        <v>11988092</v>
      </c>
      <c r="C1478" t="s">
        <v>40</v>
      </c>
      <c r="D1478" s="1">
        <v>43138</v>
      </c>
      <c r="E1478" s="1">
        <v>43143</v>
      </c>
      <c r="F1478" t="s">
        <v>76</v>
      </c>
      <c r="G1478">
        <v>3</v>
      </c>
      <c r="H1478" t="s">
        <v>125</v>
      </c>
      <c r="I1478" t="s">
        <v>43</v>
      </c>
      <c r="J1478" t="s">
        <v>126</v>
      </c>
      <c r="K1478" t="s">
        <v>127</v>
      </c>
      <c r="L1478">
        <v>338.55</v>
      </c>
      <c r="M1478" s="1">
        <v>43138</v>
      </c>
      <c r="N1478" t="s">
        <v>45</v>
      </c>
      <c r="O1478" t="s">
        <v>46</v>
      </c>
      <c r="P1478" t="s">
        <v>47</v>
      </c>
      <c r="Q1478" s="1">
        <v>43852</v>
      </c>
      <c r="R1478" t="s">
        <v>48</v>
      </c>
    </row>
    <row r="1479" spans="1:38" x14ac:dyDescent="0.25">
      <c r="A1479" t="s">
        <v>231</v>
      </c>
      <c r="B1479">
        <v>2304001082</v>
      </c>
      <c r="C1479" t="s">
        <v>71</v>
      </c>
      <c r="D1479" s="1">
        <v>43191</v>
      </c>
      <c r="E1479" s="1">
        <v>43555</v>
      </c>
      <c r="F1479" t="s">
        <v>77</v>
      </c>
      <c r="G1479">
        <v>3</v>
      </c>
      <c r="H1479" t="s">
        <v>125</v>
      </c>
      <c r="I1479" t="s">
        <v>43</v>
      </c>
      <c r="J1479" t="s">
        <v>126</v>
      </c>
      <c r="K1479" t="s">
        <v>44</v>
      </c>
      <c r="L1479">
        <v>40625</v>
      </c>
      <c r="M1479" s="1">
        <v>43555</v>
      </c>
      <c r="N1479" t="s">
        <v>45</v>
      </c>
      <c r="O1479" t="s">
        <v>46</v>
      </c>
      <c r="P1479" t="s">
        <v>47</v>
      </c>
      <c r="Q1479" s="1">
        <v>43852</v>
      </c>
      <c r="R1479" t="s">
        <v>48</v>
      </c>
    </row>
    <row r="1480" spans="1:38" x14ac:dyDescent="0.25">
      <c r="A1480" t="s">
        <v>236</v>
      </c>
      <c r="B1480" t="s">
        <v>435</v>
      </c>
      <c r="C1480" t="s">
        <v>40</v>
      </c>
      <c r="D1480" s="1">
        <v>43556</v>
      </c>
      <c r="E1480" s="1">
        <v>43921</v>
      </c>
      <c r="F1480" t="s">
        <v>77</v>
      </c>
      <c r="G1480">
        <v>3</v>
      </c>
      <c r="H1480" t="s">
        <v>125</v>
      </c>
      <c r="I1480" t="s">
        <v>43</v>
      </c>
      <c r="J1480" t="s">
        <v>126</v>
      </c>
      <c r="K1480" t="s">
        <v>44</v>
      </c>
      <c r="L1480">
        <v>37500</v>
      </c>
      <c r="M1480" s="1">
        <v>43556</v>
      </c>
      <c r="N1480" t="s">
        <v>45</v>
      </c>
      <c r="O1480" t="s">
        <v>44</v>
      </c>
      <c r="P1480" t="s">
        <v>47</v>
      </c>
      <c r="Q1480" s="1">
        <v>43852</v>
      </c>
      <c r="R1480" t="s">
        <v>48</v>
      </c>
    </row>
    <row r="1481" spans="1:38" x14ac:dyDescent="0.25">
      <c r="A1481" t="s">
        <v>238</v>
      </c>
      <c r="B1481" s="2">
        <v>2.4142E+18</v>
      </c>
      <c r="C1481" t="s">
        <v>71</v>
      </c>
      <c r="D1481" s="1">
        <v>43101</v>
      </c>
      <c r="E1481" s="1">
        <v>43465</v>
      </c>
      <c r="F1481" t="s">
        <v>41</v>
      </c>
      <c r="G1481">
        <v>3</v>
      </c>
      <c r="H1481" t="s">
        <v>125</v>
      </c>
      <c r="I1481" t="s">
        <v>43</v>
      </c>
      <c r="J1481" t="s">
        <v>126</v>
      </c>
      <c r="K1481" t="s">
        <v>44</v>
      </c>
      <c r="L1481">
        <v>55361.599999999999</v>
      </c>
      <c r="M1481" s="1">
        <v>43101</v>
      </c>
      <c r="N1481" t="s">
        <v>45</v>
      </c>
      <c r="O1481" t="s">
        <v>46</v>
      </c>
      <c r="P1481" t="s">
        <v>47</v>
      </c>
      <c r="Q1481" s="1">
        <v>43852</v>
      </c>
      <c r="R1481" t="s">
        <v>48</v>
      </c>
      <c r="S1481" t="s">
        <v>41</v>
      </c>
      <c r="T1481" t="s">
        <v>130</v>
      </c>
      <c r="U1481" t="s">
        <v>125</v>
      </c>
      <c r="V1481">
        <v>0</v>
      </c>
      <c r="W1481">
        <v>100000</v>
      </c>
      <c r="X1481" s="1">
        <v>43769</v>
      </c>
      <c r="Y1481" t="s">
        <v>131</v>
      </c>
      <c r="Z1481" t="s">
        <v>43</v>
      </c>
      <c r="AA1481" t="s">
        <v>41</v>
      </c>
      <c r="AB1481" t="s">
        <v>132</v>
      </c>
      <c r="AC1481" t="s">
        <v>133</v>
      </c>
      <c r="AF1481" t="s">
        <v>134</v>
      </c>
      <c r="AG1481" s="1">
        <v>43843</v>
      </c>
      <c r="AH1481" t="s">
        <v>125</v>
      </c>
      <c r="AI1481" t="s">
        <v>92</v>
      </c>
      <c r="AJ1481">
        <v>1278023</v>
      </c>
      <c r="AK1481">
        <v>12365300</v>
      </c>
      <c r="AL1481">
        <v>12900</v>
      </c>
    </row>
    <row r="1482" spans="1:38" x14ac:dyDescent="0.25">
      <c r="A1482" t="s">
        <v>238</v>
      </c>
      <c r="B1482" s="2">
        <v>2.4142E+18</v>
      </c>
      <c r="C1482" t="s">
        <v>71</v>
      </c>
      <c r="D1482" s="1">
        <v>43101</v>
      </c>
      <c r="E1482" s="1">
        <v>43465</v>
      </c>
      <c r="F1482" t="s">
        <v>41</v>
      </c>
      <c r="G1482">
        <v>3</v>
      </c>
      <c r="H1482" t="s">
        <v>125</v>
      </c>
      <c r="I1482" t="s">
        <v>43</v>
      </c>
      <c r="J1482" t="s">
        <v>126</v>
      </c>
      <c r="K1482" t="s">
        <v>44</v>
      </c>
      <c r="L1482">
        <v>55361.599999999999</v>
      </c>
      <c r="M1482" s="1">
        <v>43101</v>
      </c>
      <c r="N1482" t="s">
        <v>45</v>
      </c>
      <c r="O1482" t="s">
        <v>46</v>
      </c>
      <c r="P1482" t="s">
        <v>47</v>
      </c>
      <c r="Q1482" s="1">
        <v>43852</v>
      </c>
      <c r="R1482" t="s">
        <v>48</v>
      </c>
      <c r="S1482" t="s">
        <v>41</v>
      </c>
      <c r="T1482" t="s">
        <v>130</v>
      </c>
      <c r="U1482" t="s">
        <v>125</v>
      </c>
      <c r="V1482">
        <v>0</v>
      </c>
      <c r="W1482">
        <v>100000</v>
      </c>
      <c r="X1482" s="1">
        <v>43769</v>
      </c>
      <c r="Y1482" t="s">
        <v>131</v>
      </c>
      <c r="Z1482" t="s">
        <v>43</v>
      </c>
      <c r="AA1482" t="s">
        <v>41</v>
      </c>
      <c r="AB1482" t="s">
        <v>132</v>
      </c>
      <c r="AC1482" t="s">
        <v>133</v>
      </c>
      <c r="AF1482" t="s">
        <v>135</v>
      </c>
      <c r="AG1482" s="1">
        <v>43843</v>
      </c>
      <c r="AH1482" t="s">
        <v>125</v>
      </c>
      <c r="AI1482" t="s">
        <v>92</v>
      </c>
      <c r="AJ1482">
        <v>1278023</v>
      </c>
      <c r="AK1482">
        <v>12365300</v>
      </c>
      <c r="AL1482">
        <v>12900</v>
      </c>
    </row>
    <row r="1483" spans="1:38" x14ac:dyDescent="0.25">
      <c r="A1483" t="s">
        <v>238</v>
      </c>
      <c r="B1483" s="2">
        <v>2.4142E+18</v>
      </c>
      <c r="C1483" t="s">
        <v>71</v>
      </c>
      <c r="D1483" s="1">
        <v>43101</v>
      </c>
      <c r="E1483" s="1">
        <v>43465</v>
      </c>
      <c r="F1483" t="s">
        <v>41</v>
      </c>
      <c r="G1483">
        <v>3</v>
      </c>
      <c r="H1483" t="s">
        <v>125</v>
      </c>
      <c r="I1483" t="s">
        <v>43</v>
      </c>
      <c r="J1483" t="s">
        <v>126</v>
      </c>
      <c r="K1483" t="s">
        <v>44</v>
      </c>
      <c r="L1483">
        <v>55361.599999999999</v>
      </c>
      <c r="M1483" s="1">
        <v>43101</v>
      </c>
      <c r="N1483" t="s">
        <v>45</v>
      </c>
      <c r="O1483" t="s">
        <v>46</v>
      </c>
      <c r="P1483" t="s">
        <v>47</v>
      </c>
      <c r="Q1483" s="1">
        <v>43852</v>
      </c>
      <c r="R1483" t="s">
        <v>48</v>
      </c>
      <c r="S1483" t="s">
        <v>41</v>
      </c>
      <c r="T1483" t="s">
        <v>130</v>
      </c>
      <c r="U1483" t="s">
        <v>125</v>
      </c>
      <c r="V1483">
        <v>0</v>
      </c>
      <c r="W1483">
        <v>100000</v>
      </c>
      <c r="X1483" s="1">
        <v>43769</v>
      </c>
      <c r="Y1483" t="s">
        <v>131</v>
      </c>
      <c r="Z1483" t="s">
        <v>43</v>
      </c>
      <c r="AA1483" t="s">
        <v>41</v>
      </c>
      <c r="AB1483" t="s">
        <v>132</v>
      </c>
      <c r="AC1483" t="s">
        <v>133</v>
      </c>
      <c r="AF1483" t="s">
        <v>136</v>
      </c>
      <c r="AG1483" s="1">
        <v>43839</v>
      </c>
      <c r="AH1483" t="s">
        <v>125</v>
      </c>
      <c r="AI1483" t="s">
        <v>92</v>
      </c>
      <c r="AJ1483">
        <v>1278023</v>
      </c>
      <c r="AK1483">
        <v>12365300</v>
      </c>
      <c r="AL1483">
        <v>12900</v>
      </c>
    </row>
    <row r="1484" spans="1:38" x14ac:dyDescent="0.25">
      <c r="A1484" t="s">
        <v>238</v>
      </c>
      <c r="B1484" s="2">
        <v>2.4142E+18</v>
      </c>
      <c r="C1484" t="s">
        <v>71</v>
      </c>
      <c r="D1484" s="1">
        <v>43101</v>
      </c>
      <c r="E1484" s="1">
        <v>43465</v>
      </c>
      <c r="F1484" t="s">
        <v>41</v>
      </c>
      <c r="G1484">
        <v>3</v>
      </c>
      <c r="H1484" t="s">
        <v>125</v>
      </c>
      <c r="I1484" t="s">
        <v>43</v>
      </c>
      <c r="J1484" t="s">
        <v>126</v>
      </c>
      <c r="K1484" t="s">
        <v>44</v>
      </c>
      <c r="L1484">
        <v>55361.599999999999</v>
      </c>
      <c r="M1484" s="1">
        <v>43101</v>
      </c>
      <c r="N1484" t="s">
        <v>45</v>
      </c>
      <c r="O1484" t="s">
        <v>46</v>
      </c>
      <c r="P1484" t="s">
        <v>47</v>
      </c>
      <c r="Q1484" s="1">
        <v>43852</v>
      </c>
      <c r="R1484" t="s">
        <v>48</v>
      </c>
      <c r="S1484" t="s">
        <v>41</v>
      </c>
      <c r="T1484" t="s">
        <v>130</v>
      </c>
      <c r="U1484" t="s">
        <v>125</v>
      </c>
      <c r="V1484">
        <v>0</v>
      </c>
      <c r="W1484">
        <v>100000</v>
      </c>
      <c r="X1484" s="1">
        <v>43769</v>
      </c>
      <c r="Y1484" t="s">
        <v>131</v>
      </c>
      <c r="Z1484" t="s">
        <v>43</v>
      </c>
      <c r="AA1484" t="s">
        <v>41</v>
      </c>
      <c r="AB1484" t="s">
        <v>132</v>
      </c>
      <c r="AC1484" t="s">
        <v>133</v>
      </c>
      <c r="AF1484" t="s">
        <v>137</v>
      </c>
      <c r="AG1484" s="1">
        <v>43840</v>
      </c>
      <c r="AH1484" t="s">
        <v>125</v>
      </c>
      <c r="AI1484" t="s">
        <v>92</v>
      </c>
      <c r="AJ1484">
        <v>1278023</v>
      </c>
      <c r="AK1484">
        <v>12365300</v>
      </c>
      <c r="AL1484">
        <v>12900</v>
      </c>
    </row>
    <row r="1485" spans="1:38" x14ac:dyDescent="0.25">
      <c r="A1485" t="s">
        <v>238</v>
      </c>
      <c r="B1485" s="2">
        <v>2.4142E+18</v>
      </c>
      <c r="C1485" t="s">
        <v>71</v>
      </c>
      <c r="D1485" s="1">
        <v>43101</v>
      </c>
      <c r="E1485" s="1">
        <v>43465</v>
      </c>
      <c r="F1485" t="s">
        <v>41</v>
      </c>
      <c r="G1485">
        <v>3</v>
      </c>
      <c r="H1485" t="s">
        <v>125</v>
      </c>
      <c r="I1485" t="s">
        <v>43</v>
      </c>
      <c r="J1485" t="s">
        <v>126</v>
      </c>
      <c r="K1485" t="s">
        <v>44</v>
      </c>
      <c r="L1485">
        <v>55361.599999999999</v>
      </c>
      <c r="M1485" s="1">
        <v>43101</v>
      </c>
      <c r="N1485" t="s">
        <v>45</v>
      </c>
      <c r="O1485" t="s">
        <v>46</v>
      </c>
      <c r="P1485" t="s">
        <v>47</v>
      </c>
      <c r="Q1485" s="1">
        <v>43852</v>
      </c>
      <c r="R1485" t="s">
        <v>48</v>
      </c>
      <c r="S1485" t="s">
        <v>138</v>
      </c>
      <c r="T1485" t="s">
        <v>139</v>
      </c>
      <c r="U1485" t="s">
        <v>125</v>
      </c>
      <c r="V1485">
        <v>0</v>
      </c>
      <c r="W1485">
        <v>10000</v>
      </c>
      <c r="X1485" s="1">
        <v>43738</v>
      </c>
      <c r="Y1485" t="s">
        <v>140</v>
      </c>
      <c r="Z1485" t="s">
        <v>43</v>
      </c>
      <c r="AA1485" t="s">
        <v>41</v>
      </c>
      <c r="AB1485" t="s">
        <v>132</v>
      </c>
      <c r="AC1485" t="s">
        <v>132</v>
      </c>
      <c r="AF1485" t="s">
        <v>134</v>
      </c>
      <c r="AG1485" s="1">
        <v>43843</v>
      </c>
      <c r="AH1485" t="s">
        <v>125</v>
      </c>
      <c r="AI1485" t="s">
        <v>92</v>
      </c>
      <c r="AJ1485">
        <v>1278023</v>
      </c>
      <c r="AK1485">
        <v>12365300</v>
      </c>
      <c r="AL1485">
        <v>12900</v>
      </c>
    </row>
    <row r="1486" spans="1:38" x14ac:dyDescent="0.25">
      <c r="A1486" t="s">
        <v>238</v>
      </c>
      <c r="B1486" s="2">
        <v>2.4142E+18</v>
      </c>
      <c r="C1486" t="s">
        <v>71</v>
      </c>
      <c r="D1486" s="1">
        <v>43101</v>
      </c>
      <c r="E1486" s="1">
        <v>43465</v>
      </c>
      <c r="F1486" t="s">
        <v>41</v>
      </c>
      <c r="G1486">
        <v>3</v>
      </c>
      <c r="H1486" t="s">
        <v>125</v>
      </c>
      <c r="I1486" t="s">
        <v>43</v>
      </c>
      <c r="J1486" t="s">
        <v>126</v>
      </c>
      <c r="K1486" t="s">
        <v>44</v>
      </c>
      <c r="L1486">
        <v>55361.599999999999</v>
      </c>
      <c r="M1486" s="1">
        <v>43101</v>
      </c>
      <c r="N1486" t="s">
        <v>45</v>
      </c>
      <c r="O1486" t="s">
        <v>46</v>
      </c>
      <c r="P1486" t="s">
        <v>47</v>
      </c>
      <c r="Q1486" s="1">
        <v>43852</v>
      </c>
      <c r="R1486" t="s">
        <v>48</v>
      </c>
      <c r="S1486" t="s">
        <v>138</v>
      </c>
      <c r="T1486" t="s">
        <v>139</v>
      </c>
      <c r="U1486" t="s">
        <v>125</v>
      </c>
      <c r="V1486">
        <v>0</v>
      </c>
      <c r="W1486">
        <v>10000</v>
      </c>
      <c r="X1486" s="1">
        <v>43738</v>
      </c>
      <c r="Y1486" t="s">
        <v>140</v>
      </c>
      <c r="Z1486" t="s">
        <v>43</v>
      </c>
      <c r="AA1486" t="s">
        <v>41</v>
      </c>
      <c r="AB1486" t="s">
        <v>132</v>
      </c>
      <c r="AC1486" t="s">
        <v>132</v>
      </c>
      <c r="AF1486" t="s">
        <v>135</v>
      </c>
      <c r="AG1486" s="1">
        <v>43843</v>
      </c>
      <c r="AH1486" t="s">
        <v>125</v>
      </c>
      <c r="AI1486" t="s">
        <v>92</v>
      </c>
      <c r="AJ1486">
        <v>1278023</v>
      </c>
      <c r="AK1486">
        <v>12365300</v>
      </c>
      <c r="AL1486">
        <v>12900</v>
      </c>
    </row>
    <row r="1487" spans="1:38" x14ac:dyDescent="0.25">
      <c r="A1487" t="s">
        <v>238</v>
      </c>
      <c r="B1487" s="2">
        <v>2.4142E+18</v>
      </c>
      <c r="C1487" t="s">
        <v>71</v>
      </c>
      <c r="D1487" s="1">
        <v>43101</v>
      </c>
      <c r="E1487" s="1">
        <v>43465</v>
      </c>
      <c r="F1487" t="s">
        <v>41</v>
      </c>
      <c r="G1487">
        <v>3</v>
      </c>
      <c r="H1487" t="s">
        <v>125</v>
      </c>
      <c r="I1487" t="s">
        <v>43</v>
      </c>
      <c r="J1487" t="s">
        <v>126</v>
      </c>
      <c r="K1487" t="s">
        <v>44</v>
      </c>
      <c r="L1487">
        <v>55361.599999999999</v>
      </c>
      <c r="M1487" s="1">
        <v>43101</v>
      </c>
      <c r="N1487" t="s">
        <v>45</v>
      </c>
      <c r="O1487" t="s">
        <v>46</v>
      </c>
      <c r="P1487" t="s">
        <v>47</v>
      </c>
      <c r="Q1487" s="1">
        <v>43852</v>
      </c>
      <c r="R1487" t="s">
        <v>48</v>
      </c>
      <c r="S1487" t="s">
        <v>138</v>
      </c>
      <c r="T1487" t="s">
        <v>139</v>
      </c>
      <c r="U1487" t="s">
        <v>125</v>
      </c>
      <c r="V1487">
        <v>0</v>
      </c>
      <c r="W1487">
        <v>10000</v>
      </c>
      <c r="X1487" s="1">
        <v>43738</v>
      </c>
      <c r="Y1487" t="s">
        <v>140</v>
      </c>
      <c r="Z1487" t="s">
        <v>43</v>
      </c>
      <c r="AA1487" t="s">
        <v>41</v>
      </c>
      <c r="AB1487" t="s">
        <v>132</v>
      </c>
      <c r="AC1487" t="s">
        <v>132</v>
      </c>
      <c r="AF1487" t="s">
        <v>136</v>
      </c>
      <c r="AG1487" s="1">
        <v>43839</v>
      </c>
      <c r="AH1487" t="s">
        <v>125</v>
      </c>
      <c r="AI1487" t="s">
        <v>92</v>
      </c>
      <c r="AJ1487">
        <v>1278023</v>
      </c>
      <c r="AK1487">
        <v>12365300</v>
      </c>
      <c r="AL1487">
        <v>12900</v>
      </c>
    </row>
    <row r="1488" spans="1:38" x14ac:dyDescent="0.25">
      <c r="A1488" t="s">
        <v>238</v>
      </c>
      <c r="B1488" s="2">
        <v>2.4142E+18</v>
      </c>
      <c r="C1488" t="s">
        <v>71</v>
      </c>
      <c r="D1488" s="1">
        <v>43101</v>
      </c>
      <c r="E1488" s="1">
        <v>43465</v>
      </c>
      <c r="F1488" t="s">
        <v>41</v>
      </c>
      <c r="G1488">
        <v>3</v>
      </c>
      <c r="H1488" t="s">
        <v>125</v>
      </c>
      <c r="I1488" t="s">
        <v>43</v>
      </c>
      <c r="J1488" t="s">
        <v>126</v>
      </c>
      <c r="K1488" t="s">
        <v>44</v>
      </c>
      <c r="L1488">
        <v>55361.599999999999</v>
      </c>
      <c r="M1488" s="1">
        <v>43101</v>
      </c>
      <c r="N1488" t="s">
        <v>45</v>
      </c>
      <c r="O1488" t="s">
        <v>46</v>
      </c>
      <c r="P1488" t="s">
        <v>47</v>
      </c>
      <c r="Q1488" s="1">
        <v>43852</v>
      </c>
      <c r="R1488" t="s">
        <v>48</v>
      </c>
      <c r="S1488" t="s">
        <v>138</v>
      </c>
      <c r="T1488" t="s">
        <v>139</v>
      </c>
      <c r="U1488" t="s">
        <v>125</v>
      </c>
      <c r="V1488">
        <v>0</v>
      </c>
      <c r="W1488">
        <v>10000</v>
      </c>
      <c r="X1488" s="1">
        <v>43738</v>
      </c>
      <c r="Y1488" t="s">
        <v>140</v>
      </c>
      <c r="Z1488" t="s">
        <v>43</v>
      </c>
      <c r="AA1488" t="s">
        <v>41</v>
      </c>
      <c r="AB1488" t="s">
        <v>132</v>
      </c>
      <c r="AC1488" t="s">
        <v>132</v>
      </c>
      <c r="AF1488" t="s">
        <v>137</v>
      </c>
      <c r="AG1488" s="1">
        <v>43840</v>
      </c>
      <c r="AH1488" t="s">
        <v>125</v>
      </c>
      <c r="AI1488" t="s">
        <v>92</v>
      </c>
      <c r="AJ1488">
        <v>1278023</v>
      </c>
      <c r="AK1488">
        <v>12365300</v>
      </c>
      <c r="AL1488">
        <v>12900</v>
      </c>
    </row>
    <row r="1489" spans="1:38" x14ac:dyDescent="0.25">
      <c r="A1489" t="s">
        <v>240</v>
      </c>
      <c r="B1489" s="2">
        <v>2.4142E+18</v>
      </c>
      <c r="C1489" t="s">
        <v>71</v>
      </c>
      <c r="D1489" s="1">
        <v>43466</v>
      </c>
      <c r="E1489" s="1">
        <v>43830</v>
      </c>
      <c r="F1489" t="s">
        <v>41</v>
      </c>
      <c r="G1489">
        <v>3</v>
      </c>
      <c r="H1489" t="s">
        <v>125</v>
      </c>
      <c r="I1489" t="s">
        <v>43</v>
      </c>
      <c r="J1489" t="s">
        <v>126</v>
      </c>
      <c r="K1489" t="s">
        <v>44</v>
      </c>
      <c r="L1489">
        <v>86723.5</v>
      </c>
      <c r="M1489" s="1">
        <v>43466</v>
      </c>
      <c r="N1489" t="s">
        <v>45</v>
      </c>
      <c r="O1489" t="s">
        <v>44</v>
      </c>
      <c r="P1489" t="s">
        <v>47</v>
      </c>
      <c r="Q1489" s="1">
        <v>43852</v>
      </c>
      <c r="R1489" t="s">
        <v>48</v>
      </c>
      <c r="S1489" t="s">
        <v>41</v>
      </c>
      <c r="T1489" t="s">
        <v>130</v>
      </c>
      <c r="U1489" t="s">
        <v>125</v>
      </c>
      <c r="V1489">
        <v>0</v>
      </c>
      <c r="W1489">
        <v>100000</v>
      </c>
      <c r="X1489" s="1">
        <v>43769</v>
      </c>
      <c r="Y1489" t="s">
        <v>131</v>
      </c>
      <c r="Z1489" t="s">
        <v>43</v>
      </c>
      <c r="AA1489" t="s">
        <v>41</v>
      </c>
      <c r="AB1489" t="s">
        <v>132</v>
      </c>
      <c r="AC1489" t="s">
        <v>133</v>
      </c>
      <c r="AF1489" t="s">
        <v>134</v>
      </c>
      <c r="AG1489" s="1">
        <v>43843</v>
      </c>
      <c r="AH1489" t="s">
        <v>125</v>
      </c>
      <c r="AI1489" t="s">
        <v>92</v>
      </c>
      <c r="AJ1489">
        <v>1278023</v>
      </c>
      <c r="AK1489">
        <v>12365300</v>
      </c>
      <c r="AL1489">
        <v>12900</v>
      </c>
    </row>
    <row r="1490" spans="1:38" x14ac:dyDescent="0.25">
      <c r="A1490" t="s">
        <v>240</v>
      </c>
      <c r="B1490" s="2">
        <v>2.4142E+18</v>
      </c>
      <c r="C1490" t="s">
        <v>71</v>
      </c>
      <c r="D1490" s="1">
        <v>43466</v>
      </c>
      <c r="E1490" s="1">
        <v>43830</v>
      </c>
      <c r="F1490" t="s">
        <v>41</v>
      </c>
      <c r="G1490">
        <v>3</v>
      </c>
      <c r="H1490" t="s">
        <v>125</v>
      </c>
      <c r="I1490" t="s">
        <v>43</v>
      </c>
      <c r="J1490" t="s">
        <v>126</v>
      </c>
      <c r="K1490" t="s">
        <v>44</v>
      </c>
      <c r="L1490">
        <v>86723.5</v>
      </c>
      <c r="M1490" s="1">
        <v>43466</v>
      </c>
      <c r="N1490" t="s">
        <v>45</v>
      </c>
      <c r="O1490" t="s">
        <v>44</v>
      </c>
      <c r="P1490" t="s">
        <v>47</v>
      </c>
      <c r="Q1490" s="1">
        <v>43852</v>
      </c>
      <c r="R1490" t="s">
        <v>48</v>
      </c>
      <c r="S1490" t="s">
        <v>41</v>
      </c>
      <c r="T1490" t="s">
        <v>130</v>
      </c>
      <c r="U1490" t="s">
        <v>125</v>
      </c>
      <c r="V1490">
        <v>0</v>
      </c>
      <c r="W1490">
        <v>100000</v>
      </c>
      <c r="X1490" s="1">
        <v>43769</v>
      </c>
      <c r="Y1490" t="s">
        <v>131</v>
      </c>
      <c r="Z1490" t="s">
        <v>43</v>
      </c>
      <c r="AA1490" t="s">
        <v>41</v>
      </c>
      <c r="AB1490" t="s">
        <v>132</v>
      </c>
      <c r="AC1490" t="s">
        <v>133</v>
      </c>
      <c r="AF1490" t="s">
        <v>135</v>
      </c>
      <c r="AG1490" s="1">
        <v>43843</v>
      </c>
      <c r="AH1490" t="s">
        <v>125</v>
      </c>
      <c r="AI1490" t="s">
        <v>92</v>
      </c>
      <c r="AJ1490">
        <v>1278023</v>
      </c>
      <c r="AK1490">
        <v>12365300</v>
      </c>
      <c r="AL1490">
        <v>12900</v>
      </c>
    </row>
    <row r="1491" spans="1:38" x14ac:dyDescent="0.25">
      <c r="A1491" t="s">
        <v>240</v>
      </c>
      <c r="B1491" s="2">
        <v>2.4142E+18</v>
      </c>
      <c r="C1491" t="s">
        <v>71</v>
      </c>
      <c r="D1491" s="1">
        <v>43466</v>
      </c>
      <c r="E1491" s="1">
        <v>43830</v>
      </c>
      <c r="F1491" t="s">
        <v>41</v>
      </c>
      <c r="G1491">
        <v>3</v>
      </c>
      <c r="H1491" t="s">
        <v>125</v>
      </c>
      <c r="I1491" t="s">
        <v>43</v>
      </c>
      <c r="J1491" t="s">
        <v>126</v>
      </c>
      <c r="K1491" t="s">
        <v>44</v>
      </c>
      <c r="L1491">
        <v>86723.5</v>
      </c>
      <c r="M1491" s="1">
        <v>43466</v>
      </c>
      <c r="N1491" t="s">
        <v>45</v>
      </c>
      <c r="O1491" t="s">
        <v>44</v>
      </c>
      <c r="P1491" t="s">
        <v>47</v>
      </c>
      <c r="Q1491" s="1">
        <v>43852</v>
      </c>
      <c r="R1491" t="s">
        <v>48</v>
      </c>
      <c r="S1491" t="s">
        <v>41</v>
      </c>
      <c r="T1491" t="s">
        <v>130</v>
      </c>
      <c r="U1491" t="s">
        <v>125</v>
      </c>
      <c r="V1491">
        <v>0</v>
      </c>
      <c r="W1491">
        <v>100000</v>
      </c>
      <c r="X1491" s="1">
        <v>43769</v>
      </c>
      <c r="Y1491" t="s">
        <v>131</v>
      </c>
      <c r="Z1491" t="s">
        <v>43</v>
      </c>
      <c r="AA1491" t="s">
        <v>41</v>
      </c>
      <c r="AB1491" t="s">
        <v>132</v>
      </c>
      <c r="AC1491" t="s">
        <v>133</v>
      </c>
      <c r="AF1491" t="s">
        <v>136</v>
      </c>
      <c r="AG1491" s="1">
        <v>43839</v>
      </c>
      <c r="AH1491" t="s">
        <v>125</v>
      </c>
      <c r="AI1491" t="s">
        <v>92</v>
      </c>
      <c r="AJ1491">
        <v>1278023</v>
      </c>
      <c r="AK1491">
        <v>12365300</v>
      </c>
      <c r="AL1491">
        <v>12900</v>
      </c>
    </row>
    <row r="1492" spans="1:38" x14ac:dyDescent="0.25">
      <c r="A1492" t="s">
        <v>240</v>
      </c>
      <c r="B1492" s="2">
        <v>2.4142E+18</v>
      </c>
      <c r="C1492" t="s">
        <v>71</v>
      </c>
      <c r="D1492" s="1">
        <v>43466</v>
      </c>
      <c r="E1492" s="1">
        <v>43830</v>
      </c>
      <c r="F1492" t="s">
        <v>41</v>
      </c>
      <c r="G1492">
        <v>3</v>
      </c>
      <c r="H1492" t="s">
        <v>125</v>
      </c>
      <c r="I1492" t="s">
        <v>43</v>
      </c>
      <c r="J1492" t="s">
        <v>126</v>
      </c>
      <c r="K1492" t="s">
        <v>44</v>
      </c>
      <c r="L1492">
        <v>86723.5</v>
      </c>
      <c r="M1492" s="1">
        <v>43466</v>
      </c>
      <c r="N1492" t="s">
        <v>45</v>
      </c>
      <c r="O1492" t="s">
        <v>44</v>
      </c>
      <c r="P1492" t="s">
        <v>47</v>
      </c>
      <c r="Q1492" s="1">
        <v>43852</v>
      </c>
      <c r="R1492" t="s">
        <v>48</v>
      </c>
      <c r="S1492" t="s">
        <v>41</v>
      </c>
      <c r="T1492" t="s">
        <v>130</v>
      </c>
      <c r="U1492" t="s">
        <v>125</v>
      </c>
      <c r="V1492">
        <v>0</v>
      </c>
      <c r="W1492">
        <v>100000</v>
      </c>
      <c r="X1492" s="1">
        <v>43769</v>
      </c>
      <c r="Y1492" t="s">
        <v>131</v>
      </c>
      <c r="Z1492" t="s">
        <v>43</v>
      </c>
      <c r="AA1492" t="s">
        <v>41</v>
      </c>
      <c r="AB1492" t="s">
        <v>132</v>
      </c>
      <c r="AC1492" t="s">
        <v>133</v>
      </c>
      <c r="AF1492" t="s">
        <v>137</v>
      </c>
      <c r="AG1492" s="1">
        <v>43840</v>
      </c>
      <c r="AH1492" t="s">
        <v>125</v>
      </c>
      <c r="AI1492" t="s">
        <v>92</v>
      </c>
      <c r="AJ1492">
        <v>1278023</v>
      </c>
      <c r="AK1492">
        <v>12365300</v>
      </c>
      <c r="AL1492">
        <v>12900</v>
      </c>
    </row>
    <row r="1493" spans="1:38" x14ac:dyDescent="0.25">
      <c r="A1493" t="s">
        <v>240</v>
      </c>
      <c r="B1493" s="2">
        <v>2.4142E+18</v>
      </c>
      <c r="C1493" t="s">
        <v>71</v>
      </c>
      <c r="D1493" s="1">
        <v>43466</v>
      </c>
      <c r="E1493" s="1">
        <v>43830</v>
      </c>
      <c r="F1493" t="s">
        <v>41</v>
      </c>
      <c r="G1493">
        <v>3</v>
      </c>
      <c r="H1493" t="s">
        <v>125</v>
      </c>
      <c r="I1493" t="s">
        <v>43</v>
      </c>
      <c r="J1493" t="s">
        <v>126</v>
      </c>
      <c r="K1493" t="s">
        <v>44</v>
      </c>
      <c r="L1493">
        <v>86723.5</v>
      </c>
      <c r="M1493" s="1">
        <v>43466</v>
      </c>
      <c r="N1493" t="s">
        <v>45</v>
      </c>
      <c r="O1493" t="s">
        <v>44</v>
      </c>
      <c r="P1493" t="s">
        <v>47</v>
      </c>
      <c r="Q1493" s="1">
        <v>43852</v>
      </c>
      <c r="R1493" t="s">
        <v>48</v>
      </c>
      <c r="S1493" t="s">
        <v>138</v>
      </c>
      <c r="T1493" t="s">
        <v>139</v>
      </c>
      <c r="U1493" t="s">
        <v>125</v>
      </c>
      <c r="V1493">
        <v>0</v>
      </c>
      <c r="W1493">
        <v>10000</v>
      </c>
      <c r="X1493" s="1">
        <v>43738</v>
      </c>
      <c r="Y1493" t="s">
        <v>140</v>
      </c>
      <c r="Z1493" t="s">
        <v>43</v>
      </c>
      <c r="AA1493" t="s">
        <v>41</v>
      </c>
      <c r="AB1493" t="s">
        <v>132</v>
      </c>
      <c r="AC1493" t="s">
        <v>132</v>
      </c>
      <c r="AF1493" t="s">
        <v>134</v>
      </c>
      <c r="AG1493" s="1">
        <v>43843</v>
      </c>
      <c r="AH1493" t="s">
        <v>125</v>
      </c>
      <c r="AI1493" t="s">
        <v>92</v>
      </c>
      <c r="AJ1493">
        <v>1278023</v>
      </c>
      <c r="AK1493">
        <v>12365300</v>
      </c>
      <c r="AL1493">
        <v>12900</v>
      </c>
    </row>
    <row r="1494" spans="1:38" x14ac:dyDescent="0.25">
      <c r="A1494" t="s">
        <v>240</v>
      </c>
      <c r="B1494" s="2">
        <v>2.4142E+18</v>
      </c>
      <c r="C1494" t="s">
        <v>71</v>
      </c>
      <c r="D1494" s="1">
        <v>43466</v>
      </c>
      <c r="E1494" s="1">
        <v>43830</v>
      </c>
      <c r="F1494" t="s">
        <v>41</v>
      </c>
      <c r="G1494">
        <v>3</v>
      </c>
      <c r="H1494" t="s">
        <v>125</v>
      </c>
      <c r="I1494" t="s">
        <v>43</v>
      </c>
      <c r="J1494" t="s">
        <v>126</v>
      </c>
      <c r="K1494" t="s">
        <v>44</v>
      </c>
      <c r="L1494">
        <v>86723.5</v>
      </c>
      <c r="M1494" s="1">
        <v>43466</v>
      </c>
      <c r="N1494" t="s">
        <v>45</v>
      </c>
      <c r="O1494" t="s">
        <v>44</v>
      </c>
      <c r="P1494" t="s">
        <v>47</v>
      </c>
      <c r="Q1494" s="1">
        <v>43852</v>
      </c>
      <c r="R1494" t="s">
        <v>48</v>
      </c>
      <c r="S1494" t="s">
        <v>138</v>
      </c>
      <c r="T1494" t="s">
        <v>139</v>
      </c>
      <c r="U1494" t="s">
        <v>125</v>
      </c>
      <c r="V1494">
        <v>0</v>
      </c>
      <c r="W1494">
        <v>10000</v>
      </c>
      <c r="X1494" s="1">
        <v>43738</v>
      </c>
      <c r="Y1494" t="s">
        <v>140</v>
      </c>
      <c r="Z1494" t="s">
        <v>43</v>
      </c>
      <c r="AA1494" t="s">
        <v>41</v>
      </c>
      <c r="AB1494" t="s">
        <v>132</v>
      </c>
      <c r="AC1494" t="s">
        <v>132</v>
      </c>
      <c r="AF1494" t="s">
        <v>135</v>
      </c>
      <c r="AG1494" s="1">
        <v>43843</v>
      </c>
      <c r="AH1494" t="s">
        <v>125</v>
      </c>
      <c r="AI1494" t="s">
        <v>92</v>
      </c>
      <c r="AJ1494">
        <v>1278023</v>
      </c>
      <c r="AK1494">
        <v>12365300</v>
      </c>
      <c r="AL1494">
        <v>12900</v>
      </c>
    </row>
    <row r="1495" spans="1:38" x14ac:dyDescent="0.25">
      <c r="A1495" t="s">
        <v>240</v>
      </c>
      <c r="B1495" s="2">
        <v>2.4142E+18</v>
      </c>
      <c r="C1495" t="s">
        <v>71</v>
      </c>
      <c r="D1495" s="1">
        <v>43466</v>
      </c>
      <c r="E1495" s="1">
        <v>43830</v>
      </c>
      <c r="F1495" t="s">
        <v>41</v>
      </c>
      <c r="G1495">
        <v>3</v>
      </c>
      <c r="H1495" t="s">
        <v>125</v>
      </c>
      <c r="I1495" t="s">
        <v>43</v>
      </c>
      <c r="J1495" t="s">
        <v>126</v>
      </c>
      <c r="K1495" t="s">
        <v>44</v>
      </c>
      <c r="L1495">
        <v>86723.5</v>
      </c>
      <c r="M1495" s="1">
        <v>43466</v>
      </c>
      <c r="N1495" t="s">
        <v>45</v>
      </c>
      <c r="O1495" t="s">
        <v>44</v>
      </c>
      <c r="P1495" t="s">
        <v>47</v>
      </c>
      <c r="Q1495" s="1">
        <v>43852</v>
      </c>
      <c r="R1495" t="s">
        <v>48</v>
      </c>
      <c r="S1495" t="s">
        <v>138</v>
      </c>
      <c r="T1495" t="s">
        <v>139</v>
      </c>
      <c r="U1495" t="s">
        <v>125</v>
      </c>
      <c r="V1495">
        <v>0</v>
      </c>
      <c r="W1495">
        <v>10000</v>
      </c>
      <c r="X1495" s="1">
        <v>43738</v>
      </c>
      <c r="Y1495" t="s">
        <v>140</v>
      </c>
      <c r="Z1495" t="s">
        <v>43</v>
      </c>
      <c r="AA1495" t="s">
        <v>41</v>
      </c>
      <c r="AB1495" t="s">
        <v>132</v>
      </c>
      <c r="AC1495" t="s">
        <v>132</v>
      </c>
      <c r="AF1495" t="s">
        <v>136</v>
      </c>
      <c r="AG1495" s="1">
        <v>43839</v>
      </c>
      <c r="AH1495" t="s">
        <v>125</v>
      </c>
      <c r="AI1495" t="s">
        <v>92</v>
      </c>
      <c r="AJ1495">
        <v>1278023</v>
      </c>
      <c r="AK1495">
        <v>12365300</v>
      </c>
      <c r="AL1495">
        <v>12900</v>
      </c>
    </row>
    <row r="1496" spans="1:38" x14ac:dyDescent="0.25">
      <c r="A1496" t="s">
        <v>240</v>
      </c>
      <c r="B1496" s="2">
        <v>2.4142E+18</v>
      </c>
      <c r="C1496" t="s">
        <v>71</v>
      </c>
      <c r="D1496" s="1">
        <v>43466</v>
      </c>
      <c r="E1496" s="1">
        <v>43830</v>
      </c>
      <c r="F1496" t="s">
        <v>41</v>
      </c>
      <c r="G1496">
        <v>3</v>
      </c>
      <c r="H1496" t="s">
        <v>125</v>
      </c>
      <c r="I1496" t="s">
        <v>43</v>
      </c>
      <c r="J1496" t="s">
        <v>126</v>
      </c>
      <c r="K1496" t="s">
        <v>44</v>
      </c>
      <c r="L1496">
        <v>86723.5</v>
      </c>
      <c r="M1496" s="1">
        <v>43466</v>
      </c>
      <c r="N1496" t="s">
        <v>45</v>
      </c>
      <c r="O1496" t="s">
        <v>44</v>
      </c>
      <c r="P1496" t="s">
        <v>47</v>
      </c>
      <c r="Q1496" s="1">
        <v>43852</v>
      </c>
      <c r="R1496" t="s">
        <v>48</v>
      </c>
      <c r="S1496" t="s">
        <v>138</v>
      </c>
      <c r="T1496" t="s">
        <v>139</v>
      </c>
      <c r="U1496" t="s">
        <v>125</v>
      </c>
      <c r="V1496">
        <v>0</v>
      </c>
      <c r="W1496">
        <v>10000</v>
      </c>
      <c r="X1496" s="1">
        <v>43738</v>
      </c>
      <c r="Y1496" t="s">
        <v>140</v>
      </c>
      <c r="Z1496" t="s">
        <v>43</v>
      </c>
      <c r="AA1496" t="s">
        <v>41</v>
      </c>
      <c r="AB1496" t="s">
        <v>132</v>
      </c>
      <c r="AC1496" t="s">
        <v>132</v>
      </c>
      <c r="AF1496" t="s">
        <v>137</v>
      </c>
      <c r="AG1496" s="1">
        <v>43840</v>
      </c>
      <c r="AH1496" t="s">
        <v>125</v>
      </c>
      <c r="AI1496" t="s">
        <v>92</v>
      </c>
      <c r="AJ1496">
        <v>1278023</v>
      </c>
      <c r="AK1496">
        <v>12365300</v>
      </c>
      <c r="AL1496">
        <v>12900</v>
      </c>
    </row>
    <row r="1497" spans="1:38" x14ac:dyDescent="0.25">
      <c r="A1497" t="s">
        <v>242</v>
      </c>
      <c r="B1497" s="2">
        <v>2.4142E+18</v>
      </c>
      <c r="C1497" t="s">
        <v>40</v>
      </c>
      <c r="D1497" s="1">
        <v>43831</v>
      </c>
      <c r="E1497" s="1">
        <v>43921</v>
      </c>
      <c r="F1497" t="s">
        <v>41</v>
      </c>
      <c r="G1497">
        <v>3</v>
      </c>
      <c r="H1497" t="s">
        <v>125</v>
      </c>
      <c r="I1497" t="s">
        <v>43</v>
      </c>
      <c r="J1497" t="s">
        <v>126</v>
      </c>
      <c r="K1497" t="s">
        <v>44</v>
      </c>
      <c r="L1497">
        <v>21680.799999999999</v>
      </c>
      <c r="M1497" s="1">
        <v>43831</v>
      </c>
      <c r="N1497" t="s">
        <v>45</v>
      </c>
      <c r="O1497" t="s">
        <v>44</v>
      </c>
      <c r="P1497" t="s">
        <v>47</v>
      </c>
      <c r="Q1497" s="1">
        <v>43852</v>
      </c>
      <c r="R1497" t="s">
        <v>48</v>
      </c>
      <c r="S1497" t="s">
        <v>41</v>
      </c>
      <c r="T1497" t="s">
        <v>130</v>
      </c>
      <c r="U1497" t="s">
        <v>125</v>
      </c>
      <c r="V1497">
        <v>0</v>
      </c>
      <c r="W1497">
        <v>100000</v>
      </c>
      <c r="X1497" s="1">
        <v>43769</v>
      </c>
      <c r="Y1497" t="s">
        <v>131</v>
      </c>
      <c r="Z1497" t="s">
        <v>43</v>
      </c>
      <c r="AA1497" t="s">
        <v>41</v>
      </c>
      <c r="AB1497" t="s">
        <v>132</v>
      </c>
      <c r="AC1497" t="s">
        <v>133</v>
      </c>
      <c r="AF1497" t="s">
        <v>134</v>
      </c>
      <c r="AG1497" s="1">
        <v>43843</v>
      </c>
      <c r="AH1497" t="s">
        <v>125</v>
      </c>
      <c r="AI1497" t="s">
        <v>92</v>
      </c>
      <c r="AJ1497">
        <v>1278023</v>
      </c>
      <c r="AK1497">
        <v>12365300</v>
      </c>
      <c r="AL1497">
        <v>12900</v>
      </c>
    </row>
    <row r="1498" spans="1:38" x14ac:dyDescent="0.25">
      <c r="A1498" t="s">
        <v>242</v>
      </c>
      <c r="B1498" s="2">
        <v>2.4142E+18</v>
      </c>
      <c r="C1498" t="s">
        <v>40</v>
      </c>
      <c r="D1498" s="1">
        <v>43831</v>
      </c>
      <c r="E1498" s="1">
        <v>43921</v>
      </c>
      <c r="F1498" t="s">
        <v>41</v>
      </c>
      <c r="G1498">
        <v>3</v>
      </c>
      <c r="H1498" t="s">
        <v>125</v>
      </c>
      <c r="I1498" t="s">
        <v>43</v>
      </c>
      <c r="J1498" t="s">
        <v>126</v>
      </c>
      <c r="K1498" t="s">
        <v>44</v>
      </c>
      <c r="L1498">
        <v>21680.799999999999</v>
      </c>
      <c r="M1498" s="1">
        <v>43831</v>
      </c>
      <c r="N1498" t="s">
        <v>45</v>
      </c>
      <c r="O1498" t="s">
        <v>44</v>
      </c>
      <c r="P1498" t="s">
        <v>47</v>
      </c>
      <c r="Q1498" s="1">
        <v>43852</v>
      </c>
      <c r="R1498" t="s">
        <v>48</v>
      </c>
      <c r="S1498" t="s">
        <v>41</v>
      </c>
      <c r="T1498" t="s">
        <v>130</v>
      </c>
      <c r="U1498" t="s">
        <v>125</v>
      </c>
      <c r="V1498">
        <v>0</v>
      </c>
      <c r="W1498">
        <v>100000</v>
      </c>
      <c r="X1498" s="1">
        <v>43769</v>
      </c>
      <c r="Y1498" t="s">
        <v>131</v>
      </c>
      <c r="Z1498" t="s">
        <v>43</v>
      </c>
      <c r="AA1498" t="s">
        <v>41</v>
      </c>
      <c r="AB1498" t="s">
        <v>132</v>
      </c>
      <c r="AC1498" t="s">
        <v>133</v>
      </c>
      <c r="AF1498" t="s">
        <v>135</v>
      </c>
      <c r="AG1498" s="1">
        <v>43843</v>
      </c>
      <c r="AH1498" t="s">
        <v>125</v>
      </c>
      <c r="AI1498" t="s">
        <v>92</v>
      </c>
      <c r="AJ1498">
        <v>1278023</v>
      </c>
      <c r="AK1498">
        <v>12365300</v>
      </c>
      <c r="AL1498">
        <v>12900</v>
      </c>
    </row>
    <row r="1499" spans="1:38" x14ac:dyDescent="0.25">
      <c r="A1499" t="s">
        <v>242</v>
      </c>
      <c r="B1499" s="2">
        <v>2.4142E+18</v>
      </c>
      <c r="C1499" t="s">
        <v>40</v>
      </c>
      <c r="D1499" s="1">
        <v>43831</v>
      </c>
      <c r="E1499" s="1">
        <v>43921</v>
      </c>
      <c r="F1499" t="s">
        <v>41</v>
      </c>
      <c r="G1499">
        <v>3</v>
      </c>
      <c r="H1499" t="s">
        <v>125</v>
      </c>
      <c r="I1499" t="s">
        <v>43</v>
      </c>
      <c r="J1499" t="s">
        <v>126</v>
      </c>
      <c r="K1499" t="s">
        <v>44</v>
      </c>
      <c r="L1499">
        <v>21680.799999999999</v>
      </c>
      <c r="M1499" s="1">
        <v>43831</v>
      </c>
      <c r="N1499" t="s">
        <v>45</v>
      </c>
      <c r="O1499" t="s">
        <v>44</v>
      </c>
      <c r="P1499" t="s">
        <v>47</v>
      </c>
      <c r="Q1499" s="1">
        <v>43852</v>
      </c>
      <c r="R1499" t="s">
        <v>48</v>
      </c>
      <c r="S1499" t="s">
        <v>41</v>
      </c>
      <c r="T1499" t="s">
        <v>130</v>
      </c>
      <c r="U1499" t="s">
        <v>125</v>
      </c>
      <c r="V1499">
        <v>0</v>
      </c>
      <c r="W1499">
        <v>100000</v>
      </c>
      <c r="X1499" s="1">
        <v>43769</v>
      </c>
      <c r="Y1499" t="s">
        <v>131</v>
      </c>
      <c r="Z1499" t="s">
        <v>43</v>
      </c>
      <c r="AA1499" t="s">
        <v>41</v>
      </c>
      <c r="AB1499" t="s">
        <v>132</v>
      </c>
      <c r="AC1499" t="s">
        <v>133</v>
      </c>
      <c r="AF1499" t="s">
        <v>136</v>
      </c>
      <c r="AG1499" s="1">
        <v>43839</v>
      </c>
      <c r="AH1499" t="s">
        <v>125</v>
      </c>
      <c r="AI1499" t="s">
        <v>92</v>
      </c>
      <c r="AJ1499">
        <v>1278023</v>
      </c>
      <c r="AK1499">
        <v>12365300</v>
      </c>
      <c r="AL1499">
        <v>12900</v>
      </c>
    </row>
    <row r="1500" spans="1:38" x14ac:dyDescent="0.25">
      <c r="A1500" t="s">
        <v>242</v>
      </c>
      <c r="B1500" s="2">
        <v>2.4142E+18</v>
      </c>
      <c r="C1500" t="s">
        <v>40</v>
      </c>
      <c r="D1500" s="1">
        <v>43831</v>
      </c>
      <c r="E1500" s="1">
        <v>43921</v>
      </c>
      <c r="F1500" t="s">
        <v>41</v>
      </c>
      <c r="G1500">
        <v>3</v>
      </c>
      <c r="H1500" t="s">
        <v>125</v>
      </c>
      <c r="I1500" t="s">
        <v>43</v>
      </c>
      <c r="J1500" t="s">
        <v>126</v>
      </c>
      <c r="K1500" t="s">
        <v>44</v>
      </c>
      <c r="L1500">
        <v>21680.799999999999</v>
      </c>
      <c r="M1500" s="1">
        <v>43831</v>
      </c>
      <c r="N1500" t="s">
        <v>45</v>
      </c>
      <c r="O1500" t="s">
        <v>44</v>
      </c>
      <c r="P1500" t="s">
        <v>47</v>
      </c>
      <c r="Q1500" s="1">
        <v>43852</v>
      </c>
      <c r="R1500" t="s">
        <v>48</v>
      </c>
      <c r="S1500" t="s">
        <v>41</v>
      </c>
      <c r="T1500" t="s">
        <v>130</v>
      </c>
      <c r="U1500" t="s">
        <v>125</v>
      </c>
      <c r="V1500">
        <v>0</v>
      </c>
      <c r="W1500">
        <v>100000</v>
      </c>
      <c r="X1500" s="1">
        <v>43769</v>
      </c>
      <c r="Y1500" t="s">
        <v>131</v>
      </c>
      <c r="Z1500" t="s">
        <v>43</v>
      </c>
      <c r="AA1500" t="s">
        <v>41</v>
      </c>
      <c r="AB1500" t="s">
        <v>132</v>
      </c>
      <c r="AC1500" t="s">
        <v>133</v>
      </c>
      <c r="AF1500" t="s">
        <v>137</v>
      </c>
      <c r="AG1500" s="1">
        <v>43840</v>
      </c>
      <c r="AH1500" t="s">
        <v>125</v>
      </c>
      <c r="AI1500" t="s">
        <v>92</v>
      </c>
      <c r="AJ1500">
        <v>1278023</v>
      </c>
      <c r="AK1500">
        <v>12365300</v>
      </c>
      <c r="AL1500">
        <v>12900</v>
      </c>
    </row>
    <row r="1501" spans="1:38" x14ac:dyDescent="0.25">
      <c r="A1501" t="s">
        <v>242</v>
      </c>
      <c r="B1501" s="2">
        <v>2.4142E+18</v>
      </c>
      <c r="C1501" t="s">
        <v>40</v>
      </c>
      <c r="D1501" s="1">
        <v>43831</v>
      </c>
      <c r="E1501" s="1">
        <v>43921</v>
      </c>
      <c r="F1501" t="s">
        <v>41</v>
      </c>
      <c r="G1501">
        <v>3</v>
      </c>
      <c r="H1501" t="s">
        <v>125</v>
      </c>
      <c r="I1501" t="s">
        <v>43</v>
      </c>
      <c r="J1501" t="s">
        <v>126</v>
      </c>
      <c r="K1501" t="s">
        <v>44</v>
      </c>
      <c r="L1501">
        <v>21680.799999999999</v>
      </c>
      <c r="M1501" s="1">
        <v>43831</v>
      </c>
      <c r="N1501" t="s">
        <v>45</v>
      </c>
      <c r="O1501" t="s">
        <v>44</v>
      </c>
      <c r="P1501" t="s">
        <v>47</v>
      </c>
      <c r="Q1501" s="1">
        <v>43852</v>
      </c>
      <c r="R1501" t="s">
        <v>48</v>
      </c>
      <c r="S1501" t="s">
        <v>138</v>
      </c>
      <c r="T1501" t="s">
        <v>139</v>
      </c>
      <c r="U1501" t="s">
        <v>125</v>
      </c>
      <c r="V1501">
        <v>0</v>
      </c>
      <c r="W1501">
        <v>10000</v>
      </c>
      <c r="X1501" s="1">
        <v>43738</v>
      </c>
      <c r="Y1501" t="s">
        <v>140</v>
      </c>
      <c r="Z1501" t="s">
        <v>43</v>
      </c>
      <c r="AA1501" t="s">
        <v>41</v>
      </c>
      <c r="AB1501" t="s">
        <v>132</v>
      </c>
      <c r="AC1501" t="s">
        <v>132</v>
      </c>
      <c r="AF1501" t="s">
        <v>134</v>
      </c>
      <c r="AG1501" s="1">
        <v>43843</v>
      </c>
      <c r="AH1501" t="s">
        <v>125</v>
      </c>
      <c r="AI1501" t="s">
        <v>92</v>
      </c>
      <c r="AJ1501">
        <v>1278023</v>
      </c>
      <c r="AK1501">
        <v>12365300</v>
      </c>
      <c r="AL1501">
        <v>12900</v>
      </c>
    </row>
    <row r="1502" spans="1:38" x14ac:dyDescent="0.25">
      <c r="A1502" t="s">
        <v>242</v>
      </c>
      <c r="B1502" s="2">
        <v>2.4142E+18</v>
      </c>
      <c r="C1502" t="s">
        <v>40</v>
      </c>
      <c r="D1502" s="1">
        <v>43831</v>
      </c>
      <c r="E1502" s="1">
        <v>43921</v>
      </c>
      <c r="F1502" t="s">
        <v>41</v>
      </c>
      <c r="G1502">
        <v>3</v>
      </c>
      <c r="H1502" t="s">
        <v>125</v>
      </c>
      <c r="I1502" t="s">
        <v>43</v>
      </c>
      <c r="J1502" t="s">
        <v>126</v>
      </c>
      <c r="K1502" t="s">
        <v>44</v>
      </c>
      <c r="L1502">
        <v>21680.799999999999</v>
      </c>
      <c r="M1502" s="1">
        <v>43831</v>
      </c>
      <c r="N1502" t="s">
        <v>45</v>
      </c>
      <c r="O1502" t="s">
        <v>44</v>
      </c>
      <c r="P1502" t="s">
        <v>47</v>
      </c>
      <c r="Q1502" s="1">
        <v>43852</v>
      </c>
      <c r="R1502" t="s">
        <v>48</v>
      </c>
      <c r="S1502" t="s">
        <v>138</v>
      </c>
      <c r="T1502" t="s">
        <v>139</v>
      </c>
      <c r="U1502" t="s">
        <v>125</v>
      </c>
      <c r="V1502">
        <v>0</v>
      </c>
      <c r="W1502">
        <v>10000</v>
      </c>
      <c r="X1502" s="1">
        <v>43738</v>
      </c>
      <c r="Y1502" t="s">
        <v>140</v>
      </c>
      <c r="Z1502" t="s">
        <v>43</v>
      </c>
      <c r="AA1502" t="s">
        <v>41</v>
      </c>
      <c r="AB1502" t="s">
        <v>132</v>
      </c>
      <c r="AC1502" t="s">
        <v>132</v>
      </c>
      <c r="AF1502" t="s">
        <v>135</v>
      </c>
      <c r="AG1502" s="1">
        <v>43843</v>
      </c>
      <c r="AH1502" t="s">
        <v>125</v>
      </c>
      <c r="AI1502" t="s">
        <v>92</v>
      </c>
      <c r="AJ1502">
        <v>1278023</v>
      </c>
      <c r="AK1502">
        <v>12365300</v>
      </c>
      <c r="AL1502">
        <v>12900</v>
      </c>
    </row>
    <row r="1503" spans="1:38" x14ac:dyDescent="0.25">
      <c r="A1503" t="s">
        <v>242</v>
      </c>
      <c r="B1503" s="2">
        <v>2.4142E+18</v>
      </c>
      <c r="C1503" t="s">
        <v>40</v>
      </c>
      <c r="D1503" s="1">
        <v>43831</v>
      </c>
      <c r="E1503" s="1">
        <v>43921</v>
      </c>
      <c r="F1503" t="s">
        <v>41</v>
      </c>
      <c r="G1503">
        <v>3</v>
      </c>
      <c r="H1503" t="s">
        <v>125</v>
      </c>
      <c r="I1503" t="s">
        <v>43</v>
      </c>
      <c r="J1503" t="s">
        <v>126</v>
      </c>
      <c r="K1503" t="s">
        <v>44</v>
      </c>
      <c r="L1503">
        <v>21680.799999999999</v>
      </c>
      <c r="M1503" s="1">
        <v>43831</v>
      </c>
      <c r="N1503" t="s">
        <v>45</v>
      </c>
      <c r="O1503" t="s">
        <v>44</v>
      </c>
      <c r="P1503" t="s">
        <v>47</v>
      </c>
      <c r="Q1503" s="1">
        <v>43852</v>
      </c>
      <c r="R1503" t="s">
        <v>48</v>
      </c>
      <c r="S1503" t="s">
        <v>138</v>
      </c>
      <c r="T1503" t="s">
        <v>139</v>
      </c>
      <c r="U1503" t="s">
        <v>125</v>
      </c>
      <c r="V1503">
        <v>0</v>
      </c>
      <c r="W1503">
        <v>10000</v>
      </c>
      <c r="X1503" s="1">
        <v>43738</v>
      </c>
      <c r="Y1503" t="s">
        <v>140</v>
      </c>
      <c r="Z1503" t="s">
        <v>43</v>
      </c>
      <c r="AA1503" t="s">
        <v>41</v>
      </c>
      <c r="AB1503" t="s">
        <v>132</v>
      </c>
      <c r="AC1503" t="s">
        <v>132</v>
      </c>
      <c r="AF1503" t="s">
        <v>136</v>
      </c>
      <c r="AG1503" s="1">
        <v>43839</v>
      </c>
      <c r="AH1503" t="s">
        <v>125</v>
      </c>
      <c r="AI1503" t="s">
        <v>92</v>
      </c>
      <c r="AJ1503">
        <v>1278023</v>
      </c>
      <c r="AK1503">
        <v>12365300</v>
      </c>
      <c r="AL1503">
        <v>12900</v>
      </c>
    </row>
    <row r="1504" spans="1:38" x14ac:dyDescent="0.25">
      <c r="A1504" t="s">
        <v>242</v>
      </c>
      <c r="B1504" s="2">
        <v>2.4142E+18</v>
      </c>
      <c r="C1504" t="s">
        <v>40</v>
      </c>
      <c r="D1504" s="1">
        <v>43831</v>
      </c>
      <c r="E1504" s="1">
        <v>43921</v>
      </c>
      <c r="F1504" t="s">
        <v>41</v>
      </c>
      <c r="G1504">
        <v>3</v>
      </c>
      <c r="H1504" t="s">
        <v>125</v>
      </c>
      <c r="I1504" t="s">
        <v>43</v>
      </c>
      <c r="J1504" t="s">
        <v>126</v>
      </c>
      <c r="K1504" t="s">
        <v>44</v>
      </c>
      <c r="L1504">
        <v>21680.799999999999</v>
      </c>
      <c r="M1504" s="1">
        <v>43831</v>
      </c>
      <c r="N1504" t="s">
        <v>45</v>
      </c>
      <c r="O1504" t="s">
        <v>44</v>
      </c>
      <c r="P1504" t="s">
        <v>47</v>
      </c>
      <c r="Q1504" s="1">
        <v>43852</v>
      </c>
      <c r="R1504" t="s">
        <v>48</v>
      </c>
      <c r="S1504" t="s">
        <v>138</v>
      </c>
      <c r="T1504" t="s">
        <v>139</v>
      </c>
      <c r="U1504" t="s">
        <v>125</v>
      </c>
      <c r="V1504">
        <v>0</v>
      </c>
      <c r="W1504">
        <v>10000</v>
      </c>
      <c r="X1504" s="1">
        <v>43738</v>
      </c>
      <c r="Y1504" t="s">
        <v>140</v>
      </c>
      <c r="Z1504" t="s">
        <v>43</v>
      </c>
      <c r="AA1504" t="s">
        <v>41</v>
      </c>
      <c r="AB1504" t="s">
        <v>132</v>
      </c>
      <c r="AC1504" t="s">
        <v>132</v>
      </c>
      <c r="AF1504" t="s">
        <v>137</v>
      </c>
      <c r="AG1504" s="1">
        <v>43840</v>
      </c>
      <c r="AH1504" t="s">
        <v>125</v>
      </c>
      <c r="AI1504" t="s">
        <v>92</v>
      </c>
      <c r="AJ1504">
        <v>1278023</v>
      </c>
      <c r="AK1504">
        <v>12365300</v>
      </c>
      <c r="AL1504">
        <v>12900</v>
      </c>
    </row>
    <row r="1505" spans="1:18" x14ac:dyDescent="0.25">
      <c r="A1505" t="s">
        <v>244</v>
      </c>
      <c r="B1505" t="s">
        <v>436</v>
      </c>
      <c r="C1505" t="s">
        <v>40</v>
      </c>
      <c r="D1505" s="1">
        <v>43301</v>
      </c>
      <c r="E1505" s="1">
        <v>43392</v>
      </c>
      <c r="F1505" t="s">
        <v>306</v>
      </c>
      <c r="G1505">
        <v>3</v>
      </c>
      <c r="H1505" t="s">
        <v>125</v>
      </c>
      <c r="I1505" t="s">
        <v>43</v>
      </c>
      <c r="J1505" t="s">
        <v>126</v>
      </c>
      <c r="K1505" t="s">
        <v>127</v>
      </c>
      <c r="L1505">
        <v>17419.13</v>
      </c>
      <c r="M1505" s="1">
        <v>43301</v>
      </c>
      <c r="N1505" t="s">
        <v>45</v>
      </c>
      <c r="O1505" t="s">
        <v>46</v>
      </c>
      <c r="P1505" t="s">
        <v>47</v>
      </c>
      <c r="Q1505" s="1">
        <v>43852</v>
      </c>
      <c r="R1505" t="s">
        <v>48</v>
      </c>
    </row>
    <row r="1506" spans="1:18" x14ac:dyDescent="0.25">
      <c r="A1506" t="s">
        <v>246</v>
      </c>
      <c r="B1506" t="s">
        <v>437</v>
      </c>
      <c r="C1506" t="s">
        <v>40</v>
      </c>
      <c r="D1506" s="1">
        <v>43348</v>
      </c>
      <c r="E1506" s="1">
        <v>43438</v>
      </c>
      <c r="F1506" t="s">
        <v>306</v>
      </c>
      <c r="G1506">
        <v>3</v>
      </c>
      <c r="H1506" t="s">
        <v>125</v>
      </c>
      <c r="I1506" t="s">
        <v>43</v>
      </c>
      <c r="J1506" t="s">
        <v>126</v>
      </c>
      <c r="K1506" t="s">
        <v>127</v>
      </c>
      <c r="L1506">
        <v>5165.63</v>
      </c>
      <c r="M1506" s="1">
        <v>43348</v>
      </c>
      <c r="N1506" t="s">
        <v>45</v>
      </c>
      <c r="O1506" t="s">
        <v>46</v>
      </c>
      <c r="P1506" t="s">
        <v>47</v>
      </c>
      <c r="Q1506" s="1">
        <v>43852</v>
      </c>
      <c r="R1506" t="s">
        <v>48</v>
      </c>
    </row>
    <row r="1507" spans="1:18" x14ac:dyDescent="0.25">
      <c r="A1507" t="s">
        <v>248</v>
      </c>
      <c r="B1507" t="s">
        <v>438</v>
      </c>
      <c r="C1507" t="s">
        <v>40</v>
      </c>
      <c r="D1507" s="1">
        <v>43608</v>
      </c>
      <c r="E1507" s="1">
        <v>43921</v>
      </c>
      <c r="F1507" t="s">
        <v>306</v>
      </c>
      <c r="G1507">
        <v>3</v>
      </c>
      <c r="H1507" t="s">
        <v>125</v>
      </c>
      <c r="I1507" t="s">
        <v>43</v>
      </c>
      <c r="J1507" t="s">
        <v>126</v>
      </c>
      <c r="K1507" t="s">
        <v>127</v>
      </c>
      <c r="L1507">
        <v>9990.15</v>
      </c>
      <c r="M1507" s="1">
        <v>43608</v>
      </c>
      <c r="N1507" t="s">
        <v>45</v>
      </c>
      <c r="O1507" t="s">
        <v>46</v>
      </c>
      <c r="P1507" t="s">
        <v>47</v>
      </c>
      <c r="Q1507" s="1">
        <v>43852</v>
      </c>
      <c r="R1507" t="s">
        <v>48</v>
      </c>
    </row>
    <row r="1508" spans="1:18" x14ac:dyDescent="0.25">
      <c r="A1508" t="s">
        <v>250</v>
      </c>
      <c r="B1508">
        <v>2640011190</v>
      </c>
      <c r="C1508" t="s">
        <v>40</v>
      </c>
      <c r="D1508" s="1">
        <v>43262</v>
      </c>
      <c r="E1508" s="1">
        <v>43353</v>
      </c>
      <c r="F1508" t="s">
        <v>306</v>
      </c>
      <c r="G1508">
        <v>3</v>
      </c>
      <c r="H1508" t="s">
        <v>125</v>
      </c>
      <c r="I1508" t="s">
        <v>43</v>
      </c>
      <c r="J1508" t="s">
        <v>126</v>
      </c>
      <c r="K1508" t="s">
        <v>127</v>
      </c>
      <c r="L1508">
        <v>10625</v>
      </c>
      <c r="M1508" s="1">
        <v>43262</v>
      </c>
      <c r="N1508" t="s">
        <v>45</v>
      </c>
      <c r="O1508" t="s">
        <v>46</v>
      </c>
      <c r="P1508" t="s">
        <v>47</v>
      </c>
      <c r="Q1508" s="1">
        <v>43852</v>
      </c>
      <c r="R1508" t="s">
        <v>48</v>
      </c>
    </row>
    <row r="1509" spans="1:18" x14ac:dyDescent="0.25">
      <c r="A1509" t="s">
        <v>252</v>
      </c>
      <c r="B1509" s="2">
        <v>3.1142E+18</v>
      </c>
      <c r="C1509" t="s">
        <v>71</v>
      </c>
      <c r="D1509" s="1">
        <v>42917</v>
      </c>
      <c r="E1509" s="1">
        <v>43281</v>
      </c>
      <c r="F1509" t="s">
        <v>76</v>
      </c>
      <c r="G1509">
        <v>3</v>
      </c>
      <c r="H1509" t="s">
        <v>125</v>
      </c>
      <c r="I1509" t="s">
        <v>43</v>
      </c>
      <c r="J1509" t="s">
        <v>126</v>
      </c>
      <c r="K1509" t="s">
        <v>44</v>
      </c>
      <c r="L1509">
        <v>14399.88</v>
      </c>
      <c r="M1509" s="1">
        <v>42917</v>
      </c>
      <c r="N1509" t="s">
        <v>45</v>
      </c>
      <c r="O1509" t="s">
        <v>46</v>
      </c>
      <c r="P1509" t="s">
        <v>47</v>
      </c>
      <c r="Q1509" s="1">
        <v>43852</v>
      </c>
      <c r="R1509" t="s">
        <v>48</v>
      </c>
    </row>
    <row r="1510" spans="1:18" x14ac:dyDescent="0.25">
      <c r="A1510" t="s">
        <v>254</v>
      </c>
      <c r="B1510" s="2">
        <v>3.1142E+18</v>
      </c>
      <c r="C1510" t="s">
        <v>40</v>
      </c>
      <c r="D1510" s="1">
        <v>43647</v>
      </c>
      <c r="E1510" s="1">
        <v>44012</v>
      </c>
      <c r="F1510" t="s">
        <v>76</v>
      </c>
      <c r="G1510">
        <v>3</v>
      </c>
      <c r="H1510" t="s">
        <v>125</v>
      </c>
      <c r="I1510" t="s">
        <v>43</v>
      </c>
      <c r="J1510" t="s">
        <v>126</v>
      </c>
      <c r="K1510" t="s">
        <v>44</v>
      </c>
      <c r="L1510">
        <v>20165.5</v>
      </c>
      <c r="M1510" s="1">
        <v>43647</v>
      </c>
      <c r="N1510" t="s">
        <v>45</v>
      </c>
      <c r="O1510" t="s">
        <v>44</v>
      </c>
      <c r="P1510" t="s">
        <v>47</v>
      </c>
      <c r="Q1510" s="1">
        <v>43852</v>
      </c>
      <c r="R1510" t="s">
        <v>48</v>
      </c>
    </row>
    <row r="1511" spans="1:18" x14ac:dyDescent="0.25">
      <c r="A1511" t="s">
        <v>256</v>
      </c>
      <c r="B1511">
        <v>32119154</v>
      </c>
      <c r="C1511" t="s">
        <v>40</v>
      </c>
      <c r="D1511" s="1">
        <v>43556</v>
      </c>
      <c r="E1511" s="1">
        <v>43616</v>
      </c>
      <c r="F1511" t="s">
        <v>306</v>
      </c>
      <c r="G1511">
        <v>3</v>
      </c>
      <c r="H1511" t="s">
        <v>125</v>
      </c>
      <c r="I1511" t="s">
        <v>43</v>
      </c>
      <c r="J1511" t="s">
        <v>126</v>
      </c>
      <c r="K1511" t="s">
        <v>127</v>
      </c>
      <c r="L1511">
        <v>11593.27</v>
      </c>
      <c r="M1511" s="1">
        <v>43556</v>
      </c>
      <c r="N1511" t="s">
        <v>45</v>
      </c>
      <c r="O1511" t="s">
        <v>46</v>
      </c>
      <c r="P1511" t="s">
        <v>47</v>
      </c>
      <c r="Q1511" s="1">
        <v>43852</v>
      </c>
      <c r="R1511" t="s">
        <v>48</v>
      </c>
    </row>
    <row r="1512" spans="1:18" x14ac:dyDescent="0.25">
      <c r="A1512" t="s">
        <v>258</v>
      </c>
      <c r="B1512" t="s">
        <v>439</v>
      </c>
      <c r="C1512" t="s">
        <v>71</v>
      </c>
      <c r="D1512" s="1">
        <v>43221</v>
      </c>
      <c r="E1512" s="1">
        <v>43585</v>
      </c>
      <c r="F1512" t="s">
        <v>76</v>
      </c>
      <c r="G1512">
        <v>3</v>
      </c>
      <c r="H1512" t="s">
        <v>125</v>
      </c>
      <c r="I1512" t="s">
        <v>43</v>
      </c>
      <c r="J1512" t="s">
        <v>126</v>
      </c>
      <c r="K1512" t="s">
        <v>44</v>
      </c>
      <c r="L1512">
        <v>1185.9000000000001</v>
      </c>
      <c r="M1512" s="1">
        <v>43221</v>
      </c>
      <c r="N1512" t="s">
        <v>45</v>
      </c>
      <c r="O1512" t="s">
        <v>46</v>
      </c>
      <c r="P1512" t="s">
        <v>47</v>
      </c>
      <c r="Q1512" s="1">
        <v>43852</v>
      </c>
      <c r="R1512" t="s">
        <v>48</v>
      </c>
    </row>
    <row r="1513" spans="1:18" x14ac:dyDescent="0.25">
      <c r="A1513" t="s">
        <v>260</v>
      </c>
      <c r="B1513" t="s">
        <v>440</v>
      </c>
      <c r="C1513" t="s">
        <v>40</v>
      </c>
      <c r="D1513" s="1">
        <v>43586</v>
      </c>
      <c r="E1513" s="1">
        <v>43951</v>
      </c>
      <c r="F1513" t="s">
        <v>76</v>
      </c>
      <c r="G1513">
        <v>3</v>
      </c>
      <c r="H1513" t="s">
        <v>125</v>
      </c>
      <c r="I1513" t="s">
        <v>43</v>
      </c>
      <c r="J1513" t="s">
        <v>126</v>
      </c>
      <c r="K1513" t="s">
        <v>44</v>
      </c>
      <c r="L1513">
        <v>1005</v>
      </c>
      <c r="M1513" s="1">
        <v>43586</v>
      </c>
      <c r="N1513" t="s">
        <v>45</v>
      </c>
      <c r="O1513" t="s">
        <v>44</v>
      </c>
      <c r="P1513" t="s">
        <v>47</v>
      </c>
      <c r="Q1513" s="1">
        <v>43852</v>
      </c>
      <c r="R1513" t="s">
        <v>48</v>
      </c>
    </row>
    <row r="1514" spans="1:18" x14ac:dyDescent="0.25">
      <c r="A1514" t="s">
        <v>262</v>
      </c>
      <c r="B1514" t="s">
        <v>441</v>
      </c>
      <c r="C1514" t="s">
        <v>71</v>
      </c>
      <c r="D1514" s="1">
        <v>43006</v>
      </c>
      <c r="E1514" s="1">
        <v>43370</v>
      </c>
      <c r="F1514" t="s">
        <v>76</v>
      </c>
      <c r="G1514">
        <v>3</v>
      </c>
      <c r="H1514" t="s">
        <v>125</v>
      </c>
      <c r="I1514" t="s">
        <v>43</v>
      </c>
      <c r="J1514" t="s">
        <v>126</v>
      </c>
      <c r="K1514" t="s">
        <v>44</v>
      </c>
      <c r="L1514">
        <v>1050.3800000000001</v>
      </c>
      <c r="M1514" s="1">
        <v>43006</v>
      </c>
      <c r="N1514" t="s">
        <v>45</v>
      </c>
      <c r="O1514" t="s">
        <v>46</v>
      </c>
      <c r="P1514" t="s">
        <v>47</v>
      </c>
      <c r="Q1514" s="1">
        <v>43852</v>
      </c>
      <c r="R1514" t="s">
        <v>48</v>
      </c>
    </row>
    <row r="1515" spans="1:18" x14ac:dyDescent="0.25">
      <c r="A1515" t="s">
        <v>264</v>
      </c>
      <c r="B1515" t="s">
        <v>442</v>
      </c>
      <c r="C1515" t="s">
        <v>40</v>
      </c>
      <c r="D1515" s="1">
        <v>43371</v>
      </c>
      <c r="E1515" s="1">
        <v>43735</v>
      </c>
      <c r="F1515" t="s">
        <v>76</v>
      </c>
      <c r="G1515">
        <v>3</v>
      </c>
      <c r="H1515" t="s">
        <v>125</v>
      </c>
      <c r="I1515" t="s">
        <v>43</v>
      </c>
      <c r="J1515" t="s">
        <v>126</v>
      </c>
      <c r="K1515" t="s">
        <v>44</v>
      </c>
      <c r="L1515">
        <v>6250</v>
      </c>
      <c r="M1515" s="1">
        <v>43371</v>
      </c>
      <c r="N1515" t="s">
        <v>45</v>
      </c>
      <c r="O1515" t="s">
        <v>106</v>
      </c>
      <c r="P1515" t="s">
        <v>47</v>
      </c>
      <c r="Q1515" s="1">
        <v>43852</v>
      </c>
      <c r="R1515" t="s">
        <v>48</v>
      </c>
    </row>
    <row r="1516" spans="1:18" x14ac:dyDescent="0.25">
      <c r="A1516" t="s">
        <v>265</v>
      </c>
      <c r="B1516" t="s">
        <v>442</v>
      </c>
      <c r="C1516" t="s">
        <v>40</v>
      </c>
      <c r="D1516" s="1">
        <v>43371</v>
      </c>
      <c r="E1516" s="1">
        <v>43735</v>
      </c>
      <c r="F1516" t="s">
        <v>76</v>
      </c>
      <c r="G1516">
        <v>3</v>
      </c>
      <c r="H1516" t="s">
        <v>125</v>
      </c>
      <c r="I1516" t="s">
        <v>43</v>
      </c>
      <c r="J1516" t="s">
        <v>126</v>
      </c>
      <c r="K1516" t="s">
        <v>44</v>
      </c>
      <c r="L1516">
        <v>13134.29</v>
      </c>
      <c r="M1516" s="1">
        <v>43402</v>
      </c>
      <c r="N1516" t="s">
        <v>108</v>
      </c>
      <c r="O1516" t="s">
        <v>106</v>
      </c>
      <c r="P1516" t="s">
        <v>47</v>
      </c>
      <c r="Q1516" s="1">
        <v>43852</v>
      </c>
      <c r="R1516" t="s">
        <v>48</v>
      </c>
    </row>
    <row r="1517" spans="1:18" x14ac:dyDescent="0.25">
      <c r="A1517" t="s">
        <v>273</v>
      </c>
      <c r="B1517" t="s">
        <v>443</v>
      </c>
      <c r="C1517" t="s">
        <v>71</v>
      </c>
      <c r="D1517" s="1">
        <v>43371</v>
      </c>
      <c r="E1517" s="1">
        <v>43735</v>
      </c>
      <c r="F1517" t="s">
        <v>76</v>
      </c>
      <c r="G1517">
        <v>3</v>
      </c>
      <c r="H1517" t="s">
        <v>125</v>
      </c>
      <c r="I1517" t="s">
        <v>43</v>
      </c>
      <c r="J1517" t="s">
        <v>126</v>
      </c>
      <c r="K1517" t="s">
        <v>44</v>
      </c>
      <c r="L1517">
        <v>6250</v>
      </c>
      <c r="M1517" s="1">
        <v>43371</v>
      </c>
      <c r="N1517" t="s">
        <v>45</v>
      </c>
      <c r="O1517" t="s">
        <v>44</v>
      </c>
      <c r="P1517" t="s">
        <v>47</v>
      </c>
      <c r="Q1517" s="1">
        <v>43852</v>
      </c>
      <c r="R1517" t="s">
        <v>48</v>
      </c>
    </row>
    <row r="1518" spans="1:18" x14ac:dyDescent="0.25">
      <c r="A1518" t="s">
        <v>274</v>
      </c>
      <c r="B1518" t="s">
        <v>444</v>
      </c>
      <c r="C1518" t="s">
        <v>40</v>
      </c>
      <c r="D1518" s="1">
        <v>43736</v>
      </c>
      <c r="E1518" s="1">
        <v>44101</v>
      </c>
      <c r="F1518" t="s">
        <v>76</v>
      </c>
      <c r="G1518">
        <v>3</v>
      </c>
      <c r="H1518" t="s">
        <v>125</v>
      </c>
      <c r="I1518" t="s">
        <v>43</v>
      </c>
      <c r="J1518" t="s">
        <v>126</v>
      </c>
      <c r="K1518" t="s">
        <v>44</v>
      </c>
      <c r="L1518">
        <v>18814.25</v>
      </c>
      <c r="M1518" s="1">
        <v>43736</v>
      </c>
      <c r="N1518" t="s">
        <v>45</v>
      </c>
      <c r="O1518" t="s">
        <v>44</v>
      </c>
      <c r="P1518" t="s">
        <v>47</v>
      </c>
      <c r="Q1518" s="1">
        <v>43852</v>
      </c>
      <c r="R1518" t="s">
        <v>48</v>
      </c>
    </row>
    <row r="1519" spans="1:18" x14ac:dyDescent="0.25">
      <c r="A1519" t="s">
        <v>275</v>
      </c>
      <c r="B1519" t="s">
        <v>445</v>
      </c>
      <c r="C1519" t="s">
        <v>71</v>
      </c>
      <c r="D1519" s="1">
        <v>43199</v>
      </c>
      <c r="E1519" s="1">
        <v>43548</v>
      </c>
      <c r="F1519" t="s">
        <v>77</v>
      </c>
      <c r="G1519">
        <v>3</v>
      </c>
      <c r="H1519" t="s">
        <v>125</v>
      </c>
      <c r="I1519" t="s">
        <v>43</v>
      </c>
      <c r="J1519" t="s">
        <v>126</v>
      </c>
      <c r="K1519" t="s">
        <v>44</v>
      </c>
      <c r="L1519">
        <v>200659.63</v>
      </c>
      <c r="M1519" s="1">
        <v>43555</v>
      </c>
      <c r="N1519" t="s">
        <v>45</v>
      </c>
      <c r="O1519" t="s">
        <v>46</v>
      </c>
      <c r="P1519" t="s">
        <v>47</v>
      </c>
      <c r="Q1519" s="1">
        <v>43852</v>
      </c>
      <c r="R1519" t="s">
        <v>48</v>
      </c>
    </row>
    <row r="1520" spans="1:18" x14ac:dyDescent="0.25">
      <c r="A1520" t="s">
        <v>277</v>
      </c>
      <c r="B1520" t="s">
        <v>446</v>
      </c>
      <c r="C1520" t="s">
        <v>40</v>
      </c>
      <c r="D1520" s="1">
        <v>43556</v>
      </c>
      <c r="E1520" s="1">
        <v>43921</v>
      </c>
      <c r="F1520" t="s">
        <v>77</v>
      </c>
      <c r="G1520">
        <v>3</v>
      </c>
      <c r="H1520" t="s">
        <v>125</v>
      </c>
      <c r="I1520" t="s">
        <v>43</v>
      </c>
      <c r="J1520" t="s">
        <v>126</v>
      </c>
      <c r="K1520" t="s">
        <v>44</v>
      </c>
      <c r="L1520">
        <v>215165</v>
      </c>
      <c r="M1520" s="1">
        <v>43556</v>
      </c>
      <c r="N1520" t="s">
        <v>45</v>
      </c>
      <c r="O1520" t="s">
        <v>44</v>
      </c>
      <c r="P1520" t="s">
        <v>47</v>
      </c>
      <c r="Q1520" s="1">
        <v>43852</v>
      </c>
      <c r="R1520" t="s">
        <v>48</v>
      </c>
    </row>
    <row r="1521" spans="1:38" x14ac:dyDescent="0.25">
      <c r="A1521" t="s">
        <v>278</v>
      </c>
      <c r="B1521">
        <v>44180169</v>
      </c>
      <c r="C1521" t="s">
        <v>40</v>
      </c>
      <c r="D1521" s="1">
        <v>43119</v>
      </c>
      <c r="E1521" s="1">
        <v>43483</v>
      </c>
      <c r="F1521" t="s">
        <v>76</v>
      </c>
      <c r="G1521">
        <v>3</v>
      </c>
      <c r="H1521" t="s">
        <v>125</v>
      </c>
      <c r="I1521" t="s">
        <v>43</v>
      </c>
      <c r="J1521" t="s">
        <v>126</v>
      </c>
      <c r="K1521" t="s">
        <v>127</v>
      </c>
      <c r="L1521">
        <v>97.35</v>
      </c>
      <c r="M1521" s="1">
        <v>43138</v>
      </c>
      <c r="N1521" t="s">
        <v>45</v>
      </c>
      <c r="O1521" t="s">
        <v>46</v>
      </c>
      <c r="P1521" t="s">
        <v>47</v>
      </c>
      <c r="Q1521" s="1">
        <v>43852</v>
      </c>
      <c r="R1521" t="s">
        <v>48</v>
      </c>
    </row>
    <row r="1522" spans="1:38" x14ac:dyDescent="0.25">
      <c r="A1522" t="s">
        <v>279</v>
      </c>
      <c r="B1522" t="s">
        <v>447</v>
      </c>
      <c r="C1522" t="s">
        <v>40</v>
      </c>
      <c r="D1522" s="1">
        <v>43585</v>
      </c>
      <c r="E1522" s="1">
        <v>43646</v>
      </c>
      <c r="F1522" t="s">
        <v>306</v>
      </c>
      <c r="G1522">
        <v>3</v>
      </c>
      <c r="H1522" t="s">
        <v>125</v>
      </c>
      <c r="I1522" t="s">
        <v>43</v>
      </c>
      <c r="J1522" t="s">
        <v>126</v>
      </c>
      <c r="K1522" t="s">
        <v>127</v>
      </c>
      <c r="L1522">
        <v>3854.23</v>
      </c>
      <c r="M1522" s="1">
        <v>43585</v>
      </c>
      <c r="N1522" t="s">
        <v>45</v>
      </c>
      <c r="O1522" t="s">
        <v>46</v>
      </c>
      <c r="P1522" t="s">
        <v>47</v>
      </c>
      <c r="Q1522" s="1">
        <v>43852</v>
      </c>
      <c r="R1522" t="s">
        <v>48</v>
      </c>
    </row>
    <row r="1523" spans="1:38" x14ac:dyDescent="0.25">
      <c r="A1523" t="s">
        <v>280</v>
      </c>
      <c r="B1523" t="s">
        <v>448</v>
      </c>
      <c r="C1523" t="s">
        <v>40</v>
      </c>
      <c r="D1523" s="1">
        <v>43513</v>
      </c>
      <c r="E1523" s="1">
        <v>43518</v>
      </c>
      <c r="F1523" t="s">
        <v>41</v>
      </c>
      <c r="G1523">
        <v>3</v>
      </c>
      <c r="H1523" t="s">
        <v>125</v>
      </c>
      <c r="I1523" t="s">
        <v>43</v>
      </c>
      <c r="J1523" t="s">
        <v>126</v>
      </c>
      <c r="K1523" t="s">
        <v>44</v>
      </c>
      <c r="L1523">
        <v>6739.76</v>
      </c>
      <c r="M1523" s="1">
        <v>43513</v>
      </c>
      <c r="N1523" t="s">
        <v>45</v>
      </c>
      <c r="O1523" t="s">
        <v>46</v>
      </c>
      <c r="P1523" t="s">
        <v>47</v>
      </c>
      <c r="Q1523" s="1">
        <v>43852</v>
      </c>
      <c r="R1523" t="s">
        <v>48</v>
      </c>
      <c r="S1523" t="s">
        <v>41</v>
      </c>
      <c r="T1523" t="s">
        <v>130</v>
      </c>
      <c r="U1523" t="s">
        <v>125</v>
      </c>
      <c r="V1523">
        <v>0</v>
      </c>
      <c r="W1523">
        <v>100000</v>
      </c>
      <c r="X1523" s="1">
        <v>43769</v>
      </c>
      <c r="Y1523" t="s">
        <v>131</v>
      </c>
      <c r="Z1523" t="s">
        <v>43</v>
      </c>
      <c r="AA1523" t="s">
        <v>41</v>
      </c>
      <c r="AB1523" t="s">
        <v>132</v>
      </c>
      <c r="AC1523" t="s">
        <v>133</v>
      </c>
      <c r="AF1523" t="s">
        <v>134</v>
      </c>
      <c r="AG1523" s="1">
        <v>43843</v>
      </c>
      <c r="AH1523" t="s">
        <v>125</v>
      </c>
      <c r="AI1523" t="s">
        <v>92</v>
      </c>
      <c r="AJ1523">
        <v>1278023</v>
      </c>
      <c r="AK1523">
        <v>12365300</v>
      </c>
      <c r="AL1523">
        <v>12900</v>
      </c>
    </row>
    <row r="1524" spans="1:38" x14ac:dyDescent="0.25">
      <c r="A1524" t="s">
        <v>280</v>
      </c>
      <c r="B1524" t="s">
        <v>448</v>
      </c>
      <c r="C1524" t="s">
        <v>40</v>
      </c>
      <c r="D1524" s="1">
        <v>43513</v>
      </c>
      <c r="E1524" s="1">
        <v>43518</v>
      </c>
      <c r="F1524" t="s">
        <v>41</v>
      </c>
      <c r="G1524">
        <v>3</v>
      </c>
      <c r="H1524" t="s">
        <v>125</v>
      </c>
      <c r="I1524" t="s">
        <v>43</v>
      </c>
      <c r="J1524" t="s">
        <v>126</v>
      </c>
      <c r="K1524" t="s">
        <v>44</v>
      </c>
      <c r="L1524">
        <v>6739.76</v>
      </c>
      <c r="M1524" s="1">
        <v>43513</v>
      </c>
      <c r="N1524" t="s">
        <v>45</v>
      </c>
      <c r="O1524" t="s">
        <v>46</v>
      </c>
      <c r="P1524" t="s">
        <v>47</v>
      </c>
      <c r="Q1524" s="1">
        <v>43852</v>
      </c>
      <c r="R1524" t="s">
        <v>48</v>
      </c>
      <c r="S1524" t="s">
        <v>41</v>
      </c>
      <c r="T1524" t="s">
        <v>130</v>
      </c>
      <c r="U1524" t="s">
        <v>125</v>
      </c>
      <c r="V1524">
        <v>0</v>
      </c>
      <c r="W1524">
        <v>100000</v>
      </c>
      <c r="X1524" s="1">
        <v>43769</v>
      </c>
      <c r="Y1524" t="s">
        <v>131</v>
      </c>
      <c r="Z1524" t="s">
        <v>43</v>
      </c>
      <c r="AA1524" t="s">
        <v>41</v>
      </c>
      <c r="AB1524" t="s">
        <v>132</v>
      </c>
      <c r="AC1524" t="s">
        <v>133</v>
      </c>
      <c r="AF1524" t="s">
        <v>135</v>
      </c>
      <c r="AG1524" s="1">
        <v>43843</v>
      </c>
      <c r="AH1524" t="s">
        <v>125</v>
      </c>
      <c r="AI1524" t="s">
        <v>92</v>
      </c>
      <c r="AJ1524">
        <v>1278023</v>
      </c>
      <c r="AK1524">
        <v>12365300</v>
      </c>
      <c r="AL1524">
        <v>12900</v>
      </c>
    </row>
    <row r="1525" spans="1:38" x14ac:dyDescent="0.25">
      <c r="A1525" t="s">
        <v>280</v>
      </c>
      <c r="B1525" t="s">
        <v>448</v>
      </c>
      <c r="C1525" t="s">
        <v>40</v>
      </c>
      <c r="D1525" s="1">
        <v>43513</v>
      </c>
      <c r="E1525" s="1">
        <v>43518</v>
      </c>
      <c r="F1525" t="s">
        <v>41</v>
      </c>
      <c r="G1525">
        <v>3</v>
      </c>
      <c r="H1525" t="s">
        <v>125</v>
      </c>
      <c r="I1525" t="s">
        <v>43</v>
      </c>
      <c r="J1525" t="s">
        <v>126</v>
      </c>
      <c r="K1525" t="s">
        <v>44</v>
      </c>
      <c r="L1525">
        <v>6739.76</v>
      </c>
      <c r="M1525" s="1">
        <v>43513</v>
      </c>
      <c r="N1525" t="s">
        <v>45</v>
      </c>
      <c r="O1525" t="s">
        <v>46</v>
      </c>
      <c r="P1525" t="s">
        <v>47</v>
      </c>
      <c r="Q1525" s="1">
        <v>43852</v>
      </c>
      <c r="R1525" t="s">
        <v>48</v>
      </c>
      <c r="S1525" t="s">
        <v>41</v>
      </c>
      <c r="T1525" t="s">
        <v>130</v>
      </c>
      <c r="U1525" t="s">
        <v>125</v>
      </c>
      <c r="V1525">
        <v>0</v>
      </c>
      <c r="W1525">
        <v>100000</v>
      </c>
      <c r="X1525" s="1">
        <v>43769</v>
      </c>
      <c r="Y1525" t="s">
        <v>131</v>
      </c>
      <c r="Z1525" t="s">
        <v>43</v>
      </c>
      <c r="AA1525" t="s">
        <v>41</v>
      </c>
      <c r="AB1525" t="s">
        <v>132</v>
      </c>
      <c r="AC1525" t="s">
        <v>133</v>
      </c>
      <c r="AF1525" t="s">
        <v>136</v>
      </c>
      <c r="AG1525" s="1">
        <v>43839</v>
      </c>
      <c r="AH1525" t="s">
        <v>125</v>
      </c>
      <c r="AI1525" t="s">
        <v>92</v>
      </c>
      <c r="AJ1525">
        <v>1278023</v>
      </c>
      <c r="AK1525">
        <v>12365300</v>
      </c>
      <c r="AL1525">
        <v>12900</v>
      </c>
    </row>
    <row r="1526" spans="1:38" x14ac:dyDescent="0.25">
      <c r="A1526" t="s">
        <v>280</v>
      </c>
      <c r="B1526" t="s">
        <v>448</v>
      </c>
      <c r="C1526" t="s">
        <v>40</v>
      </c>
      <c r="D1526" s="1">
        <v>43513</v>
      </c>
      <c r="E1526" s="1">
        <v>43518</v>
      </c>
      <c r="F1526" t="s">
        <v>41</v>
      </c>
      <c r="G1526">
        <v>3</v>
      </c>
      <c r="H1526" t="s">
        <v>125</v>
      </c>
      <c r="I1526" t="s">
        <v>43</v>
      </c>
      <c r="J1526" t="s">
        <v>126</v>
      </c>
      <c r="K1526" t="s">
        <v>44</v>
      </c>
      <c r="L1526">
        <v>6739.76</v>
      </c>
      <c r="M1526" s="1">
        <v>43513</v>
      </c>
      <c r="N1526" t="s">
        <v>45</v>
      </c>
      <c r="O1526" t="s">
        <v>46</v>
      </c>
      <c r="P1526" t="s">
        <v>47</v>
      </c>
      <c r="Q1526" s="1">
        <v>43852</v>
      </c>
      <c r="R1526" t="s">
        <v>48</v>
      </c>
      <c r="S1526" t="s">
        <v>41</v>
      </c>
      <c r="T1526" t="s">
        <v>130</v>
      </c>
      <c r="U1526" t="s">
        <v>125</v>
      </c>
      <c r="V1526">
        <v>0</v>
      </c>
      <c r="W1526">
        <v>100000</v>
      </c>
      <c r="X1526" s="1">
        <v>43769</v>
      </c>
      <c r="Y1526" t="s">
        <v>131</v>
      </c>
      <c r="Z1526" t="s">
        <v>43</v>
      </c>
      <c r="AA1526" t="s">
        <v>41</v>
      </c>
      <c r="AB1526" t="s">
        <v>132</v>
      </c>
      <c r="AC1526" t="s">
        <v>133</v>
      </c>
      <c r="AF1526" t="s">
        <v>137</v>
      </c>
      <c r="AG1526" s="1">
        <v>43840</v>
      </c>
      <c r="AH1526" t="s">
        <v>125</v>
      </c>
      <c r="AI1526" t="s">
        <v>92</v>
      </c>
      <c r="AJ1526">
        <v>1278023</v>
      </c>
      <c r="AK1526">
        <v>12365300</v>
      </c>
      <c r="AL1526">
        <v>12900</v>
      </c>
    </row>
    <row r="1527" spans="1:38" x14ac:dyDescent="0.25">
      <c r="A1527" t="s">
        <v>280</v>
      </c>
      <c r="B1527" t="s">
        <v>448</v>
      </c>
      <c r="C1527" t="s">
        <v>40</v>
      </c>
      <c r="D1527" s="1">
        <v>43513</v>
      </c>
      <c r="E1527" s="1">
        <v>43518</v>
      </c>
      <c r="F1527" t="s">
        <v>41</v>
      </c>
      <c r="G1527">
        <v>3</v>
      </c>
      <c r="H1527" t="s">
        <v>125</v>
      </c>
      <c r="I1527" t="s">
        <v>43</v>
      </c>
      <c r="J1527" t="s">
        <v>126</v>
      </c>
      <c r="K1527" t="s">
        <v>44</v>
      </c>
      <c r="L1527">
        <v>6739.76</v>
      </c>
      <c r="M1527" s="1">
        <v>43513</v>
      </c>
      <c r="N1527" t="s">
        <v>45</v>
      </c>
      <c r="O1527" t="s">
        <v>46</v>
      </c>
      <c r="P1527" t="s">
        <v>47</v>
      </c>
      <c r="Q1527" s="1">
        <v>43852</v>
      </c>
      <c r="R1527" t="s">
        <v>48</v>
      </c>
      <c r="S1527" t="s">
        <v>138</v>
      </c>
      <c r="T1527" t="s">
        <v>139</v>
      </c>
      <c r="U1527" t="s">
        <v>125</v>
      </c>
      <c r="V1527">
        <v>0</v>
      </c>
      <c r="W1527">
        <v>10000</v>
      </c>
      <c r="X1527" s="1">
        <v>43738</v>
      </c>
      <c r="Y1527" t="s">
        <v>140</v>
      </c>
      <c r="Z1527" t="s">
        <v>43</v>
      </c>
      <c r="AA1527" t="s">
        <v>41</v>
      </c>
      <c r="AB1527" t="s">
        <v>132</v>
      </c>
      <c r="AC1527" t="s">
        <v>132</v>
      </c>
      <c r="AF1527" t="s">
        <v>134</v>
      </c>
      <c r="AG1527" s="1">
        <v>43843</v>
      </c>
      <c r="AH1527" t="s">
        <v>125</v>
      </c>
      <c r="AI1527" t="s">
        <v>92</v>
      </c>
      <c r="AJ1527">
        <v>1278023</v>
      </c>
      <c r="AK1527">
        <v>12365300</v>
      </c>
      <c r="AL1527">
        <v>12900</v>
      </c>
    </row>
    <row r="1528" spans="1:38" x14ac:dyDescent="0.25">
      <c r="A1528" t="s">
        <v>280</v>
      </c>
      <c r="B1528" t="s">
        <v>448</v>
      </c>
      <c r="C1528" t="s">
        <v>40</v>
      </c>
      <c r="D1528" s="1">
        <v>43513</v>
      </c>
      <c r="E1528" s="1">
        <v>43518</v>
      </c>
      <c r="F1528" t="s">
        <v>41</v>
      </c>
      <c r="G1528">
        <v>3</v>
      </c>
      <c r="H1528" t="s">
        <v>125</v>
      </c>
      <c r="I1528" t="s">
        <v>43</v>
      </c>
      <c r="J1528" t="s">
        <v>126</v>
      </c>
      <c r="K1528" t="s">
        <v>44</v>
      </c>
      <c r="L1528">
        <v>6739.76</v>
      </c>
      <c r="M1528" s="1">
        <v>43513</v>
      </c>
      <c r="N1528" t="s">
        <v>45</v>
      </c>
      <c r="O1528" t="s">
        <v>46</v>
      </c>
      <c r="P1528" t="s">
        <v>47</v>
      </c>
      <c r="Q1528" s="1">
        <v>43852</v>
      </c>
      <c r="R1528" t="s">
        <v>48</v>
      </c>
      <c r="S1528" t="s">
        <v>138</v>
      </c>
      <c r="T1528" t="s">
        <v>139</v>
      </c>
      <c r="U1528" t="s">
        <v>125</v>
      </c>
      <c r="V1528">
        <v>0</v>
      </c>
      <c r="W1528">
        <v>10000</v>
      </c>
      <c r="X1528" s="1">
        <v>43738</v>
      </c>
      <c r="Y1528" t="s">
        <v>140</v>
      </c>
      <c r="Z1528" t="s">
        <v>43</v>
      </c>
      <c r="AA1528" t="s">
        <v>41</v>
      </c>
      <c r="AB1528" t="s">
        <v>132</v>
      </c>
      <c r="AC1528" t="s">
        <v>132</v>
      </c>
      <c r="AF1528" t="s">
        <v>135</v>
      </c>
      <c r="AG1528" s="1">
        <v>43843</v>
      </c>
      <c r="AH1528" t="s">
        <v>125</v>
      </c>
      <c r="AI1528" t="s">
        <v>92</v>
      </c>
      <c r="AJ1528">
        <v>1278023</v>
      </c>
      <c r="AK1528">
        <v>12365300</v>
      </c>
      <c r="AL1528">
        <v>12900</v>
      </c>
    </row>
    <row r="1529" spans="1:38" x14ac:dyDescent="0.25">
      <c r="A1529" t="s">
        <v>280</v>
      </c>
      <c r="B1529" t="s">
        <v>448</v>
      </c>
      <c r="C1529" t="s">
        <v>40</v>
      </c>
      <c r="D1529" s="1">
        <v>43513</v>
      </c>
      <c r="E1529" s="1">
        <v>43518</v>
      </c>
      <c r="F1529" t="s">
        <v>41</v>
      </c>
      <c r="G1529">
        <v>3</v>
      </c>
      <c r="H1529" t="s">
        <v>125</v>
      </c>
      <c r="I1529" t="s">
        <v>43</v>
      </c>
      <c r="J1529" t="s">
        <v>126</v>
      </c>
      <c r="K1529" t="s">
        <v>44</v>
      </c>
      <c r="L1529">
        <v>6739.76</v>
      </c>
      <c r="M1529" s="1">
        <v>43513</v>
      </c>
      <c r="N1529" t="s">
        <v>45</v>
      </c>
      <c r="O1529" t="s">
        <v>46</v>
      </c>
      <c r="P1529" t="s">
        <v>47</v>
      </c>
      <c r="Q1529" s="1">
        <v>43852</v>
      </c>
      <c r="R1529" t="s">
        <v>48</v>
      </c>
      <c r="S1529" t="s">
        <v>138</v>
      </c>
      <c r="T1529" t="s">
        <v>139</v>
      </c>
      <c r="U1529" t="s">
        <v>125</v>
      </c>
      <c r="V1529">
        <v>0</v>
      </c>
      <c r="W1529">
        <v>10000</v>
      </c>
      <c r="X1529" s="1">
        <v>43738</v>
      </c>
      <c r="Y1529" t="s">
        <v>140</v>
      </c>
      <c r="Z1529" t="s">
        <v>43</v>
      </c>
      <c r="AA1529" t="s">
        <v>41</v>
      </c>
      <c r="AB1529" t="s">
        <v>132</v>
      </c>
      <c r="AC1529" t="s">
        <v>132</v>
      </c>
      <c r="AF1529" t="s">
        <v>136</v>
      </c>
      <c r="AG1529" s="1">
        <v>43839</v>
      </c>
      <c r="AH1529" t="s">
        <v>125</v>
      </c>
      <c r="AI1529" t="s">
        <v>92</v>
      </c>
      <c r="AJ1529">
        <v>1278023</v>
      </c>
      <c r="AK1529">
        <v>12365300</v>
      </c>
      <c r="AL1529">
        <v>12900</v>
      </c>
    </row>
    <row r="1530" spans="1:38" x14ac:dyDescent="0.25">
      <c r="A1530" t="s">
        <v>280</v>
      </c>
      <c r="B1530" t="s">
        <v>448</v>
      </c>
      <c r="C1530" t="s">
        <v>40</v>
      </c>
      <c r="D1530" s="1">
        <v>43513</v>
      </c>
      <c r="E1530" s="1">
        <v>43518</v>
      </c>
      <c r="F1530" t="s">
        <v>41</v>
      </c>
      <c r="G1530">
        <v>3</v>
      </c>
      <c r="H1530" t="s">
        <v>125</v>
      </c>
      <c r="I1530" t="s">
        <v>43</v>
      </c>
      <c r="J1530" t="s">
        <v>126</v>
      </c>
      <c r="K1530" t="s">
        <v>44</v>
      </c>
      <c r="L1530">
        <v>6739.76</v>
      </c>
      <c r="M1530" s="1">
        <v>43513</v>
      </c>
      <c r="N1530" t="s">
        <v>45</v>
      </c>
      <c r="O1530" t="s">
        <v>46</v>
      </c>
      <c r="P1530" t="s">
        <v>47</v>
      </c>
      <c r="Q1530" s="1">
        <v>43852</v>
      </c>
      <c r="R1530" t="s">
        <v>48</v>
      </c>
      <c r="S1530" t="s">
        <v>138</v>
      </c>
      <c r="T1530" t="s">
        <v>139</v>
      </c>
      <c r="U1530" t="s">
        <v>125</v>
      </c>
      <c r="V1530">
        <v>0</v>
      </c>
      <c r="W1530">
        <v>10000</v>
      </c>
      <c r="X1530" s="1">
        <v>43738</v>
      </c>
      <c r="Y1530" t="s">
        <v>140</v>
      </c>
      <c r="Z1530" t="s">
        <v>43</v>
      </c>
      <c r="AA1530" t="s">
        <v>41</v>
      </c>
      <c r="AB1530" t="s">
        <v>132</v>
      </c>
      <c r="AC1530" t="s">
        <v>132</v>
      </c>
      <c r="AF1530" t="s">
        <v>137</v>
      </c>
      <c r="AG1530" s="1">
        <v>43840</v>
      </c>
      <c r="AH1530" t="s">
        <v>125</v>
      </c>
      <c r="AI1530" t="s">
        <v>92</v>
      </c>
      <c r="AJ1530">
        <v>1278023</v>
      </c>
      <c r="AK1530">
        <v>12365300</v>
      </c>
      <c r="AL1530">
        <v>12900</v>
      </c>
    </row>
    <row r="1531" spans="1:38" x14ac:dyDescent="0.25">
      <c r="A1531" t="s">
        <v>282</v>
      </c>
      <c r="B1531" t="s">
        <v>449</v>
      </c>
      <c r="C1531" t="s">
        <v>40</v>
      </c>
      <c r="D1531" s="1">
        <v>43528</v>
      </c>
      <c r="E1531" s="1">
        <v>43534</v>
      </c>
      <c r="F1531" t="s">
        <v>76</v>
      </c>
      <c r="G1531">
        <v>3</v>
      </c>
      <c r="H1531" t="s">
        <v>125</v>
      </c>
      <c r="I1531" t="s">
        <v>43</v>
      </c>
      <c r="J1531" t="s">
        <v>126</v>
      </c>
      <c r="K1531" t="s">
        <v>127</v>
      </c>
      <c r="L1531">
        <v>6739.76</v>
      </c>
      <c r="M1531" s="1">
        <v>43528</v>
      </c>
      <c r="N1531" t="s">
        <v>45</v>
      </c>
      <c r="O1531" t="s">
        <v>46</v>
      </c>
      <c r="P1531" t="s">
        <v>47</v>
      </c>
      <c r="Q1531" s="1">
        <v>43852</v>
      </c>
      <c r="R1531" t="s">
        <v>48</v>
      </c>
    </row>
    <row r="1532" spans="1:38" x14ac:dyDescent="0.25">
      <c r="A1532" t="s">
        <v>284</v>
      </c>
      <c r="B1532" t="s">
        <v>450</v>
      </c>
      <c r="C1532" t="s">
        <v>40</v>
      </c>
      <c r="D1532" s="1">
        <v>43514</v>
      </c>
      <c r="E1532" s="1">
        <v>43529</v>
      </c>
      <c r="F1532" t="s">
        <v>76</v>
      </c>
      <c r="G1532">
        <v>3</v>
      </c>
      <c r="H1532" t="s">
        <v>125</v>
      </c>
      <c r="I1532" t="s">
        <v>43</v>
      </c>
      <c r="J1532" t="s">
        <v>126</v>
      </c>
      <c r="K1532" t="s">
        <v>127</v>
      </c>
      <c r="L1532">
        <v>8468.49</v>
      </c>
      <c r="M1532" s="1">
        <v>43514</v>
      </c>
      <c r="N1532" t="s">
        <v>45</v>
      </c>
      <c r="O1532" t="s">
        <v>46</v>
      </c>
      <c r="P1532" t="s">
        <v>47</v>
      </c>
      <c r="Q1532" s="1">
        <v>43852</v>
      </c>
      <c r="R1532" t="s">
        <v>48</v>
      </c>
    </row>
    <row r="1533" spans="1:38" x14ac:dyDescent="0.25">
      <c r="A1533" t="s">
        <v>296</v>
      </c>
      <c r="B1533" t="s">
        <v>451</v>
      </c>
      <c r="C1533" t="s">
        <v>40</v>
      </c>
      <c r="D1533" s="1">
        <v>43514</v>
      </c>
      <c r="E1533" s="1">
        <v>43529</v>
      </c>
      <c r="F1533" t="s">
        <v>76</v>
      </c>
      <c r="G1533">
        <v>3</v>
      </c>
      <c r="H1533" t="s">
        <v>125</v>
      </c>
      <c r="I1533" t="s">
        <v>43</v>
      </c>
      <c r="J1533" t="s">
        <v>126</v>
      </c>
      <c r="K1533" t="s">
        <v>127</v>
      </c>
      <c r="L1533">
        <v>529.13</v>
      </c>
      <c r="M1533" s="1">
        <v>43514</v>
      </c>
      <c r="N1533" t="s">
        <v>45</v>
      </c>
      <c r="O1533" t="s">
        <v>46</v>
      </c>
      <c r="P1533" t="s">
        <v>47</v>
      </c>
      <c r="Q1533" s="1">
        <v>43852</v>
      </c>
      <c r="R1533" t="s">
        <v>48</v>
      </c>
    </row>
    <row r="1534" spans="1:38" x14ac:dyDescent="0.25">
      <c r="A1534" t="s">
        <v>297</v>
      </c>
      <c r="B1534" t="s">
        <v>452</v>
      </c>
      <c r="C1534" t="s">
        <v>40</v>
      </c>
      <c r="D1534" s="1">
        <v>43560</v>
      </c>
      <c r="E1534" s="1">
        <v>46116</v>
      </c>
      <c r="F1534" t="s">
        <v>77</v>
      </c>
      <c r="G1534">
        <v>1</v>
      </c>
      <c r="H1534" t="s">
        <v>42</v>
      </c>
      <c r="I1534" t="s">
        <v>43</v>
      </c>
      <c r="J1534" t="s">
        <v>77</v>
      </c>
      <c r="K1534" t="s">
        <v>127</v>
      </c>
      <c r="L1534">
        <v>162500</v>
      </c>
      <c r="M1534" s="1">
        <v>43560</v>
      </c>
      <c r="N1534" t="s">
        <v>45</v>
      </c>
      <c r="O1534" t="s">
        <v>46</v>
      </c>
      <c r="P1534" t="s">
        <v>47</v>
      </c>
      <c r="Q1534" s="1">
        <v>43852</v>
      </c>
      <c r="R1534" t="s">
        <v>48</v>
      </c>
      <c r="S1534" t="s">
        <v>233</v>
      </c>
      <c r="T1534" t="s">
        <v>234</v>
      </c>
      <c r="U1534" t="s">
        <v>42</v>
      </c>
      <c r="V1534">
        <v>0</v>
      </c>
      <c r="W1534">
        <v>100000</v>
      </c>
      <c r="X1534" s="1">
        <v>43982</v>
      </c>
      <c r="Y1534" t="s">
        <v>51</v>
      </c>
      <c r="Z1534" t="s">
        <v>43</v>
      </c>
      <c r="AA1534" t="s">
        <v>77</v>
      </c>
      <c r="AB1534" t="s">
        <v>158</v>
      </c>
      <c r="AC1534" t="s">
        <v>235</v>
      </c>
      <c r="AF1534" t="s">
        <v>54</v>
      </c>
      <c r="AG1534" s="1">
        <v>43832</v>
      </c>
      <c r="AH1534" t="s">
        <v>42</v>
      </c>
      <c r="AI1534" t="s">
        <v>55</v>
      </c>
      <c r="AJ1534">
        <v>12788092</v>
      </c>
      <c r="AK1534">
        <v>250000</v>
      </c>
      <c r="AL1534">
        <v>1500000</v>
      </c>
    </row>
    <row r="1535" spans="1:38" x14ac:dyDescent="0.25">
      <c r="A1535" t="s">
        <v>297</v>
      </c>
      <c r="B1535" t="s">
        <v>452</v>
      </c>
      <c r="C1535" t="s">
        <v>40</v>
      </c>
      <c r="D1535" s="1">
        <v>43560</v>
      </c>
      <c r="E1535" s="1">
        <v>46116</v>
      </c>
      <c r="F1535" t="s">
        <v>77</v>
      </c>
      <c r="G1535">
        <v>1</v>
      </c>
      <c r="H1535" t="s">
        <v>42</v>
      </c>
      <c r="I1535" t="s">
        <v>43</v>
      </c>
      <c r="J1535" t="s">
        <v>77</v>
      </c>
      <c r="K1535" t="s">
        <v>127</v>
      </c>
      <c r="L1535">
        <v>162500</v>
      </c>
      <c r="M1535" s="1">
        <v>43560</v>
      </c>
      <c r="N1535" t="s">
        <v>45</v>
      </c>
      <c r="O1535" t="s">
        <v>46</v>
      </c>
      <c r="P1535" t="s">
        <v>47</v>
      </c>
      <c r="Q1535" s="1">
        <v>43852</v>
      </c>
      <c r="R1535" t="s">
        <v>48</v>
      </c>
      <c r="S1535" t="s">
        <v>233</v>
      </c>
      <c r="T1535" t="s">
        <v>234</v>
      </c>
      <c r="U1535" t="s">
        <v>42</v>
      </c>
      <c r="V1535">
        <v>0</v>
      </c>
      <c r="W1535">
        <v>100000</v>
      </c>
      <c r="X1535" s="1">
        <v>43982</v>
      </c>
      <c r="Y1535" t="s">
        <v>51</v>
      </c>
      <c r="Z1535" t="s">
        <v>43</v>
      </c>
      <c r="AA1535" t="s">
        <v>77</v>
      </c>
      <c r="AB1535" t="s">
        <v>158</v>
      </c>
      <c r="AC1535" t="s">
        <v>235</v>
      </c>
      <c r="AF1535" t="s">
        <v>56</v>
      </c>
      <c r="AG1535" s="1">
        <v>43833</v>
      </c>
      <c r="AH1535" t="s">
        <v>42</v>
      </c>
      <c r="AI1535" t="s">
        <v>55</v>
      </c>
      <c r="AJ1535">
        <v>12788092</v>
      </c>
      <c r="AK1535">
        <v>250000</v>
      </c>
      <c r="AL1535">
        <v>1500000</v>
      </c>
    </row>
    <row r="1536" spans="1:38" x14ac:dyDescent="0.25">
      <c r="A1536" t="s">
        <v>297</v>
      </c>
      <c r="B1536" t="s">
        <v>452</v>
      </c>
      <c r="C1536" t="s">
        <v>40</v>
      </c>
      <c r="D1536" s="1">
        <v>43560</v>
      </c>
      <c r="E1536" s="1">
        <v>46116</v>
      </c>
      <c r="F1536" t="s">
        <v>77</v>
      </c>
      <c r="G1536">
        <v>1</v>
      </c>
      <c r="H1536" t="s">
        <v>42</v>
      </c>
      <c r="I1536" t="s">
        <v>43</v>
      </c>
      <c r="J1536" t="s">
        <v>77</v>
      </c>
      <c r="K1536" t="s">
        <v>127</v>
      </c>
      <c r="L1536">
        <v>162500</v>
      </c>
      <c r="M1536" s="1">
        <v>43560</v>
      </c>
      <c r="N1536" t="s">
        <v>45</v>
      </c>
      <c r="O1536" t="s">
        <v>46</v>
      </c>
      <c r="P1536" t="s">
        <v>47</v>
      </c>
      <c r="Q1536" s="1">
        <v>43852</v>
      </c>
      <c r="R1536" t="s">
        <v>48</v>
      </c>
      <c r="S1536" t="s">
        <v>233</v>
      </c>
      <c r="T1536" t="s">
        <v>234</v>
      </c>
      <c r="U1536" t="s">
        <v>42</v>
      </c>
      <c r="V1536">
        <v>0</v>
      </c>
      <c r="W1536">
        <v>100000</v>
      </c>
      <c r="X1536" s="1">
        <v>43982</v>
      </c>
      <c r="Y1536" t="s">
        <v>51</v>
      </c>
      <c r="Z1536" t="s">
        <v>43</v>
      </c>
      <c r="AA1536" t="s">
        <v>77</v>
      </c>
      <c r="AB1536" t="s">
        <v>158</v>
      </c>
      <c r="AC1536" t="s">
        <v>235</v>
      </c>
      <c r="AF1536" t="s">
        <v>57</v>
      </c>
      <c r="AG1536" s="1">
        <v>43836</v>
      </c>
      <c r="AH1536" t="s">
        <v>42</v>
      </c>
      <c r="AI1536" t="s">
        <v>55</v>
      </c>
      <c r="AJ1536">
        <v>12788092</v>
      </c>
      <c r="AK1536">
        <v>250000</v>
      </c>
      <c r="AL1536">
        <v>1500000</v>
      </c>
    </row>
    <row r="1537" spans="1:38" x14ac:dyDescent="0.25">
      <c r="A1537" t="s">
        <v>297</v>
      </c>
      <c r="B1537" t="s">
        <v>452</v>
      </c>
      <c r="C1537" t="s">
        <v>40</v>
      </c>
      <c r="D1537" s="1">
        <v>43560</v>
      </c>
      <c r="E1537" s="1">
        <v>46116</v>
      </c>
      <c r="F1537" t="s">
        <v>77</v>
      </c>
      <c r="G1537">
        <v>1</v>
      </c>
      <c r="H1537" t="s">
        <v>42</v>
      </c>
      <c r="I1537" t="s">
        <v>43</v>
      </c>
      <c r="J1537" t="s">
        <v>77</v>
      </c>
      <c r="K1537" t="s">
        <v>127</v>
      </c>
      <c r="L1537">
        <v>162500</v>
      </c>
      <c r="M1537" s="1">
        <v>43560</v>
      </c>
      <c r="N1537" t="s">
        <v>45</v>
      </c>
      <c r="O1537" t="s">
        <v>46</v>
      </c>
      <c r="P1537" t="s">
        <v>47</v>
      </c>
      <c r="Q1537" s="1">
        <v>43852</v>
      </c>
      <c r="R1537" t="s">
        <v>48</v>
      </c>
      <c r="S1537" t="s">
        <v>233</v>
      </c>
      <c r="T1537" t="s">
        <v>234</v>
      </c>
      <c r="U1537" t="s">
        <v>42</v>
      </c>
      <c r="V1537">
        <v>0</v>
      </c>
      <c r="W1537">
        <v>100000</v>
      </c>
      <c r="X1537" s="1">
        <v>43982</v>
      </c>
      <c r="Y1537" t="s">
        <v>51</v>
      </c>
      <c r="Z1537" t="s">
        <v>43</v>
      </c>
      <c r="AA1537" t="s">
        <v>77</v>
      </c>
      <c r="AB1537" t="s">
        <v>158</v>
      </c>
      <c r="AC1537" t="s">
        <v>235</v>
      </c>
      <c r="AF1537" t="s">
        <v>58</v>
      </c>
      <c r="AG1537" s="1">
        <v>43837</v>
      </c>
      <c r="AH1537" t="s">
        <v>42</v>
      </c>
      <c r="AI1537" t="s">
        <v>55</v>
      </c>
      <c r="AJ1537">
        <v>12788092</v>
      </c>
      <c r="AK1537">
        <v>250000</v>
      </c>
      <c r="AL1537">
        <v>1500000</v>
      </c>
    </row>
    <row r="1538" spans="1:38" x14ac:dyDescent="0.25">
      <c r="A1538" t="s">
        <v>297</v>
      </c>
      <c r="B1538" t="s">
        <v>452</v>
      </c>
      <c r="C1538" t="s">
        <v>40</v>
      </c>
      <c r="D1538" s="1">
        <v>43560</v>
      </c>
      <c r="E1538" s="1">
        <v>46116</v>
      </c>
      <c r="F1538" t="s">
        <v>77</v>
      </c>
      <c r="G1538">
        <v>1</v>
      </c>
      <c r="H1538" t="s">
        <v>42</v>
      </c>
      <c r="I1538" t="s">
        <v>43</v>
      </c>
      <c r="J1538" t="s">
        <v>77</v>
      </c>
      <c r="K1538" t="s">
        <v>127</v>
      </c>
      <c r="L1538">
        <v>162500</v>
      </c>
      <c r="M1538" s="1">
        <v>43560</v>
      </c>
      <c r="N1538" t="s">
        <v>45</v>
      </c>
      <c r="O1538" t="s">
        <v>46</v>
      </c>
      <c r="P1538" t="s">
        <v>47</v>
      </c>
      <c r="Q1538" s="1">
        <v>43852</v>
      </c>
      <c r="R1538" t="s">
        <v>48</v>
      </c>
      <c r="S1538" t="s">
        <v>233</v>
      </c>
      <c r="T1538" t="s">
        <v>234</v>
      </c>
      <c r="U1538" t="s">
        <v>42</v>
      </c>
      <c r="V1538">
        <v>0</v>
      </c>
      <c r="W1538">
        <v>100000</v>
      </c>
      <c r="X1538" s="1">
        <v>43982</v>
      </c>
      <c r="Y1538" t="s">
        <v>51</v>
      </c>
      <c r="Z1538" t="s">
        <v>43</v>
      </c>
      <c r="AA1538" t="s">
        <v>77</v>
      </c>
      <c r="AB1538" t="s">
        <v>158</v>
      </c>
      <c r="AC1538" t="s">
        <v>235</v>
      </c>
      <c r="AF1538" t="s">
        <v>59</v>
      </c>
      <c r="AG1538" s="1">
        <v>43838</v>
      </c>
      <c r="AH1538" t="s">
        <v>42</v>
      </c>
      <c r="AI1538" t="s">
        <v>55</v>
      </c>
      <c r="AJ1538">
        <v>12788092</v>
      </c>
      <c r="AK1538">
        <v>250000</v>
      </c>
      <c r="AL1538">
        <v>1500000</v>
      </c>
    </row>
    <row r="1539" spans="1:38" x14ac:dyDescent="0.25">
      <c r="A1539" t="s">
        <v>298</v>
      </c>
      <c r="B1539" t="s">
        <v>453</v>
      </c>
      <c r="C1539" t="s">
        <v>40</v>
      </c>
      <c r="D1539" s="1">
        <v>43573</v>
      </c>
      <c r="E1539" s="1">
        <v>45947</v>
      </c>
      <c r="F1539" t="s">
        <v>77</v>
      </c>
      <c r="G1539">
        <v>1</v>
      </c>
      <c r="H1539" t="s">
        <v>42</v>
      </c>
      <c r="I1539" t="s">
        <v>43</v>
      </c>
      <c r="J1539" t="s">
        <v>77</v>
      </c>
      <c r="K1539" t="s">
        <v>127</v>
      </c>
      <c r="L1539">
        <v>250000</v>
      </c>
      <c r="M1539" s="1">
        <v>43573</v>
      </c>
      <c r="N1539" t="s">
        <v>45</v>
      </c>
      <c r="O1539" t="s">
        <v>46</v>
      </c>
      <c r="P1539" t="s">
        <v>47</v>
      </c>
      <c r="Q1539" s="1">
        <v>43852</v>
      </c>
      <c r="R1539" t="s">
        <v>48</v>
      </c>
      <c r="S1539" t="s">
        <v>233</v>
      </c>
      <c r="T1539" t="s">
        <v>234</v>
      </c>
      <c r="U1539" t="s">
        <v>42</v>
      </c>
      <c r="V1539">
        <v>0</v>
      </c>
      <c r="W1539">
        <v>100000</v>
      </c>
      <c r="X1539" s="1">
        <v>43982</v>
      </c>
      <c r="Y1539" t="s">
        <v>51</v>
      </c>
      <c r="Z1539" t="s">
        <v>43</v>
      </c>
      <c r="AA1539" t="s">
        <v>77</v>
      </c>
      <c r="AB1539" t="s">
        <v>158</v>
      </c>
      <c r="AC1539" t="s">
        <v>235</v>
      </c>
      <c r="AF1539" t="s">
        <v>54</v>
      </c>
      <c r="AG1539" s="1">
        <v>43832</v>
      </c>
      <c r="AH1539" t="s">
        <v>42</v>
      </c>
      <c r="AI1539" t="s">
        <v>55</v>
      </c>
      <c r="AJ1539">
        <v>12788092</v>
      </c>
      <c r="AK1539">
        <v>250000</v>
      </c>
      <c r="AL1539">
        <v>1500000</v>
      </c>
    </row>
    <row r="1540" spans="1:38" x14ac:dyDescent="0.25">
      <c r="A1540" t="s">
        <v>298</v>
      </c>
      <c r="B1540" t="s">
        <v>453</v>
      </c>
      <c r="C1540" t="s">
        <v>40</v>
      </c>
      <c r="D1540" s="1">
        <v>43573</v>
      </c>
      <c r="E1540" s="1">
        <v>45947</v>
      </c>
      <c r="F1540" t="s">
        <v>77</v>
      </c>
      <c r="G1540">
        <v>1</v>
      </c>
      <c r="H1540" t="s">
        <v>42</v>
      </c>
      <c r="I1540" t="s">
        <v>43</v>
      </c>
      <c r="J1540" t="s">
        <v>77</v>
      </c>
      <c r="K1540" t="s">
        <v>127</v>
      </c>
      <c r="L1540">
        <v>250000</v>
      </c>
      <c r="M1540" s="1">
        <v>43573</v>
      </c>
      <c r="N1540" t="s">
        <v>45</v>
      </c>
      <c r="O1540" t="s">
        <v>46</v>
      </c>
      <c r="P1540" t="s">
        <v>47</v>
      </c>
      <c r="Q1540" s="1">
        <v>43852</v>
      </c>
      <c r="R1540" t="s">
        <v>48</v>
      </c>
      <c r="S1540" t="s">
        <v>233</v>
      </c>
      <c r="T1540" t="s">
        <v>234</v>
      </c>
      <c r="U1540" t="s">
        <v>42</v>
      </c>
      <c r="V1540">
        <v>0</v>
      </c>
      <c r="W1540">
        <v>100000</v>
      </c>
      <c r="X1540" s="1">
        <v>43982</v>
      </c>
      <c r="Y1540" t="s">
        <v>51</v>
      </c>
      <c r="Z1540" t="s">
        <v>43</v>
      </c>
      <c r="AA1540" t="s">
        <v>77</v>
      </c>
      <c r="AB1540" t="s">
        <v>158</v>
      </c>
      <c r="AC1540" t="s">
        <v>235</v>
      </c>
      <c r="AF1540" t="s">
        <v>56</v>
      </c>
      <c r="AG1540" s="1">
        <v>43833</v>
      </c>
      <c r="AH1540" t="s">
        <v>42</v>
      </c>
      <c r="AI1540" t="s">
        <v>55</v>
      </c>
      <c r="AJ1540">
        <v>12788092</v>
      </c>
      <c r="AK1540">
        <v>250000</v>
      </c>
      <c r="AL1540">
        <v>1500000</v>
      </c>
    </row>
    <row r="1541" spans="1:38" x14ac:dyDescent="0.25">
      <c r="A1541" t="s">
        <v>298</v>
      </c>
      <c r="B1541" t="s">
        <v>453</v>
      </c>
      <c r="C1541" t="s">
        <v>40</v>
      </c>
      <c r="D1541" s="1">
        <v>43573</v>
      </c>
      <c r="E1541" s="1">
        <v>45947</v>
      </c>
      <c r="F1541" t="s">
        <v>77</v>
      </c>
      <c r="G1541">
        <v>1</v>
      </c>
      <c r="H1541" t="s">
        <v>42</v>
      </c>
      <c r="I1541" t="s">
        <v>43</v>
      </c>
      <c r="J1541" t="s">
        <v>77</v>
      </c>
      <c r="K1541" t="s">
        <v>127</v>
      </c>
      <c r="L1541">
        <v>250000</v>
      </c>
      <c r="M1541" s="1">
        <v>43573</v>
      </c>
      <c r="N1541" t="s">
        <v>45</v>
      </c>
      <c r="O1541" t="s">
        <v>46</v>
      </c>
      <c r="P1541" t="s">
        <v>47</v>
      </c>
      <c r="Q1541" s="1">
        <v>43852</v>
      </c>
      <c r="R1541" t="s">
        <v>48</v>
      </c>
      <c r="S1541" t="s">
        <v>233</v>
      </c>
      <c r="T1541" t="s">
        <v>234</v>
      </c>
      <c r="U1541" t="s">
        <v>42</v>
      </c>
      <c r="V1541">
        <v>0</v>
      </c>
      <c r="W1541">
        <v>100000</v>
      </c>
      <c r="X1541" s="1">
        <v>43982</v>
      </c>
      <c r="Y1541" t="s">
        <v>51</v>
      </c>
      <c r="Z1541" t="s">
        <v>43</v>
      </c>
      <c r="AA1541" t="s">
        <v>77</v>
      </c>
      <c r="AB1541" t="s">
        <v>158</v>
      </c>
      <c r="AC1541" t="s">
        <v>235</v>
      </c>
      <c r="AF1541" t="s">
        <v>57</v>
      </c>
      <c r="AG1541" s="1">
        <v>43836</v>
      </c>
      <c r="AH1541" t="s">
        <v>42</v>
      </c>
      <c r="AI1541" t="s">
        <v>55</v>
      </c>
      <c r="AJ1541">
        <v>12788092</v>
      </c>
      <c r="AK1541">
        <v>250000</v>
      </c>
      <c r="AL1541">
        <v>1500000</v>
      </c>
    </row>
    <row r="1542" spans="1:38" x14ac:dyDescent="0.25">
      <c r="A1542" t="s">
        <v>298</v>
      </c>
      <c r="B1542" t="s">
        <v>453</v>
      </c>
      <c r="C1542" t="s">
        <v>40</v>
      </c>
      <c r="D1542" s="1">
        <v>43573</v>
      </c>
      <c r="E1542" s="1">
        <v>45947</v>
      </c>
      <c r="F1542" t="s">
        <v>77</v>
      </c>
      <c r="G1542">
        <v>1</v>
      </c>
      <c r="H1542" t="s">
        <v>42</v>
      </c>
      <c r="I1542" t="s">
        <v>43</v>
      </c>
      <c r="J1542" t="s">
        <v>77</v>
      </c>
      <c r="K1542" t="s">
        <v>127</v>
      </c>
      <c r="L1542">
        <v>250000</v>
      </c>
      <c r="M1542" s="1">
        <v>43573</v>
      </c>
      <c r="N1542" t="s">
        <v>45</v>
      </c>
      <c r="O1542" t="s">
        <v>46</v>
      </c>
      <c r="P1542" t="s">
        <v>47</v>
      </c>
      <c r="Q1542" s="1">
        <v>43852</v>
      </c>
      <c r="R1542" t="s">
        <v>48</v>
      </c>
      <c r="S1542" t="s">
        <v>233</v>
      </c>
      <c r="T1542" t="s">
        <v>234</v>
      </c>
      <c r="U1542" t="s">
        <v>42</v>
      </c>
      <c r="V1542">
        <v>0</v>
      </c>
      <c r="W1542">
        <v>100000</v>
      </c>
      <c r="X1542" s="1">
        <v>43982</v>
      </c>
      <c r="Y1542" t="s">
        <v>51</v>
      </c>
      <c r="Z1542" t="s">
        <v>43</v>
      </c>
      <c r="AA1542" t="s">
        <v>77</v>
      </c>
      <c r="AB1542" t="s">
        <v>158</v>
      </c>
      <c r="AC1542" t="s">
        <v>235</v>
      </c>
      <c r="AF1542" t="s">
        <v>58</v>
      </c>
      <c r="AG1542" s="1">
        <v>43837</v>
      </c>
      <c r="AH1542" t="s">
        <v>42</v>
      </c>
      <c r="AI1542" t="s">
        <v>55</v>
      </c>
      <c r="AJ1542">
        <v>12788092</v>
      </c>
      <c r="AK1542">
        <v>250000</v>
      </c>
      <c r="AL1542">
        <v>1500000</v>
      </c>
    </row>
    <row r="1543" spans="1:38" x14ac:dyDescent="0.25">
      <c r="A1543" t="s">
        <v>298</v>
      </c>
      <c r="B1543" t="s">
        <v>453</v>
      </c>
      <c r="C1543" t="s">
        <v>40</v>
      </c>
      <c r="D1543" s="1">
        <v>43573</v>
      </c>
      <c r="E1543" s="1">
        <v>45947</v>
      </c>
      <c r="F1543" t="s">
        <v>77</v>
      </c>
      <c r="G1543">
        <v>1</v>
      </c>
      <c r="H1543" t="s">
        <v>42</v>
      </c>
      <c r="I1543" t="s">
        <v>43</v>
      </c>
      <c r="J1543" t="s">
        <v>77</v>
      </c>
      <c r="K1543" t="s">
        <v>127</v>
      </c>
      <c r="L1543">
        <v>250000</v>
      </c>
      <c r="M1543" s="1">
        <v>43573</v>
      </c>
      <c r="N1543" t="s">
        <v>45</v>
      </c>
      <c r="O1543" t="s">
        <v>46</v>
      </c>
      <c r="P1543" t="s">
        <v>47</v>
      </c>
      <c r="Q1543" s="1">
        <v>43852</v>
      </c>
      <c r="R1543" t="s">
        <v>48</v>
      </c>
      <c r="S1543" t="s">
        <v>233</v>
      </c>
      <c r="T1543" t="s">
        <v>234</v>
      </c>
      <c r="U1543" t="s">
        <v>42</v>
      </c>
      <c r="V1543">
        <v>0</v>
      </c>
      <c r="W1543">
        <v>100000</v>
      </c>
      <c r="X1543" s="1">
        <v>43982</v>
      </c>
      <c r="Y1543" t="s">
        <v>51</v>
      </c>
      <c r="Z1543" t="s">
        <v>43</v>
      </c>
      <c r="AA1543" t="s">
        <v>77</v>
      </c>
      <c r="AB1543" t="s">
        <v>158</v>
      </c>
      <c r="AC1543" t="s">
        <v>235</v>
      </c>
      <c r="AF1543" t="s">
        <v>59</v>
      </c>
      <c r="AG1543" s="1">
        <v>43838</v>
      </c>
      <c r="AH1543" t="s">
        <v>42</v>
      </c>
      <c r="AI1543" t="s">
        <v>55</v>
      </c>
      <c r="AJ1543">
        <v>12788092</v>
      </c>
      <c r="AK1543">
        <v>250000</v>
      </c>
      <c r="AL1543">
        <v>1500000</v>
      </c>
    </row>
    <row r="1544" spans="1:38" x14ac:dyDescent="0.25">
      <c r="A1544" t="s">
        <v>299</v>
      </c>
      <c r="B1544" t="s">
        <v>454</v>
      </c>
      <c r="C1544" t="s">
        <v>71</v>
      </c>
      <c r="D1544" s="1">
        <v>42949</v>
      </c>
      <c r="E1544" s="1">
        <v>43313</v>
      </c>
      <c r="F1544" t="s">
        <v>72</v>
      </c>
      <c r="G1544">
        <v>1</v>
      </c>
      <c r="H1544" t="s">
        <v>42</v>
      </c>
      <c r="I1544" t="s">
        <v>43</v>
      </c>
      <c r="J1544" t="s">
        <v>73</v>
      </c>
      <c r="K1544" t="s">
        <v>127</v>
      </c>
      <c r="L1544">
        <v>78837.100000000006</v>
      </c>
      <c r="M1544" s="1">
        <v>42949</v>
      </c>
      <c r="N1544" t="s">
        <v>45</v>
      </c>
      <c r="O1544" t="s">
        <v>361</v>
      </c>
      <c r="P1544" t="s">
        <v>455</v>
      </c>
      <c r="Q1544" s="1">
        <v>43852</v>
      </c>
      <c r="R1544" t="s">
        <v>455</v>
      </c>
    </row>
    <row r="1545" spans="1:38" x14ac:dyDescent="0.25">
      <c r="A1545" t="s">
        <v>300</v>
      </c>
      <c r="B1545" s="2">
        <v>1.112E+19</v>
      </c>
      <c r="C1545" t="s">
        <v>71</v>
      </c>
      <c r="D1545" s="1">
        <v>43182</v>
      </c>
      <c r="E1545" s="1">
        <v>43546</v>
      </c>
      <c r="F1545" t="s">
        <v>77</v>
      </c>
      <c r="G1545">
        <v>1</v>
      </c>
      <c r="H1545" t="s">
        <v>42</v>
      </c>
      <c r="I1545" t="s">
        <v>43</v>
      </c>
      <c r="J1545" t="s">
        <v>77</v>
      </c>
      <c r="K1545" t="s">
        <v>44</v>
      </c>
      <c r="L1545">
        <v>21875</v>
      </c>
      <c r="M1545" s="1">
        <v>43182</v>
      </c>
      <c r="N1545" t="s">
        <v>45</v>
      </c>
      <c r="O1545" t="s">
        <v>46</v>
      </c>
      <c r="P1545" t="s">
        <v>47</v>
      </c>
      <c r="Q1545" s="1">
        <v>43852</v>
      </c>
      <c r="R1545" t="s">
        <v>48</v>
      </c>
      <c r="S1545" t="s">
        <v>233</v>
      </c>
      <c r="T1545" t="s">
        <v>234</v>
      </c>
      <c r="U1545" t="s">
        <v>42</v>
      </c>
      <c r="V1545">
        <v>0</v>
      </c>
      <c r="W1545">
        <v>100000</v>
      </c>
      <c r="X1545" s="1">
        <v>43982</v>
      </c>
      <c r="Y1545" t="s">
        <v>51</v>
      </c>
      <c r="Z1545" t="s">
        <v>43</v>
      </c>
      <c r="AA1545" t="s">
        <v>77</v>
      </c>
      <c r="AB1545" t="s">
        <v>158</v>
      </c>
      <c r="AC1545" t="s">
        <v>235</v>
      </c>
      <c r="AF1545" t="s">
        <v>54</v>
      </c>
      <c r="AG1545" s="1">
        <v>43832</v>
      </c>
      <c r="AH1545" t="s">
        <v>42</v>
      </c>
      <c r="AI1545" t="s">
        <v>55</v>
      </c>
      <c r="AJ1545">
        <v>12788092</v>
      </c>
      <c r="AK1545">
        <v>250000</v>
      </c>
      <c r="AL1545">
        <v>1500000</v>
      </c>
    </row>
    <row r="1546" spans="1:38" x14ac:dyDescent="0.25">
      <c r="A1546" t="s">
        <v>300</v>
      </c>
      <c r="B1546" s="2">
        <v>1.112E+19</v>
      </c>
      <c r="C1546" t="s">
        <v>71</v>
      </c>
      <c r="D1546" s="1">
        <v>43182</v>
      </c>
      <c r="E1546" s="1">
        <v>43546</v>
      </c>
      <c r="F1546" t="s">
        <v>77</v>
      </c>
      <c r="G1546">
        <v>1</v>
      </c>
      <c r="H1546" t="s">
        <v>42</v>
      </c>
      <c r="I1546" t="s">
        <v>43</v>
      </c>
      <c r="J1546" t="s">
        <v>77</v>
      </c>
      <c r="K1546" t="s">
        <v>44</v>
      </c>
      <c r="L1546">
        <v>21875</v>
      </c>
      <c r="M1546" s="1">
        <v>43182</v>
      </c>
      <c r="N1546" t="s">
        <v>45</v>
      </c>
      <c r="O1546" t="s">
        <v>46</v>
      </c>
      <c r="P1546" t="s">
        <v>47</v>
      </c>
      <c r="Q1546" s="1">
        <v>43852</v>
      </c>
      <c r="R1546" t="s">
        <v>48</v>
      </c>
      <c r="S1546" t="s">
        <v>233</v>
      </c>
      <c r="T1546" t="s">
        <v>234</v>
      </c>
      <c r="U1546" t="s">
        <v>42</v>
      </c>
      <c r="V1546">
        <v>0</v>
      </c>
      <c r="W1546">
        <v>100000</v>
      </c>
      <c r="X1546" s="1">
        <v>43982</v>
      </c>
      <c r="Y1546" t="s">
        <v>51</v>
      </c>
      <c r="Z1546" t="s">
        <v>43</v>
      </c>
      <c r="AA1546" t="s">
        <v>77</v>
      </c>
      <c r="AB1546" t="s">
        <v>158</v>
      </c>
      <c r="AC1546" t="s">
        <v>235</v>
      </c>
      <c r="AF1546" t="s">
        <v>56</v>
      </c>
      <c r="AG1546" s="1">
        <v>43833</v>
      </c>
      <c r="AH1546" t="s">
        <v>42</v>
      </c>
      <c r="AI1546" t="s">
        <v>55</v>
      </c>
      <c r="AJ1546">
        <v>12788092</v>
      </c>
      <c r="AK1546">
        <v>250000</v>
      </c>
      <c r="AL1546">
        <v>1500000</v>
      </c>
    </row>
    <row r="1547" spans="1:38" x14ac:dyDescent="0.25">
      <c r="A1547" t="s">
        <v>300</v>
      </c>
      <c r="B1547" s="2">
        <v>1.112E+19</v>
      </c>
      <c r="C1547" t="s">
        <v>71</v>
      </c>
      <c r="D1547" s="1">
        <v>43182</v>
      </c>
      <c r="E1547" s="1">
        <v>43546</v>
      </c>
      <c r="F1547" t="s">
        <v>77</v>
      </c>
      <c r="G1547">
        <v>1</v>
      </c>
      <c r="H1547" t="s">
        <v>42</v>
      </c>
      <c r="I1547" t="s">
        <v>43</v>
      </c>
      <c r="J1547" t="s">
        <v>77</v>
      </c>
      <c r="K1547" t="s">
        <v>44</v>
      </c>
      <c r="L1547">
        <v>21875</v>
      </c>
      <c r="M1547" s="1">
        <v>43182</v>
      </c>
      <c r="N1547" t="s">
        <v>45</v>
      </c>
      <c r="O1547" t="s">
        <v>46</v>
      </c>
      <c r="P1547" t="s">
        <v>47</v>
      </c>
      <c r="Q1547" s="1">
        <v>43852</v>
      </c>
      <c r="R1547" t="s">
        <v>48</v>
      </c>
      <c r="S1547" t="s">
        <v>233</v>
      </c>
      <c r="T1547" t="s">
        <v>234</v>
      </c>
      <c r="U1547" t="s">
        <v>42</v>
      </c>
      <c r="V1547">
        <v>0</v>
      </c>
      <c r="W1547">
        <v>100000</v>
      </c>
      <c r="X1547" s="1">
        <v>43982</v>
      </c>
      <c r="Y1547" t="s">
        <v>51</v>
      </c>
      <c r="Z1547" t="s">
        <v>43</v>
      </c>
      <c r="AA1547" t="s">
        <v>77</v>
      </c>
      <c r="AB1547" t="s">
        <v>158</v>
      </c>
      <c r="AC1547" t="s">
        <v>235</v>
      </c>
      <c r="AF1547" t="s">
        <v>57</v>
      </c>
      <c r="AG1547" s="1">
        <v>43836</v>
      </c>
      <c r="AH1547" t="s">
        <v>42</v>
      </c>
      <c r="AI1547" t="s">
        <v>55</v>
      </c>
      <c r="AJ1547">
        <v>12788092</v>
      </c>
      <c r="AK1547">
        <v>250000</v>
      </c>
      <c r="AL1547">
        <v>1500000</v>
      </c>
    </row>
    <row r="1548" spans="1:38" x14ac:dyDescent="0.25">
      <c r="A1548" t="s">
        <v>300</v>
      </c>
      <c r="B1548" s="2">
        <v>1.112E+19</v>
      </c>
      <c r="C1548" t="s">
        <v>71</v>
      </c>
      <c r="D1548" s="1">
        <v>43182</v>
      </c>
      <c r="E1548" s="1">
        <v>43546</v>
      </c>
      <c r="F1548" t="s">
        <v>77</v>
      </c>
      <c r="G1548">
        <v>1</v>
      </c>
      <c r="H1548" t="s">
        <v>42</v>
      </c>
      <c r="I1548" t="s">
        <v>43</v>
      </c>
      <c r="J1548" t="s">
        <v>77</v>
      </c>
      <c r="K1548" t="s">
        <v>44</v>
      </c>
      <c r="L1548">
        <v>21875</v>
      </c>
      <c r="M1548" s="1">
        <v>43182</v>
      </c>
      <c r="N1548" t="s">
        <v>45</v>
      </c>
      <c r="O1548" t="s">
        <v>46</v>
      </c>
      <c r="P1548" t="s">
        <v>47</v>
      </c>
      <c r="Q1548" s="1">
        <v>43852</v>
      </c>
      <c r="R1548" t="s">
        <v>48</v>
      </c>
      <c r="S1548" t="s">
        <v>233</v>
      </c>
      <c r="T1548" t="s">
        <v>234</v>
      </c>
      <c r="U1548" t="s">
        <v>42</v>
      </c>
      <c r="V1548">
        <v>0</v>
      </c>
      <c r="W1548">
        <v>100000</v>
      </c>
      <c r="X1548" s="1">
        <v>43982</v>
      </c>
      <c r="Y1548" t="s">
        <v>51</v>
      </c>
      <c r="Z1548" t="s">
        <v>43</v>
      </c>
      <c r="AA1548" t="s">
        <v>77</v>
      </c>
      <c r="AB1548" t="s">
        <v>158</v>
      </c>
      <c r="AC1548" t="s">
        <v>235</v>
      </c>
      <c r="AF1548" t="s">
        <v>58</v>
      </c>
      <c r="AG1548" s="1">
        <v>43837</v>
      </c>
      <c r="AH1548" t="s">
        <v>42</v>
      </c>
      <c r="AI1548" t="s">
        <v>55</v>
      </c>
      <c r="AJ1548">
        <v>12788092</v>
      </c>
      <c r="AK1548">
        <v>250000</v>
      </c>
      <c r="AL1548">
        <v>1500000</v>
      </c>
    </row>
    <row r="1549" spans="1:38" x14ac:dyDescent="0.25">
      <c r="A1549" t="s">
        <v>300</v>
      </c>
      <c r="B1549" s="2">
        <v>1.112E+19</v>
      </c>
      <c r="C1549" t="s">
        <v>71</v>
      </c>
      <c r="D1549" s="1">
        <v>43182</v>
      </c>
      <c r="E1549" s="1">
        <v>43546</v>
      </c>
      <c r="F1549" t="s">
        <v>77</v>
      </c>
      <c r="G1549">
        <v>1</v>
      </c>
      <c r="H1549" t="s">
        <v>42</v>
      </c>
      <c r="I1549" t="s">
        <v>43</v>
      </c>
      <c r="J1549" t="s">
        <v>77</v>
      </c>
      <c r="K1549" t="s">
        <v>44</v>
      </c>
      <c r="L1549">
        <v>21875</v>
      </c>
      <c r="M1549" s="1">
        <v>43182</v>
      </c>
      <c r="N1549" t="s">
        <v>45</v>
      </c>
      <c r="O1549" t="s">
        <v>46</v>
      </c>
      <c r="P1549" t="s">
        <v>47</v>
      </c>
      <c r="Q1549" s="1">
        <v>43852</v>
      </c>
      <c r="R1549" t="s">
        <v>48</v>
      </c>
      <c r="S1549" t="s">
        <v>233</v>
      </c>
      <c r="T1549" t="s">
        <v>234</v>
      </c>
      <c r="U1549" t="s">
        <v>42</v>
      </c>
      <c r="V1549">
        <v>0</v>
      </c>
      <c r="W1549">
        <v>100000</v>
      </c>
      <c r="X1549" s="1">
        <v>43982</v>
      </c>
      <c r="Y1549" t="s">
        <v>51</v>
      </c>
      <c r="Z1549" t="s">
        <v>43</v>
      </c>
      <c r="AA1549" t="s">
        <v>77</v>
      </c>
      <c r="AB1549" t="s">
        <v>158</v>
      </c>
      <c r="AC1549" t="s">
        <v>235</v>
      </c>
      <c r="AF1549" t="s">
        <v>59</v>
      </c>
      <c r="AG1549" s="1">
        <v>43838</v>
      </c>
      <c r="AH1549" t="s">
        <v>42</v>
      </c>
      <c r="AI1549" t="s">
        <v>55</v>
      </c>
      <c r="AJ1549">
        <v>12788092</v>
      </c>
      <c r="AK1549">
        <v>250000</v>
      </c>
      <c r="AL1549">
        <v>1500000</v>
      </c>
    </row>
    <row r="1550" spans="1:38" x14ac:dyDescent="0.25">
      <c r="A1550" t="s">
        <v>302</v>
      </c>
      <c r="B1550" t="s">
        <v>456</v>
      </c>
      <c r="C1550" t="s">
        <v>40</v>
      </c>
      <c r="D1550" s="1">
        <v>43547</v>
      </c>
      <c r="E1550" s="1">
        <v>43912</v>
      </c>
      <c r="F1550" t="s">
        <v>77</v>
      </c>
      <c r="G1550">
        <v>1</v>
      </c>
      <c r="H1550" t="s">
        <v>42</v>
      </c>
      <c r="I1550" t="s">
        <v>43</v>
      </c>
      <c r="J1550" t="s">
        <v>77</v>
      </c>
      <c r="K1550" t="s">
        <v>44</v>
      </c>
      <c r="L1550">
        <v>59322</v>
      </c>
      <c r="M1550" s="1">
        <v>43577</v>
      </c>
      <c r="N1550" t="s">
        <v>45</v>
      </c>
      <c r="O1550" t="s">
        <v>44</v>
      </c>
      <c r="P1550" t="s">
        <v>47</v>
      </c>
      <c r="Q1550" s="1">
        <v>43852</v>
      </c>
      <c r="R1550" t="s">
        <v>48</v>
      </c>
      <c r="S1550" t="s">
        <v>233</v>
      </c>
      <c r="T1550" t="s">
        <v>234</v>
      </c>
      <c r="U1550" t="s">
        <v>42</v>
      </c>
      <c r="V1550">
        <v>0</v>
      </c>
      <c r="W1550">
        <v>100000</v>
      </c>
      <c r="X1550" s="1">
        <v>43982</v>
      </c>
      <c r="Y1550" t="s">
        <v>51</v>
      </c>
      <c r="Z1550" t="s">
        <v>43</v>
      </c>
      <c r="AA1550" t="s">
        <v>77</v>
      </c>
      <c r="AB1550" t="s">
        <v>158</v>
      </c>
      <c r="AC1550" t="s">
        <v>235</v>
      </c>
      <c r="AF1550" t="s">
        <v>54</v>
      </c>
      <c r="AG1550" s="1">
        <v>43832</v>
      </c>
      <c r="AH1550" t="s">
        <v>42</v>
      </c>
      <c r="AI1550" t="s">
        <v>55</v>
      </c>
      <c r="AJ1550">
        <v>12788092</v>
      </c>
      <c r="AK1550">
        <v>250000</v>
      </c>
      <c r="AL1550">
        <v>1500000</v>
      </c>
    </row>
    <row r="1551" spans="1:38" x14ac:dyDescent="0.25">
      <c r="A1551" t="s">
        <v>302</v>
      </c>
      <c r="B1551" t="s">
        <v>456</v>
      </c>
      <c r="C1551" t="s">
        <v>40</v>
      </c>
      <c r="D1551" s="1">
        <v>43547</v>
      </c>
      <c r="E1551" s="1">
        <v>43912</v>
      </c>
      <c r="F1551" t="s">
        <v>77</v>
      </c>
      <c r="G1551">
        <v>1</v>
      </c>
      <c r="H1551" t="s">
        <v>42</v>
      </c>
      <c r="I1551" t="s">
        <v>43</v>
      </c>
      <c r="J1551" t="s">
        <v>77</v>
      </c>
      <c r="K1551" t="s">
        <v>44</v>
      </c>
      <c r="L1551">
        <v>59322</v>
      </c>
      <c r="M1551" s="1">
        <v>43577</v>
      </c>
      <c r="N1551" t="s">
        <v>45</v>
      </c>
      <c r="O1551" t="s">
        <v>44</v>
      </c>
      <c r="P1551" t="s">
        <v>47</v>
      </c>
      <c r="Q1551" s="1">
        <v>43852</v>
      </c>
      <c r="R1551" t="s">
        <v>48</v>
      </c>
      <c r="S1551" t="s">
        <v>233</v>
      </c>
      <c r="T1551" t="s">
        <v>234</v>
      </c>
      <c r="U1551" t="s">
        <v>42</v>
      </c>
      <c r="V1551">
        <v>0</v>
      </c>
      <c r="W1551">
        <v>100000</v>
      </c>
      <c r="X1551" s="1">
        <v>43982</v>
      </c>
      <c r="Y1551" t="s">
        <v>51</v>
      </c>
      <c r="Z1551" t="s">
        <v>43</v>
      </c>
      <c r="AA1551" t="s">
        <v>77</v>
      </c>
      <c r="AB1551" t="s">
        <v>158</v>
      </c>
      <c r="AC1551" t="s">
        <v>235</v>
      </c>
      <c r="AF1551" t="s">
        <v>56</v>
      </c>
      <c r="AG1551" s="1">
        <v>43833</v>
      </c>
      <c r="AH1551" t="s">
        <v>42</v>
      </c>
      <c r="AI1551" t="s">
        <v>55</v>
      </c>
      <c r="AJ1551">
        <v>12788092</v>
      </c>
      <c r="AK1551">
        <v>250000</v>
      </c>
      <c r="AL1551">
        <v>1500000</v>
      </c>
    </row>
    <row r="1552" spans="1:38" x14ac:dyDescent="0.25">
      <c r="A1552" t="s">
        <v>302</v>
      </c>
      <c r="B1552" t="s">
        <v>456</v>
      </c>
      <c r="C1552" t="s">
        <v>40</v>
      </c>
      <c r="D1552" s="1">
        <v>43547</v>
      </c>
      <c r="E1552" s="1">
        <v>43912</v>
      </c>
      <c r="F1552" t="s">
        <v>77</v>
      </c>
      <c r="G1552">
        <v>1</v>
      </c>
      <c r="H1552" t="s">
        <v>42</v>
      </c>
      <c r="I1552" t="s">
        <v>43</v>
      </c>
      <c r="J1552" t="s">
        <v>77</v>
      </c>
      <c r="K1552" t="s">
        <v>44</v>
      </c>
      <c r="L1552">
        <v>59322</v>
      </c>
      <c r="M1552" s="1">
        <v>43577</v>
      </c>
      <c r="N1552" t="s">
        <v>45</v>
      </c>
      <c r="O1552" t="s">
        <v>44</v>
      </c>
      <c r="P1552" t="s">
        <v>47</v>
      </c>
      <c r="Q1552" s="1">
        <v>43852</v>
      </c>
      <c r="R1552" t="s">
        <v>48</v>
      </c>
      <c r="S1552" t="s">
        <v>233</v>
      </c>
      <c r="T1552" t="s">
        <v>234</v>
      </c>
      <c r="U1552" t="s">
        <v>42</v>
      </c>
      <c r="V1552">
        <v>0</v>
      </c>
      <c r="W1552">
        <v>100000</v>
      </c>
      <c r="X1552" s="1">
        <v>43982</v>
      </c>
      <c r="Y1552" t="s">
        <v>51</v>
      </c>
      <c r="Z1552" t="s">
        <v>43</v>
      </c>
      <c r="AA1552" t="s">
        <v>77</v>
      </c>
      <c r="AB1552" t="s">
        <v>158</v>
      </c>
      <c r="AC1552" t="s">
        <v>235</v>
      </c>
      <c r="AF1552" t="s">
        <v>57</v>
      </c>
      <c r="AG1552" s="1">
        <v>43836</v>
      </c>
      <c r="AH1552" t="s">
        <v>42</v>
      </c>
      <c r="AI1552" t="s">
        <v>55</v>
      </c>
      <c r="AJ1552">
        <v>12788092</v>
      </c>
      <c r="AK1552">
        <v>250000</v>
      </c>
      <c r="AL1552">
        <v>1500000</v>
      </c>
    </row>
    <row r="1553" spans="1:38" x14ac:dyDescent="0.25">
      <c r="A1553" t="s">
        <v>302</v>
      </c>
      <c r="B1553" t="s">
        <v>456</v>
      </c>
      <c r="C1553" t="s">
        <v>40</v>
      </c>
      <c r="D1553" s="1">
        <v>43547</v>
      </c>
      <c r="E1553" s="1">
        <v>43912</v>
      </c>
      <c r="F1553" t="s">
        <v>77</v>
      </c>
      <c r="G1553">
        <v>1</v>
      </c>
      <c r="H1553" t="s">
        <v>42</v>
      </c>
      <c r="I1553" t="s">
        <v>43</v>
      </c>
      <c r="J1553" t="s">
        <v>77</v>
      </c>
      <c r="K1553" t="s">
        <v>44</v>
      </c>
      <c r="L1553">
        <v>59322</v>
      </c>
      <c r="M1553" s="1">
        <v>43577</v>
      </c>
      <c r="N1553" t="s">
        <v>45</v>
      </c>
      <c r="O1553" t="s">
        <v>44</v>
      </c>
      <c r="P1553" t="s">
        <v>47</v>
      </c>
      <c r="Q1553" s="1">
        <v>43852</v>
      </c>
      <c r="R1553" t="s">
        <v>48</v>
      </c>
      <c r="S1553" t="s">
        <v>233</v>
      </c>
      <c r="T1553" t="s">
        <v>234</v>
      </c>
      <c r="U1553" t="s">
        <v>42</v>
      </c>
      <c r="V1553">
        <v>0</v>
      </c>
      <c r="W1553">
        <v>100000</v>
      </c>
      <c r="X1553" s="1">
        <v>43982</v>
      </c>
      <c r="Y1553" t="s">
        <v>51</v>
      </c>
      <c r="Z1553" t="s">
        <v>43</v>
      </c>
      <c r="AA1553" t="s">
        <v>77</v>
      </c>
      <c r="AB1553" t="s">
        <v>158</v>
      </c>
      <c r="AC1553" t="s">
        <v>235</v>
      </c>
      <c r="AF1553" t="s">
        <v>58</v>
      </c>
      <c r="AG1553" s="1">
        <v>43837</v>
      </c>
      <c r="AH1553" t="s">
        <v>42</v>
      </c>
      <c r="AI1553" t="s">
        <v>55</v>
      </c>
      <c r="AJ1553">
        <v>12788092</v>
      </c>
      <c r="AK1553">
        <v>250000</v>
      </c>
      <c r="AL1553">
        <v>1500000</v>
      </c>
    </row>
    <row r="1554" spans="1:38" x14ac:dyDescent="0.25">
      <c r="A1554" t="s">
        <v>302</v>
      </c>
      <c r="B1554" t="s">
        <v>456</v>
      </c>
      <c r="C1554" t="s">
        <v>40</v>
      </c>
      <c r="D1554" s="1">
        <v>43547</v>
      </c>
      <c r="E1554" s="1">
        <v>43912</v>
      </c>
      <c r="F1554" t="s">
        <v>77</v>
      </c>
      <c r="G1554">
        <v>1</v>
      </c>
      <c r="H1554" t="s">
        <v>42</v>
      </c>
      <c r="I1554" t="s">
        <v>43</v>
      </c>
      <c r="J1554" t="s">
        <v>77</v>
      </c>
      <c r="K1554" t="s">
        <v>44</v>
      </c>
      <c r="L1554">
        <v>59322</v>
      </c>
      <c r="M1554" s="1">
        <v>43577</v>
      </c>
      <c r="N1554" t="s">
        <v>45</v>
      </c>
      <c r="O1554" t="s">
        <v>44</v>
      </c>
      <c r="P1554" t="s">
        <v>47</v>
      </c>
      <c r="Q1554" s="1">
        <v>43852</v>
      </c>
      <c r="R1554" t="s">
        <v>48</v>
      </c>
      <c r="S1554" t="s">
        <v>233</v>
      </c>
      <c r="T1554" t="s">
        <v>234</v>
      </c>
      <c r="U1554" t="s">
        <v>42</v>
      </c>
      <c r="V1554">
        <v>0</v>
      </c>
      <c r="W1554">
        <v>100000</v>
      </c>
      <c r="X1554" s="1">
        <v>43982</v>
      </c>
      <c r="Y1554" t="s">
        <v>51</v>
      </c>
      <c r="Z1554" t="s">
        <v>43</v>
      </c>
      <c r="AA1554" t="s">
        <v>77</v>
      </c>
      <c r="AB1554" t="s">
        <v>158</v>
      </c>
      <c r="AC1554" t="s">
        <v>235</v>
      </c>
      <c r="AF1554" t="s">
        <v>59</v>
      </c>
      <c r="AG1554" s="1">
        <v>43838</v>
      </c>
      <c r="AH1554" t="s">
        <v>42</v>
      </c>
      <c r="AI1554" t="s">
        <v>55</v>
      </c>
      <c r="AJ1554">
        <v>12788092</v>
      </c>
      <c r="AK1554">
        <v>250000</v>
      </c>
      <c r="AL1554">
        <v>1500000</v>
      </c>
    </row>
    <row r="1555" spans="1:38" x14ac:dyDescent="0.25">
      <c r="A1555" t="s">
        <v>304</v>
      </c>
      <c r="B1555" t="s">
        <v>457</v>
      </c>
      <c r="C1555" t="s">
        <v>40</v>
      </c>
      <c r="D1555" s="1">
        <v>43182</v>
      </c>
      <c r="E1555" s="1">
        <v>44096</v>
      </c>
      <c r="F1555" t="s">
        <v>306</v>
      </c>
      <c r="G1555">
        <v>1</v>
      </c>
      <c r="H1555" t="s">
        <v>42</v>
      </c>
      <c r="I1555" t="s">
        <v>43</v>
      </c>
      <c r="J1555" t="s">
        <v>73</v>
      </c>
      <c r="K1555" t="s">
        <v>127</v>
      </c>
      <c r="L1555">
        <v>26763.4</v>
      </c>
      <c r="M1555" s="1">
        <v>43822</v>
      </c>
      <c r="N1555" t="s">
        <v>45</v>
      </c>
      <c r="O1555" t="s">
        <v>46</v>
      </c>
      <c r="P1555" t="s">
        <v>47</v>
      </c>
      <c r="Q1555" s="1">
        <v>43852</v>
      </c>
      <c r="R1555" t="s">
        <v>48</v>
      </c>
    </row>
    <row r="1556" spans="1:38" x14ac:dyDescent="0.25">
      <c r="A1556" t="s">
        <v>307</v>
      </c>
      <c r="B1556" t="s">
        <v>457</v>
      </c>
      <c r="C1556" t="s">
        <v>40</v>
      </c>
      <c r="D1556" s="1">
        <v>43182</v>
      </c>
      <c r="E1556" s="1">
        <v>44096</v>
      </c>
      <c r="F1556" t="s">
        <v>306</v>
      </c>
      <c r="G1556">
        <v>1</v>
      </c>
      <c r="H1556" t="s">
        <v>42</v>
      </c>
      <c r="I1556" t="s">
        <v>43</v>
      </c>
      <c r="J1556" t="s">
        <v>73</v>
      </c>
      <c r="K1556" t="s">
        <v>127</v>
      </c>
      <c r="L1556">
        <v>26763.4</v>
      </c>
      <c r="M1556" s="1">
        <v>43913</v>
      </c>
      <c r="N1556" t="s">
        <v>45</v>
      </c>
      <c r="O1556" t="s">
        <v>46</v>
      </c>
      <c r="P1556" t="s">
        <v>47</v>
      </c>
      <c r="Q1556" s="1">
        <v>43852</v>
      </c>
      <c r="R1556" t="s">
        <v>48</v>
      </c>
    </row>
    <row r="1557" spans="1:38" x14ac:dyDescent="0.25">
      <c r="A1557" t="s">
        <v>308</v>
      </c>
      <c r="B1557" t="s">
        <v>457</v>
      </c>
      <c r="C1557" t="s">
        <v>40</v>
      </c>
      <c r="D1557" s="1">
        <v>43182</v>
      </c>
      <c r="E1557" s="1">
        <v>44096</v>
      </c>
      <c r="F1557" t="s">
        <v>306</v>
      </c>
      <c r="G1557">
        <v>1</v>
      </c>
      <c r="H1557" t="s">
        <v>42</v>
      </c>
      <c r="I1557" t="s">
        <v>43</v>
      </c>
      <c r="J1557" t="s">
        <v>73</v>
      </c>
      <c r="K1557" t="s">
        <v>127</v>
      </c>
      <c r="L1557">
        <v>26763.439999999999</v>
      </c>
      <c r="M1557" s="1">
        <v>43274</v>
      </c>
      <c r="N1557" t="s">
        <v>45</v>
      </c>
      <c r="O1557" t="s">
        <v>46</v>
      </c>
      <c r="P1557" t="s">
        <v>47</v>
      </c>
      <c r="Q1557" s="1">
        <v>43852</v>
      </c>
      <c r="R1557" t="s">
        <v>48</v>
      </c>
    </row>
    <row r="1558" spans="1:38" x14ac:dyDescent="0.25">
      <c r="A1558" t="s">
        <v>309</v>
      </c>
      <c r="B1558" t="s">
        <v>457</v>
      </c>
      <c r="C1558" t="s">
        <v>40</v>
      </c>
      <c r="D1558" s="1">
        <v>43182</v>
      </c>
      <c r="E1558" s="1">
        <v>44096</v>
      </c>
      <c r="F1558" t="s">
        <v>306</v>
      </c>
      <c r="G1558">
        <v>1</v>
      </c>
      <c r="H1558" t="s">
        <v>42</v>
      </c>
      <c r="I1558" t="s">
        <v>43</v>
      </c>
      <c r="J1558" t="s">
        <v>73</v>
      </c>
      <c r="K1558" t="s">
        <v>127</v>
      </c>
      <c r="L1558">
        <v>26763.439999999999</v>
      </c>
      <c r="M1558" s="1">
        <v>43366</v>
      </c>
      <c r="N1558" t="s">
        <v>45</v>
      </c>
      <c r="O1558" t="s">
        <v>46</v>
      </c>
      <c r="P1558" t="s">
        <v>47</v>
      </c>
      <c r="Q1558" s="1">
        <v>43852</v>
      </c>
      <c r="R1558" t="s">
        <v>48</v>
      </c>
    </row>
    <row r="1559" spans="1:38" x14ac:dyDescent="0.25">
      <c r="A1559" t="s">
        <v>310</v>
      </c>
      <c r="B1559" t="s">
        <v>457</v>
      </c>
      <c r="C1559" t="s">
        <v>40</v>
      </c>
      <c r="D1559" s="1">
        <v>43182</v>
      </c>
      <c r="E1559" s="1">
        <v>44096</v>
      </c>
      <c r="F1559" t="s">
        <v>306</v>
      </c>
      <c r="G1559">
        <v>1</v>
      </c>
      <c r="H1559" t="s">
        <v>42</v>
      </c>
      <c r="I1559" t="s">
        <v>43</v>
      </c>
      <c r="J1559" t="s">
        <v>73</v>
      </c>
      <c r="K1559" t="s">
        <v>127</v>
      </c>
      <c r="L1559">
        <v>26763.439999999999</v>
      </c>
      <c r="M1559" s="1">
        <v>43457</v>
      </c>
      <c r="N1559" t="s">
        <v>45</v>
      </c>
      <c r="O1559" t="s">
        <v>46</v>
      </c>
      <c r="P1559" t="s">
        <v>47</v>
      </c>
      <c r="Q1559" s="1">
        <v>43852</v>
      </c>
      <c r="R1559" t="s">
        <v>48</v>
      </c>
    </row>
    <row r="1560" spans="1:38" x14ac:dyDescent="0.25">
      <c r="A1560" t="s">
        <v>311</v>
      </c>
      <c r="B1560" t="s">
        <v>457</v>
      </c>
      <c r="C1560" t="s">
        <v>40</v>
      </c>
      <c r="D1560" s="1">
        <v>43182</v>
      </c>
      <c r="E1560" s="1">
        <v>44096</v>
      </c>
      <c r="F1560" t="s">
        <v>306</v>
      </c>
      <c r="G1560">
        <v>1</v>
      </c>
      <c r="H1560" t="s">
        <v>42</v>
      </c>
      <c r="I1560" t="s">
        <v>43</v>
      </c>
      <c r="J1560" t="s">
        <v>73</v>
      </c>
      <c r="K1560" t="s">
        <v>127</v>
      </c>
      <c r="L1560">
        <v>26763.439999999999</v>
      </c>
      <c r="M1560" s="1">
        <v>43547</v>
      </c>
      <c r="N1560" t="s">
        <v>45</v>
      </c>
      <c r="O1560" t="s">
        <v>46</v>
      </c>
      <c r="P1560" t="s">
        <v>47</v>
      </c>
      <c r="Q1560" s="1">
        <v>43852</v>
      </c>
      <c r="R1560" t="s">
        <v>48</v>
      </c>
    </row>
    <row r="1561" spans="1:38" x14ac:dyDescent="0.25">
      <c r="A1561" t="s">
        <v>312</v>
      </c>
      <c r="B1561" t="s">
        <v>457</v>
      </c>
      <c r="C1561" t="s">
        <v>40</v>
      </c>
      <c r="D1561" s="1">
        <v>43182</v>
      </c>
      <c r="E1561" s="1">
        <v>44096</v>
      </c>
      <c r="F1561" t="s">
        <v>306</v>
      </c>
      <c r="G1561">
        <v>1</v>
      </c>
      <c r="H1561" t="s">
        <v>42</v>
      </c>
      <c r="I1561" t="s">
        <v>43</v>
      </c>
      <c r="J1561" t="s">
        <v>73</v>
      </c>
      <c r="K1561" t="s">
        <v>127</v>
      </c>
      <c r="L1561">
        <v>26763.439999999999</v>
      </c>
      <c r="M1561" s="1">
        <v>43639</v>
      </c>
      <c r="N1561" t="s">
        <v>45</v>
      </c>
      <c r="O1561" t="s">
        <v>46</v>
      </c>
      <c r="P1561" t="s">
        <v>47</v>
      </c>
      <c r="Q1561" s="1">
        <v>43852</v>
      </c>
      <c r="R1561" t="s">
        <v>48</v>
      </c>
    </row>
    <row r="1562" spans="1:38" x14ac:dyDescent="0.25">
      <c r="A1562" t="s">
        <v>458</v>
      </c>
      <c r="B1562" t="s">
        <v>457</v>
      </c>
      <c r="C1562" t="s">
        <v>40</v>
      </c>
      <c r="D1562" s="1">
        <v>43182</v>
      </c>
      <c r="E1562" s="1">
        <v>44096</v>
      </c>
      <c r="F1562" t="s">
        <v>306</v>
      </c>
      <c r="G1562">
        <v>1</v>
      </c>
      <c r="H1562" t="s">
        <v>42</v>
      </c>
      <c r="I1562" t="s">
        <v>43</v>
      </c>
      <c r="J1562" t="s">
        <v>73</v>
      </c>
      <c r="K1562" t="s">
        <v>127</v>
      </c>
      <c r="L1562">
        <v>26763.439999999999</v>
      </c>
      <c r="M1562" s="1">
        <v>43731</v>
      </c>
      <c r="N1562" t="s">
        <v>45</v>
      </c>
      <c r="O1562" t="s">
        <v>46</v>
      </c>
      <c r="P1562" t="s">
        <v>47</v>
      </c>
      <c r="Q1562" s="1">
        <v>43852</v>
      </c>
      <c r="R1562" t="s">
        <v>48</v>
      </c>
    </row>
    <row r="1563" spans="1:38" x14ac:dyDescent="0.25">
      <c r="A1563" t="s">
        <v>458</v>
      </c>
      <c r="B1563" t="s">
        <v>457</v>
      </c>
      <c r="C1563" t="s">
        <v>40</v>
      </c>
      <c r="D1563" s="1">
        <v>43182</v>
      </c>
      <c r="E1563" s="1">
        <v>44096</v>
      </c>
      <c r="F1563" t="s">
        <v>306</v>
      </c>
      <c r="G1563">
        <v>1</v>
      </c>
      <c r="H1563" t="s">
        <v>42</v>
      </c>
      <c r="I1563" t="s">
        <v>43</v>
      </c>
      <c r="J1563" t="s">
        <v>73</v>
      </c>
      <c r="K1563" t="s">
        <v>127</v>
      </c>
      <c r="L1563">
        <v>39440.839999999997</v>
      </c>
      <c r="M1563" s="1">
        <v>43182</v>
      </c>
      <c r="N1563" t="s">
        <v>45</v>
      </c>
      <c r="O1563" t="s">
        <v>46</v>
      </c>
      <c r="P1563" t="s">
        <v>47</v>
      </c>
      <c r="Q1563" s="1">
        <v>43852</v>
      </c>
      <c r="R1563" t="s">
        <v>48</v>
      </c>
    </row>
    <row r="1564" spans="1:38" x14ac:dyDescent="0.25">
      <c r="A1564" t="s">
        <v>458</v>
      </c>
      <c r="B1564" t="s">
        <v>459</v>
      </c>
      <c r="C1564" t="s">
        <v>40</v>
      </c>
      <c r="D1564" s="1">
        <v>43321</v>
      </c>
      <c r="E1564" s="1">
        <v>44416</v>
      </c>
      <c r="F1564" t="s">
        <v>306</v>
      </c>
      <c r="G1564">
        <v>1</v>
      </c>
      <c r="H1564" t="s">
        <v>42</v>
      </c>
      <c r="I1564" t="s">
        <v>43</v>
      </c>
      <c r="J1564" t="s">
        <v>73</v>
      </c>
      <c r="K1564" t="s">
        <v>127</v>
      </c>
      <c r="L1564">
        <v>14274.76</v>
      </c>
      <c r="M1564" s="1">
        <v>43778</v>
      </c>
      <c r="N1564" t="s">
        <v>45</v>
      </c>
      <c r="O1564" t="s">
        <v>46</v>
      </c>
      <c r="P1564" t="s">
        <v>47</v>
      </c>
      <c r="Q1564" s="1">
        <v>43852</v>
      </c>
      <c r="R1564" t="s">
        <v>48</v>
      </c>
    </row>
    <row r="1565" spans="1:38" x14ac:dyDescent="0.25">
      <c r="A1565" t="s">
        <v>458</v>
      </c>
      <c r="B1565" t="s">
        <v>459</v>
      </c>
      <c r="C1565" t="s">
        <v>40</v>
      </c>
      <c r="D1565" s="1">
        <v>43321</v>
      </c>
      <c r="E1565" s="1">
        <v>44416</v>
      </c>
      <c r="F1565" t="s">
        <v>306</v>
      </c>
      <c r="G1565">
        <v>1</v>
      </c>
      <c r="H1565" t="s">
        <v>42</v>
      </c>
      <c r="I1565" t="s">
        <v>43</v>
      </c>
      <c r="J1565" t="s">
        <v>73</v>
      </c>
      <c r="K1565" t="s">
        <v>127</v>
      </c>
      <c r="L1565">
        <v>14274.76</v>
      </c>
      <c r="M1565" s="1">
        <v>43870</v>
      </c>
      <c r="N1565" t="s">
        <v>45</v>
      </c>
      <c r="O1565" t="s">
        <v>46</v>
      </c>
      <c r="P1565" t="s">
        <v>47</v>
      </c>
      <c r="Q1565" s="1">
        <v>43852</v>
      </c>
      <c r="R1565" t="s">
        <v>48</v>
      </c>
    </row>
    <row r="1566" spans="1:38" x14ac:dyDescent="0.25">
      <c r="A1566" t="s">
        <v>458</v>
      </c>
      <c r="B1566" t="s">
        <v>459</v>
      </c>
      <c r="C1566" t="s">
        <v>40</v>
      </c>
      <c r="D1566" s="1">
        <v>43321</v>
      </c>
      <c r="E1566" s="1">
        <v>44416</v>
      </c>
      <c r="F1566" t="s">
        <v>306</v>
      </c>
      <c r="G1566">
        <v>1</v>
      </c>
      <c r="H1566" t="s">
        <v>42</v>
      </c>
      <c r="I1566" t="s">
        <v>43</v>
      </c>
      <c r="J1566" t="s">
        <v>73</v>
      </c>
      <c r="K1566" t="s">
        <v>127</v>
      </c>
      <c r="L1566">
        <v>14274.76</v>
      </c>
      <c r="M1566" s="1">
        <v>43960</v>
      </c>
      <c r="N1566" t="s">
        <v>45</v>
      </c>
      <c r="O1566" t="s">
        <v>46</v>
      </c>
      <c r="P1566" t="s">
        <v>47</v>
      </c>
      <c r="Q1566" s="1">
        <v>43852</v>
      </c>
      <c r="R1566" t="s">
        <v>48</v>
      </c>
    </row>
    <row r="1567" spans="1:38" x14ac:dyDescent="0.25">
      <c r="A1567" t="s">
        <v>458</v>
      </c>
      <c r="B1567" t="s">
        <v>459</v>
      </c>
      <c r="C1567" t="s">
        <v>40</v>
      </c>
      <c r="D1567" s="1">
        <v>43321</v>
      </c>
      <c r="E1567" s="1">
        <v>44416</v>
      </c>
      <c r="F1567" t="s">
        <v>306</v>
      </c>
      <c r="G1567">
        <v>1</v>
      </c>
      <c r="H1567" t="s">
        <v>42</v>
      </c>
      <c r="I1567" t="s">
        <v>43</v>
      </c>
      <c r="J1567" t="s">
        <v>73</v>
      </c>
      <c r="K1567" t="s">
        <v>127</v>
      </c>
      <c r="L1567">
        <v>14274.76</v>
      </c>
      <c r="M1567" s="1">
        <v>44052</v>
      </c>
      <c r="N1567" t="s">
        <v>45</v>
      </c>
      <c r="O1567" t="s">
        <v>46</v>
      </c>
      <c r="P1567" t="s">
        <v>47</v>
      </c>
      <c r="Q1567" s="1">
        <v>43852</v>
      </c>
      <c r="R1567" t="s">
        <v>48</v>
      </c>
    </row>
    <row r="1568" spans="1:38" x14ac:dyDescent="0.25">
      <c r="A1568" t="s">
        <v>458</v>
      </c>
      <c r="B1568" t="s">
        <v>459</v>
      </c>
      <c r="C1568" t="s">
        <v>40</v>
      </c>
      <c r="D1568" s="1">
        <v>43321</v>
      </c>
      <c r="E1568" s="1">
        <v>44416</v>
      </c>
      <c r="F1568" t="s">
        <v>306</v>
      </c>
      <c r="G1568">
        <v>1</v>
      </c>
      <c r="H1568" t="s">
        <v>42</v>
      </c>
      <c r="I1568" t="s">
        <v>43</v>
      </c>
      <c r="J1568" t="s">
        <v>73</v>
      </c>
      <c r="K1568" t="s">
        <v>127</v>
      </c>
      <c r="L1568">
        <v>14274.76</v>
      </c>
      <c r="M1568" s="1">
        <v>44144</v>
      </c>
      <c r="N1568" t="s">
        <v>45</v>
      </c>
      <c r="O1568" t="s">
        <v>46</v>
      </c>
      <c r="P1568" t="s">
        <v>47</v>
      </c>
      <c r="Q1568" s="1">
        <v>43852</v>
      </c>
      <c r="R1568" t="s">
        <v>48</v>
      </c>
    </row>
    <row r="1569" spans="1:18" x14ac:dyDescent="0.25">
      <c r="A1569" t="s">
        <v>458</v>
      </c>
      <c r="B1569" t="s">
        <v>459</v>
      </c>
      <c r="C1569" t="s">
        <v>40</v>
      </c>
      <c r="D1569" s="1">
        <v>43321</v>
      </c>
      <c r="E1569" s="1">
        <v>44416</v>
      </c>
      <c r="F1569" t="s">
        <v>306</v>
      </c>
      <c r="G1569">
        <v>1</v>
      </c>
      <c r="H1569" t="s">
        <v>42</v>
      </c>
      <c r="I1569" t="s">
        <v>43</v>
      </c>
      <c r="J1569" t="s">
        <v>73</v>
      </c>
      <c r="K1569" t="s">
        <v>127</v>
      </c>
      <c r="L1569">
        <v>14274.76</v>
      </c>
      <c r="M1569" s="1">
        <v>44236</v>
      </c>
      <c r="N1569" t="s">
        <v>45</v>
      </c>
      <c r="O1569" t="s">
        <v>46</v>
      </c>
      <c r="P1569" t="s">
        <v>47</v>
      </c>
      <c r="Q1569" s="1">
        <v>43852</v>
      </c>
      <c r="R1569" t="s">
        <v>48</v>
      </c>
    </row>
    <row r="1570" spans="1:18" x14ac:dyDescent="0.25">
      <c r="A1570" t="s">
        <v>458</v>
      </c>
      <c r="B1570" t="s">
        <v>459</v>
      </c>
      <c r="C1570" t="s">
        <v>40</v>
      </c>
      <c r="D1570" s="1">
        <v>43321</v>
      </c>
      <c r="E1570" s="1">
        <v>44416</v>
      </c>
      <c r="F1570" t="s">
        <v>306</v>
      </c>
      <c r="G1570">
        <v>1</v>
      </c>
      <c r="H1570" t="s">
        <v>42</v>
      </c>
      <c r="I1570" t="s">
        <v>43</v>
      </c>
      <c r="J1570" t="s">
        <v>73</v>
      </c>
      <c r="K1570" t="s">
        <v>127</v>
      </c>
      <c r="L1570">
        <v>14274.76</v>
      </c>
      <c r="M1570" s="1">
        <v>43505</v>
      </c>
      <c r="N1570" t="s">
        <v>45</v>
      </c>
      <c r="O1570" t="s">
        <v>46</v>
      </c>
      <c r="P1570" t="s">
        <v>47</v>
      </c>
      <c r="Q1570" s="1">
        <v>43852</v>
      </c>
      <c r="R1570" t="s">
        <v>48</v>
      </c>
    </row>
    <row r="1571" spans="1:18" x14ac:dyDescent="0.25">
      <c r="A1571" t="s">
        <v>458</v>
      </c>
      <c r="B1571" t="s">
        <v>459</v>
      </c>
      <c r="C1571" t="s">
        <v>40</v>
      </c>
      <c r="D1571" s="1">
        <v>43321</v>
      </c>
      <c r="E1571" s="1">
        <v>44416</v>
      </c>
      <c r="F1571" t="s">
        <v>306</v>
      </c>
      <c r="G1571">
        <v>1</v>
      </c>
      <c r="H1571" t="s">
        <v>42</v>
      </c>
      <c r="I1571" t="s">
        <v>43</v>
      </c>
      <c r="J1571" t="s">
        <v>73</v>
      </c>
      <c r="K1571" t="s">
        <v>127</v>
      </c>
      <c r="L1571">
        <v>14274.76</v>
      </c>
      <c r="M1571" s="1">
        <v>43594</v>
      </c>
      <c r="N1571" t="s">
        <v>45</v>
      </c>
      <c r="O1571" t="s">
        <v>46</v>
      </c>
      <c r="P1571" t="s">
        <v>47</v>
      </c>
      <c r="Q1571" s="1">
        <v>43852</v>
      </c>
      <c r="R1571" t="s">
        <v>48</v>
      </c>
    </row>
    <row r="1572" spans="1:18" x14ac:dyDescent="0.25">
      <c r="A1572" t="s">
        <v>458</v>
      </c>
      <c r="B1572" t="s">
        <v>459</v>
      </c>
      <c r="C1572" t="s">
        <v>40</v>
      </c>
      <c r="D1572" s="1">
        <v>43321</v>
      </c>
      <c r="E1572" s="1">
        <v>44416</v>
      </c>
      <c r="F1572" t="s">
        <v>306</v>
      </c>
      <c r="G1572">
        <v>1</v>
      </c>
      <c r="H1572" t="s">
        <v>42</v>
      </c>
      <c r="I1572" t="s">
        <v>43</v>
      </c>
      <c r="J1572" t="s">
        <v>73</v>
      </c>
      <c r="K1572" t="s">
        <v>127</v>
      </c>
      <c r="L1572">
        <v>14274.76</v>
      </c>
      <c r="M1572" s="1">
        <v>43686</v>
      </c>
      <c r="N1572" t="s">
        <v>45</v>
      </c>
      <c r="O1572" t="s">
        <v>46</v>
      </c>
      <c r="P1572" t="s">
        <v>47</v>
      </c>
      <c r="Q1572" s="1">
        <v>43852</v>
      </c>
      <c r="R1572" t="s">
        <v>48</v>
      </c>
    </row>
    <row r="1573" spans="1:18" x14ac:dyDescent="0.25">
      <c r="A1573" t="s">
        <v>458</v>
      </c>
      <c r="B1573" t="s">
        <v>459</v>
      </c>
      <c r="C1573" t="s">
        <v>40</v>
      </c>
      <c r="D1573" s="1">
        <v>43321</v>
      </c>
      <c r="E1573" s="1">
        <v>44416</v>
      </c>
      <c r="F1573" t="s">
        <v>306</v>
      </c>
      <c r="G1573">
        <v>1</v>
      </c>
      <c r="H1573" t="s">
        <v>42</v>
      </c>
      <c r="I1573" t="s">
        <v>43</v>
      </c>
      <c r="J1573" t="s">
        <v>73</v>
      </c>
      <c r="K1573" t="s">
        <v>127</v>
      </c>
      <c r="L1573">
        <v>14274.8</v>
      </c>
      <c r="M1573" s="1">
        <v>43413</v>
      </c>
      <c r="N1573" t="s">
        <v>45</v>
      </c>
      <c r="O1573" t="s">
        <v>46</v>
      </c>
      <c r="P1573" t="s">
        <v>47</v>
      </c>
      <c r="Q1573" s="1">
        <v>43852</v>
      </c>
      <c r="R1573" t="s">
        <v>48</v>
      </c>
    </row>
    <row r="1574" spans="1:18" x14ac:dyDescent="0.25">
      <c r="A1574" t="s">
        <v>458</v>
      </c>
      <c r="B1574" t="s">
        <v>459</v>
      </c>
      <c r="C1574" t="s">
        <v>40</v>
      </c>
      <c r="D1574" s="1">
        <v>43321</v>
      </c>
      <c r="E1574" s="1">
        <v>44416</v>
      </c>
      <c r="F1574" t="s">
        <v>306</v>
      </c>
      <c r="G1574">
        <v>1</v>
      </c>
      <c r="H1574" t="s">
        <v>42</v>
      </c>
      <c r="I1574" t="s">
        <v>43</v>
      </c>
      <c r="J1574" t="s">
        <v>73</v>
      </c>
      <c r="K1574" t="s">
        <v>127</v>
      </c>
      <c r="L1574">
        <v>22539.08</v>
      </c>
      <c r="M1574" s="1">
        <v>43321</v>
      </c>
      <c r="N1574" t="s">
        <v>45</v>
      </c>
      <c r="O1574" t="s">
        <v>46</v>
      </c>
      <c r="P1574" t="s">
        <v>47</v>
      </c>
      <c r="Q1574" s="1">
        <v>43852</v>
      </c>
      <c r="R1574" t="s">
        <v>48</v>
      </c>
    </row>
    <row r="1575" spans="1:18" x14ac:dyDescent="0.25">
      <c r="A1575" t="s">
        <v>458</v>
      </c>
      <c r="B1575" t="s">
        <v>460</v>
      </c>
      <c r="C1575" t="s">
        <v>40</v>
      </c>
      <c r="D1575" s="1">
        <v>43447</v>
      </c>
      <c r="E1575" s="1">
        <v>44359</v>
      </c>
      <c r="F1575" t="s">
        <v>306</v>
      </c>
      <c r="G1575">
        <v>1</v>
      </c>
      <c r="H1575" t="s">
        <v>42</v>
      </c>
      <c r="I1575" t="s">
        <v>43</v>
      </c>
      <c r="J1575" t="s">
        <v>73</v>
      </c>
      <c r="K1575" t="s">
        <v>127</v>
      </c>
      <c r="L1575">
        <v>24072.23</v>
      </c>
      <c r="M1575" s="1">
        <v>43812</v>
      </c>
      <c r="N1575" t="s">
        <v>45</v>
      </c>
      <c r="O1575" t="s">
        <v>46</v>
      </c>
      <c r="P1575" t="s">
        <v>47</v>
      </c>
      <c r="Q1575" s="1">
        <v>43852</v>
      </c>
      <c r="R1575" t="s">
        <v>48</v>
      </c>
    </row>
    <row r="1576" spans="1:18" x14ac:dyDescent="0.25">
      <c r="A1576" t="s">
        <v>458</v>
      </c>
      <c r="B1576" t="s">
        <v>460</v>
      </c>
      <c r="C1576" t="s">
        <v>40</v>
      </c>
      <c r="D1576" s="1">
        <v>43447</v>
      </c>
      <c r="E1576" s="1">
        <v>44359</v>
      </c>
      <c r="F1576" t="s">
        <v>306</v>
      </c>
      <c r="G1576">
        <v>1</v>
      </c>
      <c r="H1576" t="s">
        <v>42</v>
      </c>
      <c r="I1576" t="s">
        <v>43</v>
      </c>
      <c r="J1576" t="s">
        <v>73</v>
      </c>
      <c r="K1576" t="s">
        <v>127</v>
      </c>
      <c r="L1576">
        <v>24072.23</v>
      </c>
      <c r="M1576" s="1">
        <v>43903</v>
      </c>
      <c r="N1576" t="s">
        <v>45</v>
      </c>
      <c r="O1576" t="s">
        <v>46</v>
      </c>
      <c r="P1576" t="s">
        <v>47</v>
      </c>
      <c r="Q1576" s="1">
        <v>43852</v>
      </c>
      <c r="R1576" t="s">
        <v>48</v>
      </c>
    </row>
    <row r="1577" spans="1:18" x14ac:dyDescent="0.25">
      <c r="A1577" t="s">
        <v>458</v>
      </c>
      <c r="B1577" t="s">
        <v>460</v>
      </c>
      <c r="C1577" t="s">
        <v>40</v>
      </c>
      <c r="D1577" s="1">
        <v>43447</v>
      </c>
      <c r="E1577" s="1">
        <v>44359</v>
      </c>
      <c r="F1577" t="s">
        <v>306</v>
      </c>
      <c r="G1577">
        <v>1</v>
      </c>
      <c r="H1577" t="s">
        <v>42</v>
      </c>
      <c r="I1577" t="s">
        <v>43</v>
      </c>
      <c r="J1577" t="s">
        <v>73</v>
      </c>
      <c r="K1577" t="s">
        <v>127</v>
      </c>
      <c r="L1577">
        <v>24072.23</v>
      </c>
      <c r="M1577" s="1">
        <v>43995</v>
      </c>
      <c r="N1577" t="s">
        <v>45</v>
      </c>
      <c r="O1577" t="s">
        <v>46</v>
      </c>
      <c r="P1577" t="s">
        <v>47</v>
      </c>
      <c r="Q1577" s="1">
        <v>43852</v>
      </c>
      <c r="R1577" t="s">
        <v>48</v>
      </c>
    </row>
    <row r="1578" spans="1:18" x14ac:dyDescent="0.25">
      <c r="A1578" t="s">
        <v>458</v>
      </c>
      <c r="B1578" t="s">
        <v>460</v>
      </c>
      <c r="C1578" t="s">
        <v>40</v>
      </c>
      <c r="D1578" s="1">
        <v>43447</v>
      </c>
      <c r="E1578" s="1">
        <v>44359</v>
      </c>
      <c r="F1578" t="s">
        <v>306</v>
      </c>
      <c r="G1578">
        <v>1</v>
      </c>
      <c r="H1578" t="s">
        <v>42</v>
      </c>
      <c r="I1578" t="s">
        <v>43</v>
      </c>
      <c r="J1578" t="s">
        <v>73</v>
      </c>
      <c r="K1578" t="s">
        <v>127</v>
      </c>
      <c r="L1578">
        <v>24072.23</v>
      </c>
      <c r="M1578" s="1">
        <v>44087</v>
      </c>
      <c r="N1578" t="s">
        <v>45</v>
      </c>
      <c r="O1578" t="s">
        <v>46</v>
      </c>
      <c r="P1578" t="s">
        <v>47</v>
      </c>
      <c r="Q1578" s="1">
        <v>43852</v>
      </c>
      <c r="R1578" t="s">
        <v>48</v>
      </c>
    </row>
    <row r="1579" spans="1:18" x14ac:dyDescent="0.25">
      <c r="A1579" t="s">
        <v>458</v>
      </c>
      <c r="B1579" t="s">
        <v>460</v>
      </c>
      <c r="C1579" t="s">
        <v>40</v>
      </c>
      <c r="D1579" s="1">
        <v>43447</v>
      </c>
      <c r="E1579" s="1">
        <v>44359</v>
      </c>
      <c r="F1579" t="s">
        <v>306</v>
      </c>
      <c r="G1579">
        <v>1</v>
      </c>
      <c r="H1579" t="s">
        <v>42</v>
      </c>
      <c r="I1579" t="s">
        <v>43</v>
      </c>
      <c r="J1579" t="s">
        <v>73</v>
      </c>
      <c r="K1579" t="s">
        <v>127</v>
      </c>
      <c r="L1579">
        <v>24072.23</v>
      </c>
      <c r="M1579" s="1">
        <v>44178</v>
      </c>
      <c r="N1579" t="s">
        <v>45</v>
      </c>
      <c r="O1579" t="s">
        <v>46</v>
      </c>
      <c r="P1579" t="s">
        <v>47</v>
      </c>
      <c r="Q1579" s="1">
        <v>43852</v>
      </c>
      <c r="R1579" t="s">
        <v>48</v>
      </c>
    </row>
    <row r="1580" spans="1:18" x14ac:dyDescent="0.25">
      <c r="A1580" t="s">
        <v>458</v>
      </c>
      <c r="B1580" t="s">
        <v>460</v>
      </c>
      <c r="C1580" t="s">
        <v>40</v>
      </c>
      <c r="D1580" s="1">
        <v>43447</v>
      </c>
      <c r="E1580" s="1">
        <v>44359</v>
      </c>
      <c r="F1580" t="s">
        <v>306</v>
      </c>
      <c r="G1580">
        <v>1</v>
      </c>
      <c r="H1580" t="s">
        <v>42</v>
      </c>
      <c r="I1580" t="s">
        <v>43</v>
      </c>
      <c r="J1580" t="s">
        <v>73</v>
      </c>
      <c r="K1580" t="s">
        <v>127</v>
      </c>
      <c r="L1580">
        <v>24072.23</v>
      </c>
      <c r="M1580" s="1">
        <v>43629</v>
      </c>
      <c r="N1580" t="s">
        <v>45</v>
      </c>
      <c r="O1580" t="s">
        <v>46</v>
      </c>
      <c r="P1580" t="s">
        <v>47</v>
      </c>
      <c r="Q1580" s="1">
        <v>43852</v>
      </c>
      <c r="R1580" t="s">
        <v>48</v>
      </c>
    </row>
    <row r="1581" spans="1:18" x14ac:dyDescent="0.25">
      <c r="A1581" t="s">
        <v>458</v>
      </c>
      <c r="B1581" t="s">
        <v>460</v>
      </c>
      <c r="C1581" t="s">
        <v>40</v>
      </c>
      <c r="D1581" s="1">
        <v>43447</v>
      </c>
      <c r="E1581" s="1">
        <v>44359</v>
      </c>
      <c r="F1581" t="s">
        <v>306</v>
      </c>
      <c r="G1581">
        <v>1</v>
      </c>
      <c r="H1581" t="s">
        <v>42</v>
      </c>
      <c r="I1581" t="s">
        <v>43</v>
      </c>
      <c r="J1581" t="s">
        <v>73</v>
      </c>
      <c r="K1581" t="s">
        <v>127</v>
      </c>
      <c r="L1581">
        <v>24072.23</v>
      </c>
      <c r="M1581" s="1">
        <v>43721</v>
      </c>
      <c r="N1581" t="s">
        <v>45</v>
      </c>
      <c r="O1581" t="s">
        <v>46</v>
      </c>
      <c r="P1581" t="s">
        <v>47</v>
      </c>
      <c r="Q1581" s="1">
        <v>43852</v>
      </c>
      <c r="R1581" t="s">
        <v>48</v>
      </c>
    </row>
    <row r="1582" spans="1:18" x14ac:dyDescent="0.25">
      <c r="A1582" t="s">
        <v>458</v>
      </c>
      <c r="B1582" t="s">
        <v>460</v>
      </c>
      <c r="C1582" t="s">
        <v>40</v>
      </c>
      <c r="D1582" s="1">
        <v>43447</v>
      </c>
      <c r="E1582" s="1">
        <v>44359</v>
      </c>
      <c r="F1582" t="s">
        <v>306</v>
      </c>
      <c r="G1582">
        <v>1</v>
      </c>
      <c r="H1582" t="s">
        <v>42</v>
      </c>
      <c r="I1582" t="s">
        <v>43</v>
      </c>
      <c r="J1582" t="s">
        <v>73</v>
      </c>
      <c r="K1582" t="s">
        <v>127</v>
      </c>
      <c r="L1582">
        <v>24072.26</v>
      </c>
      <c r="M1582" s="1">
        <v>43537</v>
      </c>
      <c r="N1582" t="s">
        <v>45</v>
      </c>
      <c r="O1582" t="s">
        <v>46</v>
      </c>
      <c r="P1582" t="s">
        <v>47</v>
      </c>
      <c r="Q1582" s="1">
        <v>43852</v>
      </c>
      <c r="R1582" t="s">
        <v>48</v>
      </c>
    </row>
    <row r="1583" spans="1:18" x14ac:dyDescent="0.25">
      <c r="A1583" t="s">
        <v>458</v>
      </c>
      <c r="B1583" t="s">
        <v>460</v>
      </c>
      <c r="C1583" t="s">
        <v>40</v>
      </c>
      <c r="D1583" s="1">
        <v>43447</v>
      </c>
      <c r="E1583" s="1">
        <v>44359</v>
      </c>
      <c r="F1583" t="s">
        <v>306</v>
      </c>
      <c r="G1583">
        <v>1</v>
      </c>
      <c r="H1583" t="s">
        <v>42</v>
      </c>
      <c r="I1583" t="s">
        <v>43</v>
      </c>
      <c r="J1583" t="s">
        <v>73</v>
      </c>
      <c r="K1583" t="s">
        <v>127</v>
      </c>
      <c r="L1583">
        <v>35521.53</v>
      </c>
      <c r="M1583" s="1">
        <v>43447</v>
      </c>
      <c r="N1583" t="s">
        <v>45</v>
      </c>
      <c r="O1583" t="s">
        <v>46</v>
      </c>
      <c r="P1583" t="s">
        <v>47</v>
      </c>
      <c r="Q1583" s="1">
        <v>43852</v>
      </c>
      <c r="R1583" t="s">
        <v>48</v>
      </c>
    </row>
    <row r="1584" spans="1:18" x14ac:dyDescent="0.25">
      <c r="A1584" t="s">
        <v>458</v>
      </c>
      <c r="B1584" t="s">
        <v>461</v>
      </c>
      <c r="C1584" t="s">
        <v>40</v>
      </c>
      <c r="D1584" s="1">
        <v>43445</v>
      </c>
      <c r="E1584" s="1">
        <v>44357</v>
      </c>
      <c r="F1584" t="s">
        <v>306</v>
      </c>
      <c r="G1584">
        <v>1</v>
      </c>
      <c r="H1584" t="s">
        <v>42</v>
      </c>
      <c r="I1584" t="s">
        <v>43</v>
      </c>
      <c r="J1584" t="s">
        <v>73</v>
      </c>
      <c r="K1584" t="s">
        <v>127</v>
      </c>
      <c r="L1584">
        <v>31816.79</v>
      </c>
      <c r="M1584" s="1">
        <v>43810</v>
      </c>
      <c r="N1584" t="s">
        <v>45</v>
      </c>
      <c r="O1584" t="s">
        <v>46</v>
      </c>
      <c r="P1584" t="s">
        <v>47</v>
      </c>
      <c r="Q1584" s="1">
        <v>43852</v>
      </c>
      <c r="R1584" t="s">
        <v>48</v>
      </c>
    </row>
    <row r="1585" spans="1:18" x14ac:dyDescent="0.25">
      <c r="A1585" t="s">
        <v>458</v>
      </c>
      <c r="B1585" t="s">
        <v>461</v>
      </c>
      <c r="C1585" t="s">
        <v>40</v>
      </c>
      <c r="D1585" s="1">
        <v>43445</v>
      </c>
      <c r="E1585" s="1">
        <v>44357</v>
      </c>
      <c r="F1585" t="s">
        <v>306</v>
      </c>
      <c r="G1585">
        <v>1</v>
      </c>
      <c r="H1585" t="s">
        <v>42</v>
      </c>
      <c r="I1585" t="s">
        <v>43</v>
      </c>
      <c r="J1585" t="s">
        <v>73</v>
      </c>
      <c r="K1585" t="s">
        <v>127</v>
      </c>
      <c r="L1585">
        <v>31816.79</v>
      </c>
      <c r="M1585" s="1">
        <v>43901</v>
      </c>
      <c r="N1585" t="s">
        <v>45</v>
      </c>
      <c r="O1585" t="s">
        <v>46</v>
      </c>
      <c r="P1585" t="s">
        <v>47</v>
      </c>
      <c r="Q1585" s="1">
        <v>43852</v>
      </c>
      <c r="R1585" t="s">
        <v>48</v>
      </c>
    </row>
    <row r="1586" spans="1:18" x14ac:dyDescent="0.25">
      <c r="A1586" t="s">
        <v>458</v>
      </c>
      <c r="B1586" t="s">
        <v>461</v>
      </c>
      <c r="C1586" t="s">
        <v>40</v>
      </c>
      <c r="D1586" s="1">
        <v>43445</v>
      </c>
      <c r="E1586" s="1">
        <v>44357</v>
      </c>
      <c r="F1586" t="s">
        <v>306</v>
      </c>
      <c r="G1586">
        <v>1</v>
      </c>
      <c r="H1586" t="s">
        <v>42</v>
      </c>
      <c r="I1586" t="s">
        <v>43</v>
      </c>
      <c r="J1586" t="s">
        <v>73</v>
      </c>
      <c r="K1586" t="s">
        <v>127</v>
      </c>
      <c r="L1586">
        <v>31816.79</v>
      </c>
      <c r="M1586" s="1">
        <v>43993</v>
      </c>
      <c r="N1586" t="s">
        <v>45</v>
      </c>
      <c r="O1586" t="s">
        <v>46</v>
      </c>
      <c r="P1586" t="s">
        <v>47</v>
      </c>
      <c r="Q1586" s="1">
        <v>43852</v>
      </c>
      <c r="R1586" t="s">
        <v>48</v>
      </c>
    </row>
    <row r="1587" spans="1:18" x14ac:dyDescent="0.25">
      <c r="A1587" t="s">
        <v>458</v>
      </c>
      <c r="B1587" t="s">
        <v>461</v>
      </c>
      <c r="C1587" t="s">
        <v>40</v>
      </c>
      <c r="D1587" s="1">
        <v>43445</v>
      </c>
      <c r="E1587" s="1">
        <v>44357</v>
      </c>
      <c r="F1587" t="s">
        <v>306</v>
      </c>
      <c r="G1587">
        <v>1</v>
      </c>
      <c r="H1587" t="s">
        <v>42</v>
      </c>
      <c r="I1587" t="s">
        <v>43</v>
      </c>
      <c r="J1587" t="s">
        <v>73</v>
      </c>
      <c r="K1587" t="s">
        <v>127</v>
      </c>
      <c r="L1587">
        <v>31816.79</v>
      </c>
      <c r="M1587" s="1">
        <v>44085</v>
      </c>
      <c r="N1587" t="s">
        <v>45</v>
      </c>
      <c r="O1587" t="s">
        <v>46</v>
      </c>
      <c r="P1587" t="s">
        <v>47</v>
      </c>
      <c r="Q1587" s="1">
        <v>43852</v>
      </c>
      <c r="R1587" t="s">
        <v>48</v>
      </c>
    </row>
    <row r="1588" spans="1:18" x14ac:dyDescent="0.25">
      <c r="A1588" t="s">
        <v>458</v>
      </c>
      <c r="B1588" t="s">
        <v>461</v>
      </c>
      <c r="C1588" t="s">
        <v>40</v>
      </c>
      <c r="D1588" s="1">
        <v>43445</v>
      </c>
      <c r="E1588" s="1">
        <v>44357</v>
      </c>
      <c r="F1588" t="s">
        <v>306</v>
      </c>
      <c r="G1588">
        <v>1</v>
      </c>
      <c r="H1588" t="s">
        <v>42</v>
      </c>
      <c r="I1588" t="s">
        <v>43</v>
      </c>
      <c r="J1588" t="s">
        <v>73</v>
      </c>
      <c r="K1588" t="s">
        <v>127</v>
      </c>
      <c r="L1588">
        <v>31816.79</v>
      </c>
      <c r="M1588" s="1">
        <v>44176</v>
      </c>
      <c r="N1588" t="s">
        <v>45</v>
      </c>
      <c r="O1588" t="s">
        <v>46</v>
      </c>
      <c r="P1588" t="s">
        <v>47</v>
      </c>
      <c r="Q1588" s="1">
        <v>43852</v>
      </c>
      <c r="R1588" t="s">
        <v>48</v>
      </c>
    </row>
    <row r="1589" spans="1:18" x14ac:dyDescent="0.25">
      <c r="A1589" t="s">
        <v>458</v>
      </c>
      <c r="B1589" t="s">
        <v>461</v>
      </c>
      <c r="C1589" t="s">
        <v>40</v>
      </c>
      <c r="D1589" s="1">
        <v>43445</v>
      </c>
      <c r="E1589" s="1">
        <v>44357</v>
      </c>
      <c r="F1589" t="s">
        <v>306</v>
      </c>
      <c r="G1589">
        <v>1</v>
      </c>
      <c r="H1589" t="s">
        <v>42</v>
      </c>
      <c r="I1589" t="s">
        <v>43</v>
      </c>
      <c r="J1589" t="s">
        <v>73</v>
      </c>
      <c r="K1589" t="s">
        <v>127</v>
      </c>
      <c r="L1589">
        <v>31816.79</v>
      </c>
      <c r="M1589" s="1">
        <v>43719</v>
      </c>
      <c r="N1589" t="s">
        <v>45</v>
      </c>
      <c r="O1589" t="s">
        <v>46</v>
      </c>
      <c r="P1589" t="s">
        <v>47</v>
      </c>
      <c r="Q1589" s="1">
        <v>43852</v>
      </c>
      <c r="R1589" t="s">
        <v>48</v>
      </c>
    </row>
    <row r="1590" spans="1:18" x14ac:dyDescent="0.25">
      <c r="A1590" t="s">
        <v>458</v>
      </c>
      <c r="B1590" t="s">
        <v>461</v>
      </c>
      <c r="C1590" t="s">
        <v>40</v>
      </c>
      <c r="D1590" s="1">
        <v>43445</v>
      </c>
      <c r="E1590" s="1">
        <v>44357</v>
      </c>
      <c r="F1590" t="s">
        <v>306</v>
      </c>
      <c r="G1590">
        <v>1</v>
      </c>
      <c r="H1590" t="s">
        <v>42</v>
      </c>
      <c r="I1590" t="s">
        <v>43</v>
      </c>
      <c r="J1590" t="s">
        <v>73</v>
      </c>
      <c r="K1590" t="s">
        <v>127</v>
      </c>
      <c r="L1590">
        <v>31816.83</v>
      </c>
      <c r="M1590" s="1">
        <v>43535</v>
      </c>
      <c r="N1590" t="s">
        <v>45</v>
      </c>
      <c r="O1590" t="s">
        <v>46</v>
      </c>
      <c r="P1590" t="s">
        <v>47</v>
      </c>
      <c r="Q1590" s="1">
        <v>43852</v>
      </c>
      <c r="R1590" t="s">
        <v>48</v>
      </c>
    </row>
    <row r="1591" spans="1:18" x14ac:dyDescent="0.25">
      <c r="A1591" t="s">
        <v>458</v>
      </c>
      <c r="B1591" t="s">
        <v>461</v>
      </c>
      <c r="C1591" t="s">
        <v>40</v>
      </c>
      <c r="D1591" s="1">
        <v>43445</v>
      </c>
      <c r="E1591" s="1">
        <v>44357</v>
      </c>
      <c r="F1591" t="s">
        <v>306</v>
      </c>
      <c r="G1591">
        <v>1</v>
      </c>
      <c r="H1591" t="s">
        <v>42</v>
      </c>
      <c r="I1591" t="s">
        <v>43</v>
      </c>
      <c r="J1591" t="s">
        <v>73</v>
      </c>
      <c r="K1591" t="s">
        <v>127</v>
      </c>
      <c r="L1591">
        <v>31816.83</v>
      </c>
      <c r="M1591" s="1">
        <v>43627</v>
      </c>
      <c r="N1591" t="s">
        <v>45</v>
      </c>
      <c r="O1591" t="s">
        <v>46</v>
      </c>
      <c r="P1591" t="s">
        <v>47</v>
      </c>
      <c r="Q1591" s="1">
        <v>43852</v>
      </c>
      <c r="R1591" t="s">
        <v>48</v>
      </c>
    </row>
    <row r="1592" spans="1:18" x14ac:dyDescent="0.25">
      <c r="A1592" t="s">
        <v>458</v>
      </c>
      <c r="B1592" t="s">
        <v>461</v>
      </c>
      <c r="C1592" t="s">
        <v>40</v>
      </c>
      <c r="D1592" s="1">
        <v>43445</v>
      </c>
      <c r="E1592" s="1">
        <v>44357</v>
      </c>
      <c r="F1592" t="s">
        <v>306</v>
      </c>
      <c r="G1592">
        <v>1</v>
      </c>
      <c r="H1592" t="s">
        <v>42</v>
      </c>
      <c r="I1592" t="s">
        <v>43</v>
      </c>
      <c r="J1592" t="s">
        <v>73</v>
      </c>
      <c r="K1592" t="s">
        <v>127</v>
      </c>
      <c r="L1592">
        <v>46888.34</v>
      </c>
      <c r="M1592" s="1">
        <v>43445</v>
      </c>
      <c r="N1592" t="s">
        <v>45</v>
      </c>
      <c r="O1592" t="s">
        <v>46</v>
      </c>
      <c r="P1592" t="s">
        <v>47</v>
      </c>
      <c r="Q1592" s="1">
        <v>43852</v>
      </c>
      <c r="R1592" t="s">
        <v>48</v>
      </c>
    </row>
    <row r="1593" spans="1:18" x14ac:dyDescent="0.25">
      <c r="A1593" t="s">
        <v>458</v>
      </c>
      <c r="B1593" t="s">
        <v>462</v>
      </c>
      <c r="C1593" t="s">
        <v>40</v>
      </c>
      <c r="D1593" s="1">
        <v>43295</v>
      </c>
      <c r="E1593" s="1">
        <v>44574</v>
      </c>
      <c r="F1593" t="s">
        <v>306</v>
      </c>
      <c r="G1593">
        <v>1</v>
      </c>
      <c r="H1593" t="s">
        <v>42</v>
      </c>
      <c r="I1593" t="s">
        <v>43</v>
      </c>
      <c r="J1593" t="s">
        <v>73</v>
      </c>
      <c r="K1593" t="s">
        <v>127</v>
      </c>
      <c r="L1593">
        <v>5712.04</v>
      </c>
      <c r="M1593" s="1">
        <v>43752</v>
      </c>
      <c r="N1593" t="s">
        <v>45</v>
      </c>
      <c r="O1593" t="s">
        <v>46</v>
      </c>
      <c r="P1593" t="s">
        <v>47</v>
      </c>
      <c r="Q1593" s="1">
        <v>43852</v>
      </c>
      <c r="R1593" t="s">
        <v>48</v>
      </c>
    </row>
    <row r="1594" spans="1:18" x14ac:dyDescent="0.25">
      <c r="A1594" t="s">
        <v>458</v>
      </c>
      <c r="B1594" t="s">
        <v>462</v>
      </c>
      <c r="C1594" t="s">
        <v>40</v>
      </c>
      <c r="D1594" s="1">
        <v>43295</v>
      </c>
      <c r="E1594" s="1">
        <v>44574</v>
      </c>
      <c r="F1594" t="s">
        <v>306</v>
      </c>
      <c r="G1594">
        <v>1</v>
      </c>
      <c r="H1594" t="s">
        <v>42</v>
      </c>
      <c r="I1594" t="s">
        <v>43</v>
      </c>
      <c r="J1594" t="s">
        <v>73</v>
      </c>
      <c r="K1594" t="s">
        <v>127</v>
      </c>
      <c r="L1594">
        <v>5712.04</v>
      </c>
      <c r="M1594" s="1">
        <v>43844</v>
      </c>
      <c r="N1594" t="s">
        <v>45</v>
      </c>
      <c r="O1594" t="s">
        <v>46</v>
      </c>
      <c r="P1594" t="s">
        <v>47</v>
      </c>
      <c r="Q1594" s="1">
        <v>43852</v>
      </c>
      <c r="R1594" t="s">
        <v>48</v>
      </c>
    </row>
    <row r="1595" spans="1:18" x14ac:dyDescent="0.25">
      <c r="A1595" t="s">
        <v>458</v>
      </c>
      <c r="B1595" t="s">
        <v>462</v>
      </c>
      <c r="C1595" t="s">
        <v>40</v>
      </c>
      <c r="D1595" s="1">
        <v>43295</v>
      </c>
      <c r="E1595" s="1">
        <v>44574</v>
      </c>
      <c r="F1595" t="s">
        <v>306</v>
      </c>
      <c r="G1595">
        <v>1</v>
      </c>
      <c r="H1595" t="s">
        <v>42</v>
      </c>
      <c r="I1595" t="s">
        <v>43</v>
      </c>
      <c r="J1595" t="s">
        <v>73</v>
      </c>
      <c r="K1595" t="s">
        <v>127</v>
      </c>
      <c r="L1595">
        <v>5712.04</v>
      </c>
      <c r="M1595" s="1">
        <v>43935</v>
      </c>
      <c r="N1595" t="s">
        <v>45</v>
      </c>
      <c r="O1595" t="s">
        <v>46</v>
      </c>
      <c r="P1595" t="s">
        <v>47</v>
      </c>
      <c r="Q1595" s="1">
        <v>43852</v>
      </c>
      <c r="R1595" t="s">
        <v>48</v>
      </c>
    </row>
    <row r="1596" spans="1:18" x14ac:dyDescent="0.25">
      <c r="A1596" t="s">
        <v>458</v>
      </c>
      <c r="B1596" t="s">
        <v>462</v>
      </c>
      <c r="C1596" t="s">
        <v>40</v>
      </c>
      <c r="D1596" s="1">
        <v>43295</v>
      </c>
      <c r="E1596" s="1">
        <v>44574</v>
      </c>
      <c r="F1596" t="s">
        <v>306</v>
      </c>
      <c r="G1596">
        <v>1</v>
      </c>
      <c r="H1596" t="s">
        <v>42</v>
      </c>
      <c r="I1596" t="s">
        <v>43</v>
      </c>
      <c r="J1596" t="s">
        <v>73</v>
      </c>
      <c r="K1596" t="s">
        <v>127</v>
      </c>
      <c r="L1596">
        <v>5712.04</v>
      </c>
      <c r="M1596" s="1">
        <v>44026</v>
      </c>
      <c r="N1596" t="s">
        <v>45</v>
      </c>
      <c r="O1596" t="s">
        <v>46</v>
      </c>
      <c r="P1596" t="s">
        <v>47</v>
      </c>
      <c r="Q1596" s="1">
        <v>43852</v>
      </c>
      <c r="R1596" t="s">
        <v>48</v>
      </c>
    </row>
    <row r="1597" spans="1:18" x14ac:dyDescent="0.25">
      <c r="A1597" t="s">
        <v>458</v>
      </c>
      <c r="B1597" t="s">
        <v>462</v>
      </c>
      <c r="C1597" t="s">
        <v>40</v>
      </c>
      <c r="D1597" s="1">
        <v>43295</v>
      </c>
      <c r="E1597" s="1">
        <v>44574</v>
      </c>
      <c r="F1597" t="s">
        <v>306</v>
      </c>
      <c r="G1597">
        <v>1</v>
      </c>
      <c r="H1597" t="s">
        <v>42</v>
      </c>
      <c r="I1597" t="s">
        <v>43</v>
      </c>
      <c r="J1597" t="s">
        <v>73</v>
      </c>
      <c r="K1597" t="s">
        <v>127</v>
      </c>
      <c r="L1597">
        <v>5712.04</v>
      </c>
      <c r="M1597" s="1">
        <v>44118</v>
      </c>
      <c r="N1597" t="s">
        <v>45</v>
      </c>
      <c r="O1597" t="s">
        <v>46</v>
      </c>
      <c r="P1597" t="s">
        <v>47</v>
      </c>
      <c r="Q1597" s="1">
        <v>43852</v>
      </c>
      <c r="R1597" t="s">
        <v>48</v>
      </c>
    </row>
    <row r="1598" spans="1:18" x14ac:dyDescent="0.25">
      <c r="A1598" t="s">
        <v>458</v>
      </c>
      <c r="B1598" t="s">
        <v>462</v>
      </c>
      <c r="C1598" t="s">
        <v>40</v>
      </c>
      <c r="D1598" s="1">
        <v>43295</v>
      </c>
      <c r="E1598" s="1">
        <v>44574</v>
      </c>
      <c r="F1598" t="s">
        <v>306</v>
      </c>
      <c r="G1598">
        <v>1</v>
      </c>
      <c r="H1598" t="s">
        <v>42</v>
      </c>
      <c r="I1598" t="s">
        <v>43</v>
      </c>
      <c r="J1598" t="s">
        <v>73</v>
      </c>
      <c r="K1598" t="s">
        <v>127</v>
      </c>
      <c r="L1598">
        <v>5712.04</v>
      </c>
      <c r="M1598" s="1">
        <v>44210</v>
      </c>
      <c r="N1598" t="s">
        <v>45</v>
      </c>
      <c r="O1598" t="s">
        <v>46</v>
      </c>
      <c r="P1598" t="s">
        <v>47</v>
      </c>
      <c r="Q1598" s="1">
        <v>43852</v>
      </c>
      <c r="R1598" t="s">
        <v>48</v>
      </c>
    </row>
    <row r="1599" spans="1:18" x14ac:dyDescent="0.25">
      <c r="A1599" t="s">
        <v>458</v>
      </c>
      <c r="B1599" t="s">
        <v>462</v>
      </c>
      <c r="C1599" t="s">
        <v>40</v>
      </c>
      <c r="D1599" s="1">
        <v>43295</v>
      </c>
      <c r="E1599" s="1">
        <v>44574</v>
      </c>
      <c r="F1599" t="s">
        <v>306</v>
      </c>
      <c r="G1599">
        <v>1</v>
      </c>
      <c r="H1599" t="s">
        <v>42</v>
      </c>
      <c r="I1599" t="s">
        <v>43</v>
      </c>
      <c r="J1599" t="s">
        <v>73</v>
      </c>
      <c r="K1599" t="s">
        <v>127</v>
      </c>
      <c r="L1599">
        <v>5712.04</v>
      </c>
      <c r="M1599" s="1">
        <v>44300</v>
      </c>
      <c r="N1599" t="s">
        <v>45</v>
      </c>
      <c r="O1599" t="s">
        <v>46</v>
      </c>
      <c r="P1599" t="s">
        <v>47</v>
      </c>
      <c r="Q1599" s="1">
        <v>43852</v>
      </c>
      <c r="R1599" t="s">
        <v>48</v>
      </c>
    </row>
    <row r="1600" spans="1:18" x14ac:dyDescent="0.25">
      <c r="A1600" t="s">
        <v>458</v>
      </c>
      <c r="B1600" t="s">
        <v>462</v>
      </c>
      <c r="C1600" t="s">
        <v>40</v>
      </c>
      <c r="D1600" s="1">
        <v>43295</v>
      </c>
      <c r="E1600" s="1">
        <v>44574</v>
      </c>
      <c r="F1600" t="s">
        <v>306</v>
      </c>
      <c r="G1600">
        <v>1</v>
      </c>
      <c r="H1600" t="s">
        <v>42</v>
      </c>
      <c r="I1600" t="s">
        <v>43</v>
      </c>
      <c r="J1600" t="s">
        <v>73</v>
      </c>
      <c r="K1600" t="s">
        <v>127</v>
      </c>
      <c r="L1600">
        <v>5712.04</v>
      </c>
      <c r="M1600" s="1">
        <v>44391</v>
      </c>
      <c r="N1600" t="s">
        <v>45</v>
      </c>
      <c r="O1600" t="s">
        <v>46</v>
      </c>
      <c r="P1600" t="s">
        <v>47</v>
      </c>
      <c r="Q1600" s="1">
        <v>43852</v>
      </c>
      <c r="R1600" t="s">
        <v>48</v>
      </c>
    </row>
    <row r="1601" spans="1:18" x14ac:dyDescent="0.25">
      <c r="A1601" t="s">
        <v>458</v>
      </c>
      <c r="B1601" t="s">
        <v>462</v>
      </c>
      <c r="C1601" t="s">
        <v>40</v>
      </c>
      <c r="D1601" s="1">
        <v>43295</v>
      </c>
      <c r="E1601" s="1">
        <v>44574</v>
      </c>
      <c r="F1601" t="s">
        <v>306</v>
      </c>
      <c r="G1601">
        <v>1</v>
      </c>
      <c r="H1601" t="s">
        <v>42</v>
      </c>
      <c r="I1601" t="s">
        <v>43</v>
      </c>
      <c r="J1601" t="s">
        <v>73</v>
      </c>
      <c r="K1601" t="s">
        <v>127</v>
      </c>
      <c r="L1601">
        <v>5712.04</v>
      </c>
      <c r="M1601" s="1">
        <v>43387</v>
      </c>
      <c r="N1601" t="s">
        <v>45</v>
      </c>
      <c r="O1601" t="s">
        <v>46</v>
      </c>
      <c r="P1601" t="s">
        <v>47</v>
      </c>
      <c r="Q1601" s="1">
        <v>43852</v>
      </c>
      <c r="R1601" t="s">
        <v>48</v>
      </c>
    </row>
    <row r="1602" spans="1:18" x14ac:dyDescent="0.25">
      <c r="A1602" t="s">
        <v>458</v>
      </c>
      <c r="B1602" t="s">
        <v>462</v>
      </c>
      <c r="C1602" t="s">
        <v>40</v>
      </c>
      <c r="D1602" s="1">
        <v>43295</v>
      </c>
      <c r="E1602" s="1">
        <v>44574</v>
      </c>
      <c r="F1602" t="s">
        <v>306</v>
      </c>
      <c r="G1602">
        <v>1</v>
      </c>
      <c r="H1602" t="s">
        <v>42</v>
      </c>
      <c r="I1602" t="s">
        <v>43</v>
      </c>
      <c r="J1602" t="s">
        <v>73</v>
      </c>
      <c r="K1602" t="s">
        <v>127</v>
      </c>
      <c r="L1602">
        <v>5712.04</v>
      </c>
      <c r="M1602" s="1">
        <v>43479</v>
      </c>
      <c r="N1602" t="s">
        <v>45</v>
      </c>
      <c r="O1602" t="s">
        <v>46</v>
      </c>
      <c r="P1602" t="s">
        <v>47</v>
      </c>
      <c r="Q1602" s="1">
        <v>43852</v>
      </c>
      <c r="R1602" t="s">
        <v>48</v>
      </c>
    </row>
    <row r="1603" spans="1:18" x14ac:dyDescent="0.25">
      <c r="A1603" t="s">
        <v>458</v>
      </c>
      <c r="B1603" t="s">
        <v>462</v>
      </c>
      <c r="C1603" t="s">
        <v>40</v>
      </c>
      <c r="D1603" s="1">
        <v>43295</v>
      </c>
      <c r="E1603" s="1">
        <v>44574</v>
      </c>
      <c r="F1603" t="s">
        <v>306</v>
      </c>
      <c r="G1603">
        <v>1</v>
      </c>
      <c r="H1603" t="s">
        <v>42</v>
      </c>
      <c r="I1603" t="s">
        <v>43</v>
      </c>
      <c r="J1603" t="s">
        <v>73</v>
      </c>
      <c r="K1603" t="s">
        <v>127</v>
      </c>
      <c r="L1603">
        <v>5712.04</v>
      </c>
      <c r="M1603" s="1">
        <v>43569</v>
      </c>
      <c r="N1603" t="s">
        <v>45</v>
      </c>
      <c r="O1603" t="s">
        <v>46</v>
      </c>
      <c r="P1603" t="s">
        <v>47</v>
      </c>
      <c r="Q1603" s="1">
        <v>43852</v>
      </c>
      <c r="R1603" t="s">
        <v>48</v>
      </c>
    </row>
    <row r="1604" spans="1:18" x14ac:dyDescent="0.25">
      <c r="A1604" t="s">
        <v>458</v>
      </c>
      <c r="B1604" t="s">
        <v>462</v>
      </c>
      <c r="C1604" t="s">
        <v>40</v>
      </c>
      <c r="D1604" s="1">
        <v>43295</v>
      </c>
      <c r="E1604" s="1">
        <v>44574</v>
      </c>
      <c r="F1604" t="s">
        <v>306</v>
      </c>
      <c r="G1604">
        <v>1</v>
      </c>
      <c r="H1604" t="s">
        <v>42</v>
      </c>
      <c r="I1604" t="s">
        <v>43</v>
      </c>
      <c r="J1604" t="s">
        <v>73</v>
      </c>
      <c r="K1604" t="s">
        <v>127</v>
      </c>
      <c r="L1604">
        <v>5712.04</v>
      </c>
      <c r="M1604" s="1">
        <v>43660</v>
      </c>
      <c r="N1604" t="s">
        <v>45</v>
      </c>
      <c r="O1604" t="s">
        <v>46</v>
      </c>
      <c r="P1604" t="s">
        <v>47</v>
      </c>
      <c r="Q1604" s="1">
        <v>43852</v>
      </c>
      <c r="R1604" t="s">
        <v>48</v>
      </c>
    </row>
    <row r="1605" spans="1:18" x14ac:dyDescent="0.25">
      <c r="A1605" t="s">
        <v>458</v>
      </c>
      <c r="B1605" t="s">
        <v>462</v>
      </c>
      <c r="C1605" t="s">
        <v>40</v>
      </c>
      <c r="D1605" s="1">
        <v>43295</v>
      </c>
      <c r="E1605" s="1">
        <v>44574</v>
      </c>
      <c r="F1605" t="s">
        <v>306</v>
      </c>
      <c r="G1605">
        <v>1</v>
      </c>
      <c r="H1605" t="s">
        <v>42</v>
      </c>
      <c r="I1605" t="s">
        <v>43</v>
      </c>
      <c r="J1605" t="s">
        <v>73</v>
      </c>
      <c r="K1605" t="s">
        <v>127</v>
      </c>
      <c r="L1605">
        <v>15832.08</v>
      </c>
      <c r="M1605" s="1">
        <v>43295</v>
      </c>
      <c r="N1605" t="s">
        <v>45</v>
      </c>
      <c r="O1605" t="s">
        <v>46</v>
      </c>
      <c r="P1605" t="s">
        <v>47</v>
      </c>
      <c r="Q1605" s="1">
        <v>43852</v>
      </c>
      <c r="R1605" t="s">
        <v>48</v>
      </c>
    </row>
    <row r="1606" spans="1:18" x14ac:dyDescent="0.25">
      <c r="A1606" t="s">
        <v>458</v>
      </c>
      <c r="B1606" t="s">
        <v>463</v>
      </c>
      <c r="C1606" t="s">
        <v>40</v>
      </c>
      <c r="D1606" s="1">
        <v>43295</v>
      </c>
      <c r="E1606" s="1">
        <v>44574</v>
      </c>
      <c r="F1606" t="s">
        <v>306</v>
      </c>
      <c r="G1606">
        <v>1</v>
      </c>
      <c r="H1606" t="s">
        <v>42</v>
      </c>
      <c r="I1606" t="s">
        <v>43</v>
      </c>
      <c r="J1606" t="s">
        <v>73</v>
      </c>
      <c r="K1606" t="s">
        <v>127</v>
      </c>
      <c r="L1606">
        <v>11198.33</v>
      </c>
      <c r="M1606" s="1">
        <v>44391</v>
      </c>
      <c r="N1606" t="s">
        <v>45</v>
      </c>
      <c r="O1606" t="s">
        <v>46</v>
      </c>
      <c r="P1606" t="s">
        <v>47</v>
      </c>
      <c r="Q1606" s="1">
        <v>43852</v>
      </c>
      <c r="R1606" t="s">
        <v>48</v>
      </c>
    </row>
    <row r="1607" spans="1:18" x14ac:dyDescent="0.25">
      <c r="A1607" t="s">
        <v>458</v>
      </c>
      <c r="B1607" t="s">
        <v>463</v>
      </c>
      <c r="C1607" t="s">
        <v>40</v>
      </c>
      <c r="D1607" s="1">
        <v>43295</v>
      </c>
      <c r="E1607" s="1">
        <v>44574</v>
      </c>
      <c r="F1607" t="s">
        <v>306</v>
      </c>
      <c r="G1607">
        <v>1</v>
      </c>
      <c r="H1607" t="s">
        <v>42</v>
      </c>
      <c r="I1607" t="s">
        <v>43</v>
      </c>
      <c r="J1607" t="s">
        <v>73</v>
      </c>
      <c r="K1607" t="s">
        <v>127</v>
      </c>
      <c r="L1607">
        <v>11279.55</v>
      </c>
      <c r="M1607" s="1">
        <v>43844</v>
      </c>
      <c r="N1607" t="s">
        <v>45</v>
      </c>
      <c r="O1607" t="s">
        <v>46</v>
      </c>
      <c r="P1607" t="s">
        <v>47</v>
      </c>
      <c r="Q1607" s="1">
        <v>43852</v>
      </c>
      <c r="R1607" t="s">
        <v>48</v>
      </c>
    </row>
    <row r="1608" spans="1:18" x14ac:dyDescent="0.25">
      <c r="A1608" t="s">
        <v>458</v>
      </c>
      <c r="B1608" t="s">
        <v>463</v>
      </c>
      <c r="C1608" t="s">
        <v>40</v>
      </c>
      <c r="D1608" s="1">
        <v>43295</v>
      </c>
      <c r="E1608" s="1">
        <v>44574</v>
      </c>
      <c r="F1608" t="s">
        <v>306</v>
      </c>
      <c r="G1608">
        <v>1</v>
      </c>
      <c r="H1608" t="s">
        <v>42</v>
      </c>
      <c r="I1608" t="s">
        <v>43</v>
      </c>
      <c r="J1608" t="s">
        <v>73</v>
      </c>
      <c r="K1608" t="s">
        <v>127</v>
      </c>
      <c r="L1608">
        <v>11279.55</v>
      </c>
      <c r="M1608" s="1">
        <v>43935</v>
      </c>
      <c r="N1608" t="s">
        <v>45</v>
      </c>
      <c r="O1608" t="s">
        <v>46</v>
      </c>
      <c r="P1608" t="s">
        <v>47</v>
      </c>
      <c r="Q1608" s="1">
        <v>43852</v>
      </c>
      <c r="R1608" t="s">
        <v>48</v>
      </c>
    </row>
    <row r="1609" spans="1:18" x14ac:dyDescent="0.25">
      <c r="A1609" t="s">
        <v>458</v>
      </c>
      <c r="B1609" t="s">
        <v>463</v>
      </c>
      <c r="C1609" t="s">
        <v>40</v>
      </c>
      <c r="D1609" s="1">
        <v>43295</v>
      </c>
      <c r="E1609" s="1">
        <v>44574</v>
      </c>
      <c r="F1609" t="s">
        <v>306</v>
      </c>
      <c r="G1609">
        <v>1</v>
      </c>
      <c r="H1609" t="s">
        <v>42</v>
      </c>
      <c r="I1609" t="s">
        <v>43</v>
      </c>
      <c r="J1609" t="s">
        <v>73</v>
      </c>
      <c r="K1609" t="s">
        <v>127</v>
      </c>
      <c r="L1609">
        <v>11279.55</v>
      </c>
      <c r="M1609" s="1">
        <v>44026</v>
      </c>
      <c r="N1609" t="s">
        <v>45</v>
      </c>
      <c r="O1609" t="s">
        <v>46</v>
      </c>
      <c r="P1609" t="s">
        <v>47</v>
      </c>
      <c r="Q1609" s="1">
        <v>43852</v>
      </c>
      <c r="R1609" t="s">
        <v>48</v>
      </c>
    </row>
    <row r="1610" spans="1:18" x14ac:dyDescent="0.25">
      <c r="A1610" t="s">
        <v>458</v>
      </c>
      <c r="B1610" t="s">
        <v>463</v>
      </c>
      <c r="C1610" t="s">
        <v>40</v>
      </c>
      <c r="D1610" s="1">
        <v>43295</v>
      </c>
      <c r="E1610" s="1">
        <v>44574</v>
      </c>
      <c r="F1610" t="s">
        <v>306</v>
      </c>
      <c r="G1610">
        <v>1</v>
      </c>
      <c r="H1610" t="s">
        <v>42</v>
      </c>
      <c r="I1610" t="s">
        <v>43</v>
      </c>
      <c r="J1610" t="s">
        <v>73</v>
      </c>
      <c r="K1610" t="s">
        <v>127</v>
      </c>
      <c r="L1610">
        <v>11279.55</v>
      </c>
      <c r="M1610" s="1">
        <v>44118</v>
      </c>
      <c r="N1610" t="s">
        <v>45</v>
      </c>
      <c r="O1610" t="s">
        <v>46</v>
      </c>
      <c r="P1610" t="s">
        <v>47</v>
      </c>
      <c r="Q1610" s="1">
        <v>43852</v>
      </c>
      <c r="R1610" t="s">
        <v>48</v>
      </c>
    </row>
    <row r="1611" spans="1:18" x14ac:dyDescent="0.25">
      <c r="A1611" t="s">
        <v>458</v>
      </c>
      <c r="B1611" t="s">
        <v>463</v>
      </c>
      <c r="C1611" t="s">
        <v>40</v>
      </c>
      <c r="D1611" s="1">
        <v>43295</v>
      </c>
      <c r="E1611" s="1">
        <v>44574</v>
      </c>
      <c r="F1611" t="s">
        <v>306</v>
      </c>
      <c r="G1611">
        <v>1</v>
      </c>
      <c r="H1611" t="s">
        <v>42</v>
      </c>
      <c r="I1611" t="s">
        <v>43</v>
      </c>
      <c r="J1611" t="s">
        <v>73</v>
      </c>
      <c r="K1611" t="s">
        <v>127</v>
      </c>
      <c r="L1611">
        <v>11279.55</v>
      </c>
      <c r="M1611" s="1">
        <v>44210</v>
      </c>
      <c r="N1611" t="s">
        <v>45</v>
      </c>
      <c r="O1611" t="s">
        <v>46</v>
      </c>
      <c r="P1611" t="s">
        <v>47</v>
      </c>
      <c r="Q1611" s="1">
        <v>43852</v>
      </c>
      <c r="R1611" t="s">
        <v>48</v>
      </c>
    </row>
    <row r="1612" spans="1:18" x14ac:dyDescent="0.25">
      <c r="A1612" t="s">
        <v>458</v>
      </c>
      <c r="B1612" t="s">
        <v>463</v>
      </c>
      <c r="C1612" t="s">
        <v>40</v>
      </c>
      <c r="D1612" s="1">
        <v>43295</v>
      </c>
      <c r="E1612" s="1">
        <v>44574</v>
      </c>
      <c r="F1612" t="s">
        <v>306</v>
      </c>
      <c r="G1612">
        <v>1</v>
      </c>
      <c r="H1612" t="s">
        <v>42</v>
      </c>
      <c r="I1612" t="s">
        <v>43</v>
      </c>
      <c r="J1612" t="s">
        <v>73</v>
      </c>
      <c r="K1612" t="s">
        <v>127</v>
      </c>
      <c r="L1612">
        <v>11279.55</v>
      </c>
      <c r="M1612" s="1">
        <v>44300</v>
      </c>
      <c r="N1612" t="s">
        <v>45</v>
      </c>
      <c r="O1612" t="s">
        <v>46</v>
      </c>
      <c r="P1612" t="s">
        <v>47</v>
      </c>
      <c r="Q1612" s="1">
        <v>43852</v>
      </c>
      <c r="R1612" t="s">
        <v>48</v>
      </c>
    </row>
    <row r="1613" spans="1:18" x14ac:dyDescent="0.25">
      <c r="A1613" t="s">
        <v>458</v>
      </c>
      <c r="B1613" t="s">
        <v>463</v>
      </c>
      <c r="C1613" t="s">
        <v>40</v>
      </c>
      <c r="D1613" s="1">
        <v>43295</v>
      </c>
      <c r="E1613" s="1">
        <v>44574</v>
      </c>
      <c r="F1613" t="s">
        <v>306</v>
      </c>
      <c r="G1613">
        <v>1</v>
      </c>
      <c r="H1613" t="s">
        <v>42</v>
      </c>
      <c r="I1613" t="s">
        <v>43</v>
      </c>
      <c r="J1613" t="s">
        <v>73</v>
      </c>
      <c r="K1613" t="s">
        <v>127</v>
      </c>
      <c r="L1613">
        <v>11279.55</v>
      </c>
      <c r="M1613" s="1">
        <v>43387</v>
      </c>
      <c r="N1613" t="s">
        <v>45</v>
      </c>
      <c r="O1613" t="s">
        <v>46</v>
      </c>
      <c r="P1613" t="s">
        <v>47</v>
      </c>
      <c r="Q1613" s="1">
        <v>43852</v>
      </c>
      <c r="R1613" t="s">
        <v>48</v>
      </c>
    </row>
    <row r="1614" spans="1:18" x14ac:dyDescent="0.25">
      <c r="A1614" t="s">
        <v>458</v>
      </c>
      <c r="B1614" t="s">
        <v>463</v>
      </c>
      <c r="C1614" t="s">
        <v>40</v>
      </c>
      <c r="D1614" s="1">
        <v>43295</v>
      </c>
      <c r="E1614" s="1">
        <v>44574</v>
      </c>
      <c r="F1614" t="s">
        <v>306</v>
      </c>
      <c r="G1614">
        <v>1</v>
      </c>
      <c r="H1614" t="s">
        <v>42</v>
      </c>
      <c r="I1614" t="s">
        <v>43</v>
      </c>
      <c r="J1614" t="s">
        <v>73</v>
      </c>
      <c r="K1614" t="s">
        <v>127</v>
      </c>
      <c r="L1614">
        <v>11279.55</v>
      </c>
      <c r="M1614" s="1">
        <v>43479</v>
      </c>
      <c r="N1614" t="s">
        <v>45</v>
      </c>
      <c r="O1614" t="s">
        <v>46</v>
      </c>
      <c r="P1614" t="s">
        <v>47</v>
      </c>
      <c r="Q1614" s="1">
        <v>43852</v>
      </c>
      <c r="R1614" t="s">
        <v>48</v>
      </c>
    </row>
    <row r="1615" spans="1:18" x14ac:dyDescent="0.25">
      <c r="A1615" t="s">
        <v>458</v>
      </c>
      <c r="B1615" t="s">
        <v>463</v>
      </c>
      <c r="C1615" t="s">
        <v>40</v>
      </c>
      <c r="D1615" s="1">
        <v>43295</v>
      </c>
      <c r="E1615" s="1">
        <v>44574</v>
      </c>
      <c r="F1615" t="s">
        <v>306</v>
      </c>
      <c r="G1615">
        <v>1</v>
      </c>
      <c r="H1615" t="s">
        <v>42</v>
      </c>
      <c r="I1615" t="s">
        <v>43</v>
      </c>
      <c r="J1615" t="s">
        <v>73</v>
      </c>
      <c r="K1615" t="s">
        <v>127</v>
      </c>
      <c r="L1615">
        <v>11279.55</v>
      </c>
      <c r="M1615" s="1">
        <v>43569</v>
      </c>
      <c r="N1615" t="s">
        <v>45</v>
      </c>
      <c r="O1615" t="s">
        <v>46</v>
      </c>
      <c r="P1615" t="s">
        <v>47</v>
      </c>
      <c r="Q1615" s="1">
        <v>43852</v>
      </c>
      <c r="R1615" t="s">
        <v>48</v>
      </c>
    </row>
    <row r="1616" spans="1:18" x14ac:dyDescent="0.25">
      <c r="A1616" t="s">
        <v>458</v>
      </c>
      <c r="B1616" t="s">
        <v>463</v>
      </c>
      <c r="C1616" t="s">
        <v>40</v>
      </c>
      <c r="D1616" s="1">
        <v>43295</v>
      </c>
      <c r="E1616" s="1">
        <v>44574</v>
      </c>
      <c r="F1616" t="s">
        <v>306</v>
      </c>
      <c r="G1616">
        <v>1</v>
      </c>
      <c r="H1616" t="s">
        <v>42</v>
      </c>
      <c r="I1616" t="s">
        <v>43</v>
      </c>
      <c r="J1616" t="s">
        <v>73</v>
      </c>
      <c r="K1616" t="s">
        <v>127</v>
      </c>
      <c r="L1616">
        <v>11279.55</v>
      </c>
      <c r="M1616" s="1">
        <v>43660</v>
      </c>
      <c r="N1616" t="s">
        <v>45</v>
      </c>
      <c r="O1616" t="s">
        <v>46</v>
      </c>
      <c r="P1616" t="s">
        <v>47</v>
      </c>
      <c r="Q1616" s="1">
        <v>43852</v>
      </c>
      <c r="R1616" t="s">
        <v>48</v>
      </c>
    </row>
    <row r="1617" spans="1:18" x14ac:dyDescent="0.25">
      <c r="A1617" t="s">
        <v>458</v>
      </c>
      <c r="B1617" t="s">
        <v>463</v>
      </c>
      <c r="C1617" t="s">
        <v>40</v>
      </c>
      <c r="D1617" s="1">
        <v>43295</v>
      </c>
      <c r="E1617" s="1">
        <v>44574</v>
      </c>
      <c r="F1617" t="s">
        <v>306</v>
      </c>
      <c r="G1617">
        <v>1</v>
      </c>
      <c r="H1617" t="s">
        <v>42</v>
      </c>
      <c r="I1617" t="s">
        <v>43</v>
      </c>
      <c r="J1617" t="s">
        <v>73</v>
      </c>
      <c r="K1617" t="s">
        <v>127</v>
      </c>
      <c r="L1617">
        <v>11279.55</v>
      </c>
      <c r="M1617" s="1">
        <v>43752</v>
      </c>
      <c r="N1617" t="s">
        <v>45</v>
      </c>
      <c r="O1617" t="s">
        <v>46</v>
      </c>
      <c r="P1617" t="s">
        <v>47</v>
      </c>
      <c r="Q1617" s="1">
        <v>43852</v>
      </c>
      <c r="R1617" t="s">
        <v>48</v>
      </c>
    </row>
    <row r="1618" spans="1:18" x14ac:dyDescent="0.25">
      <c r="A1618" t="s">
        <v>458</v>
      </c>
      <c r="B1618" t="s">
        <v>463</v>
      </c>
      <c r="C1618" t="s">
        <v>40</v>
      </c>
      <c r="D1618" s="1">
        <v>43295</v>
      </c>
      <c r="E1618" s="1">
        <v>44574</v>
      </c>
      <c r="F1618" t="s">
        <v>306</v>
      </c>
      <c r="G1618">
        <v>1</v>
      </c>
      <c r="H1618" t="s">
        <v>42</v>
      </c>
      <c r="I1618" t="s">
        <v>43</v>
      </c>
      <c r="J1618" t="s">
        <v>73</v>
      </c>
      <c r="K1618" t="s">
        <v>127</v>
      </c>
      <c r="L1618">
        <v>27256.2</v>
      </c>
      <c r="M1618" s="1">
        <v>43295</v>
      </c>
      <c r="N1618" t="s">
        <v>45</v>
      </c>
      <c r="O1618" t="s">
        <v>46</v>
      </c>
      <c r="P1618" t="s">
        <v>47</v>
      </c>
      <c r="Q1618" s="1">
        <v>43852</v>
      </c>
      <c r="R1618" t="s">
        <v>48</v>
      </c>
    </row>
    <row r="1619" spans="1:18" x14ac:dyDescent="0.25">
      <c r="A1619" t="s">
        <v>458</v>
      </c>
      <c r="B1619" t="s">
        <v>464</v>
      </c>
      <c r="C1619" t="s">
        <v>40</v>
      </c>
      <c r="D1619" s="1">
        <v>43448</v>
      </c>
      <c r="E1619" s="1">
        <v>44360</v>
      </c>
      <c r="F1619" t="s">
        <v>306</v>
      </c>
      <c r="G1619">
        <v>1</v>
      </c>
      <c r="H1619" t="s">
        <v>42</v>
      </c>
      <c r="I1619" t="s">
        <v>43</v>
      </c>
      <c r="J1619" t="s">
        <v>73</v>
      </c>
      <c r="K1619" t="s">
        <v>127</v>
      </c>
      <c r="L1619">
        <v>2426.0300000000002</v>
      </c>
      <c r="M1619" s="1">
        <v>44179</v>
      </c>
      <c r="N1619" t="s">
        <v>45</v>
      </c>
      <c r="O1619" t="s">
        <v>46</v>
      </c>
      <c r="P1619" t="s">
        <v>47</v>
      </c>
      <c r="Q1619" s="1">
        <v>43852</v>
      </c>
      <c r="R1619" t="s">
        <v>48</v>
      </c>
    </row>
    <row r="1620" spans="1:18" x14ac:dyDescent="0.25">
      <c r="A1620" t="s">
        <v>458</v>
      </c>
      <c r="B1620" t="s">
        <v>464</v>
      </c>
      <c r="C1620" t="s">
        <v>40</v>
      </c>
      <c r="D1620" s="1">
        <v>43448</v>
      </c>
      <c r="E1620" s="1">
        <v>44360</v>
      </c>
      <c r="F1620" t="s">
        <v>306</v>
      </c>
      <c r="G1620">
        <v>1</v>
      </c>
      <c r="H1620" t="s">
        <v>42</v>
      </c>
      <c r="I1620" t="s">
        <v>43</v>
      </c>
      <c r="J1620" t="s">
        <v>73</v>
      </c>
      <c r="K1620" t="s">
        <v>127</v>
      </c>
      <c r="L1620">
        <v>2426.06</v>
      </c>
      <c r="M1620" s="1">
        <v>43813</v>
      </c>
      <c r="N1620" t="s">
        <v>45</v>
      </c>
      <c r="O1620" t="s">
        <v>46</v>
      </c>
      <c r="P1620" t="s">
        <v>47</v>
      </c>
      <c r="Q1620" s="1">
        <v>43852</v>
      </c>
      <c r="R1620" t="s">
        <v>48</v>
      </c>
    </row>
    <row r="1621" spans="1:18" x14ac:dyDescent="0.25">
      <c r="A1621" t="s">
        <v>458</v>
      </c>
      <c r="B1621" t="s">
        <v>464</v>
      </c>
      <c r="C1621" t="s">
        <v>40</v>
      </c>
      <c r="D1621" s="1">
        <v>43448</v>
      </c>
      <c r="E1621" s="1">
        <v>44360</v>
      </c>
      <c r="F1621" t="s">
        <v>306</v>
      </c>
      <c r="G1621">
        <v>1</v>
      </c>
      <c r="H1621" t="s">
        <v>42</v>
      </c>
      <c r="I1621" t="s">
        <v>43</v>
      </c>
      <c r="J1621" t="s">
        <v>73</v>
      </c>
      <c r="K1621" t="s">
        <v>127</v>
      </c>
      <c r="L1621">
        <v>2426.06</v>
      </c>
      <c r="M1621" s="1">
        <v>43904</v>
      </c>
      <c r="N1621" t="s">
        <v>45</v>
      </c>
      <c r="O1621" t="s">
        <v>46</v>
      </c>
      <c r="P1621" t="s">
        <v>47</v>
      </c>
      <c r="Q1621" s="1">
        <v>43852</v>
      </c>
      <c r="R1621" t="s">
        <v>48</v>
      </c>
    </row>
    <row r="1622" spans="1:18" x14ac:dyDescent="0.25">
      <c r="A1622" t="s">
        <v>458</v>
      </c>
      <c r="B1622" t="s">
        <v>464</v>
      </c>
      <c r="C1622" t="s">
        <v>40</v>
      </c>
      <c r="D1622" s="1">
        <v>43448</v>
      </c>
      <c r="E1622" s="1">
        <v>44360</v>
      </c>
      <c r="F1622" t="s">
        <v>306</v>
      </c>
      <c r="G1622">
        <v>1</v>
      </c>
      <c r="H1622" t="s">
        <v>42</v>
      </c>
      <c r="I1622" t="s">
        <v>43</v>
      </c>
      <c r="J1622" t="s">
        <v>73</v>
      </c>
      <c r="K1622" t="s">
        <v>127</v>
      </c>
      <c r="L1622">
        <v>2426.06</v>
      </c>
      <c r="M1622" s="1">
        <v>43996</v>
      </c>
      <c r="N1622" t="s">
        <v>45</v>
      </c>
      <c r="O1622" t="s">
        <v>46</v>
      </c>
      <c r="P1622" t="s">
        <v>47</v>
      </c>
      <c r="Q1622" s="1">
        <v>43852</v>
      </c>
      <c r="R1622" t="s">
        <v>48</v>
      </c>
    </row>
    <row r="1623" spans="1:18" x14ac:dyDescent="0.25">
      <c r="A1623" t="s">
        <v>458</v>
      </c>
      <c r="B1623" t="s">
        <v>464</v>
      </c>
      <c r="C1623" t="s">
        <v>40</v>
      </c>
      <c r="D1623" s="1">
        <v>43448</v>
      </c>
      <c r="E1623" s="1">
        <v>44360</v>
      </c>
      <c r="F1623" t="s">
        <v>306</v>
      </c>
      <c r="G1623">
        <v>1</v>
      </c>
      <c r="H1623" t="s">
        <v>42</v>
      </c>
      <c r="I1623" t="s">
        <v>43</v>
      </c>
      <c r="J1623" t="s">
        <v>73</v>
      </c>
      <c r="K1623" t="s">
        <v>127</v>
      </c>
      <c r="L1623">
        <v>2426.06</v>
      </c>
      <c r="M1623" s="1">
        <v>44088</v>
      </c>
      <c r="N1623" t="s">
        <v>45</v>
      </c>
      <c r="O1623" t="s">
        <v>46</v>
      </c>
      <c r="P1623" t="s">
        <v>47</v>
      </c>
      <c r="Q1623" s="1">
        <v>43852</v>
      </c>
      <c r="R1623" t="s">
        <v>48</v>
      </c>
    </row>
    <row r="1624" spans="1:18" x14ac:dyDescent="0.25">
      <c r="A1624" t="s">
        <v>458</v>
      </c>
      <c r="B1624" t="s">
        <v>464</v>
      </c>
      <c r="C1624" t="s">
        <v>40</v>
      </c>
      <c r="D1624" s="1">
        <v>43448</v>
      </c>
      <c r="E1624" s="1">
        <v>44360</v>
      </c>
      <c r="F1624" t="s">
        <v>306</v>
      </c>
      <c r="G1624">
        <v>1</v>
      </c>
      <c r="H1624" t="s">
        <v>42</v>
      </c>
      <c r="I1624" t="s">
        <v>43</v>
      </c>
      <c r="J1624" t="s">
        <v>73</v>
      </c>
      <c r="K1624" t="s">
        <v>127</v>
      </c>
      <c r="L1624">
        <v>2426.06</v>
      </c>
      <c r="M1624" s="1">
        <v>43538</v>
      </c>
      <c r="N1624" t="s">
        <v>45</v>
      </c>
      <c r="O1624" t="s">
        <v>46</v>
      </c>
      <c r="P1624" t="s">
        <v>47</v>
      </c>
      <c r="Q1624" s="1">
        <v>43852</v>
      </c>
      <c r="R1624" t="s">
        <v>48</v>
      </c>
    </row>
    <row r="1625" spans="1:18" x14ac:dyDescent="0.25">
      <c r="A1625" t="s">
        <v>458</v>
      </c>
      <c r="B1625" t="s">
        <v>464</v>
      </c>
      <c r="C1625" t="s">
        <v>40</v>
      </c>
      <c r="D1625" s="1">
        <v>43448</v>
      </c>
      <c r="E1625" s="1">
        <v>44360</v>
      </c>
      <c r="F1625" t="s">
        <v>306</v>
      </c>
      <c r="G1625">
        <v>1</v>
      </c>
      <c r="H1625" t="s">
        <v>42</v>
      </c>
      <c r="I1625" t="s">
        <v>43</v>
      </c>
      <c r="J1625" t="s">
        <v>73</v>
      </c>
      <c r="K1625" t="s">
        <v>127</v>
      </c>
      <c r="L1625">
        <v>2426.06</v>
      </c>
      <c r="M1625" s="1">
        <v>43630</v>
      </c>
      <c r="N1625" t="s">
        <v>45</v>
      </c>
      <c r="O1625" t="s">
        <v>46</v>
      </c>
      <c r="P1625" t="s">
        <v>47</v>
      </c>
      <c r="Q1625" s="1">
        <v>43852</v>
      </c>
      <c r="R1625" t="s">
        <v>48</v>
      </c>
    </row>
    <row r="1626" spans="1:18" x14ac:dyDescent="0.25">
      <c r="A1626" t="s">
        <v>458</v>
      </c>
      <c r="B1626" t="s">
        <v>464</v>
      </c>
      <c r="C1626" t="s">
        <v>40</v>
      </c>
      <c r="D1626" s="1">
        <v>43448</v>
      </c>
      <c r="E1626" s="1">
        <v>44360</v>
      </c>
      <c r="F1626" t="s">
        <v>306</v>
      </c>
      <c r="G1626">
        <v>1</v>
      </c>
      <c r="H1626" t="s">
        <v>42</v>
      </c>
      <c r="I1626" t="s">
        <v>43</v>
      </c>
      <c r="J1626" t="s">
        <v>73</v>
      </c>
      <c r="K1626" t="s">
        <v>127</v>
      </c>
      <c r="L1626">
        <v>2426.06</v>
      </c>
      <c r="M1626" s="1">
        <v>43722</v>
      </c>
      <c r="N1626" t="s">
        <v>45</v>
      </c>
      <c r="O1626" t="s">
        <v>46</v>
      </c>
      <c r="P1626" t="s">
        <v>47</v>
      </c>
      <c r="Q1626" s="1">
        <v>43852</v>
      </c>
      <c r="R1626" t="s">
        <v>48</v>
      </c>
    </row>
    <row r="1627" spans="1:18" x14ac:dyDescent="0.25">
      <c r="A1627" t="s">
        <v>458</v>
      </c>
      <c r="B1627" t="s">
        <v>464</v>
      </c>
      <c r="C1627" t="s">
        <v>40</v>
      </c>
      <c r="D1627" s="1">
        <v>43448</v>
      </c>
      <c r="E1627" s="1">
        <v>44360</v>
      </c>
      <c r="F1627" t="s">
        <v>306</v>
      </c>
      <c r="G1627">
        <v>1</v>
      </c>
      <c r="H1627" t="s">
        <v>42</v>
      </c>
      <c r="I1627" t="s">
        <v>43</v>
      </c>
      <c r="J1627" t="s">
        <v>73</v>
      </c>
      <c r="K1627" t="s">
        <v>127</v>
      </c>
      <c r="L1627">
        <v>6203.49</v>
      </c>
      <c r="M1627" s="1">
        <v>43448</v>
      </c>
      <c r="N1627" t="s">
        <v>45</v>
      </c>
      <c r="O1627" t="s">
        <v>46</v>
      </c>
      <c r="P1627" t="s">
        <v>47</v>
      </c>
      <c r="Q1627" s="1">
        <v>43852</v>
      </c>
      <c r="R1627" t="s">
        <v>48</v>
      </c>
    </row>
    <row r="1628" spans="1:18" x14ac:dyDescent="0.25">
      <c r="A1628" t="s">
        <v>458</v>
      </c>
      <c r="B1628" t="s">
        <v>465</v>
      </c>
      <c r="C1628" t="s">
        <v>40</v>
      </c>
      <c r="D1628" s="1">
        <v>43642</v>
      </c>
      <c r="E1628" s="1">
        <v>44007</v>
      </c>
      <c r="F1628" t="s">
        <v>72</v>
      </c>
      <c r="G1628">
        <v>11</v>
      </c>
      <c r="H1628" t="s">
        <v>223</v>
      </c>
      <c r="I1628" t="s">
        <v>43</v>
      </c>
      <c r="J1628" t="s">
        <v>73</v>
      </c>
      <c r="K1628" t="s">
        <v>127</v>
      </c>
      <c r="L1628">
        <v>137712.39000000001</v>
      </c>
      <c r="M1628" s="1">
        <v>43642</v>
      </c>
      <c r="N1628" t="s">
        <v>45</v>
      </c>
      <c r="O1628" t="s">
        <v>46</v>
      </c>
      <c r="P1628" t="s">
        <v>47</v>
      </c>
      <c r="Q1628" s="1">
        <v>43852</v>
      </c>
      <c r="R1628" t="s">
        <v>48</v>
      </c>
    </row>
    <row r="1629" spans="1:18" x14ac:dyDescent="0.25">
      <c r="A1629" t="s">
        <v>458</v>
      </c>
      <c r="B1629" t="s">
        <v>466</v>
      </c>
      <c r="C1629" t="s">
        <v>40</v>
      </c>
      <c r="D1629" s="1">
        <v>43524</v>
      </c>
      <c r="E1629" s="1">
        <v>43612</v>
      </c>
      <c r="F1629" t="s">
        <v>306</v>
      </c>
      <c r="G1629">
        <v>1</v>
      </c>
      <c r="H1629" t="s">
        <v>42</v>
      </c>
      <c r="I1629" t="s">
        <v>43</v>
      </c>
      <c r="J1629" t="s">
        <v>73</v>
      </c>
      <c r="K1629" t="s">
        <v>127</v>
      </c>
      <c r="L1629">
        <v>21929.45</v>
      </c>
      <c r="M1629" s="1">
        <v>43525</v>
      </c>
      <c r="N1629" t="s">
        <v>45</v>
      </c>
      <c r="O1629" t="s">
        <v>44</v>
      </c>
      <c r="P1629" t="s">
        <v>47</v>
      </c>
      <c r="Q1629" s="1">
        <v>43852</v>
      </c>
      <c r="R1629" t="s">
        <v>48</v>
      </c>
    </row>
    <row r="1630" spans="1:18" x14ac:dyDescent="0.25">
      <c r="A1630" t="s">
        <v>458</v>
      </c>
      <c r="B1630" t="s">
        <v>467</v>
      </c>
      <c r="C1630" t="s">
        <v>71</v>
      </c>
      <c r="D1630" s="1">
        <v>42611</v>
      </c>
      <c r="E1630" s="1">
        <v>43524</v>
      </c>
      <c r="F1630" t="s">
        <v>306</v>
      </c>
      <c r="G1630">
        <v>1</v>
      </c>
      <c r="H1630" t="s">
        <v>42</v>
      </c>
      <c r="I1630" t="s">
        <v>43</v>
      </c>
      <c r="J1630" t="s">
        <v>73</v>
      </c>
      <c r="K1630" t="s">
        <v>127</v>
      </c>
      <c r="L1630">
        <v>55777.3</v>
      </c>
      <c r="M1630" s="1">
        <v>42611</v>
      </c>
      <c r="N1630" t="s">
        <v>45</v>
      </c>
      <c r="O1630" t="s">
        <v>46</v>
      </c>
      <c r="P1630" t="s">
        <v>47</v>
      </c>
      <c r="Q1630" s="1">
        <v>43852</v>
      </c>
      <c r="R1630" t="s">
        <v>48</v>
      </c>
    </row>
    <row r="1631" spans="1:18" x14ac:dyDescent="0.25">
      <c r="A1631" t="s">
        <v>458</v>
      </c>
      <c r="B1631" t="s">
        <v>468</v>
      </c>
      <c r="C1631" t="s">
        <v>71</v>
      </c>
      <c r="D1631" s="1">
        <v>42608</v>
      </c>
      <c r="E1631" s="1">
        <v>43337</v>
      </c>
      <c r="F1631" t="s">
        <v>306</v>
      </c>
      <c r="G1631">
        <v>1</v>
      </c>
      <c r="H1631" t="s">
        <v>42</v>
      </c>
      <c r="I1631" t="s">
        <v>43</v>
      </c>
      <c r="J1631" t="s">
        <v>73</v>
      </c>
      <c r="K1631" t="s">
        <v>127</v>
      </c>
      <c r="L1631">
        <v>101109.75</v>
      </c>
      <c r="M1631" s="1">
        <v>43337</v>
      </c>
      <c r="N1631" t="s">
        <v>45</v>
      </c>
      <c r="O1631" t="s">
        <v>361</v>
      </c>
      <c r="P1631" t="s">
        <v>469</v>
      </c>
      <c r="Q1631" s="1">
        <v>43852</v>
      </c>
      <c r="R1631" t="s">
        <v>469</v>
      </c>
    </row>
    <row r="1632" spans="1:18" x14ac:dyDescent="0.25">
      <c r="A1632" t="s">
        <v>66</v>
      </c>
      <c r="B1632" t="s">
        <v>470</v>
      </c>
      <c r="C1632" t="s">
        <v>40</v>
      </c>
      <c r="D1632" s="1">
        <v>42636</v>
      </c>
      <c r="E1632" s="1">
        <v>43730</v>
      </c>
      <c r="F1632" t="s">
        <v>306</v>
      </c>
      <c r="G1632">
        <v>1</v>
      </c>
      <c r="H1632" t="s">
        <v>42</v>
      </c>
      <c r="I1632" t="s">
        <v>43</v>
      </c>
      <c r="J1632" t="s">
        <v>73</v>
      </c>
      <c r="K1632" t="s">
        <v>68</v>
      </c>
      <c r="L1632">
        <v>31589.25</v>
      </c>
      <c r="M1632" s="1">
        <v>43092</v>
      </c>
      <c r="N1632" t="s">
        <v>45</v>
      </c>
      <c r="O1632" t="s">
        <v>106</v>
      </c>
      <c r="P1632" t="s">
        <v>47</v>
      </c>
      <c r="Q1632" s="1">
        <v>43852</v>
      </c>
      <c r="R1632" t="s">
        <v>48</v>
      </c>
    </row>
    <row r="1633" spans="1:38" x14ac:dyDescent="0.25">
      <c r="A1633" t="s">
        <v>69</v>
      </c>
      <c r="B1633" t="s">
        <v>470</v>
      </c>
      <c r="C1633" t="s">
        <v>40</v>
      </c>
      <c r="D1633" s="1">
        <v>42636</v>
      </c>
      <c r="E1633" s="1">
        <v>43730</v>
      </c>
      <c r="F1633" t="s">
        <v>306</v>
      </c>
      <c r="G1633">
        <v>1</v>
      </c>
      <c r="H1633" t="s">
        <v>42</v>
      </c>
      <c r="I1633" t="s">
        <v>43</v>
      </c>
      <c r="J1633" t="s">
        <v>73</v>
      </c>
      <c r="K1633" t="s">
        <v>68</v>
      </c>
      <c r="L1633">
        <v>31589.25</v>
      </c>
      <c r="M1633" s="1">
        <v>43182</v>
      </c>
      <c r="N1633" t="s">
        <v>45</v>
      </c>
      <c r="O1633" t="s">
        <v>106</v>
      </c>
      <c r="P1633" t="s">
        <v>47</v>
      </c>
      <c r="Q1633" s="1">
        <v>43852</v>
      </c>
      <c r="R1633" t="s">
        <v>48</v>
      </c>
    </row>
    <row r="1634" spans="1:38" x14ac:dyDescent="0.25">
      <c r="A1634" t="s">
        <v>74</v>
      </c>
      <c r="B1634" t="s">
        <v>470</v>
      </c>
      <c r="C1634" t="s">
        <v>40</v>
      </c>
      <c r="D1634" s="1">
        <v>42636</v>
      </c>
      <c r="E1634" s="1">
        <v>43730</v>
      </c>
      <c r="F1634" t="s">
        <v>306</v>
      </c>
      <c r="G1634">
        <v>1</v>
      </c>
      <c r="H1634" t="s">
        <v>42</v>
      </c>
      <c r="I1634" t="s">
        <v>43</v>
      </c>
      <c r="J1634" t="s">
        <v>73</v>
      </c>
      <c r="K1634" t="s">
        <v>68</v>
      </c>
      <c r="L1634">
        <v>31589.25</v>
      </c>
      <c r="M1634" s="1">
        <v>43274</v>
      </c>
      <c r="N1634" t="s">
        <v>45</v>
      </c>
      <c r="O1634" t="s">
        <v>106</v>
      </c>
      <c r="P1634" t="s">
        <v>47</v>
      </c>
      <c r="Q1634" s="1">
        <v>43852</v>
      </c>
      <c r="R1634" t="s">
        <v>48</v>
      </c>
    </row>
    <row r="1635" spans="1:38" x14ac:dyDescent="0.25">
      <c r="A1635" t="s">
        <v>75</v>
      </c>
      <c r="B1635" t="s">
        <v>470</v>
      </c>
      <c r="C1635" t="s">
        <v>40</v>
      </c>
      <c r="D1635" s="1">
        <v>42636</v>
      </c>
      <c r="E1635" s="1">
        <v>43730</v>
      </c>
      <c r="F1635" t="s">
        <v>306</v>
      </c>
      <c r="G1635">
        <v>1</v>
      </c>
      <c r="H1635" t="s">
        <v>42</v>
      </c>
      <c r="I1635" t="s">
        <v>43</v>
      </c>
      <c r="J1635" t="s">
        <v>73</v>
      </c>
      <c r="K1635" t="s">
        <v>68</v>
      </c>
      <c r="L1635">
        <v>31589.25</v>
      </c>
      <c r="M1635" s="1">
        <v>43366</v>
      </c>
      <c r="N1635" t="s">
        <v>45</v>
      </c>
      <c r="O1635" t="s">
        <v>106</v>
      </c>
      <c r="P1635" t="s">
        <v>47</v>
      </c>
      <c r="Q1635" s="1">
        <v>43852</v>
      </c>
      <c r="R1635" t="s">
        <v>48</v>
      </c>
    </row>
    <row r="1636" spans="1:38" x14ac:dyDescent="0.25">
      <c r="A1636" t="s">
        <v>82</v>
      </c>
      <c r="B1636" t="s">
        <v>470</v>
      </c>
      <c r="C1636" t="s">
        <v>40</v>
      </c>
      <c r="D1636" s="1">
        <v>42636</v>
      </c>
      <c r="E1636" s="1">
        <v>43730</v>
      </c>
      <c r="F1636" t="s">
        <v>306</v>
      </c>
      <c r="G1636">
        <v>1</v>
      </c>
      <c r="H1636" t="s">
        <v>42</v>
      </c>
      <c r="I1636" t="s">
        <v>43</v>
      </c>
      <c r="J1636" t="s">
        <v>73</v>
      </c>
      <c r="K1636" t="s">
        <v>68</v>
      </c>
      <c r="L1636">
        <v>31589.25</v>
      </c>
      <c r="M1636" s="1">
        <v>43457</v>
      </c>
      <c r="N1636" t="s">
        <v>45</v>
      </c>
      <c r="O1636" t="s">
        <v>106</v>
      </c>
      <c r="P1636" t="s">
        <v>47</v>
      </c>
      <c r="Q1636" s="1">
        <v>43852</v>
      </c>
      <c r="R1636" t="s">
        <v>48</v>
      </c>
    </row>
    <row r="1637" spans="1:38" x14ac:dyDescent="0.25">
      <c r="A1637" t="s">
        <v>104</v>
      </c>
      <c r="B1637" t="s">
        <v>470</v>
      </c>
      <c r="C1637" t="s">
        <v>40</v>
      </c>
      <c r="D1637" s="1">
        <v>42636</v>
      </c>
      <c r="E1637" s="1">
        <v>43730</v>
      </c>
      <c r="F1637" t="s">
        <v>306</v>
      </c>
      <c r="G1637">
        <v>1</v>
      </c>
      <c r="H1637" t="s">
        <v>42</v>
      </c>
      <c r="I1637" t="s">
        <v>43</v>
      </c>
      <c r="J1637" t="s">
        <v>73</v>
      </c>
      <c r="K1637" t="s">
        <v>68</v>
      </c>
      <c r="L1637">
        <v>31589.25</v>
      </c>
      <c r="M1637" s="1">
        <v>43547</v>
      </c>
      <c r="N1637" t="s">
        <v>45</v>
      </c>
      <c r="O1637" t="s">
        <v>106</v>
      </c>
      <c r="P1637" t="s">
        <v>47</v>
      </c>
      <c r="Q1637" s="1">
        <v>43852</v>
      </c>
      <c r="R1637" t="s">
        <v>48</v>
      </c>
    </row>
    <row r="1638" spans="1:38" x14ac:dyDescent="0.25">
      <c r="A1638" t="s">
        <v>107</v>
      </c>
      <c r="B1638" t="s">
        <v>470</v>
      </c>
      <c r="C1638" t="s">
        <v>40</v>
      </c>
      <c r="D1638" s="1">
        <v>42636</v>
      </c>
      <c r="E1638" s="1">
        <v>43730</v>
      </c>
      <c r="F1638" t="s">
        <v>306</v>
      </c>
      <c r="G1638">
        <v>1</v>
      </c>
      <c r="H1638" t="s">
        <v>42</v>
      </c>
      <c r="I1638" t="s">
        <v>43</v>
      </c>
      <c r="J1638" t="s">
        <v>73</v>
      </c>
      <c r="K1638" t="s">
        <v>68</v>
      </c>
      <c r="L1638">
        <v>31589.3</v>
      </c>
      <c r="M1638" s="1">
        <v>42727</v>
      </c>
      <c r="N1638" t="s">
        <v>45</v>
      </c>
      <c r="O1638" t="s">
        <v>106</v>
      </c>
      <c r="P1638" t="s">
        <v>47</v>
      </c>
      <c r="Q1638" s="1">
        <v>43852</v>
      </c>
      <c r="R1638" t="s">
        <v>48</v>
      </c>
    </row>
    <row r="1639" spans="1:38" x14ac:dyDescent="0.25">
      <c r="A1639" t="s">
        <v>109</v>
      </c>
      <c r="B1639" t="s">
        <v>470</v>
      </c>
      <c r="C1639" t="s">
        <v>40</v>
      </c>
      <c r="D1639" s="1">
        <v>42636</v>
      </c>
      <c r="E1639" s="1">
        <v>43730</v>
      </c>
      <c r="F1639" t="s">
        <v>306</v>
      </c>
      <c r="G1639">
        <v>1</v>
      </c>
      <c r="H1639" t="s">
        <v>42</v>
      </c>
      <c r="I1639" t="s">
        <v>43</v>
      </c>
      <c r="J1639" t="s">
        <v>73</v>
      </c>
      <c r="K1639" t="s">
        <v>68</v>
      </c>
      <c r="L1639">
        <v>31589.3</v>
      </c>
      <c r="M1639" s="1">
        <v>42817</v>
      </c>
      <c r="N1639" t="s">
        <v>45</v>
      </c>
      <c r="O1639" t="s">
        <v>106</v>
      </c>
      <c r="P1639" t="s">
        <v>47</v>
      </c>
      <c r="Q1639" s="1">
        <v>43852</v>
      </c>
      <c r="R1639" t="s">
        <v>48</v>
      </c>
    </row>
    <row r="1640" spans="1:38" x14ac:dyDescent="0.25">
      <c r="A1640" t="s">
        <v>110</v>
      </c>
      <c r="B1640" t="s">
        <v>470</v>
      </c>
      <c r="C1640" t="s">
        <v>40</v>
      </c>
      <c r="D1640" s="1">
        <v>42636</v>
      </c>
      <c r="E1640" s="1">
        <v>43730</v>
      </c>
      <c r="F1640" t="s">
        <v>306</v>
      </c>
      <c r="G1640">
        <v>1</v>
      </c>
      <c r="H1640" t="s">
        <v>42</v>
      </c>
      <c r="I1640" t="s">
        <v>43</v>
      </c>
      <c r="J1640" t="s">
        <v>73</v>
      </c>
      <c r="K1640" t="s">
        <v>68</v>
      </c>
      <c r="L1640">
        <v>31589.3</v>
      </c>
      <c r="M1640" s="1">
        <v>42909</v>
      </c>
      <c r="N1640" t="s">
        <v>45</v>
      </c>
      <c r="O1640" t="s">
        <v>106</v>
      </c>
      <c r="P1640" t="s">
        <v>47</v>
      </c>
      <c r="Q1640" s="1">
        <v>43852</v>
      </c>
      <c r="R1640" t="s">
        <v>48</v>
      </c>
    </row>
    <row r="1641" spans="1:38" x14ac:dyDescent="0.25">
      <c r="A1641" t="s">
        <v>112</v>
      </c>
      <c r="B1641" t="s">
        <v>470</v>
      </c>
      <c r="C1641" t="s">
        <v>40</v>
      </c>
      <c r="D1641" s="1">
        <v>42636</v>
      </c>
      <c r="E1641" s="1">
        <v>43730</v>
      </c>
      <c r="F1641" t="s">
        <v>306</v>
      </c>
      <c r="G1641">
        <v>1</v>
      </c>
      <c r="H1641" t="s">
        <v>42</v>
      </c>
      <c r="I1641" t="s">
        <v>43</v>
      </c>
      <c r="J1641" t="s">
        <v>73</v>
      </c>
      <c r="K1641" t="s">
        <v>68</v>
      </c>
      <c r="L1641">
        <v>31589.3</v>
      </c>
      <c r="M1641" s="1">
        <v>43001</v>
      </c>
      <c r="N1641" t="s">
        <v>45</v>
      </c>
      <c r="O1641" t="s">
        <v>106</v>
      </c>
      <c r="P1641" t="s">
        <v>47</v>
      </c>
      <c r="Q1641" s="1">
        <v>43852</v>
      </c>
      <c r="R1641" t="s">
        <v>48</v>
      </c>
    </row>
    <row r="1642" spans="1:38" x14ac:dyDescent="0.25">
      <c r="A1642" t="s">
        <v>114</v>
      </c>
      <c r="B1642" t="s">
        <v>470</v>
      </c>
      <c r="C1642" t="s">
        <v>40</v>
      </c>
      <c r="D1642" s="1">
        <v>42636</v>
      </c>
      <c r="E1642" s="1">
        <v>43730</v>
      </c>
      <c r="F1642" t="s">
        <v>306</v>
      </c>
      <c r="G1642">
        <v>1</v>
      </c>
      <c r="H1642" t="s">
        <v>42</v>
      </c>
      <c r="I1642" t="s">
        <v>43</v>
      </c>
      <c r="J1642" t="s">
        <v>73</v>
      </c>
      <c r="K1642" t="s">
        <v>68</v>
      </c>
      <c r="L1642">
        <v>183374.9</v>
      </c>
      <c r="M1642" s="1">
        <v>42636</v>
      </c>
      <c r="N1642" t="s">
        <v>45</v>
      </c>
      <c r="O1642" t="s">
        <v>106</v>
      </c>
      <c r="P1642" t="s">
        <v>47</v>
      </c>
      <c r="Q1642" s="1">
        <v>43852</v>
      </c>
      <c r="R1642" t="s">
        <v>48</v>
      </c>
    </row>
    <row r="1643" spans="1:38" x14ac:dyDescent="0.25">
      <c r="A1643" t="s">
        <v>116</v>
      </c>
      <c r="B1643" t="s">
        <v>470</v>
      </c>
      <c r="C1643" t="s">
        <v>40</v>
      </c>
      <c r="D1643" s="1">
        <v>42636</v>
      </c>
      <c r="E1643" s="1">
        <v>43730</v>
      </c>
      <c r="F1643" t="s">
        <v>306</v>
      </c>
      <c r="G1643">
        <v>1</v>
      </c>
      <c r="H1643" t="s">
        <v>42</v>
      </c>
      <c r="I1643" t="s">
        <v>43</v>
      </c>
      <c r="J1643" t="s">
        <v>73</v>
      </c>
      <c r="K1643" t="s">
        <v>68</v>
      </c>
      <c r="L1643">
        <v>0</v>
      </c>
      <c r="M1643" s="1">
        <v>43191</v>
      </c>
      <c r="N1643" t="s">
        <v>108</v>
      </c>
      <c r="O1643" t="s">
        <v>106</v>
      </c>
      <c r="P1643" t="s">
        <v>47</v>
      </c>
      <c r="Q1643" s="1">
        <v>43852</v>
      </c>
      <c r="R1643" t="s">
        <v>48</v>
      </c>
    </row>
    <row r="1644" spans="1:38" x14ac:dyDescent="0.25">
      <c r="A1644" t="s">
        <v>117</v>
      </c>
      <c r="B1644" t="s">
        <v>470</v>
      </c>
      <c r="C1644" t="s">
        <v>40</v>
      </c>
      <c r="D1644" s="1">
        <v>42636</v>
      </c>
      <c r="E1644" s="1">
        <v>43730</v>
      </c>
      <c r="F1644" t="s">
        <v>306</v>
      </c>
      <c r="G1644">
        <v>1</v>
      </c>
      <c r="H1644" t="s">
        <v>42</v>
      </c>
      <c r="I1644" t="s">
        <v>43</v>
      </c>
      <c r="J1644" t="s">
        <v>73</v>
      </c>
      <c r="K1644" t="s">
        <v>68</v>
      </c>
      <c r="L1644">
        <v>0</v>
      </c>
      <c r="M1644" s="1">
        <v>43191</v>
      </c>
      <c r="N1644" t="s">
        <v>108</v>
      </c>
      <c r="O1644" t="s">
        <v>106</v>
      </c>
      <c r="P1644" t="s">
        <v>47</v>
      </c>
      <c r="Q1644" s="1">
        <v>43852</v>
      </c>
      <c r="R1644" t="s">
        <v>48</v>
      </c>
    </row>
    <row r="1645" spans="1:38" x14ac:dyDescent="0.25">
      <c r="A1645" t="s">
        <v>119</v>
      </c>
      <c r="B1645" t="s">
        <v>470</v>
      </c>
      <c r="C1645" t="s">
        <v>40</v>
      </c>
      <c r="D1645" s="1">
        <v>42636</v>
      </c>
      <c r="E1645" s="1">
        <v>43730</v>
      </c>
      <c r="F1645" t="s">
        <v>306</v>
      </c>
      <c r="G1645">
        <v>1</v>
      </c>
      <c r="H1645" t="s">
        <v>42</v>
      </c>
      <c r="I1645" t="s">
        <v>43</v>
      </c>
      <c r="J1645" t="s">
        <v>73</v>
      </c>
      <c r="K1645" t="s">
        <v>68</v>
      </c>
      <c r="L1645">
        <v>0</v>
      </c>
      <c r="M1645" s="1">
        <v>43191</v>
      </c>
      <c r="N1645" t="s">
        <v>108</v>
      </c>
      <c r="O1645" t="s">
        <v>106</v>
      </c>
      <c r="P1645" t="s">
        <v>47</v>
      </c>
      <c r="Q1645" s="1">
        <v>43852</v>
      </c>
      <c r="R1645" t="s">
        <v>48</v>
      </c>
    </row>
    <row r="1646" spans="1:38" x14ac:dyDescent="0.25">
      <c r="A1646" t="s">
        <v>123</v>
      </c>
      <c r="B1646" t="s">
        <v>471</v>
      </c>
      <c r="C1646" t="s">
        <v>40</v>
      </c>
      <c r="D1646" s="1">
        <v>43029</v>
      </c>
      <c r="E1646" s="1">
        <v>43393</v>
      </c>
      <c r="F1646" t="s">
        <v>72</v>
      </c>
      <c r="G1646">
        <v>1</v>
      </c>
      <c r="H1646" t="s">
        <v>42</v>
      </c>
      <c r="I1646" t="s">
        <v>43</v>
      </c>
      <c r="J1646" t="s">
        <v>73</v>
      </c>
      <c r="K1646" t="s">
        <v>127</v>
      </c>
      <c r="L1646">
        <v>10118.39</v>
      </c>
      <c r="M1646" s="1">
        <v>43029</v>
      </c>
      <c r="N1646" t="s">
        <v>45</v>
      </c>
      <c r="O1646" t="s">
        <v>46</v>
      </c>
      <c r="P1646" t="s">
        <v>47</v>
      </c>
      <c r="Q1646" s="1">
        <v>43852</v>
      </c>
      <c r="R1646" t="s">
        <v>48</v>
      </c>
    </row>
    <row r="1647" spans="1:38" x14ac:dyDescent="0.25">
      <c r="A1647" t="s">
        <v>124</v>
      </c>
      <c r="B1647" t="s">
        <v>472</v>
      </c>
      <c r="C1647" t="s">
        <v>40</v>
      </c>
      <c r="D1647" s="1">
        <v>43029</v>
      </c>
      <c r="E1647" s="1">
        <v>43393</v>
      </c>
      <c r="F1647" t="s">
        <v>76</v>
      </c>
      <c r="G1647">
        <v>1</v>
      </c>
      <c r="H1647" t="s">
        <v>42</v>
      </c>
      <c r="I1647" t="s">
        <v>43</v>
      </c>
      <c r="J1647" t="s">
        <v>73</v>
      </c>
      <c r="K1647" t="s">
        <v>127</v>
      </c>
      <c r="L1647">
        <v>2254.63</v>
      </c>
      <c r="M1647" s="1">
        <v>43029</v>
      </c>
      <c r="N1647" t="s">
        <v>45</v>
      </c>
      <c r="O1647" t="s">
        <v>46</v>
      </c>
      <c r="P1647" t="s">
        <v>47</v>
      </c>
      <c r="Q1647" s="1">
        <v>43852</v>
      </c>
      <c r="R1647" t="s">
        <v>48</v>
      </c>
      <c r="S1647" t="s">
        <v>78</v>
      </c>
      <c r="T1647" t="s">
        <v>79</v>
      </c>
      <c r="U1647" t="s">
        <v>42</v>
      </c>
      <c r="V1647">
        <v>1200000</v>
      </c>
      <c r="W1647">
        <v>100000</v>
      </c>
      <c r="X1647" s="1">
        <v>43921</v>
      </c>
      <c r="Y1647" t="s">
        <v>51</v>
      </c>
      <c r="Z1647" t="s">
        <v>43</v>
      </c>
      <c r="AA1647" t="s">
        <v>80</v>
      </c>
      <c r="AB1647" t="s">
        <v>76</v>
      </c>
      <c r="AC1647" t="s">
        <v>81</v>
      </c>
      <c r="AF1647" t="s">
        <v>54</v>
      </c>
      <c r="AG1647" s="1">
        <v>43832</v>
      </c>
      <c r="AH1647" t="s">
        <v>42</v>
      </c>
      <c r="AI1647" t="s">
        <v>55</v>
      </c>
      <c r="AJ1647">
        <v>12788092</v>
      </c>
      <c r="AK1647">
        <v>250000</v>
      </c>
      <c r="AL1647">
        <v>1500000</v>
      </c>
    </row>
    <row r="1648" spans="1:38" x14ac:dyDescent="0.25">
      <c r="A1648" t="s">
        <v>124</v>
      </c>
      <c r="B1648" t="s">
        <v>472</v>
      </c>
      <c r="C1648" t="s">
        <v>40</v>
      </c>
      <c r="D1648" s="1">
        <v>43029</v>
      </c>
      <c r="E1648" s="1">
        <v>43393</v>
      </c>
      <c r="F1648" t="s">
        <v>76</v>
      </c>
      <c r="G1648">
        <v>1</v>
      </c>
      <c r="H1648" t="s">
        <v>42</v>
      </c>
      <c r="I1648" t="s">
        <v>43</v>
      </c>
      <c r="J1648" t="s">
        <v>73</v>
      </c>
      <c r="K1648" t="s">
        <v>127</v>
      </c>
      <c r="L1648">
        <v>2254.63</v>
      </c>
      <c r="M1648" s="1">
        <v>43029</v>
      </c>
      <c r="N1648" t="s">
        <v>45</v>
      </c>
      <c r="O1648" t="s">
        <v>46</v>
      </c>
      <c r="P1648" t="s">
        <v>47</v>
      </c>
      <c r="Q1648" s="1">
        <v>43852</v>
      </c>
      <c r="R1648" t="s">
        <v>48</v>
      </c>
      <c r="S1648" t="s">
        <v>78</v>
      </c>
      <c r="T1648" t="s">
        <v>79</v>
      </c>
      <c r="U1648" t="s">
        <v>42</v>
      </c>
      <c r="V1648">
        <v>1200000</v>
      </c>
      <c r="W1648">
        <v>100000</v>
      </c>
      <c r="X1648" s="1">
        <v>43921</v>
      </c>
      <c r="Y1648" t="s">
        <v>51</v>
      </c>
      <c r="Z1648" t="s">
        <v>43</v>
      </c>
      <c r="AA1648" t="s">
        <v>80</v>
      </c>
      <c r="AB1648" t="s">
        <v>76</v>
      </c>
      <c r="AC1648" t="s">
        <v>81</v>
      </c>
      <c r="AF1648" t="s">
        <v>56</v>
      </c>
      <c r="AG1648" s="1">
        <v>43833</v>
      </c>
      <c r="AH1648" t="s">
        <v>42</v>
      </c>
      <c r="AI1648" t="s">
        <v>55</v>
      </c>
      <c r="AJ1648">
        <v>12788092</v>
      </c>
      <c r="AK1648">
        <v>250000</v>
      </c>
      <c r="AL1648">
        <v>1500000</v>
      </c>
    </row>
    <row r="1649" spans="1:38" x14ac:dyDescent="0.25">
      <c r="A1649" t="s">
        <v>124</v>
      </c>
      <c r="B1649" t="s">
        <v>472</v>
      </c>
      <c r="C1649" t="s">
        <v>40</v>
      </c>
      <c r="D1649" s="1">
        <v>43029</v>
      </c>
      <c r="E1649" s="1">
        <v>43393</v>
      </c>
      <c r="F1649" t="s">
        <v>76</v>
      </c>
      <c r="G1649">
        <v>1</v>
      </c>
      <c r="H1649" t="s">
        <v>42</v>
      </c>
      <c r="I1649" t="s">
        <v>43</v>
      </c>
      <c r="J1649" t="s">
        <v>73</v>
      </c>
      <c r="K1649" t="s">
        <v>127</v>
      </c>
      <c r="L1649">
        <v>2254.63</v>
      </c>
      <c r="M1649" s="1">
        <v>43029</v>
      </c>
      <c r="N1649" t="s">
        <v>45</v>
      </c>
      <c r="O1649" t="s">
        <v>46</v>
      </c>
      <c r="P1649" t="s">
        <v>47</v>
      </c>
      <c r="Q1649" s="1">
        <v>43852</v>
      </c>
      <c r="R1649" t="s">
        <v>48</v>
      </c>
      <c r="S1649" t="s">
        <v>78</v>
      </c>
      <c r="T1649" t="s">
        <v>79</v>
      </c>
      <c r="U1649" t="s">
        <v>42</v>
      </c>
      <c r="V1649">
        <v>1200000</v>
      </c>
      <c r="W1649">
        <v>100000</v>
      </c>
      <c r="X1649" s="1">
        <v>43921</v>
      </c>
      <c r="Y1649" t="s">
        <v>51</v>
      </c>
      <c r="Z1649" t="s">
        <v>43</v>
      </c>
      <c r="AA1649" t="s">
        <v>80</v>
      </c>
      <c r="AB1649" t="s">
        <v>76</v>
      </c>
      <c r="AC1649" t="s">
        <v>81</v>
      </c>
      <c r="AF1649" t="s">
        <v>57</v>
      </c>
      <c r="AG1649" s="1">
        <v>43836</v>
      </c>
      <c r="AH1649" t="s">
        <v>42</v>
      </c>
      <c r="AI1649" t="s">
        <v>55</v>
      </c>
      <c r="AJ1649">
        <v>12788092</v>
      </c>
      <c r="AK1649">
        <v>250000</v>
      </c>
      <c r="AL1649">
        <v>1500000</v>
      </c>
    </row>
    <row r="1650" spans="1:38" x14ac:dyDescent="0.25">
      <c r="A1650" t="s">
        <v>124</v>
      </c>
      <c r="B1650" t="s">
        <v>472</v>
      </c>
      <c r="C1650" t="s">
        <v>40</v>
      </c>
      <c r="D1650" s="1">
        <v>43029</v>
      </c>
      <c r="E1650" s="1">
        <v>43393</v>
      </c>
      <c r="F1650" t="s">
        <v>76</v>
      </c>
      <c r="G1650">
        <v>1</v>
      </c>
      <c r="H1650" t="s">
        <v>42</v>
      </c>
      <c r="I1650" t="s">
        <v>43</v>
      </c>
      <c r="J1650" t="s">
        <v>73</v>
      </c>
      <c r="K1650" t="s">
        <v>127</v>
      </c>
      <c r="L1650">
        <v>2254.63</v>
      </c>
      <c r="M1650" s="1">
        <v>43029</v>
      </c>
      <c r="N1650" t="s">
        <v>45</v>
      </c>
      <c r="O1650" t="s">
        <v>46</v>
      </c>
      <c r="P1650" t="s">
        <v>47</v>
      </c>
      <c r="Q1650" s="1">
        <v>43852</v>
      </c>
      <c r="R1650" t="s">
        <v>48</v>
      </c>
      <c r="S1650" t="s">
        <v>78</v>
      </c>
      <c r="T1650" t="s">
        <v>79</v>
      </c>
      <c r="U1650" t="s">
        <v>42</v>
      </c>
      <c r="V1650">
        <v>1200000</v>
      </c>
      <c r="W1650">
        <v>100000</v>
      </c>
      <c r="X1650" s="1">
        <v>43921</v>
      </c>
      <c r="Y1650" t="s">
        <v>51</v>
      </c>
      <c r="Z1650" t="s">
        <v>43</v>
      </c>
      <c r="AA1650" t="s">
        <v>80</v>
      </c>
      <c r="AB1650" t="s">
        <v>76</v>
      </c>
      <c r="AC1650" t="s">
        <v>81</v>
      </c>
      <c r="AF1650" t="s">
        <v>58</v>
      </c>
      <c r="AG1650" s="1">
        <v>43837</v>
      </c>
      <c r="AH1650" t="s">
        <v>42</v>
      </c>
      <c r="AI1650" t="s">
        <v>55</v>
      </c>
      <c r="AJ1650">
        <v>12788092</v>
      </c>
      <c r="AK1650">
        <v>250000</v>
      </c>
      <c r="AL1650">
        <v>1500000</v>
      </c>
    </row>
    <row r="1651" spans="1:38" x14ac:dyDescent="0.25">
      <c r="A1651" t="s">
        <v>124</v>
      </c>
      <c r="B1651" t="s">
        <v>472</v>
      </c>
      <c r="C1651" t="s">
        <v>40</v>
      </c>
      <c r="D1651" s="1">
        <v>43029</v>
      </c>
      <c r="E1651" s="1">
        <v>43393</v>
      </c>
      <c r="F1651" t="s">
        <v>76</v>
      </c>
      <c r="G1651">
        <v>1</v>
      </c>
      <c r="H1651" t="s">
        <v>42</v>
      </c>
      <c r="I1651" t="s">
        <v>43</v>
      </c>
      <c r="J1651" t="s">
        <v>73</v>
      </c>
      <c r="K1651" t="s">
        <v>127</v>
      </c>
      <c r="L1651">
        <v>2254.63</v>
      </c>
      <c r="M1651" s="1">
        <v>43029</v>
      </c>
      <c r="N1651" t="s">
        <v>45</v>
      </c>
      <c r="O1651" t="s">
        <v>46</v>
      </c>
      <c r="P1651" t="s">
        <v>47</v>
      </c>
      <c r="Q1651" s="1">
        <v>43852</v>
      </c>
      <c r="R1651" t="s">
        <v>48</v>
      </c>
      <c r="S1651" t="s">
        <v>78</v>
      </c>
      <c r="T1651" t="s">
        <v>79</v>
      </c>
      <c r="U1651" t="s">
        <v>42</v>
      </c>
      <c r="V1651">
        <v>1200000</v>
      </c>
      <c r="W1651">
        <v>100000</v>
      </c>
      <c r="X1651" s="1">
        <v>43921</v>
      </c>
      <c r="Y1651" t="s">
        <v>51</v>
      </c>
      <c r="Z1651" t="s">
        <v>43</v>
      </c>
      <c r="AA1651" t="s">
        <v>80</v>
      </c>
      <c r="AB1651" t="s">
        <v>76</v>
      </c>
      <c r="AC1651" t="s">
        <v>81</v>
      </c>
      <c r="AF1651" t="s">
        <v>59</v>
      </c>
      <c r="AG1651" s="1">
        <v>43838</v>
      </c>
      <c r="AH1651" t="s">
        <v>42</v>
      </c>
      <c r="AI1651" t="s">
        <v>55</v>
      </c>
      <c r="AJ1651">
        <v>12788092</v>
      </c>
      <c r="AK1651">
        <v>250000</v>
      </c>
      <c r="AL1651">
        <v>1500000</v>
      </c>
    </row>
    <row r="1652" spans="1:38" x14ac:dyDescent="0.25">
      <c r="A1652" t="s">
        <v>128</v>
      </c>
      <c r="B1652" t="s">
        <v>473</v>
      </c>
      <c r="C1652" t="s">
        <v>40</v>
      </c>
      <c r="D1652" s="1">
        <v>42290</v>
      </c>
      <c r="E1652" s="1">
        <v>43750</v>
      </c>
      <c r="F1652" t="s">
        <v>306</v>
      </c>
      <c r="G1652">
        <v>11</v>
      </c>
      <c r="H1652" t="s">
        <v>223</v>
      </c>
      <c r="I1652" t="s">
        <v>43</v>
      </c>
      <c r="J1652" t="s">
        <v>73</v>
      </c>
      <c r="K1652" t="s">
        <v>127</v>
      </c>
      <c r="L1652">
        <v>0</v>
      </c>
      <c r="M1652" s="1">
        <v>42290</v>
      </c>
      <c r="N1652" t="s">
        <v>45</v>
      </c>
      <c r="O1652" t="s">
        <v>46</v>
      </c>
      <c r="P1652" t="s">
        <v>47</v>
      </c>
      <c r="Q1652" s="1">
        <v>43852</v>
      </c>
      <c r="R1652" t="s">
        <v>48</v>
      </c>
    </row>
    <row r="1653" spans="1:38" x14ac:dyDescent="0.25">
      <c r="A1653" t="s">
        <v>141</v>
      </c>
      <c r="B1653" t="s">
        <v>474</v>
      </c>
      <c r="C1653" t="s">
        <v>40</v>
      </c>
      <c r="D1653" s="1">
        <v>42874</v>
      </c>
      <c r="E1653" s="1">
        <v>43787</v>
      </c>
      <c r="F1653" t="s">
        <v>306</v>
      </c>
      <c r="G1653">
        <v>11</v>
      </c>
      <c r="H1653" t="s">
        <v>223</v>
      </c>
      <c r="I1653" t="s">
        <v>43</v>
      </c>
      <c r="J1653" t="s">
        <v>73</v>
      </c>
      <c r="K1653" t="s">
        <v>127</v>
      </c>
      <c r="L1653">
        <v>0</v>
      </c>
      <c r="M1653" s="1">
        <v>42874</v>
      </c>
      <c r="N1653" t="s">
        <v>45</v>
      </c>
      <c r="O1653" t="s">
        <v>46</v>
      </c>
      <c r="P1653" t="s">
        <v>47</v>
      </c>
      <c r="Q1653" s="1">
        <v>43852</v>
      </c>
      <c r="R1653" t="s">
        <v>48</v>
      </c>
    </row>
    <row r="1654" spans="1:38" x14ac:dyDescent="0.25">
      <c r="A1654" t="s">
        <v>143</v>
      </c>
      <c r="B1654">
        <v>2309003004</v>
      </c>
      <c r="C1654" t="s">
        <v>40</v>
      </c>
      <c r="D1654" s="1">
        <v>43249</v>
      </c>
      <c r="E1654" s="1">
        <v>46535</v>
      </c>
      <c r="F1654" t="s">
        <v>77</v>
      </c>
      <c r="G1654">
        <v>1</v>
      </c>
      <c r="H1654" t="s">
        <v>42</v>
      </c>
      <c r="I1654" t="s">
        <v>43</v>
      </c>
      <c r="J1654" t="s">
        <v>77</v>
      </c>
      <c r="K1654" t="s">
        <v>127</v>
      </c>
      <c r="L1654">
        <v>118750</v>
      </c>
      <c r="M1654" s="1">
        <v>43249</v>
      </c>
      <c r="N1654" t="s">
        <v>45</v>
      </c>
      <c r="O1654" t="s">
        <v>46</v>
      </c>
      <c r="P1654" t="s">
        <v>47</v>
      </c>
      <c r="Q1654" s="1">
        <v>43852</v>
      </c>
      <c r="R1654" t="s">
        <v>48</v>
      </c>
      <c r="S1654" t="s">
        <v>233</v>
      </c>
      <c r="T1654" t="s">
        <v>234</v>
      </c>
      <c r="U1654" t="s">
        <v>42</v>
      </c>
      <c r="V1654">
        <v>0</v>
      </c>
      <c r="W1654">
        <v>100000</v>
      </c>
      <c r="X1654" s="1">
        <v>43982</v>
      </c>
      <c r="Y1654" t="s">
        <v>51</v>
      </c>
      <c r="Z1654" t="s">
        <v>43</v>
      </c>
      <c r="AA1654" t="s">
        <v>77</v>
      </c>
      <c r="AB1654" t="s">
        <v>158</v>
      </c>
      <c r="AC1654" t="s">
        <v>235</v>
      </c>
      <c r="AF1654" t="s">
        <v>54</v>
      </c>
      <c r="AG1654" s="1">
        <v>43832</v>
      </c>
      <c r="AH1654" t="s">
        <v>42</v>
      </c>
      <c r="AI1654" t="s">
        <v>55</v>
      </c>
      <c r="AJ1654">
        <v>12788092</v>
      </c>
      <c r="AK1654">
        <v>250000</v>
      </c>
      <c r="AL1654">
        <v>1500000</v>
      </c>
    </row>
    <row r="1655" spans="1:38" x14ac:dyDescent="0.25">
      <c r="A1655" t="s">
        <v>143</v>
      </c>
      <c r="B1655">
        <v>2309003004</v>
      </c>
      <c r="C1655" t="s">
        <v>40</v>
      </c>
      <c r="D1655" s="1">
        <v>43249</v>
      </c>
      <c r="E1655" s="1">
        <v>46535</v>
      </c>
      <c r="F1655" t="s">
        <v>77</v>
      </c>
      <c r="G1655">
        <v>1</v>
      </c>
      <c r="H1655" t="s">
        <v>42</v>
      </c>
      <c r="I1655" t="s">
        <v>43</v>
      </c>
      <c r="J1655" t="s">
        <v>77</v>
      </c>
      <c r="K1655" t="s">
        <v>127</v>
      </c>
      <c r="L1655">
        <v>118750</v>
      </c>
      <c r="M1655" s="1">
        <v>43249</v>
      </c>
      <c r="N1655" t="s">
        <v>45</v>
      </c>
      <c r="O1655" t="s">
        <v>46</v>
      </c>
      <c r="P1655" t="s">
        <v>47</v>
      </c>
      <c r="Q1655" s="1">
        <v>43852</v>
      </c>
      <c r="R1655" t="s">
        <v>48</v>
      </c>
      <c r="S1655" t="s">
        <v>233</v>
      </c>
      <c r="T1655" t="s">
        <v>234</v>
      </c>
      <c r="U1655" t="s">
        <v>42</v>
      </c>
      <c r="V1655">
        <v>0</v>
      </c>
      <c r="W1655">
        <v>100000</v>
      </c>
      <c r="X1655" s="1">
        <v>43982</v>
      </c>
      <c r="Y1655" t="s">
        <v>51</v>
      </c>
      <c r="Z1655" t="s">
        <v>43</v>
      </c>
      <c r="AA1655" t="s">
        <v>77</v>
      </c>
      <c r="AB1655" t="s">
        <v>158</v>
      </c>
      <c r="AC1655" t="s">
        <v>235</v>
      </c>
      <c r="AF1655" t="s">
        <v>56</v>
      </c>
      <c r="AG1655" s="1">
        <v>43833</v>
      </c>
      <c r="AH1655" t="s">
        <v>42</v>
      </c>
      <c r="AI1655" t="s">
        <v>55</v>
      </c>
      <c r="AJ1655">
        <v>12788092</v>
      </c>
      <c r="AK1655">
        <v>250000</v>
      </c>
      <c r="AL1655">
        <v>1500000</v>
      </c>
    </row>
    <row r="1656" spans="1:38" x14ac:dyDescent="0.25">
      <c r="A1656" t="s">
        <v>143</v>
      </c>
      <c r="B1656">
        <v>2309003004</v>
      </c>
      <c r="C1656" t="s">
        <v>40</v>
      </c>
      <c r="D1656" s="1">
        <v>43249</v>
      </c>
      <c r="E1656" s="1">
        <v>46535</v>
      </c>
      <c r="F1656" t="s">
        <v>77</v>
      </c>
      <c r="G1656">
        <v>1</v>
      </c>
      <c r="H1656" t="s">
        <v>42</v>
      </c>
      <c r="I1656" t="s">
        <v>43</v>
      </c>
      <c r="J1656" t="s">
        <v>77</v>
      </c>
      <c r="K1656" t="s">
        <v>127</v>
      </c>
      <c r="L1656">
        <v>118750</v>
      </c>
      <c r="M1656" s="1">
        <v>43249</v>
      </c>
      <c r="N1656" t="s">
        <v>45</v>
      </c>
      <c r="O1656" t="s">
        <v>46</v>
      </c>
      <c r="P1656" t="s">
        <v>47</v>
      </c>
      <c r="Q1656" s="1">
        <v>43852</v>
      </c>
      <c r="R1656" t="s">
        <v>48</v>
      </c>
      <c r="S1656" t="s">
        <v>233</v>
      </c>
      <c r="T1656" t="s">
        <v>234</v>
      </c>
      <c r="U1656" t="s">
        <v>42</v>
      </c>
      <c r="V1656">
        <v>0</v>
      </c>
      <c r="W1656">
        <v>100000</v>
      </c>
      <c r="X1656" s="1">
        <v>43982</v>
      </c>
      <c r="Y1656" t="s">
        <v>51</v>
      </c>
      <c r="Z1656" t="s">
        <v>43</v>
      </c>
      <c r="AA1656" t="s">
        <v>77</v>
      </c>
      <c r="AB1656" t="s">
        <v>158</v>
      </c>
      <c r="AC1656" t="s">
        <v>235</v>
      </c>
      <c r="AF1656" t="s">
        <v>57</v>
      </c>
      <c r="AG1656" s="1">
        <v>43836</v>
      </c>
      <c r="AH1656" t="s">
        <v>42</v>
      </c>
      <c r="AI1656" t="s">
        <v>55</v>
      </c>
      <c r="AJ1656">
        <v>12788092</v>
      </c>
      <c r="AK1656">
        <v>250000</v>
      </c>
      <c r="AL1656">
        <v>1500000</v>
      </c>
    </row>
    <row r="1657" spans="1:38" x14ac:dyDescent="0.25">
      <c r="A1657" t="s">
        <v>143</v>
      </c>
      <c r="B1657">
        <v>2309003004</v>
      </c>
      <c r="C1657" t="s">
        <v>40</v>
      </c>
      <c r="D1657" s="1">
        <v>43249</v>
      </c>
      <c r="E1657" s="1">
        <v>46535</v>
      </c>
      <c r="F1657" t="s">
        <v>77</v>
      </c>
      <c r="G1657">
        <v>1</v>
      </c>
      <c r="H1657" t="s">
        <v>42</v>
      </c>
      <c r="I1657" t="s">
        <v>43</v>
      </c>
      <c r="J1657" t="s">
        <v>77</v>
      </c>
      <c r="K1657" t="s">
        <v>127</v>
      </c>
      <c r="L1657">
        <v>118750</v>
      </c>
      <c r="M1657" s="1">
        <v>43249</v>
      </c>
      <c r="N1657" t="s">
        <v>45</v>
      </c>
      <c r="O1657" t="s">
        <v>46</v>
      </c>
      <c r="P1657" t="s">
        <v>47</v>
      </c>
      <c r="Q1657" s="1">
        <v>43852</v>
      </c>
      <c r="R1657" t="s">
        <v>48</v>
      </c>
      <c r="S1657" t="s">
        <v>233</v>
      </c>
      <c r="T1657" t="s">
        <v>234</v>
      </c>
      <c r="U1657" t="s">
        <v>42</v>
      </c>
      <c r="V1657">
        <v>0</v>
      </c>
      <c r="W1657">
        <v>100000</v>
      </c>
      <c r="X1657" s="1">
        <v>43982</v>
      </c>
      <c r="Y1657" t="s">
        <v>51</v>
      </c>
      <c r="Z1657" t="s">
        <v>43</v>
      </c>
      <c r="AA1657" t="s">
        <v>77</v>
      </c>
      <c r="AB1657" t="s">
        <v>158</v>
      </c>
      <c r="AC1657" t="s">
        <v>235</v>
      </c>
      <c r="AF1657" t="s">
        <v>58</v>
      </c>
      <c r="AG1657" s="1">
        <v>43837</v>
      </c>
      <c r="AH1657" t="s">
        <v>42</v>
      </c>
      <c r="AI1657" t="s">
        <v>55</v>
      </c>
      <c r="AJ1657">
        <v>12788092</v>
      </c>
      <c r="AK1657">
        <v>250000</v>
      </c>
      <c r="AL1657">
        <v>1500000</v>
      </c>
    </row>
    <row r="1658" spans="1:38" x14ac:dyDescent="0.25">
      <c r="A1658" t="s">
        <v>143</v>
      </c>
      <c r="B1658">
        <v>2309003004</v>
      </c>
      <c r="C1658" t="s">
        <v>40</v>
      </c>
      <c r="D1658" s="1">
        <v>43249</v>
      </c>
      <c r="E1658" s="1">
        <v>46535</v>
      </c>
      <c r="F1658" t="s">
        <v>77</v>
      </c>
      <c r="G1658">
        <v>1</v>
      </c>
      <c r="H1658" t="s">
        <v>42</v>
      </c>
      <c r="I1658" t="s">
        <v>43</v>
      </c>
      <c r="J1658" t="s">
        <v>77</v>
      </c>
      <c r="K1658" t="s">
        <v>127</v>
      </c>
      <c r="L1658">
        <v>118750</v>
      </c>
      <c r="M1658" s="1">
        <v>43249</v>
      </c>
      <c r="N1658" t="s">
        <v>45</v>
      </c>
      <c r="O1658" t="s">
        <v>46</v>
      </c>
      <c r="P1658" t="s">
        <v>47</v>
      </c>
      <c r="Q1658" s="1">
        <v>43852</v>
      </c>
      <c r="R1658" t="s">
        <v>48</v>
      </c>
      <c r="S1658" t="s">
        <v>233</v>
      </c>
      <c r="T1658" t="s">
        <v>234</v>
      </c>
      <c r="U1658" t="s">
        <v>42</v>
      </c>
      <c r="V1658">
        <v>0</v>
      </c>
      <c r="W1658">
        <v>100000</v>
      </c>
      <c r="X1658" s="1">
        <v>43982</v>
      </c>
      <c r="Y1658" t="s">
        <v>51</v>
      </c>
      <c r="Z1658" t="s">
        <v>43</v>
      </c>
      <c r="AA1658" t="s">
        <v>77</v>
      </c>
      <c r="AB1658" t="s">
        <v>158</v>
      </c>
      <c r="AC1658" t="s">
        <v>235</v>
      </c>
      <c r="AF1658" t="s">
        <v>59</v>
      </c>
      <c r="AG1658" s="1">
        <v>43838</v>
      </c>
      <c r="AH1658" t="s">
        <v>42</v>
      </c>
      <c r="AI1658" t="s">
        <v>55</v>
      </c>
      <c r="AJ1658">
        <v>12788092</v>
      </c>
      <c r="AK1658">
        <v>250000</v>
      </c>
      <c r="AL1658">
        <v>1500000</v>
      </c>
    </row>
    <row r="1659" spans="1:38" x14ac:dyDescent="0.25">
      <c r="A1659" t="s">
        <v>144</v>
      </c>
      <c r="B1659" t="s">
        <v>475</v>
      </c>
      <c r="C1659" t="s">
        <v>40</v>
      </c>
      <c r="D1659" s="1">
        <v>43340</v>
      </c>
      <c r="E1659" s="1">
        <v>44066</v>
      </c>
      <c r="F1659" t="s">
        <v>306</v>
      </c>
      <c r="G1659">
        <v>1</v>
      </c>
      <c r="H1659" t="s">
        <v>42</v>
      </c>
      <c r="I1659" t="s">
        <v>43</v>
      </c>
      <c r="J1659" t="s">
        <v>73</v>
      </c>
      <c r="K1659" t="s">
        <v>68</v>
      </c>
      <c r="L1659">
        <v>93516.75</v>
      </c>
      <c r="M1659" s="1">
        <v>43958</v>
      </c>
      <c r="N1659" t="s">
        <v>45</v>
      </c>
      <c r="O1659" t="s">
        <v>46</v>
      </c>
      <c r="P1659" t="s">
        <v>47</v>
      </c>
      <c r="Q1659" s="1">
        <v>43852</v>
      </c>
      <c r="R1659" t="s">
        <v>48</v>
      </c>
    </row>
    <row r="1660" spans="1:38" x14ac:dyDescent="0.25">
      <c r="A1660" t="s">
        <v>146</v>
      </c>
      <c r="B1660" t="s">
        <v>475</v>
      </c>
      <c r="C1660" t="s">
        <v>40</v>
      </c>
      <c r="D1660" s="1">
        <v>43340</v>
      </c>
      <c r="E1660" s="1">
        <v>44066</v>
      </c>
      <c r="F1660" t="s">
        <v>306</v>
      </c>
      <c r="G1660">
        <v>1</v>
      </c>
      <c r="H1660" t="s">
        <v>42</v>
      </c>
      <c r="I1660" t="s">
        <v>43</v>
      </c>
      <c r="J1660" t="s">
        <v>73</v>
      </c>
      <c r="K1660" t="s">
        <v>68</v>
      </c>
      <c r="L1660">
        <v>93516.75</v>
      </c>
      <c r="M1660" s="1">
        <v>43958</v>
      </c>
      <c r="N1660" t="s">
        <v>45</v>
      </c>
      <c r="O1660" t="s">
        <v>46</v>
      </c>
      <c r="P1660" t="s">
        <v>47</v>
      </c>
      <c r="Q1660" s="1">
        <v>43852</v>
      </c>
      <c r="R1660" t="s">
        <v>48</v>
      </c>
    </row>
    <row r="1661" spans="1:38" x14ac:dyDescent="0.25">
      <c r="A1661" t="s">
        <v>148</v>
      </c>
      <c r="B1661" t="s">
        <v>475</v>
      </c>
      <c r="C1661" t="s">
        <v>40</v>
      </c>
      <c r="D1661" s="1">
        <v>43340</v>
      </c>
      <c r="E1661" s="1">
        <v>44066</v>
      </c>
      <c r="F1661" t="s">
        <v>306</v>
      </c>
      <c r="G1661">
        <v>1</v>
      </c>
      <c r="H1661" t="s">
        <v>42</v>
      </c>
      <c r="I1661" t="s">
        <v>43</v>
      </c>
      <c r="J1661" t="s">
        <v>73</v>
      </c>
      <c r="K1661" t="s">
        <v>68</v>
      </c>
      <c r="L1661">
        <v>93516.75</v>
      </c>
      <c r="M1661" s="1">
        <v>43958</v>
      </c>
      <c r="N1661" t="s">
        <v>45</v>
      </c>
      <c r="O1661" t="s">
        <v>46</v>
      </c>
      <c r="P1661" t="s">
        <v>47</v>
      </c>
      <c r="Q1661" s="1">
        <v>43852</v>
      </c>
      <c r="R1661" t="s">
        <v>48</v>
      </c>
    </row>
    <row r="1662" spans="1:38" x14ac:dyDescent="0.25">
      <c r="A1662" t="s">
        <v>150</v>
      </c>
      <c r="B1662" t="s">
        <v>475</v>
      </c>
      <c r="C1662" t="s">
        <v>40</v>
      </c>
      <c r="D1662" s="1">
        <v>43340</v>
      </c>
      <c r="E1662" s="1">
        <v>44066</v>
      </c>
      <c r="F1662" t="s">
        <v>306</v>
      </c>
      <c r="G1662">
        <v>1</v>
      </c>
      <c r="H1662" t="s">
        <v>42</v>
      </c>
      <c r="I1662" t="s">
        <v>43</v>
      </c>
      <c r="J1662" t="s">
        <v>73</v>
      </c>
      <c r="K1662" t="s">
        <v>68</v>
      </c>
      <c r="L1662">
        <v>93517.25</v>
      </c>
      <c r="M1662" s="1">
        <v>43855</v>
      </c>
      <c r="N1662" t="s">
        <v>45</v>
      </c>
      <c r="O1662" t="s">
        <v>46</v>
      </c>
      <c r="P1662" t="s">
        <v>47</v>
      </c>
      <c r="Q1662" s="1">
        <v>43852</v>
      </c>
      <c r="R1662" t="s">
        <v>48</v>
      </c>
    </row>
    <row r="1663" spans="1:38" x14ac:dyDescent="0.25">
      <c r="A1663" t="s">
        <v>151</v>
      </c>
      <c r="B1663" t="s">
        <v>475</v>
      </c>
      <c r="C1663" t="s">
        <v>40</v>
      </c>
      <c r="D1663" s="1">
        <v>43340</v>
      </c>
      <c r="E1663" s="1">
        <v>44066</v>
      </c>
      <c r="F1663" t="s">
        <v>306</v>
      </c>
      <c r="G1663">
        <v>1</v>
      </c>
      <c r="H1663" t="s">
        <v>42</v>
      </c>
      <c r="I1663" t="s">
        <v>43</v>
      </c>
      <c r="J1663" t="s">
        <v>73</v>
      </c>
      <c r="K1663" t="s">
        <v>68</v>
      </c>
      <c r="L1663">
        <v>100710.88</v>
      </c>
      <c r="M1663" s="1">
        <v>43443</v>
      </c>
      <c r="N1663" t="s">
        <v>45</v>
      </c>
      <c r="O1663" t="s">
        <v>46</v>
      </c>
      <c r="P1663" t="s">
        <v>47</v>
      </c>
      <c r="Q1663" s="1">
        <v>43852</v>
      </c>
      <c r="R1663" t="s">
        <v>48</v>
      </c>
    </row>
    <row r="1664" spans="1:38" x14ac:dyDescent="0.25">
      <c r="A1664" t="s">
        <v>152</v>
      </c>
      <c r="B1664" t="s">
        <v>475</v>
      </c>
      <c r="C1664" t="s">
        <v>40</v>
      </c>
      <c r="D1664" s="1">
        <v>43340</v>
      </c>
      <c r="E1664" s="1">
        <v>44066</v>
      </c>
      <c r="F1664" t="s">
        <v>306</v>
      </c>
      <c r="G1664">
        <v>1</v>
      </c>
      <c r="H1664" t="s">
        <v>42</v>
      </c>
      <c r="I1664" t="s">
        <v>43</v>
      </c>
      <c r="J1664" t="s">
        <v>73</v>
      </c>
      <c r="K1664" t="s">
        <v>68</v>
      </c>
      <c r="L1664">
        <v>100710.88</v>
      </c>
      <c r="M1664" s="1">
        <v>43546</v>
      </c>
      <c r="N1664" t="s">
        <v>45</v>
      </c>
      <c r="O1664" t="s">
        <v>46</v>
      </c>
      <c r="P1664" t="s">
        <v>47</v>
      </c>
      <c r="Q1664" s="1">
        <v>43852</v>
      </c>
      <c r="R1664" t="s">
        <v>48</v>
      </c>
    </row>
    <row r="1665" spans="1:38" x14ac:dyDescent="0.25">
      <c r="A1665" t="s">
        <v>153</v>
      </c>
      <c r="B1665" t="s">
        <v>475</v>
      </c>
      <c r="C1665" t="s">
        <v>40</v>
      </c>
      <c r="D1665" s="1">
        <v>43340</v>
      </c>
      <c r="E1665" s="1">
        <v>44066</v>
      </c>
      <c r="F1665" t="s">
        <v>306</v>
      </c>
      <c r="G1665">
        <v>1</v>
      </c>
      <c r="H1665" t="s">
        <v>42</v>
      </c>
      <c r="I1665" t="s">
        <v>43</v>
      </c>
      <c r="J1665" t="s">
        <v>73</v>
      </c>
      <c r="K1665" t="s">
        <v>68</v>
      </c>
      <c r="L1665">
        <v>100710.88</v>
      </c>
      <c r="M1665" s="1">
        <v>43649</v>
      </c>
      <c r="N1665" t="s">
        <v>45</v>
      </c>
      <c r="O1665" t="s">
        <v>46</v>
      </c>
      <c r="P1665" t="s">
        <v>47</v>
      </c>
      <c r="Q1665" s="1">
        <v>43852</v>
      </c>
      <c r="R1665" t="s">
        <v>48</v>
      </c>
    </row>
    <row r="1666" spans="1:38" x14ac:dyDescent="0.25">
      <c r="A1666" t="s">
        <v>167</v>
      </c>
      <c r="B1666" t="s">
        <v>475</v>
      </c>
      <c r="C1666" t="s">
        <v>40</v>
      </c>
      <c r="D1666" s="1">
        <v>43340</v>
      </c>
      <c r="E1666" s="1">
        <v>44066</v>
      </c>
      <c r="F1666" t="s">
        <v>306</v>
      </c>
      <c r="G1666">
        <v>1</v>
      </c>
      <c r="H1666" t="s">
        <v>42</v>
      </c>
      <c r="I1666" t="s">
        <v>43</v>
      </c>
      <c r="J1666" t="s">
        <v>73</v>
      </c>
      <c r="K1666" t="s">
        <v>68</v>
      </c>
      <c r="L1666">
        <v>100710.88</v>
      </c>
      <c r="M1666" s="1">
        <v>43752</v>
      </c>
      <c r="N1666" t="s">
        <v>45</v>
      </c>
      <c r="O1666" t="s">
        <v>46</v>
      </c>
      <c r="P1666" t="s">
        <v>47</v>
      </c>
      <c r="Q1666" s="1">
        <v>43852</v>
      </c>
      <c r="R1666" t="s">
        <v>48</v>
      </c>
    </row>
    <row r="1667" spans="1:38" x14ac:dyDescent="0.25">
      <c r="A1667" t="s">
        <v>169</v>
      </c>
      <c r="B1667" t="s">
        <v>475</v>
      </c>
      <c r="C1667" t="s">
        <v>40</v>
      </c>
      <c r="D1667" s="1">
        <v>43340</v>
      </c>
      <c r="E1667" s="1">
        <v>44066</v>
      </c>
      <c r="F1667" t="s">
        <v>306</v>
      </c>
      <c r="G1667">
        <v>1</v>
      </c>
      <c r="H1667" t="s">
        <v>42</v>
      </c>
      <c r="I1667" t="s">
        <v>43</v>
      </c>
      <c r="J1667" t="s">
        <v>73</v>
      </c>
      <c r="K1667" t="s">
        <v>68</v>
      </c>
      <c r="L1667">
        <v>129485.38</v>
      </c>
      <c r="M1667" s="1">
        <v>43340</v>
      </c>
      <c r="N1667" t="s">
        <v>45</v>
      </c>
      <c r="O1667" t="s">
        <v>46</v>
      </c>
      <c r="P1667" t="s">
        <v>47</v>
      </c>
      <c r="Q1667" s="1">
        <v>43852</v>
      </c>
      <c r="R1667" t="s">
        <v>48</v>
      </c>
    </row>
    <row r="1668" spans="1:38" x14ac:dyDescent="0.25">
      <c r="A1668" t="s">
        <v>170</v>
      </c>
      <c r="B1668" t="s">
        <v>476</v>
      </c>
      <c r="C1668" t="s">
        <v>40</v>
      </c>
      <c r="D1668" s="1">
        <v>43440</v>
      </c>
      <c r="E1668" s="1">
        <v>43804</v>
      </c>
      <c r="F1668" t="s">
        <v>306</v>
      </c>
      <c r="G1668">
        <v>1</v>
      </c>
      <c r="H1668" t="s">
        <v>42</v>
      </c>
      <c r="I1668" t="s">
        <v>43</v>
      </c>
      <c r="J1668" t="s">
        <v>73</v>
      </c>
      <c r="K1668" t="s">
        <v>127</v>
      </c>
      <c r="L1668">
        <v>53711</v>
      </c>
      <c r="M1668" s="1">
        <v>43440</v>
      </c>
      <c r="N1668" t="s">
        <v>45</v>
      </c>
      <c r="O1668" t="s">
        <v>46</v>
      </c>
      <c r="P1668" t="s">
        <v>47</v>
      </c>
      <c r="Q1668" s="1">
        <v>43852</v>
      </c>
      <c r="R1668" t="s">
        <v>48</v>
      </c>
    </row>
    <row r="1669" spans="1:38" x14ac:dyDescent="0.25">
      <c r="A1669" t="s">
        <v>171</v>
      </c>
      <c r="B1669" t="s">
        <v>477</v>
      </c>
      <c r="C1669" t="s">
        <v>40</v>
      </c>
      <c r="D1669" s="1">
        <v>43550</v>
      </c>
      <c r="E1669" s="1">
        <v>44099</v>
      </c>
      <c r="F1669" t="s">
        <v>306</v>
      </c>
      <c r="G1669">
        <v>1</v>
      </c>
      <c r="H1669" t="s">
        <v>42</v>
      </c>
      <c r="I1669" t="s">
        <v>43</v>
      </c>
      <c r="J1669" t="s">
        <v>73</v>
      </c>
      <c r="K1669" t="s">
        <v>127</v>
      </c>
      <c r="L1669">
        <v>49576</v>
      </c>
      <c r="M1669" s="1">
        <v>43550</v>
      </c>
      <c r="N1669" t="s">
        <v>45</v>
      </c>
      <c r="O1669" t="s">
        <v>46</v>
      </c>
      <c r="P1669" t="s">
        <v>47</v>
      </c>
      <c r="Q1669" s="1">
        <v>43852</v>
      </c>
      <c r="R1669" t="s">
        <v>48</v>
      </c>
    </row>
    <row r="1670" spans="1:38" x14ac:dyDescent="0.25">
      <c r="A1670" t="s">
        <v>173</v>
      </c>
      <c r="B1670" t="s">
        <v>478</v>
      </c>
      <c r="C1670" t="s">
        <v>40</v>
      </c>
      <c r="D1670" s="1">
        <v>42634</v>
      </c>
      <c r="E1670" s="1">
        <v>44002</v>
      </c>
      <c r="F1670" t="s">
        <v>306</v>
      </c>
      <c r="G1670">
        <v>1</v>
      </c>
      <c r="H1670" t="s">
        <v>42</v>
      </c>
      <c r="I1670" t="s">
        <v>43</v>
      </c>
      <c r="J1670" t="s">
        <v>73</v>
      </c>
      <c r="K1670" t="s">
        <v>127</v>
      </c>
      <c r="L1670">
        <v>0</v>
      </c>
      <c r="M1670" s="1">
        <v>42634</v>
      </c>
      <c r="N1670" t="s">
        <v>45</v>
      </c>
      <c r="O1670" t="s">
        <v>106</v>
      </c>
      <c r="P1670" t="s">
        <v>47</v>
      </c>
      <c r="Q1670" s="1">
        <v>43852</v>
      </c>
      <c r="R1670" t="s">
        <v>48</v>
      </c>
    </row>
    <row r="1671" spans="1:38" x14ac:dyDescent="0.25">
      <c r="A1671" t="s">
        <v>175</v>
      </c>
      <c r="B1671" t="s">
        <v>478</v>
      </c>
      <c r="C1671" t="s">
        <v>40</v>
      </c>
      <c r="D1671" s="1">
        <v>42634</v>
      </c>
      <c r="E1671" s="1">
        <v>44002</v>
      </c>
      <c r="F1671" t="s">
        <v>306</v>
      </c>
      <c r="G1671">
        <v>1</v>
      </c>
      <c r="H1671" t="s">
        <v>42</v>
      </c>
      <c r="I1671" t="s">
        <v>43</v>
      </c>
      <c r="J1671" t="s">
        <v>73</v>
      </c>
      <c r="K1671" t="s">
        <v>127</v>
      </c>
      <c r="L1671">
        <v>13134.29</v>
      </c>
      <c r="M1671" s="1">
        <v>43364</v>
      </c>
      <c r="N1671" t="s">
        <v>108</v>
      </c>
      <c r="O1671" t="s">
        <v>106</v>
      </c>
      <c r="P1671" t="s">
        <v>47</v>
      </c>
      <c r="Q1671" s="1">
        <v>43852</v>
      </c>
      <c r="R1671" t="s">
        <v>48</v>
      </c>
    </row>
    <row r="1672" spans="1:38" x14ac:dyDescent="0.25">
      <c r="A1672" t="s">
        <v>177</v>
      </c>
      <c r="B1672" t="s">
        <v>478</v>
      </c>
      <c r="C1672" t="s">
        <v>40</v>
      </c>
      <c r="D1672" s="1">
        <v>42634</v>
      </c>
      <c r="E1672" s="1">
        <v>44002</v>
      </c>
      <c r="F1672" t="s">
        <v>306</v>
      </c>
      <c r="G1672">
        <v>1</v>
      </c>
      <c r="H1672" t="s">
        <v>42</v>
      </c>
      <c r="I1672" t="s">
        <v>43</v>
      </c>
      <c r="J1672" t="s">
        <v>73</v>
      </c>
      <c r="K1672" t="s">
        <v>127</v>
      </c>
      <c r="L1672">
        <v>13134.29</v>
      </c>
      <c r="M1672" s="1">
        <v>43455</v>
      </c>
      <c r="N1672" t="s">
        <v>108</v>
      </c>
      <c r="O1672" t="s">
        <v>106</v>
      </c>
      <c r="P1672" t="s">
        <v>47</v>
      </c>
      <c r="Q1672" s="1">
        <v>43852</v>
      </c>
      <c r="R1672" t="s">
        <v>48</v>
      </c>
    </row>
    <row r="1673" spans="1:38" x14ac:dyDescent="0.25">
      <c r="A1673" t="s">
        <v>179</v>
      </c>
      <c r="B1673" t="s">
        <v>479</v>
      </c>
      <c r="C1673" t="s">
        <v>40</v>
      </c>
      <c r="D1673" s="1">
        <v>42887</v>
      </c>
      <c r="E1673" s="1">
        <v>43616</v>
      </c>
      <c r="F1673" t="s">
        <v>306</v>
      </c>
      <c r="G1673">
        <v>1</v>
      </c>
      <c r="H1673" t="s">
        <v>42</v>
      </c>
      <c r="I1673" t="s">
        <v>43</v>
      </c>
      <c r="J1673" t="s">
        <v>73</v>
      </c>
      <c r="K1673" t="s">
        <v>127</v>
      </c>
      <c r="L1673">
        <v>64971</v>
      </c>
      <c r="M1673" s="1">
        <v>43435</v>
      </c>
      <c r="N1673" t="s">
        <v>45</v>
      </c>
      <c r="O1673" t="s">
        <v>46</v>
      </c>
      <c r="P1673" t="s">
        <v>47</v>
      </c>
      <c r="Q1673" s="1">
        <v>43852</v>
      </c>
      <c r="R1673" t="s">
        <v>48</v>
      </c>
    </row>
    <row r="1674" spans="1:38" x14ac:dyDescent="0.25">
      <c r="A1674" t="s">
        <v>180</v>
      </c>
      <c r="B1674" t="s">
        <v>480</v>
      </c>
      <c r="C1674" t="s">
        <v>40</v>
      </c>
      <c r="D1674" s="1">
        <v>43646</v>
      </c>
      <c r="E1674" s="1">
        <v>44011</v>
      </c>
      <c r="F1674" t="s">
        <v>41</v>
      </c>
      <c r="G1674">
        <v>1</v>
      </c>
      <c r="H1674" t="s">
        <v>42</v>
      </c>
      <c r="I1674" t="s">
        <v>43</v>
      </c>
      <c r="J1674" t="s">
        <v>41</v>
      </c>
      <c r="K1674" t="s">
        <v>44</v>
      </c>
      <c r="L1674">
        <v>66188.759999999995</v>
      </c>
      <c r="M1674" s="1">
        <v>43646</v>
      </c>
      <c r="N1674" t="s">
        <v>45</v>
      </c>
      <c r="O1674" t="s">
        <v>44</v>
      </c>
      <c r="P1674" t="s">
        <v>47</v>
      </c>
      <c r="Q1674" s="1">
        <v>43852</v>
      </c>
      <c r="R1674" t="s">
        <v>48</v>
      </c>
      <c r="S1674" t="s">
        <v>49</v>
      </c>
      <c r="T1674" t="s">
        <v>50</v>
      </c>
      <c r="U1674" t="s">
        <v>42</v>
      </c>
      <c r="V1674">
        <v>0</v>
      </c>
      <c r="W1674">
        <v>100000</v>
      </c>
      <c r="X1674" s="1">
        <v>44012</v>
      </c>
      <c r="Y1674" t="s">
        <v>51</v>
      </c>
      <c r="Z1674" t="s">
        <v>43</v>
      </c>
      <c r="AA1674" t="s">
        <v>41</v>
      </c>
      <c r="AB1674" t="s">
        <v>52</v>
      </c>
      <c r="AC1674" t="s">
        <v>53</v>
      </c>
      <c r="AF1674" t="s">
        <v>54</v>
      </c>
      <c r="AG1674" s="1">
        <v>43832</v>
      </c>
      <c r="AH1674" t="s">
        <v>42</v>
      </c>
      <c r="AI1674" t="s">
        <v>55</v>
      </c>
      <c r="AJ1674">
        <v>12788092</v>
      </c>
      <c r="AK1674">
        <v>250000</v>
      </c>
      <c r="AL1674">
        <v>1500000</v>
      </c>
    </row>
    <row r="1675" spans="1:38" x14ac:dyDescent="0.25">
      <c r="A1675" t="s">
        <v>180</v>
      </c>
      <c r="B1675" t="s">
        <v>480</v>
      </c>
      <c r="C1675" t="s">
        <v>40</v>
      </c>
      <c r="D1675" s="1">
        <v>43646</v>
      </c>
      <c r="E1675" s="1">
        <v>44011</v>
      </c>
      <c r="F1675" t="s">
        <v>41</v>
      </c>
      <c r="G1675">
        <v>1</v>
      </c>
      <c r="H1675" t="s">
        <v>42</v>
      </c>
      <c r="I1675" t="s">
        <v>43</v>
      </c>
      <c r="J1675" t="s">
        <v>41</v>
      </c>
      <c r="K1675" t="s">
        <v>44</v>
      </c>
      <c r="L1675">
        <v>66188.759999999995</v>
      </c>
      <c r="M1675" s="1">
        <v>43646</v>
      </c>
      <c r="N1675" t="s">
        <v>45</v>
      </c>
      <c r="O1675" t="s">
        <v>44</v>
      </c>
      <c r="P1675" t="s">
        <v>47</v>
      </c>
      <c r="Q1675" s="1">
        <v>43852</v>
      </c>
      <c r="R1675" t="s">
        <v>48</v>
      </c>
      <c r="S1675" t="s">
        <v>49</v>
      </c>
      <c r="T1675" t="s">
        <v>50</v>
      </c>
      <c r="U1675" t="s">
        <v>42</v>
      </c>
      <c r="V1675">
        <v>0</v>
      </c>
      <c r="W1675">
        <v>100000</v>
      </c>
      <c r="X1675" s="1">
        <v>44012</v>
      </c>
      <c r="Y1675" t="s">
        <v>51</v>
      </c>
      <c r="Z1675" t="s">
        <v>43</v>
      </c>
      <c r="AA1675" t="s">
        <v>41</v>
      </c>
      <c r="AB1675" t="s">
        <v>52</v>
      </c>
      <c r="AC1675" t="s">
        <v>53</v>
      </c>
      <c r="AF1675" t="s">
        <v>56</v>
      </c>
      <c r="AG1675" s="1">
        <v>43833</v>
      </c>
      <c r="AH1675" t="s">
        <v>42</v>
      </c>
      <c r="AI1675" t="s">
        <v>55</v>
      </c>
      <c r="AJ1675">
        <v>12788092</v>
      </c>
      <c r="AK1675">
        <v>250000</v>
      </c>
      <c r="AL1675">
        <v>1500000</v>
      </c>
    </row>
    <row r="1676" spans="1:38" x14ac:dyDescent="0.25">
      <c r="A1676" t="s">
        <v>180</v>
      </c>
      <c r="B1676" t="s">
        <v>480</v>
      </c>
      <c r="C1676" t="s">
        <v>40</v>
      </c>
      <c r="D1676" s="1">
        <v>43646</v>
      </c>
      <c r="E1676" s="1">
        <v>44011</v>
      </c>
      <c r="F1676" t="s">
        <v>41</v>
      </c>
      <c r="G1676">
        <v>1</v>
      </c>
      <c r="H1676" t="s">
        <v>42</v>
      </c>
      <c r="I1676" t="s">
        <v>43</v>
      </c>
      <c r="J1676" t="s">
        <v>41</v>
      </c>
      <c r="K1676" t="s">
        <v>44</v>
      </c>
      <c r="L1676">
        <v>66188.759999999995</v>
      </c>
      <c r="M1676" s="1">
        <v>43646</v>
      </c>
      <c r="N1676" t="s">
        <v>45</v>
      </c>
      <c r="O1676" t="s">
        <v>44</v>
      </c>
      <c r="P1676" t="s">
        <v>47</v>
      </c>
      <c r="Q1676" s="1">
        <v>43852</v>
      </c>
      <c r="R1676" t="s">
        <v>48</v>
      </c>
      <c r="S1676" t="s">
        <v>49</v>
      </c>
      <c r="T1676" t="s">
        <v>50</v>
      </c>
      <c r="U1676" t="s">
        <v>42</v>
      </c>
      <c r="V1676">
        <v>0</v>
      </c>
      <c r="W1676">
        <v>100000</v>
      </c>
      <c r="X1676" s="1">
        <v>44012</v>
      </c>
      <c r="Y1676" t="s">
        <v>51</v>
      </c>
      <c r="Z1676" t="s">
        <v>43</v>
      </c>
      <c r="AA1676" t="s">
        <v>41</v>
      </c>
      <c r="AB1676" t="s">
        <v>52</v>
      </c>
      <c r="AC1676" t="s">
        <v>53</v>
      </c>
      <c r="AF1676" t="s">
        <v>57</v>
      </c>
      <c r="AG1676" s="1">
        <v>43836</v>
      </c>
      <c r="AH1676" t="s">
        <v>42</v>
      </c>
      <c r="AI1676" t="s">
        <v>55</v>
      </c>
      <c r="AJ1676">
        <v>12788092</v>
      </c>
      <c r="AK1676">
        <v>250000</v>
      </c>
      <c r="AL1676">
        <v>1500000</v>
      </c>
    </row>
    <row r="1677" spans="1:38" x14ac:dyDescent="0.25">
      <c r="A1677" t="s">
        <v>180</v>
      </c>
      <c r="B1677" t="s">
        <v>480</v>
      </c>
      <c r="C1677" t="s">
        <v>40</v>
      </c>
      <c r="D1677" s="1">
        <v>43646</v>
      </c>
      <c r="E1677" s="1">
        <v>44011</v>
      </c>
      <c r="F1677" t="s">
        <v>41</v>
      </c>
      <c r="G1677">
        <v>1</v>
      </c>
      <c r="H1677" t="s">
        <v>42</v>
      </c>
      <c r="I1677" t="s">
        <v>43</v>
      </c>
      <c r="J1677" t="s">
        <v>41</v>
      </c>
      <c r="K1677" t="s">
        <v>44</v>
      </c>
      <c r="L1677">
        <v>66188.759999999995</v>
      </c>
      <c r="M1677" s="1">
        <v>43646</v>
      </c>
      <c r="N1677" t="s">
        <v>45</v>
      </c>
      <c r="O1677" t="s">
        <v>44</v>
      </c>
      <c r="P1677" t="s">
        <v>47</v>
      </c>
      <c r="Q1677" s="1">
        <v>43852</v>
      </c>
      <c r="R1677" t="s">
        <v>48</v>
      </c>
      <c r="S1677" t="s">
        <v>49</v>
      </c>
      <c r="T1677" t="s">
        <v>50</v>
      </c>
      <c r="U1677" t="s">
        <v>42</v>
      </c>
      <c r="V1677">
        <v>0</v>
      </c>
      <c r="W1677">
        <v>100000</v>
      </c>
      <c r="X1677" s="1">
        <v>44012</v>
      </c>
      <c r="Y1677" t="s">
        <v>51</v>
      </c>
      <c r="Z1677" t="s">
        <v>43</v>
      </c>
      <c r="AA1677" t="s">
        <v>41</v>
      </c>
      <c r="AB1677" t="s">
        <v>52</v>
      </c>
      <c r="AC1677" t="s">
        <v>53</v>
      </c>
      <c r="AF1677" t="s">
        <v>58</v>
      </c>
      <c r="AG1677" s="1">
        <v>43837</v>
      </c>
      <c r="AH1677" t="s">
        <v>42</v>
      </c>
      <c r="AI1677" t="s">
        <v>55</v>
      </c>
      <c r="AJ1677">
        <v>12788092</v>
      </c>
      <c r="AK1677">
        <v>250000</v>
      </c>
      <c r="AL1677">
        <v>1500000</v>
      </c>
    </row>
    <row r="1678" spans="1:38" x14ac:dyDescent="0.25">
      <c r="A1678" t="s">
        <v>180</v>
      </c>
      <c r="B1678" t="s">
        <v>480</v>
      </c>
      <c r="C1678" t="s">
        <v>40</v>
      </c>
      <c r="D1678" s="1">
        <v>43646</v>
      </c>
      <c r="E1678" s="1">
        <v>44011</v>
      </c>
      <c r="F1678" t="s">
        <v>41</v>
      </c>
      <c r="G1678">
        <v>1</v>
      </c>
      <c r="H1678" t="s">
        <v>42</v>
      </c>
      <c r="I1678" t="s">
        <v>43</v>
      </c>
      <c r="J1678" t="s">
        <v>41</v>
      </c>
      <c r="K1678" t="s">
        <v>44</v>
      </c>
      <c r="L1678">
        <v>66188.759999999995</v>
      </c>
      <c r="M1678" s="1">
        <v>43646</v>
      </c>
      <c r="N1678" t="s">
        <v>45</v>
      </c>
      <c r="O1678" t="s">
        <v>44</v>
      </c>
      <c r="P1678" t="s">
        <v>47</v>
      </c>
      <c r="Q1678" s="1">
        <v>43852</v>
      </c>
      <c r="R1678" t="s">
        <v>48</v>
      </c>
      <c r="S1678" t="s">
        <v>49</v>
      </c>
      <c r="T1678" t="s">
        <v>50</v>
      </c>
      <c r="U1678" t="s">
        <v>42</v>
      </c>
      <c r="V1678">
        <v>0</v>
      </c>
      <c r="W1678">
        <v>100000</v>
      </c>
      <c r="X1678" s="1">
        <v>44012</v>
      </c>
      <c r="Y1678" t="s">
        <v>51</v>
      </c>
      <c r="Z1678" t="s">
        <v>43</v>
      </c>
      <c r="AA1678" t="s">
        <v>41</v>
      </c>
      <c r="AB1678" t="s">
        <v>52</v>
      </c>
      <c r="AC1678" t="s">
        <v>53</v>
      </c>
      <c r="AF1678" t="s">
        <v>59</v>
      </c>
      <c r="AG1678" s="1">
        <v>43838</v>
      </c>
      <c r="AH1678" t="s">
        <v>42</v>
      </c>
      <c r="AI1678" t="s">
        <v>55</v>
      </c>
      <c r="AJ1678">
        <v>12788092</v>
      </c>
      <c r="AK1678">
        <v>250000</v>
      </c>
      <c r="AL1678">
        <v>1500000</v>
      </c>
    </row>
    <row r="1679" spans="1:38" x14ac:dyDescent="0.25">
      <c r="A1679" t="s">
        <v>180</v>
      </c>
      <c r="B1679" t="s">
        <v>480</v>
      </c>
      <c r="C1679" t="s">
        <v>40</v>
      </c>
      <c r="D1679" s="1">
        <v>43646</v>
      </c>
      <c r="E1679" s="1">
        <v>44011</v>
      </c>
      <c r="F1679" t="s">
        <v>41</v>
      </c>
      <c r="G1679">
        <v>1</v>
      </c>
      <c r="H1679" t="s">
        <v>42</v>
      </c>
      <c r="I1679" t="s">
        <v>43</v>
      </c>
      <c r="J1679" t="s">
        <v>41</v>
      </c>
      <c r="K1679" t="s">
        <v>44</v>
      </c>
      <c r="L1679">
        <v>66188.759999999995</v>
      </c>
      <c r="M1679" s="1">
        <v>43646</v>
      </c>
      <c r="N1679" t="s">
        <v>45</v>
      </c>
      <c r="O1679" t="s">
        <v>44</v>
      </c>
      <c r="P1679" t="s">
        <v>47</v>
      </c>
      <c r="Q1679" s="1">
        <v>43852</v>
      </c>
      <c r="R1679" t="s">
        <v>48</v>
      </c>
      <c r="S1679" t="s">
        <v>60</v>
      </c>
      <c r="T1679" t="s">
        <v>61</v>
      </c>
      <c r="U1679" t="s">
        <v>42</v>
      </c>
      <c r="V1679">
        <v>0</v>
      </c>
      <c r="W1679">
        <v>100000</v>
      </c>
      <c r="X1679" s="1">
        <v>43921</v>
      </c>
      <c r="Y1679" t="s">
        <v>51</v>
      </c>
      <c r="Z1679" t="s">
        <v>43</v>
      </c>
      <c r="AA1679" t="s">
        <v>41</v>
      </c>
      <c r="AB1679" t="s">
        <v>52</v>
      </c>
      <c r="AC1679" t="s">
        <v>53</v>
      </c>
      <c r="AF1679" t="s">
        <v>54</v>
      </c>
      <c r="AG1679" s="1">
        <v>43832</v>
      </c>
      <c r="AH1679" t="s">
        <v>42</v>
      </c>
      <c r="AI1679" t="s">
        <v>55</v>
      </c>
      <c r="AJ1679">
        <v>12788092</v>
      </c>
      <c r="AK1679">
        <v>250000</v>
      </c>
      <c r="AL1679">
        <v>1500000</v>
      </c>
    </row>
    <row r="1680" spans="1:38" x14ac:dyDescent="0.25">
      <c r="A1680" t="s">
        <v>180</v>
      </c>
      <c r="B1680" t="s">
        <v>480</v>
      </c>
      <c r="C1680" t="s">
        <v>40</v>
      </c>
      <c r="D1680" s="1">
        <v>43646</v>
      </c>
      <c r="E1680" s="1">
        <v>44011</v>
      </c>
      <c r="F1680" t="s">
        <v>41</v>
      </c>
      <c r="G1680">
        <v>1</v>
      </c>
      <c r="H1680" t="s">
        <v>42</v>
      </c>
      <c r="I1680" t="s">
        <v>43</v>
      </c>
      <c r="J1680" t="s">
        <v>41</v>
      </c>
      <c r="K1680" t="s">
        <v>44</v>
      </c>
      <c r="L1680">
        <v>66188.759999999995</v>
      </c>
      <c r="M1680" s="1">
        <v>43646</v>
      </c>
      <c r="N1680" t="s">
        <v>45</v>
      </c>
      <c r="O1680" t="s">
        <v>44</v>
      </c>
      <c r="P1680" t="s">
        <v>47</v>
      </c>
      <c r="Q1680" s="1">
        <v>43852</v>
      </c>
      <c r="R1680" t="s">
        <v>48</v>
      </c>
      <c r="S1680" t="s">
        <v>60</v>
      </c>
      <c r="T1680" t="s">
        <v>61</v>
      </c>
      <c r="U1680" t="s">
        <v>42</v>
      </c>
      <c r="V1680">
        <v>0</v>
      </c>
      <c r="W1680">
        <v>100000</v>
      </c>
      <c r="X1680" s="1">
        <v>43921</v>
      </c>
      <c r="Y1680" t="s">
        <v>51</v>
      </c>
      <c r="Z1680" t="s">
        <v>43</v>
      </c>
      <c r="AA1680" t="s">
        <v>41</v>
      </c>
      <c r="AB1680" t="s">
        <v>52</v>
      </c>
      <c r="AC1680" t="s">
        <v>53</v>
      </c>
      <c r="AF1680" t="s">
        <v>56</v>
      </c>
      <c r="AG1680" s="1">
        <v>43833</v>
      </c>
      <c r="AH1680" t="s">
        <v>42</v>
      </c>
      <c r="AI1680" t="s">
        <v>55</v>
      </c>
      <c r="AJ1680">
        <v>12788092</v>
      </c>
      <c r="AK1680">
        <v>250000</v>
      </c>
      <c r="AL1680">
        <v>1500000</v>
      </c>
    </row>
    <row r="1681" spans="1:38" x14ac:dyDescent="0.25">
      <c r="A1681" t="s">
        <v>180</v>
      </c>
      <c r="B1681" t="s">
        <v>480</v>
      </c>
      <c r="C1681" t="s">
        <v>40</v>
      </c>
      <c r="D1681" s="1">
        <v>43646</v>
      </c>
      <c r="E1681" s="1">
        <v>44011</v>
      </c>
      <c r="F1681" t="s">
        <v>41</v>
      </c>
      <c r="G1681">
        <v>1</v>
      </c>
      <c r="H1681" t="s">
        <v>42</v>
      </c>
      <c r="I1681" t="s">
        <v>43</v>
      </c>
      <c r="J1681" t="s">
        <v>41</v>
      </c>
      <c r="K1681" t="s">
        <v>44</v>
      </c>
      <c r="L1681">
        <v>66188.759999999995</v>
      </c>
      <c r="M1681" s="1">
        <v>43646</v>
      </c>
      <c r="N1681" t="s">
        <v>45</v>
      </c>
      <c r="O1681" t="s">
        <v>44</v>
      </c>
      <c r="P1681" t="s">
        <v>47</v>
      </c>
      <c r="Q1681" s="1">
        <v>43852</v>
      </c>
      <c r="R1681" t="s">
        <v>48</v>
      </c>
      <c r="S1681" t="s">
        <v>60</v>
      </c>
      <c r="T1681" t="s">
        <v>61</v>
      </c>
      <c r="U1681" t="s">
        <v>42</v>
      </c>
      <c r="V1681">
        <v>0</v>
      </c>
      <c r="W1681">
        <v>100000</v>
      </c>
      <c r="X1681" s="1">
        <v>43921</v>
      </c>
      <c r="Y1681" t="s">
        <v>51</v>
      </c>
      <c r="Z1681" t="s">
        <v>43</v>
      </c>
      <c r="AA1681" t="s">
        <v>41</v>
      </c>
      <c r="AB1681" t="s">
        <v>52</v>
      </c>
      <c r="AC1681" t="s">
        <v>53</v>
      </c>
      <c r="AF1681" t="s">
        <v>57</v>
      </c>
      <c r="AG1681" s="1">
        <v>43836</v>
      </c>
      <c r="AH1681" t="s">
        <v>42</v>
      </c>
      <c r="AI1681" t="s">
        <v>55</v>
      </c>
      <c r="AJ1681">
        <v>12788092</v>
      </c>
      <c r="AK1681">
        <v>250000</v>
      </c>
      <c r="AL1681">
        <v>1500000</v>
      </c>
    </row>
    <row r="1682" spans="1:38" x14ac:dyDescent="0.25">
      <c r="A1682" t="s">
        <v>180</v>
      </c>
      <c r="B1682" t="s">
        <v>480</v>
      </c>
      <c r="C1682" t="s">
        <v>40</v>
      </c>
      <c r="D1682" s="1">
        <v>43646</v>
      </c>
      <c r="E1682" s="1">
        <v>44011</v>
      </c>
      <c r="F1682" t="s">
        <v>41</v>
      </c>
      <c r="G1682">
        <v>1</v>
      </c>
      <c r="H1682" t="s">
        <v>42</v>
      </c>
      <c r="I1682" t="s">
        <v>43</v>
      </c>
      <c r="J1682" t="s">
        <v>41</v>
      </c>
      <c r="K1682" t="s">
        <v>44</v>
      </c>
      <c r="L1682">
        <v>66188.759999999995</v>
      </c>
      <c r="M1682" s="1">
        <v>43646</v>
      </c>
      <c r="N1682" t="s">
        <v>45</v>
      </c>
      <c r="O1682" t="s">
        <v>44</v>
      </c>
      <c r="P1682" t="s">
        <v>47</v>
      </c>
      <c r="Q1682" s="1">
        <v>43852</v>
      </c>
      <c r="R1682" t="s">
        <v>48</v>
      </c>
      <c r="S1682" t="s">
        <v>60</v>
      </c>
      <c r="T1682" t="s">
        <v>61</v>
      </c>
      <c r="U1682" t="s">
        <v>42</v>
      </c>
      <c r="V1682">
        <v>0</v>
      </c>
      <c r="W1682">
        <v>100000</v>
      </c>
      <c r="X1682" s="1">
        <v>43921</v>
      </c>
      <c r="Y1682" t="s">
        <v>51</v>
      </c>
      <c r="Z1682" t="s">
        <v>43</v>
      </c>
      <c r="AA1682" t="s">
        <v>41</v>
      </c>
      <c r="AB1682" t="s">
        <v>52</v>
      </c>
      <c r="AC1682" t="s">
        <v>53</v>
      </c>
      <c r="AF1682" t="s">
        <v>58</v>
      </c>
      <c r="AG1682" s="1">
        <v>43837</v>
      </c>
      <c r="AH1682" t="s">
        <v>42</v>
      </c>
      <c r="AI1682" t="s">
        <v>55</v>
      </c>
      <c r="AJ1682">
        <v>12788092</v>
      </c>
      <c r="AK1682">
        <v>250000</v>
      </c>
      <c r="AL1682">
        <v>1500000</v>
      </c>
    </row>
    <row r="1683" spans="1:38" x14ac:dyDescent="0.25">
      <c r="A1683" t="s">
        <v>180</v>
      </c>
      <c r="B1683" t="s">
        <v>480</v>
      </c>
      <c r="C1683" t="s">
        <v>40</v>
      </c>
      <c r="D1683" s="1">
        <v>43646</v>
      </c>
      <c r="E1683" s="1">
        <v>44011</v>
      </c>
      <c r="F1683" t="s">
        <v>41</v>
      </c>
      <c r="G1683">
        <v>1</v>
      </c>
      <c r="H1683" t="s">
        <v>42</v>
      </c>
      <c r="I1683" t="s">
        <v>43</v>
      </c>
      <c r="J1683" t="s">
        <v>41</v>
      </c>
      <c r="K1683" t="s">
        <v>44</v>
      </c>
      <c r="L1683">
        <v>66188.759999999995</v>
      </c>
      <c r="M1683" s="1">
        <v>43646</v>
      </c>
      <c r="N1683" t="s">
        <v>45</v>
      </c>
      <c r="O1683" t="s">
        <v>44</v>
      </c>
      <c r="P1683" t="s">
        <v>47</v>
      </c>
      <c r="Q1683" s="1">
        <v>43852</v>
      </c>
      <c r="R1683" t="s">
        <v>48</v>
      </c>
      <c r="S1683" t="s">
        <v>60</v>
      </c>
      <c r="T1683" t="s">
        <v>61</v>
      </c>
      <c r="U1683" t="s">
        <v>42</v>
      </c>
      <c r="V1683">
        <v>0</v>
      </c>
      <c r="W1683">
        <v>100000</v>
      </c>
      <c r="X1683" s="1">
        <v>43921</v>
      </c>
      <c r="Y1683" t="s">
        <v>51</v>
      </c>
      <c r="Z1683" t="s">
        <v>43</v>
      </c>
      <c r="AA1683" t="s">
        <v>41</v>
      </c>
      <c r="AB1683" t="s">
        <v>52</v>
      </c>
      <c r="AC1683" t="s">
        <v>53</v>
      </c>
      <c r="AF1683" t="s">
        <v>59</v>
      </c>
      <c r="AG1683" s="1">
        <v>43838</v>
      </c>
      <c r="AH1683" t="s">
        <v>42</v>
      </c>
      <c r="AI1683" t="s">
        <v>55</v>
      </c>
      <c r="AJ1683">
        <v>12788092</v>
      </c>
      <c r="AK1683">
        <v>250000</v>
      </c>
      <c r="AL1683">
        <v>1500000</v>
      </c>
    </row>
    <row r="1684" spans="1:38" x14ac:dyDescent="0.25">
      <c r="A1684" t="s">
        <v>180</v>
      </c>
      <c r="B1684" t="s">
        <v>480</v>
      </c>
      <c r="C1684" t="s">
        <v>40</v>
      </c>
      <c r="D1684" s="1">
        <v>43646</v>
      </c>
      <c r="E1684" s="1">
        <v>44011</v>
      </c>
      <c r="F1684" t="s">
        <v>41</v>
      </c>
      <c r="G1684">
        <v>1</v>
      </c>
      <c r="H1684" t="s">
        <v>42</v>
      </c>
      <c r="I1684" t="s">
        <v>43</v>
      </c>
      <c r="J1684" t="s">
        <v>41</v>
      </c>
      <c r="K1684" t="s">
        <v>44</v>
      </c>
      <c r="L1684">
        <v>66188.759999999995</v>
      </c>
      <c r="M1684" s="1">
        <v>43646</v>
      </c>
      <c r="N1684" t="s">
        <v>45</v>
      </c>
      <c r="O1684" t="s">
        <v>44</v>
      </c>
      <c r="P1684" t="s">
        <v>47</v>
      </c>
      <c r="Q1684" s="1">
        <v>43852</v>
      </c>
      <c r="R1684" t="s">
        <v>48</v>
      </c>
      <c r="S1684" t="s">
        <v>62</v>
      </c>
      <c r="T1684" t="s">
        <v>63</v>
      </c>
      <c r="U1684" t="s">
        <v>42</v>
      </c>
      <c r="V1684">
        <v>0</v>
      </c>
      <c r="W1684">
        <v>100000</v>
      </c>
      <c r="X1684" s="1">
        <v>43982</v>
      </c>
      <c r="Y1684" t="s">
        <v>51</v>
      </c>
      <c r="Z1684" t="s">
        <v>43</v>
      </c>
      <c r="AA1684" t="s">
        <v>41</v>
      </c>
      <c r="AB1684" t="s">
        <v>52</v>
      </c>
      <c r="AC1684" t="s">
        <v>53</v>
      </c>
      <c r="AF1684" t="s">
        <v>54</v>
      </c>
      <c r="AG1684" s="1">
        <v>43832</v>
      </c>
      <c r="AH1684" t="s">
        <v>42</v>
      </c>
      <c r="AI1684" t="s">
        <v>55</v>
      </c>
      <c r="AJ1684">
        <v>12788092</v>
      </c>
      <c r="AK1684">
        <v>250000</v>
      </c>
      <c r="AL1684">
        <v>1500000</v>
      </c>
    </row>
    <row r="1685" spans="1:38" x14ac:dyDescent="0.25">
      <c r="A1685" t="s">
        <v>180</v>
      </c>
      <c r="B1685" t="s">
        <v>480</v>
      </c>
      <c r="C1685" t="s">
        <v>40</v>
      </c>
      <c r="D1685" s="1">
        <v>43646</v>
      </c>
      <c r="E1685" s="1">
        <v>44011</v>
      </c>
      <c r="F1685" t="s">
        <v>41</v>
      </c>
      <c r="G1685">
        <v>1</v>
      </c>
      <c r="H1685" t="s">
        <v>42</v>
      </c>
      <c r="I1685" t="s">
        <v>43</v>
      </c>
      <c r="J1685" t="s">
        <v>41</v>
      </c>
      <c r="K1685" t="s">
        <v>44</v>
      </c>
      <c r="L1685">
        <v>66188.759999999995</v>
      </c>
      <c r="M1685" s="1">
        <v>43646</v>
      </c>
      <c r="N1685" t="s">
        <v>45</v>
      </c>
      <c r="O1685" t="s">
        <v>44</v>
      </c>
      <c r="P1685" t="s">
        <v>47</v>
      </c>
      <c r="Q1685" s="1">
        <v>43852</v>
      </c>
      <c r="R1685" t="s">
        <v>48</v>
      </c>
      <c r="S1685" t="s">
        <v>62</v>
      </c>
      <c r="T1685" t="s">
        <v>63</v>
      </c>
      <c r="U1685" t="s">
        <v>42</v>
      </c>
      <c r="V1685">
        <v>0</v>
      </c>
      <c r="W1685">
        <v>100000</v>
      </c>
      <c r="X1685" s="1">
        <v>43982</v>
      </c>
      <c r="Y1685" t="s">
        <v>51</v>
      </c>
      <c r="Z1685" t="s">
        <v>43</v>
      </c>
      <c r="AA1685" t="s">
        <v>41</v>
      </c>
      <c r="AB1685" t="s">
        <v>52</v>
      </c>
      <c r="AC1685" t="s">
        <v>53</v>
      </c>
      <c r="AF1685" t="s">
        <v>56</v>
      </c>
      <c r="AG1685" s="1">
        <v>43833</v>
      </c>
      <c r="AH1685" t="s">
        <v>42</v>
      </c>
      <c r="AI1685" t="s">
        <v>55</v>
      </c>
      <c r="AJ1685">
        <v>12788092</v>
      </c>
      <c r="AK1685">
        <v>250000</v>
      </c>
      <c r="AL1685">
        <v>1500000</v>
      </c>
    </row>
    <row r="1686" spans="1:38" x14ac:dyDescent="0.25">
      <c r="A1686" t="s">
        <v>180</v>
      </c>
      <c r="B1686" t="s">
        <v>480</v>
      </c>
      <c r="C1686" t="s">
        <v>40</v>
      </c>
      <c r="D1686" s="1">
        <v>43646</v>
      </c>
      <c r="E1686" s="1">
        <v>44011</v>
      </c>
      <c r="F1686" t="s">
        <v>41</v>
      </c>
      <c r="G1686">
        <v>1</v>
      </c>
      <c r="H1686" t="s">
        <v>42</v>
      </c>
      <c r="I1686" t="s">
        <v>43</v>
      </c>
      <c r="J1686" t="s">
        <v>41</v>
      </c>
      <c r="K1686" t="s">
        <v>44</v>
      </c>
      <c r="L1686">
        <v>66188.759999999995</v>
      </c>
      <c r="M1686" s="1">
        <v>43646</v>
      </c>
      <c r="N1686" t="s">
        <v>45</v>
      </c>
      <c r="O1686" t="s">
        <v>44</v>
      </c>
      <c r="P1686" t="s">
        <v>47</v>
      </c>
      <c r="Q1686" s="1">
        <v>43852</v>
      </c>
      <c r="R1686" t="s">
        <v>48</v>
      </c>
      <c r="S1686" t="s">
        <v>62</v>
      </c>
      <c r="T1686" t="s">
        <v>63</v>
      </c>
      <c r="U1686" t="s">
        <v>42</v>
      </c>
      <c r="V1686">
        <v>0</v>
      </c>
      <c r="W1686">
        <v>100000</v>
      </c>
      <c r="X1686" s="1">
        <v>43982</v>
      </c>
      <c r="Y1686" t="s">
        <v>51</v>
      </c>
      <c r="Z1686" t="s">
        <v>43</v>
      </c>
      <c r="AA1686" t="s">
        <v>41</v>
      </c>
      <c r="AB1686" t="s">
        <v>52</v>
      </c>
      <c r="AC1686" t="s">
        <v>53</v>
      </c>
      <c r="AF1686" t="s">
        <v>57</v>
      </c>
      <c r="AG1686" s="1">
        <v>43836</v>
      </c>
      <c r="AH1686" t="s">
        <v>42</v>
      </c>
      <c r="AI1686" t="s">
        <v>55</v>
      </c>
      <c r="AJ1686">
        <v>12788092</v>
      </c>
      <c r="AK1686">
        <v>250000</v>
      </c>
      <c r="AL1686">
        <v>1500000</v>
      </c>
    </row>
    <row r="1687" spans="1:38" x14ac:dyDescent="0.25">
      <c r="A1687" t="s">
        <v>180</v>
      </c>
      <c r="B1687" t="s">
        <v>480</v>
      </c>
      <c r="C1687" t="s">
        <v>40</v>
      </c>
      <c r="D1687" s="1">
        <v>43646</v>
      </c>
      <c r="E1687" s="1">
        <v>44011</v>
      </c>
      <c r="F1687" t="s">
        <v>41</v>
      </c>
      <c r="G1687">
        <v>1</v>
      </c>
      <c r="H1687" t="s">
        <v>42</v>
      </c>
      <c r="I1687" t="s">
        <v>43</v>
      </c>
      <c r="J1687" t="s">
        <v>41</v>
      </c>
      <c r="K1687" t="s">
        <v>44</v>
      </c>
      <c r="L1687">
        <v>66188.759999999995</v>
      </c>
      <c r="M1687" s="1">
        <v>43646</v>
      </c>
      <c r="N1687" t="s">
        <v>45</v>
      </c>
      <c r="O1687" t="s">
        <v>44</v>
      </c>
      <c r="P1687" t="s">
        <v>47</v>
      </c>
      <c r="Q1687" s="1">
        <v>43852</v>
      </c>
      <c r="R1687" t="s">
        <v>48</v>
      </c>
      <c r="S1687" t="s">
        <v>62</v>
      </c>
      <c r="T1687" t="s">
        <v>63</v>
      </c>
      <c r="U1687" t="s">
        <v>42</v>
      </c>
      <c r="V1687">
        <v>0</v>
      </c>
      <c r="W1687">
        <v>100000</v>
      </c>
      <c r="X1687" s="1">
        <v>43982</v>
      </c>
      <c r="Y1687" t="s">
        <v>51</v>
      </c>
      <c r="Z1687" t="s">
        <v>43</v>
      </c>
      <c r="AA1687" t="s">
        <v>41</v>
      </c>
      <c r="AB1687" t="s">
        <v>52</v>
      </c>
      <c r="AC1687" t="s">
        <v>53</v>
      </c>
      <c r="AF1687" t="s">
        <v>58</v>
      </c>
      <c r="AG1687" s="1">
        <v>43837</v>
      </c>
      <c r="AH1687" t="s">
        <v>42</v>
      </c>
      <c r="AI1687" t="s">
        <v>55</v>
      </c>
      <c r="AJ1687">
        <v>12788092</v>
      </c>
      <c r="AK1687">
        <v>250000</v>
      </c>
      <c r="AL1687">
        <v>1500000</v>
      </c>
    </row>
    <row r="1688" spans="1:38" x14ac:dyDescent="0.25">
      <c r="A1688" t="s">
        <v>180</v>
      </c>
      <c r="B1688" t="s">
        <v>480</v>
      </c>
      <c r="C1688" t="s">
        <v>40</v>
      </c>
      <c r="D1688" s="1">
        <v>43646</v>
      </c>
      <c r="E1688" s="1">
        <v>44011</v>
      </c>
      <c r="F1688" t="s">
        <v>41</v>
      </c>
      <c r="G1688">
        <v>1</v>
      </c>
      <c r="H1688" t="s">
        <v>42</v>
      </c>
      <c r="I1688" t="s">
        <v>43</v>
      </c>
      <c r="J1688" t="s">
        <v>41</v>
      </c>
      <c r="K1688" t="s">
        <v>44</v>
      </c>
      <c r="L1688">
        <v>66188.759999999995</v>
      </c>
      <c r="M1688" s="1">
        <v>43646</v>
      </c>
      <c r="N1688" t="s">
        <v>45</v>
      </c>
      <c r="O1688" t="s">
        <v>44</v>
      </c>
      <c r="P1688" t="s">
        <v>47</v>
      </c>
      <c r="Q1688" s="1">
        <v>43852</v>
      </c>
      <c r="R1688" t="s">
        <v>48</v>
      </c>
      <c r="S1688" t="s">
        <v>62</v>
      </c>
      <c r="T1688" t="s">
        <v>63</v>
      </c>
      <c r="U1688" t="s">
        <v>42</v>
      </c>
      <c r="V1688">
        <v>0</v>
      </c>
      <c r="W1688">
        <v>100000</v>
      </c>
      <c r="X1688" s="1">
        <v>43982</v>
      </c>
      <c r="Y1688" t="s">
        <v>51</v>
      </c>
      <c r="Z1688" t="s">
        <v>43</v>
      </c>
      <c r="AA1688" t="s">
        <v>41</v>
      </c>
      <c r="AB1688" t="s">
        <v>52</v>
      </c>
      <c r="AC1688" t="s">
        <v>53</v>
      </c>
      <c r="AF1688" t="s">
        <v>59</v>
      </c>
      <c r="AG1688" s="1">
        <v>43838</v>
      </c>
      <c r="AH1688" t="s">
        <v>42</v>
      </c>
      <c r="AI1688" t="s">
        <v>55</v>
      </c>
      <c r="AJ1688">
        <v>12788092</v>
      </c>
      <c r="AK1688">
        <v>250000</v>
      </c>
      <c r="AL1688">
        <v>1500000</v>
      </c>
    </row>
    <row r="1689" spans="1:38" x14ac:dyDescent="0.25">
      <c r="A1689" t="s">
        <v>180</v>
      </c>
      <c r="B1689" t="s">
        <v>480</v>
      </c>
      <c r="C1689" t="s">
        <v>40</v>
      </c>
      <c r="D1689" s="1">
        <v>43646</v>
      </c>
      <c r="E1689" s="1">
        <v>44011</v>
      </c>
      <c r="F1689" t="s">
        <v>41</v>
      </c>
      <c r="G1689">
        <v>1</v>
      </c>
      <c r="H1689" t="s">
        <v>42</v>
      </c>
      <c r="I1689" t="s">
        <v>43</v>
      </c>
      <c r="J1689" t="s">
        <v>41</v>
      </c>
      <c r="K1689" t="s">
        <v>44</v>
      </c>
      <c r="L1689">
        <v>66188.759999999995</v>
      </c>
      <c r="M1689" s="1">
        <v>43646</v>
      </c>
      <c r="N1689" t="s">
        <v>45</v>
      </c>
      <c r="O1689" t="s">
        <v>44</v>
      </c>
      <c r="P1689" t="s">
        <v>47</v>
      </c>
      <c r="Q1689" s="1">
        <v>43852</v>
      </c>
      <c r="R1689" t="s">
        <v>48</v>
      </c>
      <c r="S1689" t="s">
        <v>64</v>
      </c>
      <c r="T1689" t="s">
        <v>65</v>
      </c>
      <c r="U1689" t="s">
        <v>42</v>
      </c>
      <c r="V1689">
        <v>0</v>
      </c>
      <c r="W1689">
        <v>100000</v>
      </c>
      <c r="X1689" s="1">
        <v>43921</v>
      </c>
      <c r="Y1689" t="s">
        <v>51</v>
      </c>
      <c r="Z1689" t="s">
        <v>43</v>
      </c>
      <c r="AA1689" t="s">
        <v>41</v>
      </c>
      <c r="AB1689" t="s">
        <v>52</v>
      </c>
      <c r="AC1689" t="s">
        <v>53</v>
      </c>
      <c r="AF1689" t="s">
        <v>54</v>
      </c>
      <c r="AG1689" s="1">
        <v>43832</v>
      </c>
      <c r="AH1689" t="s">
        <v>42</v>
      </c>
      <c r="AI1689" t="s">
        <v>55</v>
      </c>
      <c r="AJ1689">
        <v>12788092</v>
      </c>
      <c r="AK1689">
        <v>250000</v>
      </c>
      <c r="AL1689">
        <v>1500000</v>
      </c>
    </row>
    <row r="1690" spans="1:38" x14ac:dyDescent="0.25">
      <c r="A1690" t="s">
        <v>180</v>
      </c>
      <c r="B1690" t="s">
        <v>480</v>
      </c>
      <c r="C1690" t="s">
        <v>40</v>
      </c>
      <c r="D1690" s="1">
        <v>43646</v>
      </c>
      <c r="E1690" s="1">
        <v>44011</v>
      </c>
      <c r="F1690" t="s">
        <v>41</v>
      </c>
      <c r="G1690">
        <v>1</v>
      </c>
      <c r="H1690" t="s">
        <v>42</v>
      </c>
      <c r="I1690" t="s">
        <v>43</v>
      </c>
      <c r="J1690" t="s">
        <v>41</v>
      </c>
      <c r="K1690" t="s">
        <v>44</v>
      </c>
      <c r="L1690">
        <v>66188.759999999995</v>
      </c>
      <c r="M1690" s="1">
        <v>43646</v>
      </c>
      <c r="N1690" t="s">
        <v>45</v>
      </c>
      <c r="O1690" t="s">
        <v>44</v>
      </c>
      <c r="P1690" t="s">
        <v>47</v>
      </c>
      <c r="Q1690" s="1">
        <v>43852</v>
      </c>
      <c r="R1690" t="s">
        <v>48</v>
      </c>
      <c r="S1690" t="s">
        <v>64</v>
      </c>
      <c r="T1690" t="s">
        <v>65</v>
      </c>
      <c r="U1690" t="s">
        <v>42</v>
      </c>
      <c r="V1690">
        <v>0</v>
      </c>
      <c r="W1690">
        <v>100000</v>
      </c>
      <c r="X1690" s="1">
        <v>43921</v>
      </c>
      <c r="Y1690" t="s">
        <v>51</v>
      </c>
      <c r="Z1690" t="s">
        <v>43</v>
      </c>
      <c r="AA1690" t="s">
        <v>41</v>
      </c>
      <c r="AB1690" t="s">
        <v>52</v>
      </c>
      <c r="AC1690" t="s">
        <v>53</v>
      </c>
      <c r="AF1690" t="s">
        <v>56</v>
      </c>
      <c r="AG1690" s="1">
        <v>43833</v>
      </c>
      <c r="AH1690" t="s">
        <v>42</v>
      </c>
      <c r="AI1690" t="s">
        <v>55</v>
      </c>
      <c r="AJ1690">
        <v>12788092</v>
      </c>
      <c r="AK1690">
        <v>250000</v>
      </c>
      <c r="AL1690">
        <v>1500000</v>
      </c>
    </row>
    <row r="1691" spans="1:38" x14ac:dyDescent="0.25">
      <c r="A1691" t="s">
        <v>180</v>
      </c>
      <c r="B1691" t="s">
        <v>480</v>
      </c>
      <c r="C1691" t="s">
        <v>40</v>
      </c>
      <c r="D1691" s="1">
        <v>43646</v>
      </c>
      <c r="E1691" s="1">
        <v>44011</v>
      </c>
      <c r="F1691" t="s">
        <v>41</v>
      </c>
      <c r="G1691">
        <v>1</v>
      </c>
      <c r="H1691" t="s">
        <v>42</v>
      </c>
      <c r="I1691" t="s">
        <v>43</v>
      </c>
      <c r="J1691" t="s">
        <v>41</v>
      </c>
      <c r="K1691" t="s">
        <v>44</v>
      </c>
      <c r="L1691">
        <v>66188.759999999995</v>
      </c>
      <c r="M1691" s="1">
        <v>43646</v>
      </c>
      <c r="N1691" t="s">
        <v>45</v>
      </c>
      <c r="O1691" t="s">
        <v>44</v>
      </c>
      <c r="P1691" t="s">
        <v>47</v>
      </c>
      <c r="Q1691" s="1">
        <v>43852</v>
      </c>
      <c r="R1691" t="s">
        <v>48</v>
      </c>
      <c r="S1691" t="s">
        <v>64</v>
      </c>
      <c r="T1691" t="s">
        <v>65</v>
      </c>
      <c r="U1691" t="s">
        <v>42</v>
      </c>
      <c r="V1691">
        <v>0</v>
      </c>
      <c r="W1691">
        <v>100000</v>
      </c>
      <c r="X1691" s="1">
        <v>43921</v>
      </c>
      <c r="Y1691" t="s">
        <v>51</v>
      </c>
      <c r="Z1691" t="s">
        <v>43</v>
      </c>
      <c r="AA1691" t="s">
        <v>41</v>
      </c>
      <c r="AB1691" t="s">
        <v>52</v>
      </c>
      <c r="AC1691" t="s">
        <v>53</v>
      </c>
      <c r="AF1691" t="s">
        <v>57</v>
      </c>
      <c r="AG1691" s="1">
        <v>43836</v>
      </c>
      <c r="AH1691" t="s">
        <v>42</v>
      </c>
      <c r="AI1691" t="s">
        <v>55</v>
      </c>
      <c r="AJ1691">
        <v>12788092</v>
      </c>
      <c r="AK1691">
        <v>250000</v>
      </c>
      <c r="AL1691">
        <v>1500000</v>
      </c>
    </row>
    <row r="1692" spans="1:38" x14ac:dyDescent="0.25">
      <c r="A1692" t="s">
        <v>180</v>
      </c>
      <c r="B1692" t="s">
        <v>480</v>
      </c>
      <c r="C1692" t="s">
        <v>40</v>
      </c>
      <c r="D1692" s="1">
        <v>43646</v>
      </c>
      <c r="E1692" s="1">
        <v>44011</v>
      </c>
      <c r="F1692" t="s">
        <v>41</v>
      </c>
      <c r="G1692">
        <v>1</v>
      </c>
      <c r="H1692" t="s">
        <v>42</v>
      </c>
      <c r="I1692" t="s">
        <v>43</v>
      </c>
      <c r="J1692" t="s">
        <v>41</v>
      </c>
      <c r="K1692" t="s">
        <v>44</v>
      </c>
      <c r="L1692">
        <v>66188.759999999995</v>
      </c>
      <c r="M1692" s="1">
        <v>43646</v>
      </c>
      <c r="N1692" t="s">
        <v>45</v>
      </c>
      <c r="O1692" t="s">
        <v>44</v>
      </c>
      <c r="P1692" t="s">
        <v>47</v>
      </c>
      <c r="Q1692" s="1">
        <v>43852</v>
      </c>
      <c r="R1692" t="s">
        <v>48</v>
      </c>
      <c r="S1692" t="s">
        <v>64</v>
      </c>
      <c r="T1692" t="s">
        <v>65</v>
      </c>
      <c r="U1692" t="s">
        <v>42</v>
      </c>
      <c r="V1692">
        <v>0</v>
      </c>
      <c r="W1692">
        <v>100000</v>
      </c>
      <c r="X1692" s="1">
        <v>43921</v>
      </c>
      <c r="Y1692" t="s">
        <v>51</v>
      </c>
      <c r="Z1692" t="s">
        <v>43</v>
      </c>
      <c r="AA1692" t="s">
        <v>41</v>
      </c>
      <c r="AB1692" t="s">
        <v>52</v>
      </c>
      <c r="AC1692" t="s">
        <v>53</v>
      </c>
      <c r="AF1692" t="s">
        <v>58</v>
      </c>
      <c r="AG1692" s="1">
        <v>43837</v>
      </c>
      <c r="AH1692" t="s">
        <v>42</v>
      </c>
      <c r="AI1692" t="s">
        <v>55</v>
      </c>
      <c r="AJ1692">
        <v>12788092</v>
      </c>
      <c r="AK1692">
        <v>250000</v>
      </c>
      <c r="AL1692">
        <v>1500000</v>
      </c>
    </row>
    <row r="1693" spans="1:38" x14ac:dyDescent="0.25">
      <c r="A1693" t="s">
        <v>180</v>
      </c>
      <c r="B1693" t="s">
        <v>480</v>
      </c>
      <c r="C1693" t="s">
        <v>40</v>
      </c>
      <c r="D1693" s="1">
        <v>43646</v>
      </c>
      <c r="E1693" s="1">
        <v>44011</v>
      </c>
      <c r="F1693" t="s">
        <v>41</v>
      </c>
      <c r="G1693">
        <v>1</v>
      </c>
      <c r="H1693" t="s">
        <v>42</v>
      </c>
      <c r="I1693" t="s">
        <v>43</v>
      </c>
      <c r="J1693" t="s">
        <v>41</v>
      </c>
      <c r="K1693" t="s">
        <v>44</v>
      </c>
      <c r="L1693">
        <v>66188.759999999995</v>
      </c>
      <c r="M1693" s="1">
        <v>43646</v>
      </c>
      <c r="N1693" t="s">
        <v>45</v>
      </c>
      <c r="O1693" t="s">
        <v>44</v>
      </c>
      <c r="P1693" t="s">
        <v>47</v>
      </c>
      <c r="Q1693" s="1">
        <v>43852</v>
      </c>
      <c r="R1693" t="s">
        <v>48</v>
      </c>
      <c r="S1693" t="s">
        <v>64</v>
      </c>
      <c r="T1693" t="s">
        <v>65</v>
      </c>
      <c r="U1693" t="s">
        <v>42</v>
      </c>
      <c r="V1693">
        <v>0</v>
      </c>
      <c r="W1693">
        <v>100000</v>
      </c>
      <c r="X1693" s="1">
        <v>43921</v>
      </c>
      <c r="Y1693" t="s">
        <v>51</v>
      </c>
      <c r="Z1693" t="s">
        <v>43</v>
      </c>
      <c r="AA1693" t="s">
        <v>41</v>
      </c>
      <c r="AB1693" t="s">
        <v>52</v>
      </c>
      <c r="AC1693" t="s">
        <v>53</v>
      </c>
      <c r="AF1693" t="s">
        <v>59</v>
      </c>
      <c r="AG1693" s="1">
        <v>43838</v>
      </c>
      <c r="AH1693" t="s">
        <v>42</v>
      </c>
      <c r="AI1693" t="s">
        <v>55</v>
      </c>
      <c r="AJ1693">
        <v>12788092</v>
      </c>
      <c r="AK1693">
        <v>250000</v>
      </c>
      <c r="AL1693">
        <v>1500000</v>
      </c>
    </row>
    <row r="1694" spans="1:38" x14ac:dyDescent="0.25">
      <c r="A1694" t="s">
        <v>181</v>
      </c>
      <c r="B1694" t="s">
        <v>481</v>
      </c>
      <c r="C1694" t="s">
        <v>40</v>
      </c>
      <c r="D1694" s="1">
        <v>42916</v>
      </c>
      <c r="E1694" s="1">
        <v>43280</v>
      </c>
      <c r="F1694" t="s">
        <v>41</v>
      </c>
      <c r="G1694">
        <v>1</v>
      </c>
      <c r="H1694" t="s">
        <v>42</v>
      </c>
      <c r="I1694" t="s">
        <v>43</v>
      </c>
      <c r="J1694" t="s">
        <v>41</v>
      </c>
      <c r="K1694" t="s">
        <v>127</v>
      </c>
      <c r="L1694">
        <v>37754.15</v>
      </c>
      <c r="M1694" s="1">
        <v>43281</v>
      </c>
      <c r="N1694" t="s">
        <v>45</v>
      </c>
      <c r="O1694" t="s">
        <v>46</v>
      </c>
      <c r="P1694" t="s">
        <v>47</v>
      </c>
      <c r="Q1694" s="1">
        <v>43852</v>
      </c>
      <c r="R1694" t="s">
        <v>48</v>
      </c>
      <c r="S1694" t="s">
        <v>49</v>
      </c>
      <c r="T1694" t="s">
        <v>50</v>
      </c>
      <c r="U1694" t="s">
        <v>42</v>
      </c>
      <c r="V1694">
        <v>0</v>
      </c>
      <c r="W1694">
        <v>100000</v>
      </c>
      <c r="X1694" s="1">
        <v>44012</v>
      </c>
      <c r="Y1694" t="s">
        <v>51</v>
      </c>
      <c r="Z1694" t="s">
        <v>43</v>
      </c>
      <c r="AA1694" t="s">
        <v>41</v>
      </c>
      <c r="AB1694" t="s">
        <v>52</v>
      </c>
      <c r="AC1694" t="s">
        <v>53</v>
      </c>
      <c r="AF1694" t="s">
        <v>54</v>
      </c>
      <c r="AG1694" s="1">
        <v>43832</v>
      </c>
      <c r="AH1694" t="s">
        <v>42</v>
      </c>
      <c r="AI1694" t="s">
        <v>55</v>
      </c>
      <c r="AJ1694">
        <v>12788092</v>
      </c>
      <c r="AK1694">
        <v>250000</v>
      </c>
      <c r="AL1694">
        <v>1500000</v>
      </c>
    </row>
    <row r="1695" spans="1:38" x14ac:dyDescent="0.25">
      <c r="A1695" t="s">
        <v>181</v>
      </c>
      <c r="B1695" t="s">
        <v>481</v>
      </c>
      <c r="C1695" t="s">
        <v>40</v>
      </c>
      <c r="D1695" s="1">
        <v>42916</v>
      </c>
      <c r="E1695" s="1">
        <v>43280</v>
      </c>
      <c r="F1695" t="s">
        <v>41</v>
      </c>
      <c r="G1695">
        <v>1</v>
      </c>
      <c r="H1695" t="s">
        <v>42</v>
      </c>
      <c r="I1695" t="s">
        <v>43</v>
      </c>
      <c r="J1695" t="s">
        <v>41</v>
      </c>
      <c r="K1695" t="s">
        <v>127</v>
      </c>
      <c r="L1695">
        <v>37754.15</v>
      </c>
      <c r="M1695" s="1">
        <v>43281</v>
      </c>
      <c r="N1695" t="s">
        <v>45</v>
      </c>
      <c r="O1695" t="s">
        <v>46</v>
      </c>
      <c r="P1695" t="s">
        <v>47</v>
      </c>
      <c r="Q1695" s="1">
        <v>43852</v>
      </c>
      <c r="R1695" t="s">
        <v>48</v>
      </c>
      <c r="S1695" t="s">
        <v>49</v>
      </c>
      <c r="T1695" t="s">
        <v>50</v>
      </c>
      <c r="U1695" t="s">
        <v>42</v>
      </c>
      <c r="V1695">
        <v>0</v>
      </c>
      <c r="W1695">
        <v>100000</v>
      </c>
      <c r="X1695" s="1">
        <v>44012</v>
      </c>
      <c r="Y1695" t="s">
        <v>51</v>
      </c>
      <c r="Z1695" t="s">
        <v>43</v>
      </c>
      <c r="AA1695" t="s">
        <v>41</v>
      </c>
      <c r="AB1695" t="s">
        <v>52</v>
      </c>
      <c r="AC1695" t="s">
        <v>53</v>
      </c>
      <c r="AF1695" t="s">
        <v>56</v>
      </c>
      <c r="AG1695" s="1">
        <v>43833</v>
      </c>
      <c r="AH1695" t="s">
        <v>42</v>
      </c>
      <c r="AI1695" t="s">
        <v>55</v>
      </c>
      <c r="AJ1695">
        <v>12788092</v>
      </c>
      <c r="AK1695">
        <v>250000</v>
      </c>
      <c r="AL1695">
        <v>1500000</v>
      </c>
    </row>
    <row r="1696" spans="1:38" x14ac:dyDescent="0.25">
      <c r="A1696" t="s">
        <v>181</v>
      </c>
      <c r="B1696" t="s">
        <v>481</v>
      </c>
      <c r="C1696" t="s">
        <v>40</v>
      </c>
      <c r="D1696" s="1">
        <v>42916</v>
      </c>
      <c r="E1696" s="1">
        <v>43280</v>
      </c>
      <c r="F1696" t="s">
        <v>41</v>
      </c>
      <c r="G1696">
        <v>1</v>
      </c>
      <c r="H1696" t="s">
        <v>42</v>
      </c>
      <c r="I1696" t="s">
        <v>43</v>
      </c>
      <c r="J1696" t="s">
        <v>41</v>
      </c>
      <c r="K1696" t="s">
        <v>127</v>
      </c>
      <c r="L1696">
        <v>37754.15</v>
      </c>
      <c r="M1696" s="1">
        <v>43281</v>
      </c>
      <c r="N1696" t="s">
        <v>45</v>
      </c>
      <c r="O1696" t="s">
        <v>46</v>
      </c>
      <c r="P1696" t="s">
        <v>47</v>
      </c>
      <c r="Q1696" s="1">
        <v>43852</v>
      </c>
      <c r="R1696" t="s">
        <v>48</v>
      </c>
      <c r="S1696" t="s">
        <v>49</v>
      </c>
      <c r="T1696" t="s">
        <v>50</v>
      </c>
      <c r="U1696" t="s">
        <v>42</v>
      </c>
      <c r="V1696">
        <v>0</v>
      </c>
      <c r="W1696">
        <v>100000</v>
      </c>
      <c r="X1696" s="1">
        <v>44012</v>
      </c>
      <c r="Y1696" t="s">
        <v>51</v>
      </c>
      <c r="Z1696" t="s">
        <v>43</v>
      </c>
      <c r="AA1696" t="s">
        <v>41</v>
      </c>
      <c r="AB1696" t="s">
        <v>52</v>
      </c>
      <c r="AC1696" t="s">
        <v>53</v>
      </c>
      <c r="AF1696" t="s">
        <v>57</v>
      </c>
      <c r="AG1696" s="1">
        <v>43836</v>
      </c>
      <c r="AH1696" t="s">
        <v>42</v>
      </c>
      <c r="AI1696" t="s">
        <v>55</v>
      </c>
      <c r="AJ1696">
        <v>12788092</v>
      </c>
      <c r="AK1696">
        <v>250000</v>
      </c>
      <c r="AL1696">
        <v>1500000</v>
      </c>
    </row>
    <row r="1697" spans="1:38" x14ac:dyDescent="0.25">
      <c r="A1697" t="s">
        <v>181</v>
      </c>
      <c r="B1697" t="s">
        <v>481</v>
      </c>
      <c r="C1697" t="s">
        <v>40</v>
      </c>
      <c r="D1697" s="1">
        <v>42916</v>
      </c>
      <c r="E1697" s="1">
        <v>43280</v>
      </c>
      <c r="F1697" t="s">
        <v>41</v>
      </c>
      <c r="G1697">
        <v>1</v>
      </c>
      <c r="H1697" t="s">
        <v>42</v>
      </c>
      <c r="I1697" t="s">
        <v>43</v>
      </c>
      <c r="J1697" t="s">
        <v>41</v>
      </c>
      <c r="K1697" t="s">
        <v>127</v>
      </c>
      <c r="L1697">
        <v>37754.15</v>
      </c>
      <c r="M1697" s="1">
        <v>43281</v>
      </c>
      <c r="N1697" t="s">
        <v>45</v>
      </c>
      <c r="O1697" t="s">
        <v>46</v>
      </c>
      <c r="P1697" t="s">
        <v>47</v>
      </c>
      <c r="Q1697" s="1">
        <v>43852</v>
      </c>
      <c r="R1697" t="s">
        <v>48</v>
      </c>
      <c r="S1697" t="s">
        <v>49</v>
      </c>
      <c r="T1697" t="s">
        <v>50</v>
      </c>
      <c r="U1697" t="s">
        <v>42</v>
      </c>
      <c r="V1697">
        <v>0</v>
      </c>
      <c r="W1697">
        <v>100000</v>
      </c>
      <c r="X1697" s="1">
        <v>44012</v>
      </c>
      <c r="Y1697" t="s">
        <v>51</v>
      </c>
      <c r="Z1697" t="s">
        <v>43</v>
      </c>
      <c r="AA1697" t="s">
        <v>41</v>
      </c>
      <c r="AB1697" t="s">
        <v>52</v>
      </c>
      <c r="AC1697" t="s">
        <v>53</v>
      </c>
      <c r="AF1697" t="s">
        <v>58</v>
      </c>
      <c r="AG1697" s="1">
        <v>43837</v>
      </c>
      <c r="AH1697" t="s">
        <v>42</v>
      </c>
      <c r="AI1697" t="s">
        <v>55</v>
      </c>
      <c r="AJ1697">
        <v>12788092</v>
      </c>
      <c r="AK1697">
        <v>250000</v>
      </c>
      <c r="AL1697">
        <v>1500000</v>
      </c>
    </row>
    <row r="1698" spans="1:38" x14ac:dyDescent="0.25">
      <c r="A1698" t="s">
        <v>181</v>
      </c>
      <c r="B1698" t="s">
        <v>481</v>
      </c>
      <c r="C1698" t="s">
        <v>40</v>
      </c>
      <c r="D1698" s="1">
        <v>42916</v>
      </c>
      <c r="E1698" s="1">
        <v>43280</v>
      </c>
      <c r="F1698" t="s">
        <v>41</v>
      </c>
      <c r="G1698">
        <v>1</v>
      </c>
      <c r="H1698" t="s">
        <v>42</v>
      </c>
      <c r="I1698" t="s">
        <v>43</v>
      </c>
      <c r="J1698" t="s">
        <v>41</v>
      </c>
      <c r="K1698" t="s">
        <v>127</v>
      </c>
      <c r="L1698">
        <v>37754.15</v>
      </c>
      <c r="M1698" s="1">
        <v>43281</v>
      </c>
      <c r="N1698" t="s">
        <v>45</v>
      </c>
      <c r="O1698" t="s">
        <v>46</v>
      </c>
      <c r="P1698" t="s">
        <v>47</v>
      </c>
      <c r="Q1698" s="1">
        <v>43852</v>
      </c>
      <c r="R1698" t="s">
        <v>48</v>
      </c>
      <c r="S1698" t="s">
        <v>49</v>
      </c>
      <c r="T1698" t="s">
        <v>50</v>
      </c>
      <c r="U1698" t="s">
        <v>42</v>
      </c>
      <c r="V1698">
        <v>0</v>
      </c>
      <c r="W1698">
        <v>100000</v>
      </c>
      <c r="X1698" s="1">
        <v>44012</v>
      </c>
      <c r="Y1698" t="s">
        <v>51</v>
      </c>
      <c r="Z1698" t="s">
        <v>43</v>
      </c>
      <c r="AA1698" t="s">
        <v>41</v>
      </c>
      <c r="AB1698" t="s">
        <v>52</v>
      </c>
      <c r="AC1698" t="s">
        <v>53</v>
      </c>
      <c r="AF1698" t="s">
        <v>59</v>
      </c>
      <c r="AG1698" s="1">
        <v>43838</v>
      </c>
      <c r="AH1698" t="s">
        <v>42</v>
      </c>
      <c r="AI1698" t="s">
        <v>55</v>
      </c>
      <c r="AJ1698">
        <v>12788092</v>
      </c>
      <c r="AK1698">
        <v>250000</v>
      </c>
      <c r="AL1698">
        <v>1500000</v>
      </c>
    </row>
    <row r="1699" spans="1:38" x14ac:dyDescent="0.25">
      <c r="A1699" t="s">
        <v>181</v>
      </c>
      <c r="B1699" t="s">
        <v>481</v>
      </c>
      <c r="C1699" t="s">
        <v>40</v>
      </c>
      <c r="D1699" s="1">
        <v>42916</v>
      </c>
      <c r="E1699" s="1">
        <v>43280</v>
      </c>
      <c r="F1699" t="s">
        <v>41</v>
      </c>
      <c r="G1699">
        <v>1</v>
      </c>
      <c r="H1699" t="s">
        <v>42</v>
      </c>
      <c r="I1699" t="s">
        <v>43</v>
      </c>
      <c r="J1699" t="s">
        <v>41</v>
      </c>
      <c r="K1699" t="s">
        <v>127</v>
      </c>
      <c r="L1699">
        <v>37754.15</v>
      </c>
      <c r="M1699" s="1">
        <v>43281</v>
      </c>
      <c r="N1699" t="s">
        <v>45</v>
      </c>
      <c r="O1699" t="s">
        <v>46</v>
      </c>
      <c r="P1699" t="s">
        <v>47</v>
      </c>
      <c r="Q1699" s="1">
        <v>43852</v>
      </c>
      <c r="R1699" t="s">
        <v>48</v>
      </c>
      <c r="S1699" t="s">
        <v>60</v>
      </c>
      <c r="T1699" t="s">
        <v>61</v>
      </c>
      <c r="U1699" t="s">
        <v>42</v>
      </c>
      <c r="V1699">
        <v>0</v>
      </c>
      <c r="W1699">
        <v>100000</v>
      </c>
      <c r="X1699" s="1">
        <v>43921</v>
      </c>
      <c r="Y1699" t="s">
        <v>51</v>
      </c>
      <c r="Z1699" t="s">
        <v>43</v>
      </c>
      <c r="AA1699" t="s">
        <v>41</v>
      </c>
      <c r="AB1699" t="s">
        <v>52</v>
      </c>
      <c r="AC1699" t="s">
        <v>53</v>
      </c>
      <c r="AF1699" t="s">
        <v>54</v>
      </c>
      <c r="AG1699" s="1">
        <v>43832</v>
      </c>
      <c r="AH1699" t="s">
        <v>42</v>
      </c>
      <c r="AI1699" t="s">
        <v>55</v>
      </c>
      <c r="AJ1699">
        <v>12788092</v>
      </c>
      <c r="AK1699">
        <v>250000</v>
      </c>
      <c r="AL1699">
        <v>1500000</v>
      </c>
    </row>
    <row r="1700" spans="1:38" x14ac:dyDescent="0.25">
      <c r="A1700" t="s">
        <v>181</v>
      </c>
      <c r="B1700" t="s">
        <v>481</v>
      </c>
      <c r="C1700" t="s">
        <v>40</v>
      </c>
      <c r="D1700" s="1">
        <v>42916</v>
      </c>
      <c r="E1700" s="1">
        <v>43280</v>
      </c>
      <c r="F1700" t="s">
        <v>41</v>
      </c>
      <c r="G1700">
        <v>1</v>
      </c>
      <c r="H1700" t="s">
        <v>42</v>
      </c>
      <c r="I1700" t="s">
        <v>43</v>
      </c>
      <c r="J1700" t="s">
        <v>41</v>
      </c>
      <c r="K1700" t="s">
        <v>127</v>
      </c>
      <c r="L1700">
        <v>37754.15</v>
      </c>
      <c r="M1700" s="1">
        <v>43281</v>
      </c>
      <c r="N1700" t="s">
        <v>45</v>
      </c>
      <c r="O1700" t="s">
        <v>46</v>
      </c>
      <c r="P1700" t="s">
        <v>47</v>
      </c>
      <c r="Q1700" s="1">
        <v>43852</v>
      </c>
      <c r="R1700" t="s">
        <v>48</v>
      </c>
      <c r="S1700" t="s">
        <v>60</v>
      </c>
      <c r="T1700" t="s">
        <v>61</v>
      </c>
      <c r="U1700" t="s">
        <v>42</v>
      </c>
      <c r="V1700">
        <v>0</v>
      </c>
      <c r="W1700">
        <v>100000</v>
      </c>
      <c r="X1700" s="1">
        <v>43921</v>
      </c>
      <c r="Y1700" t="s">
        <v>51</v>
      </c>
      <c r="Z1700" t="s">
        <v>43</v>
      </c>
      <c r="AA1700" t="s">
        <v>41</v>
      </c>
      <c r="AB1700" t="s">
        <v>52</v>
      </c>
      <c r="AC1700" t="s">
        <v>53</v>
      </c>
      <c r="AF1700" t="s">
        <v>56</v>
      </c>
      <c r="AG1700" s="1">
        <v>43833</v>
      </c>
      <c r="AH1700" t="s">
        <v>42</v>
      </c>
      <c r="AI1700" t="s">
        <v>55</v>
      </c>
      <c r="AJ1700">
        <v>12788092</v>
      </c>
      <c r="AK1700">
        <v>250000</v>
      </c>
      <c r="AL1700">
        <v>1500000</v>
      </c>
    </row>
    <row r="1701" spans="1:38" x14ac:dyDescent="0.25">
      <c r="A1701" t="s">
        <v>181</v>
      </c>
      <c r="B1701" t="s">
        <v>481</v>
      </c>
      <c r="C1701" t="s">
        <v>40</v>
      </c>
      <c r="D1701" s="1">
        <v>42916</v>
      </c>
      <c r="E1701" s="1">
        <v>43280</v>
      </c>
      <c r="F1701" t="s">
        <v>41</v>
      </c>
      <c r="G1701">
        <v>1</v>
      </c>
      <c r="H1701" t="s">
        <v>42</v>
      </c>
      <c r="I1701" t="s">
        <v>43</v>
      </c>
      <c r="J1701" t="s">
        <v>41</v>
      </c>
      <c r="K1701" t="s">
        <v>127</v>
      </c>
      <c r="L1701">
        <v>37754.15</v>
      </c>
      <c r="M1701" s="1">
        <v>43281</v>
      </c>
      <c r="N1701" t="s">
        <v>45</v>
      </c>
      <c r="O1701" t="s">
        <v>46</v>
      </c>
      <c r="P1701" t="s">
        <v>47</v>
      </c>
      <c r="Q1701" s="1">
        <v>43852</v>
      </c>
      <c r="R1701" t="s">
        <v>48</v>
      </c>
      <c r="S1701" t="s">
        <v>60</v>
      </c>
      <c r="T1701" t="s">
        <v>61</v>
      </c>
      <c r="U1701" t="s">
        <v>42</v>
      </c>
      <c r="V1701">
        <v>0</v>
      </c>
      <c r="W1701">
        <v>100000</v>
      </c>
      <c r="X1701" s="1">
        <v>43921</v>
      </c>
      <c r="Y1701" t="s">
        <v>51</v>
      </c>
      <c r="Z1701" t="s">
        <v>43</v>
      </c>
      <c r="AA1701" t="s">
        <v>41</v>
      </c>
      <c r="AB1701" t="s">
        <v>52</v>
      </c>
      <c r="AC1701" t="s">
        <v>53</v>
      </c>
      <c r="AF1701" t="s">
        <v>57</v>
      </c>
      <c r="AG1701" s="1">
        <v>43836</v>
      </c>
      <c r="AH1701" t="s">
        <v>42</v>
      </c>
      <c r="AI1701" t="s">
        <v>55</v>
      </c>
      <c r="AJ1701">
        <v>12788092</v>
      </c>
      <c r="AK1701">
        <v>250000</v>
      </c>
      <c r="AL1701">
        <v>1500000</v>
      </c>
    </row>
    <row r="1702" spans="1:38" x14ac:dyDescent="0.25">
      <c r="A1702" t="s">
        <v>181</v>
      </c>
      <c r="B1702" t="s">
        <v>481</v>
      </c>
      <c r="C1702" t="s">
        <v>40</v>
      </c>
      <c r="D1702" s="1">
        <v>42916</v>
      </c>
      <c r="E1702" s="1">
        <v>43280</v>
      </c>
      <c r="F1702" t="s">
        <v>41</v>
      </c>
      <c r="G1702">
        <v>1</v>
      </c>
      <c r="H1702" t="s">
        <v>42</v>
      </c>
      <c r="I1702" t="s">
        <v>43</v>
      </c>
      <c r="J1702" t="s">
        <v>41</v>
      </c>
      <c r="K1702" t="s">
        <v>127</v>
      </c>
      <c r="L1702">
        <v>37754.15</v>
      </c>
      <c r="M1702" s="1">
        <v>43281</v>
      </c>
      <c r="N1702" t="s">
        <v>45</v>
      </c>
      <c r="O1702" t="s">
        <v>46</v>
      </c>
      <c r="P1702" t="s">
        <v>47</v>
      </c>
      <c r="Q1702" s="1">
        <v>43852</v>
      </c>
      <c r="R1702" t="s">
        <v>48</v>
      </c>
      <c r="S1702" t="s">
        <v>60</v>
      </c>
      <c r="T1702" t="s">
        <v>61</v>
      </c>
      <c r="U1702" t="s">
        <v>42</v>
      </c>
      <c r="V1702">
        <v>0</v>
      </c>
      <c r="W1702">
        <v>100000</v>
      </c>
      <c r="X1702" s="1">
        <v>43921</v>
      </c>
      <c r="Y1702" t="s">
        <v>51</v>
      </c>
      <c r="Z1702" t="s">
        <v>43</v>
      </c>
      <c r="AA1702" t="s">
        <v>41</v>
      </c>
      <c r="AB1702" t="s">
        <v>52</v>
      </c>
      <c r="AC1702" t="s">
        <v>53</v>
      </c>
      <c r="AF1702" t="s">
        <v>58</v>
      </c>
      <c r="AG1702" s="1">
        <v>43837</v>
      </c>
      <c r="AH1702" t="s">
        <v>42</v>
      </c>
      <c r="AI1702" t="s">
        <v>55</v>
      </c>
      <c r="AJ1702">
        <v>12788092</v>
      </c>
      <c r="AK1702">
        <v>250000</v>
      </c>
      <c r="AL1702">
        <v>1500000</v>
      </c>
    </row>
    <row r="1703" spans="1:38" x14ac:dyDescent="0.25">
      <c r="A1703" t="s">
        <v>181</v>
      </c>
      <c r="B1703" t="s">
        <v>481</v>
      </c>
      <c r="C1703" t="s">
        <v>40</v>
      </c>
      <c r="D1703" s="1">
        <v>42916</v>
      </c>
      <c r="E1703" s="1">
        <v>43280</v>
      </c>
      <c r="F1703" t="s">
        <v>41</v>
      </c>
      <c r="G1703">
        <v>1</v>
      </c>
      <c r="H1703" t="s">
        <v>42</v>
      </c>
      <c r="I1703" t="s">
        <v>43</v>
      </c>
      <c r="J1703" t="s">
        <v>41</v>
      </c>
      <c r="K1703" t="s">
        <v>127</v>
      </c>
      <c r="L1703">
        <v>37754.15</v>
      </c>
      <c r="M1703" s="1">
        <v>43281</v>
      </c>
      <c r="N1703" t="s">
        <v>45</v>
      </c>
      <c r="O1703" t="s">
        <v>46</v>
      </c>
      <c r="P1703" t="s">
        <v>47</v>
      </c>
      <c r="Q1703" s="1">
        <v>43852</v>
      </c>
      <c r="R1703" t="s">
        <v>48</v>
      </c>
      <c r="S1703" t="s">
        <v>60</v>
      </c>
      <c r="T1703" t="s">
        <v>61</v>
      </c>
      <c r="U1703" t="s">
        <v>42</v>
      </c>
      <c r="V1703">
        <v>0</v>
      </c>
      <c r="W1703">
        <v>100000</v>
      </c>
      <c r="X1703" s="1">
        <v>43921</v>
      </c>
      <c r="Y1703" t="s">
        <v>51</v>
      </c>
      <c r="Z1703" t="s">
        <v>43</v>
      </c>
      <c r="AA1703" t="s">
        <v>41</v>
      </c>
      <c r="AB1703" t="s">
        <v>52</v>
      </c>
      <c r="AC1703" t="s">
        <v>53</v>
      </c>
      <c r="AF1703" t="s">
        <v>59</v>
      </c>
      <c r="AG1703" s="1">
        <v>43838</v>
      </c>
      <c r="AH1703" t="s">
        <v>42</v>
      </c>
      <c r="AI1703" t="s">
        <v>55</v>
      </c>
      <c r="AJ1703">
        <v>12788092</v>
      </c>
      <c r="AK1703">
        <v>250000</v>
      </c>
      <c r="AL1703">
        <v>1500000</v>
      </c>
    </row>
    <row r="1704" spans="1:38" x14ac:dyDescent="0.25">
      <c r="A1704" t="s">
        <v>181</v>
      </c>
      <c r="B1704" t="s">
        <v>481</v>
      </c>
      <c r="C1704" t="s">
        <v>40</v>
      </c>
      <c r="D1704" s="1">
        <v>42916</v>
      </c>
      <c r="E1704" s="1">
        <v>43280</v>
      </c>
      <c r="F1704" t="s">
        <v>41</v>
      </c>
      <c r="G1704">
        <v>1</v>
      </c>
      <c r="H1704" t="s">
        <v>42</v>
      </c>
      <c r="I1704" t="s">
        <v>43</v>
      </c>
      <c r="J1704" t="s">
        <v>41</v>
      </c>
      <c r="K1704" t="s">
        <v>127</v>
      </c>
      <c r="L1704">
        <v>37754.15</v>
      </c>
      <c r="M1704" s="1">
        <v>43281</v>
      </c>
      <c r="N1704" t="s">
        <v>45</v>
      </c>
      <c r="O1704" t="s">
        <v>46</v>
      </c>
      <c r="P1704" t="s">
        <v>47</v>
      </c>
      <c r="Q1704" s="1">
        <v>43852</v>
      </c>
      <c r="R1704" t="s">
        <v>48</v>
      </c>
      <c r="S1704" t="s">
        <v>62</v>
      </c>
      <c r="T1704" t="s">
        <v>63</v>
      </c>
      <c r="U1704" t="s">
        <v>42</v>
      </c>
      <c r="V1704">
        <v>0</v>
      </c>
      <c r="W1704">
        <v>100000</v>
      </c>
      <c r="X1704" s="1">
        <v>43982</v>
      </c>
      <c r="Y1704" t="s">
        <v>51</v>
      </c>
      <c r="Z1704" t="s">
        <v>43</v>
      </c>
      <c r="AA1704" t="s">
        <v>41</v>
      </c>
      <c r="AB1704" t="s">
        <v>52</v>
      </c>
      <c r="AC1704" t="s">
        <v>53</v>
      </c>
      <c r="AF1704" t="s">
        <v>54</v>
      </c>
      <c r="AG1704" s="1">
        <v>43832</v>
      </c>
      <c r="AH1704" t="s">
        <v>42</v>
      </c>
      <c r="AI1704" t="s">
        <v>55</v>
      </c>
      <c r="AJ1704">
        <v>12788092</v>
      </c>
      <c r="AK1704">
        <v>250000</v>
      </c>
      <c r="AL1704">
        <v>1500000</v>
      </c>
    </row>
    <row r="1705" spans="1:38" x14ac:dyDescent="0.25">
      <c r="A1705" t="s">
        <v>181</v>
      </c>
      <c r="B1705" t="s">
        <v>481</v>
      </c>
      <c r="C1705" t="s">
        <v>40</v>
      </c>
      <c r="D1705" s="1">
        <v>42916</v>
      </c>
      <c r="E1705" s="1">
        <v>43280</v>
      </c>
      <c r="F1705" t="s">
        <v>41</v>
      </c>
      <c r="G1705">
        <v>1</v>
      </c>
      <c r="H1705" t="s">
        <v>42</v>
      </c>
      <c r="I1705" t="s">
        <v>43</v>
      </c>
      <c r="J1705" t="s">
        <v>41</v>
      </c>
      <c r="K1705" t="s">
        <v>127</v>
      </c>
      <c r="L1705">
        <v>37754.15</v>
      </c>
      <c r="M1705" s="1">
        <v>43281</v>
      </c>
      <c r="N1705" t="s">
        <v>45</v>
      </c>
      <c r="O1705" t="s">
        <v>46</v>
      </c>
      <c r="P1705" t="s">
        <v>47</v>
      </c>
      <c r="Q1705" s="1">
        <v>43852</v>
      </c>
      <c r="R1705" t="s">
        <v>48</v>
      </c>
      <c r="S1705" t="s">
        <v>62</v>
      </c>
      <c r="T1705" t="s">
        <v>63</v>
      </c>
      <c r="U1705" t="s">
        <v>42</v>
      </c>
      <c r="V1705">
        <v>0</v>
      </c>
      <c r="W1705">
        <v>100000</v>
      </c>
      <c r="X1705" s="1">
        <v>43982</v>
      </c>
      <c r="Y1705" t="s">
        <v>51</v>
      </c>
      <c r="Z1705" t="s">
        <v>43</v>
      </c>
      <c r="AA1705" t="s">
        <v>41</v>
      </c>
      <c r="AB1705" t="s">
        <v>52</v>
      </c>
      <c r="AC1705" t="s">
        <v>53</v>
      </c>
      <c r="AF1705" t="s">
        <v>56</v>
      </c>
      <c r="AG1705" s="1">
        <v>43833</v>
      </c>
      <c r="AH1705" t="s">
        <v>42</v>
      </c>
      <c r="AI1705" t="s">
        <v>55</v>
      </c>
      <c r="AJ1705">
        <v>12788092</v>
      </c>
      <c r="AK1705">
        <v>250000</v>
      </c>
      <c r="AL1705">
        <v>1500000</v>
      </c>
    </row>
    <row r="1706" spans="1:38" x14ac:dyDescent="0.25">
      <c r="A1706" t="s">
        <v>181</v>
      </c>
      <c r="B1706" t="s">
        <v>481</v>
      </c>
      <c r="C1706" t="s">
        <v>40</v>
      </c>
      <c r="D1706" s="1">
        <v>42916</v>
      </c>
      <c r="E1706" s="1">
        <v>43280</v>
      </c>
      <c r="F1706" t="s">
        <v>41</v>
      </c>
      <c r="G1706">
        <v>1</v>
      </c>
      <c r="H1706" t="s">
        <v>42</v>
      </c>
      <c r="I1706" t="s">
        <v>43</v>
      </c>
      <c r="J1706" t="s">
        <v>41</v>
      </c>
      <c r="K1706" t="s">
        <v>127</v>
      </c>
      <c r="L1706">
        <v>37754.15</v>
      </c>
      <c r="M1706" s="1">
        <v>43281</v>
      </c>
      <c r="N1706" t="s">
        <v>45</v>
      </c>
      <c r="O1706" t="s">
        <v>46</v>
      </c>
      <c r="P1706" t="s">
        <v>47</v>
      </c>
      <c r="Q1706" s="1">
        <v>43852</v>
      </c>
      <c r="R1706" t="s">
        <v>48</v>
      </c>
      <c r="S1706" t="s">
        <v>62</v>
      </c>
      <c r="T1706" t="s">
        <v>63</v>
      </c>
      <c r="U1706" t="s">
        <v>42</v>
      </c>
      <c r="V1706">
        <v>0</v>
      </c>
      <c r="W1706">
        <v>100000</v>
      </c>
      <c r="X1706" s="1">
        <v>43982</v>
      </c>
      <c r="Y1706" t="s">
        <v>51</v>
      </c>
      <c r="Z1706" t="s">
        <v>43</v>
      </c>
      <c r="AA1706" t="s">
        <v>41</v>
      </c>
      <c r="AB1706" t="s">
        <v>52</v>
      </c>
      <c r="AC1706" t="s">
        <v>53</v>
      </c>
      <c r="AF1706" t="s">
        <v>57</v>
      </c>
      <c r="AG1706" s="1">
        <v>43836</v>
      </c>
      <c r="AH1706" t="s">
        <v>42</v>
      </c>
      <c r="AI1706" t="s">
        <v>55</v>
      </c>
      <c r="AJ1706">
        <v>12788092</v>
      </c>
      <c r="AK1706">
        <v>250000</v>
      </c>
      <c r="AL1706">
        <v>1500000</v>
      </c>
    </row>
    <row r="1707" spans="1:38" x14ac:dyDescent="0.25">
      <c r="A1707" t="s">
        <v>181</v>
      </c>
      <c r="B1707" t="s">
        <v>481</v>
      </c>
      <c r="C1707" t="s">
        <v>40</v>
      </c>
      <c r="D1707" s="1">
        <v>42916</v>
      </c>
      <c r="E1707" s="1">
        <v>43280</v>
      </c>
      <c r="F1707" t="s">
        <v>41</v>
      </c>
      <c r="G1707">
        <v>1</v>
      </c>
      <c r="H1707" t="s">
        <v>42</v>
      </c>
      <c r="I1707" t="s">
        <v>43</v>
      </c>
      <c r="J1707" t="s">
        <v>41</v>
      </c>
      <c r="K1707" t="s">
        <v>127</v>
      </c>
      <c r="L1707">
        <v>37754.15</v>
      </c>
      <c r="M1707" s="1">
        <v>43281</v>
      </c>
      <c r="N1707" t="s">
        <v>45</v>
      </c>
      <c r="O1707" t="s">
        <v>46</v>
      </c>
      <c r="P1707" t="s">
        <v>47</v>
      </c>
      <c r="Q1707" s="1">
        <v>43852</v>
      </c>
      <c r="R1707" t="s">
        <v>48</v>
      </c>
      <c r="S1707" t="s">
        <v>62</v>
      </c>
      <c r="T1707" t="s">
        <v>63</v>
      </c>
      <c r="U1707" t="s">
        <v>42</v>
      </c>
      <c r="V1707">
        <v>0</v>
      </c>
      <c r="W1707">
        <v>100000</v>
      </c>
      <c r="X1707" s="1">
        <v>43982</v>
      </c>
      <c r="Y1707" t="s">
        <v>51</v>
      </c>
      <c r="Z1707" t="s">
        <v>43</v>
      </c>
      <c r="AA1707" t="s">
        <v>41</v>
      </c>
      <c r="AB1707" t="s">
        <v>52</v>
      </c>
      <c r="AC1707" t="s">
        <v>53</v>
      </c>
      <c r="AF1707" t="s">
        <v>58</v>
      </c>
      <c r="AG1707" s="1">
        <v>43837</v>
      </c>
      <c r="AH1707" t="s">
        <v>42</v>
      </c>
      <c r="AI1707" t="s">
        <v>55</v>
      </c>
      <c r="AJ1707">
        <v>12788092</v>
      </c>
      <c r="AK1707">
        <v>250000</v>
      </c>
      <c r="AL1707">
        <v>1500000</v>
      </c>
    </row>
    <row r="1708" spans="1:38" x14ac:dyDescent="0.25">
      <c r="A1708" t="s">
        <v>181</v>
      </c>
      <c r="B1708" t="s">
        <v>481</v>
      </c>
      <c r="C1708" t="s">
        <v>40</v>
      </c>
      <c r="D1708" s="1">
        <v>42916</v>
      </c>
      <c r="E1708" s="1">
        <v>43280</v>
      </c>
      <c r="F1708" t="s">
        <v>41</v>
      </c>
      <c r="G1708">
        <v>1</v>
      </c>
      <c r="H1708" t="s">
        <v>42</v>
      </c>
      <c r="I1708" t="s">
        <v>43</v>
      </c>
      <c r="J1708" t="s">
        <v>41</v>
      </c>
      <c r="K1708" t="s">
        <v>127</v>
      </c>
      <c r="L1708">
        <v>37754.15</v>
      </c>
      <c r="M1708" s="1">
        <v>43281</v>
      </c>
      <c r="N1708" t="s">
        <v>45</v>
      </c>
      <c r="O1708" t="s">
        <v>46</v>
      </c>
      <c r="P1708" t="s">
        <v>47</v>
      </c>
      <c r="Q1708" s="1">
        <v>43852</v>
      </c>
      <c r="R1708" t="s">
        <v>48</v>
      </c>
      <c r="S1708" t="s">
        <v>62</v>
      </c>
      <c r="T1708" t="s">
        <v>63</v>
      </c>
      <c r="U1708" t="s">
        <v>42</v>
      </c>
      <c r="V1708">
        <v>0</v>
      </c>
      <c r="W1708">
        <v>100000</v>
      </c>
      <c r="X1708" s="1">
        <v>43982</v>
      </c>
      <c r="Y1708" t="s">
        <v>51</v>
      </c>
      <c r="Z1708" t="s">
        <v>43</v>
      </c>
      <c r="AA1708" t="s">
        <v>41</v>
      </c>
      <c r="AB1708" t="s">
        <v>52</v>
      </c>
      <c r="AC1708" t="s">
        <v>53</v>
      </c>
      <c r="AF1708" t="s">
        <v>59</v>
      </c>
      <c r="AG1708" s="1">
        <v>43838</v>
      </c>
      <c r="AH1708" t="s">
        <v>42</v>
      </c>
      <c r="AI1708" t="s">
        <v>55</v>
      </c>
      <c r="AJ1708">
        <v>12788092</v>
      </c>
      <c r="AK1708">
        <v>250000</v>
      </c>
      <c r="AL1708">
        <v>1500000</v>
      </c>
    </row>
    <row r="1709" spans="1:38" x14ac:dyDescent="0.25">
      <c r="A1709" t="s">
        <v>181</v>
      </c>
      <c r="B1709" t="s">
        <v>481</v>
      </c>
      <c r="C1709" t="s">
        <v>40</v>
      </c>
      <c r="D1709" s="1">
        <v>42916</v>
      </c>
      <c r="E1709" s="1">
        <v>43280</v>
      </c>
      <c r="F1709" t="s">
        <v>41</v>
      </c>
      <c r="G1709">
        <v>1</v>
      </c>
      <c r="H1709" t="s">
        <v>42</v>
      </c>
      <c r="I1709" t="s">
        <v>43</v>
      </c>
      <c r="J1709" t="s">
        <v>41</v>
      </c>
      <c r="K1709" t="s">
        <v>127</v>
      </c>
      <c r="L1709">
        <v>37754.15</v>
      </c>
      <c r="M1709" s="1">
        <v>43281</v>
      </c>
      <c r="N1709" t="s">
        <v>45</v>
      </c>
      <c r="O1709" t="s">
        <v>46</v>
      </c>
      <c r="P1709" t="s">
        <v>47</v>
      </c>
      <c r="Q1709" s="1">
        <v>43852</v>
      </c>
      <c r="R1709" t="s">
        <v>48</v>
      </c>
      <c r="S1709" t="s">
        <v>64</v>
      </c>
      <c r="T1709" t="s">
        <v>65</v>
      </c>
      <c r="U1709" t="s">
        <v>42</v>
      </c>
      <c r="V1709">
        <v>0</v>
      </c>
      <c r="W1709">
        <v>100000</v>
      </c>
      <c r="X1709" s="1">
        <v>43921</v>
      </c>
      <c r="Y1709" t="s">
        <v>51</v>
      </c>
      <c r="Z1709" t="s">
        <v>43</v>
      </c>
      <c r="AA1709" t="s">
        <v>41</v>
      </c>
      <c r="AB1709" t="s">
        <v>52</v>
      </c>
      <c r="AC1709" t="s">
        <v>53</v>
      </c>
      <c r="AF1709" t="s">
        <v>54</v>
      </c>
      <c r="AG1709" s="1">
        <v>43832</v>
      </c>
      <c r="AH1709" t="s">
        <v>42</v>
      </c>
      <c r="AI1709" t="s">
        <v>55</v>
      </c>
      <c r="AJ1709">
        <v>12788092</v>
      </c>
      <c r="AK1709">
        <v>250000</v>
      </c>
      <c r="AL1709">
        <v>1500000</v>
      </c>
    </row>
    <row r="1710" spans="1:38" x14ac:dyDescent="0.25">
      <c r="A1710" t="s">
        <v>181</v>
      </c>
      <c r="B1710" t="s">
        <v>481</v>
      </c>
      <c r="C1710" t="s">
        <v>40</v>
      </c>
      <c r="D1710" s="1">
        <v>42916</v>
      </c>
      <c r="E1710" s="1">
        <v>43280</v>
      </c>
      <c r="F1710" t="s">
        <v>41</v>
      </c>
      <c r="G1710">
        <v>1</v>
      </c>
      <c r="H1710" t="s">
        <v>42</v>
      </c>
      <c r="I1710" t="s">
        <v>43</v>
      </c>
      <c r="J1710" t="s">
        <v>41</v>
      </c>
      <c r="K1710" t="s">
        <v>127</v>
      </c>
      <c r="L1710">
        <v>37754.15</v>
      </c>
      <c r="M1710" s="1">
        <v>43281</v>
      </c>
      <c r="N1710" t="s">
        <v>45</v>
      </c>
      <c r="O1710" t="s">
        <v>46</v>
      </c>
      <c r="P1710" t="s">
        <v>47</v>
      </c>
      <c r="Q1710" s="1">
        <v>43852</v>
      </c>
      <c r="R1710" t="s">
        <v>48</v>
      </c>
      <c r="S1710" t="s">
        <v>64</v>
      </c>
      <c r="T1710" t="s">
        <v>65</v>
      </c>
      <c r="U1710" t="s">
        <v>42</v>
      </c>
      <c r="V1710">
        <v>0</v>
      </c>
      <c r="W1710">
        <v>100000</v>
      </c>
      <c r="X1710" s="1">
        <v>43921</v>
      </c>
      <c r="Y1710" t="s">
        <v>51</v>
      </c>
      <c r="Z1710" t="s">
        <v>43</v>
      </c>
      <c r="AA1710" t="s">
        <v>41</v>
      </c>
      <c r="AB1710" t="s">
        <v>52</v>
      </c>
      <c r="AC1710" t="s">
        <v>53</v>
      </c>
      <c r="AF1710" t="s">
        <v>56</v>
      </c>
      <c r="AG1710" s="1">
        <v>43833</v>
      </c>
      <c r="AH1710" t="s">
        <v>42</v>
      </c>
      <c r="AI1710" t="s">
        <v>55</v>
      </c>
      <c r="AJ1710">
        <v>12788092</v>
      </c>
      <c r="AK1710">
        <v>250000</v>
      </c>
      <c r="AL1710">
        <v>1500000</v>
      </c>
    </row>
    <row r="1711" spans="1:38" x14ac:dyDescent="0.25">
      <c r="A1711" t="s">
        <v>181</v>
      </c>
      <c r="B1711" t="s">
        <v>481</v>
      </c>
      <c r="C1711" t="s">
        <v>40</v>
      </c>
      <c r="D1711" s="1">
        <v>42916</v>
      </c>
      <c r="E1711" s="1">
        <v>43280</v>
      </c>
      <c r="F1711" t="s">
        <v>41</v>
      </c>
      <c r="G1711">
        <v>1</v>
      </c>
      <c r="H1711" t="s">
        <v>42</v>
      </c>
      <c r="I1711" t="s">
        <v>43</v>
      </c>
      <c r="J1711" t="s">
        <v>41</v>
      </c>
      <c r="K1711" t="s">
        <v>127</v>
      </c>
      <c r="L1711">
        <v>37754.15</v>
      </c>
      <c r="M1711" s="1">
        <v>43281</v>
      </c>
      <c r="N1711" t="s">
        <v>45</v>
      </c>
      <c r="O1711" t="s">
        <v>46</v>
      </c>
      <c r="P1711" t="s">
        <v>47</v>
      </c>
      <c r="Q1711" s="1">
        <v>43852</v>
      </c>
      <c r="R1711" t="s">
        <v>48</v>
      </c>
      <c r="S1711" t="s">
        <v>64</v>
      </c>
      <c r="T1711" t="s">
        <v>65</v>
      </c>
      <c r="U1711" t="s">
        <v>42</v>
      </c>
      <c r="V1711">
        <v>0</v>
      </c>
      <c r="W1711">
        <v>100000</v>
      </c>
      <c r="X1711" s="1">
        <v>43921</v>
      </c>
      <c r="Y1711" t="s">
        <v>51</v>
      </c>
      <c r="Z1711" t="s">
        <v>43</v>
      </c>
      <c r="AA1711" t="s">
        <v>41</v>
      </c>
      <c r="AB1711" t="s">
        <v>52</v>
      </c>
      <c r="AC1711" t="s">
        <v>53</v>
      </c>
      <c r="AF1711" t="s">
        <v>57</v>
      </c>
      <c r="AG1711" s="1">
        <v>43836</v>
      </c>
      <c r="AH1711" t="s">
        <v>42</v>
      </c>
      <c r="AI1711" t="s">
        <v>55</v>
      </c>
      <c r="AJ1711">
        <v>12788092</v>
      </c>
      <c r="AK1711">
        <v>250000</v>
      </c>
      <c r="AL1711">
        <v>1500000</v>
      </c>
    </row>
    <row r="1712" spans="1:38" x14ac:dyDescent="0.25">
      <c r="A1712" t="s">
        <v>181</v>
      </c>
      <c r="B1712" t="s">
        <v>481</v>
      </c>
      <c r="C1712" t="s">
        <v>40</v>
      </c>
      <c r="D1712" s="1">
        <v>42916</v>
      </c>
      <c r="E1712" s="1">
        <v>43280</v>
      </c>
      <c r="F1712" t="s">
        <v>41</v>
      </c>
      <c r="G1712">
        <v>1</v>
      </c>
      <c r="H1712" t="s">
        <v>42</v>
      </c>
      <c r="I1712" t="s">
        <v>43</v>
      </c>
      <c r="J1712" t="s">
        <v>41</v>
      </c>
      <c r="K1712" t="s">
        <v>127</v>
      </c>
      <c r="L1712">
        <v>37754.15</v>
      </c>
      <c r="M1712" s="1">
        <v>43281</v>
      </c>
      <c r="N1712" t="s">
        <v>45</v>
      </c>
      <c r="O1712" t="s">
        <v>46</v>
      </c>
      <c r="P1712" t="s">
        <v>47</v>
      </c>
      <c r="Q1712" s="1">
        <v>43852</v>
      </c>
      <c r="R1712" t="s">
        <v>48</v>
      </c>
      <c r="S1712" t="s">
        <v>64</v>
      </c>
      <c r="T1712" t="s">
        <v>65</v>
      </c>
      <c r="U1712" t="s">
        <v>42</v>
      </c>
      <c r="V1712">
        <v>0</v>
      </c>
      <c r="W1712">
        <v>100000</v>
      </c>
      <c r="X1712" s="1">
        <v>43921</v>
      </c>
      <c r="Y1712" t="s">
        <v>51</v>
      </c>
      <c r="Z1712" t="s">
        <v>43</v>
      </c>
      <c r="AA1712" t="s">
        <v>41</v>
      </c>
      <c r="AB1712" t="s">
        <v>52</v>
      </c>
      <c r="AC1712" t="s">
        <v>53</v>
      </c>
      <c r="AF1712" t="s">
        <v>58</v>
      </c>
      <c r="AG1712" s="1">
        <v>43837</v>
      </c>
      <c r="AH1712" t="s">
        <v>42</v>
      </c>
      <c r="AI1712" t="s">
        <v>55</v>
      </c>
      <c r="AJ1712">
        <v>12788092</v>
      </c>
      <c r="AK1712">
        <v>250000</v>
      </c>
      <c r="AL1712">
        <v>1500000</v>
      </c>
    </row>
    <row r="1713" spans="1:38" x14ac:dyDescent="0.25">
      <c r="A1713" t="s">
        <v>181</v>
      </c>
      <c r="B1713" t="s">
        <v>481</v>
      </c>
      <c r="C1713" t="s">
        <v>40</v>
      </c>
      <c r="D1713" s="1">
        <v>42916</v>
      </c>
      <c r="E1713" s="1">
        <v>43280</v>
      </c>
      <c r="F1713" t="s">
        <v>41</v>
      </c>
      <c r="G1713">
        <v>1</v>
      </c>
      <c r="H1713" t="s">
        <v>42</v>
      </c>
      <c r="I1713" t="s">
        <v>43</v>
      </c>
      <c r="J1713" t="s">
        <v>41</v>
      </c>
      <c r="K1713" t="s">
        <v>127</v>
      </c>
      <c r="L1713">
        <v>37754.15</v>
      </c>
      <c r="M1713" s="1">
        <v>43281</v>
      </c>
      <c r="N1713" t="s">
        <v>45</v>
      </c>
      <c r="O1713" t="s">
        <v>46</v>
      </c>
      <c r="P1713" t="s">
        <v>47</v>
      </c>
      <c r="Q1713" s="1">
        <v>43852</v>
      </c>
      <c r="R1713" t="s">
        <v>48</v>
      </c>
      <c r="S1713" t="s">
        <v>64</v>
      </c>
      <c r="T1713" t="s">
        <v>65</v>
      </c>
      <c r="U1713" t="s">
        <v>42</v>
      </c>
      <c r="V1713">
        <v>0</v>
      </c>
      <c r="W1713">
        <v>100000</v>
      </c>
      <c r="X1713" s="1">
        <v>43921</v>
      </c>
      <c r="Y1713" t="s">
        <v>51</v>
      </c>
      <c r="Z1713" t="s">
        <v>43</v>
      </c>
      <c r="AA1713" t="s">
        <v>41</v>
      </c>
      <c r="AB1713" t="s">
        <v>52</v>
      </c>
      <c r="AC1713" t="s">
        <v>53</v>
      </c>
      <c r="AF1713" t="s">
        <v>59</v>
      </c>
      <c r="AG1713" s="1">
        <v>43838</v>
      </c>
      <c r="AH1713" t="s">
        <v>42</v>
      </c>
      <c r="AI1713" t="s">
        <v>55</v>
      </c>
      <c r="AJ1713">
        <v>12788092</v>
      </c>
      <c r="AK1713">
        <v>250000</v>
      </c>
      <c r="AL1713">
        <v>1500000</v>
      </c>
    </row>
    <row r="1714" spans="1:38" x14ac:dyDescent="0.25">
      <c r="A1714" t="s">
        <v>183</v>
      </c>
      <c r="B1714" t="s">
        <v>482</v>
      </c>
      <c r="C1714" t="s">
        <v>40</v>
      </c>
      <c r="D1714" s="1">
        <v>43709</v>
      </c>
      <c r="E1714" s="1">
        <v>44074</v>
      </c>
      <c r="F1714" t="s">
        <v>72</v>
      </c>
      <c r="G1714">
        <v>1</v>
      </c>
      <c r="H1714" t="s">
        <v>42</v>
      </c>
      <c r="I1714" t="s">
        <v>43</v>
      </c>
      <c r="J1714" t="s">
        <v>115</v>
      </c>
      <c r="K1714" t="s">
        <v>44</v>
      </c>
      <c r="L1714">
        <v>48325.760000000002</v>
      </c>
      <c r="M1714" s="1">
        <v>43709</v>
      </c>
      <c r="N1714" t="s">
        <v>45</v>
      </c>
      <c r="O1714" t="s">
        <v>44</v>
      </c>
      <c r="P1714" t="s">
        <v>47</v>
      </c>
      <c r="Q1714" s="1">
        <v>43852</v>
      </c>
      <c r="R1714" t="s">
        <v>48</v>
      </c>
    </row>
    <row r="1715" spans="1:38" x14ac:dyDescent="0.25">
      <c r="A1715" t="s">
        <v>185</v>
      </c>
      <c r="B1715" s="2">
        <v>3.10304E+17</v>
      </c>
      <c r="C1715" t="s">
        <v>40</v>
      </c>
      <c r="D1715" s="1">
        <v>43344</v>
      </c>
      <c r="E1715" s="1">
        <v>43708</v>
      </c>
      <c r="F1715" t="s">
        <v>72</v>
      </c>
      <c r="G1715">
        <v>1</v>
      </c>
      <c r="H1715" t="s">
        <v>42</v>
      </c>
      <c r="I1715" t="s">
        <v>43</v>
      </c>
      <c r="J1715" t="s">
        <v>115</v>
      </c>
      <c r="K1715" t="s">
        <v>44</v>
      </c>
      <c r="L1715">
        <v>5763.57</v>
      </c>
      <c r="M1715" s="1">
        <v>43344</v>
      </c>
      <c r="N1715" t="s">
        <v>45</v>
      </c>
      <c r="O1715" t="s">
        <v>46</v>
      </c>
      <c r="P1715" t="s">
        <v>47</v>
      </c>
      <c r="Q1715" s="1">
        <v>43852</v>
      </c>
      <c r="R1715" t="s">
        <v>48</v>
      </c>
    </row>
    <row r="1716" spans="1:38" x14ac:dyDescent="0.25">
      <c r="A1716" t="s">
        <v>186</v>
      </c>
      <c r="B1716" s="2">
        <v>3.10304E+17</v>
      </c>
      <c r="C1716" t="s">
        <v>71</v>
      </c>
      <c r="D1716" s="1">
        <v>43344</v>
      </c>
      <c r="E1716" s="1">
        <v>43708</v>
      </c>
      <c r="F1716" t="s">
        <v>72</v>
      </c>
      <c r="G1716">
        <v>1</v>
      </c>
      <c r="H1716" t="s">
        <v>42</v>
      </c>
      <c r="I1716" t="s">
        <v>43</v>
      </c>
      <c r="J1716" t="s">
        <v>115</v>
      </c>
      <c r="K1716" t="s">
        <v>44</v>
      </c>
      <c r="L1716">
        <v>5721.71</v>
      </c>
      <c r="M1716" s="1">
        <v>43344</v>
      </c>
      <c r="N1716" t="s">
        <v>45</v>
      </c>
      <c r="O1716" t="s">
        <v>46</v>
      </c>
      <c r="P1716" t="s">
        <v>47</v>
      </c>
      <c r="Q1716" s="1">
        <v>43852</v>
      </c>
      <c r="R1716" t="s">
        <v>48</v>
      </c>
    </row>
    <row r="1717" spans="1:38" x14ac:dyDescent="0.25">
      <c r="A1717" t="s">
        <v>188</v>
      </c>
      <c r="B1717" t="s">
        <v>483</v>
      </c>
      <c r="C1717" t="s">
        <v>71</v>
      </c>
      <c r="D1717" s="1">
        <v>43281</v>
      </c>
      <c r="E1717" s="1">
        <v>43645</v>
      </c>
      <c r="F1717" t="s">
        <v>41</v>
      </c>
      <c r="G1717">
        <v>5</v>
      </c>
      <c r="H1717" t="s">
        <v>219</v>
      </c>
      <c r="I1717" t="s">
        <v>43</v>
      </c>
      <c r="J1717" t="s">
        <v>41</v>
      </c>
      <c r="K1717" t="s">
        <v>44</v>
      </c>
      <c r="L1717">
        <v>50101.73</v>
      </c>
      <c r="M1717" s="1">
        <v>43281</v>
      </c>
      <c r="N1717" t="s">
        <v>45</v>
      </c>
      <c r="O1717" t="s">
        <v>46</v>
      </c>
      <c r="P1717" t="s">
        <v>47</v>
      </c>
      <c r="Q1717" s="1">
        <v>43852</v>
      </c>
      <c r="R1717" t="s">
        <v>48</v>
      </c>
    </row>
    <row r="1718" spans="1:38" x14ac:dyDescent="0.25">
      <c r="A1718" t="s">
        <v>189</v>
      </c>
      <c r="B1718" t="s">
        <v>484</v>
      </c>
      <c r="C1718" t="s">
        <v>71</v>
      </c>
      <c r="D1718" s="1">
        <v>43112</v>
      </c>
      <c r="E1718" s="1">
        <v>43476</v>
      </c>
      <c r="F1718" t="s">
        <v>76</v>
      </c>
      <c r="G1718">
        <v>1</v>
      </c>
      <c r="H1718" t="s">
        <v>42</v>
      </c>
      <c r="I1718" t="s">
        <v>43</v>
      </c>
      <c r="J1718" t="s">
        <v>485</v>
      </c>
      <c r="K1718" t="s">
        <v>44</v>
      </c>
      <c r="L1718">
        <v>2940.49</v>
      </c>
      <c r="M1718" s="1">
        <v>43112</v>
      </c>
      <c r="N1718" t="s">
        <v>45</v>
      </c>
      <c r="O1718" t="s">
        <v>361</v>
      </c>
      <c r="P1718" t="s">
        <v>47</v>
      </c>
      <c r="Q1718" s="1">
        <v>43852</v>
      </c>
      <c r="R1718" t="s">
        <v>48</v>
      </c>
      <c r="S1718" t="s">
        <v>78</v>
      </c>
      <c r="T1718" t="s">
        <v>79</v>
      </c>
      <c r="U1718" t="s">
        <v>42</v>
      </c>
      <c r="V1718">
        <v>1200000</v>
      </c>
      <c r="W1718">
        <v>100000</v>
      </c>
      <c r="X1718" s="1">
        <v>43921</v>
      </c>
      <c r="Y1718" t="s">
        <v>51</v>
      </c>
      <c r="Z1718" t="s">
        <v>43</v>
      </c>
      <c r="AA1718" t="s">
        <v>80</v>
      </c>
      <c r="AB1718" t="s">
        <v>76</v>
      </c>
      <c r="AC1718" t="s">
        <v>81</v>
      </c>
      <c r="AF1718" t="s">
        <v>54</v>
      </c>
      <c r="AG1718" s="1">
        <v>43832</v>
      </c>
      <c r="AH1718" t="s">
        <v>42</v>
      </c>
      <c r="AI1718" t="s">
        <v>55</v>
      </c>
      <c r="AJ1718">
        <v>12788092</v>
      </c>
      <c r="AK1718">
        <v>250000</v>
      </c>
      <c r="AL1718">
        <v>1500000</v>
      </c>
    </row>
    <row r="1719" spans="1:38" x14ac:dyDescent="0.25">
      <c r="A1719" t="s">
        <v>189</v>
      </c>
      <c r="B1719" t="s">
        <v>484</v>
      </c>
      <c r="C1719" t="s">
        <v>71</v>
      </c>
      <c r="D1719" s="1">
        <v>43112</v>
      </c>
      <c r="E1719" s="1">
        <v>43476</v>
      </c>
      <c r="F1719" t="s">
        <v>76</v>
      </c>
      <c r="G1719">
        <v>1</v>
      </c>
      <c r="H1719" t="s">
        <v>42</v>
      </c>
      <c r="I1719" t="s">
        <v>43</v>
      </c>
      <c r="J1719" t="s">
        <v>485</v>
      </c>
      <c r="K1719" t="s">
        <v>44</v>
      </c>
      <c r="L1719">
        <v>2940.49</v>
      </c>
      <c r="M1719" s="1">
        <v>43112</v>
      </c>
      <c r="N1719" t="s">
        <v>45</v>
      </c>
      <c r="O1719" t="s">
        <v>361</v>
      </c>
      <c r="P1719" t="s">
        <v>47</v>
      </c>
      <c r="Q1719" s="1">
        <v>43852</v>
      </c>
      <c r="R1719" t="s">
        <v>48</v>
      </c>
      <c r="S1719" t="s">
        <v>78</v>
      </c>
      <c r="T1719" t="s">
        <v>79</v>
      </c>
      <c r="U1719" t="s">
        <v>42</v>
      </c>
      <c r="V1719">
        <v>1200000</v>
      </c>
      <c r="W1719">
        <v>100000</v>
      </c>
      <c r="X1719" s="1">
        <v>43921</v>
      </c>
      <c r="Y1719" t="s">
        <v>51</v>
      </c>
      <c r="Z1719" t="s">
        <v>43</v>
      </c>
      <c r="AA1719" t="s">
        <v>80</v>
      </c>
      <c r="AB1719" t="s">
        <v>76</v>
      </c>
      <c r="AC1719" t="s">
        <v>81</v>
      </c>
      <c r="AF1719" t="s">
        <v>56</v>
      </c>
      <c r="AG1719" s="1">
        <v>43833</v>
      </c>
      <c r="AH1719" t="s">
        <v>42</v>
      </c>
      <c r="AI1719" t="s">
        <v>55</v>
      </c>
      <c r="AJ1719">
        <v>12788092</v>
      </c>
      <c r="AK1719">
        <v>250000</v>
      </c>
      <c r="AL1719">
        <v>1500000</v>
      </c>
    </row>
    <row r="1720" spans="1:38" x14ac:dyDescent="0.25">
      <c r="A1720" t="s">
        <v>189</v>
      </c>
      <c r="B1720" t="s">
        <v>484</v>
      </c>
      <c r="C1720" t="s">
        <v>71</v>
      </c>
      <c r="D1720" s="1">
        <v>43112</v>
      </c>
      <c r="E1720" s="1">
        <v>43476</v>
      </c>
      <c r="F1720" t="s">
        <v>76</v>
      </c>
      <c r="G1720">
        <v>1</v>
      </c>
      <c r="H1720" t="s">
        <v>42</v>
      </c>
      <c r="I1720" t="s">
        <v>43</v>
      </c>
      <c r="J1720" t="s">
        <v>485</v>
      </c>
      <c r="K1720" t="s">
        <v>44</v>
      </c>
      <c r="L1720">
        <v>2940.49</v>
      </c>
      <c r="M1720" s="1">
        <v>43112</v>
      </c>
      <c r="N1720" t="s">
        <v>45</v>
      </c>
      <c r="O1720" t="s">
        <v>361</v>
      </c>
      <c r="P1720" t="s">
        <v>47</v>
      </c>
      <c r="Q1720" s="1">
        <v>43852</v>
      </c>
      <c r="R1720" t="s">
        <v>48</v>
      </c>
      <c r="S1720" t="s">
        <v>78</v>
      </c>
      <c r="T1720" t="s">
        <v>79</v>
      </c>
      <c r="U1720" t="s">
        <v>42</v>
      </c>
      <c r="V1720">
        <v>1200000</v>
      </c>
      <c r="W1720">
        <v>100000</v>
      </c>
      <c r="X1720" s="1">
        <v>43921</v>
      </c>
      <c r="Y1720" t="s">
        <v>51</v>
      </c>
      <c r="Z1720" t="s">
        <v>43</v>
      </c>
      <c r="AA1720" t="s">
        <v>80</v>
      </c>
      <c r="AB1720" t="s">
        <v>76</v>
      </c>
      <c r="AC1720" t="s">
        <v>81</v>
      </c>
      <c r="AF1720" t="s">
        <v>57</v>
      </c>
      <c r="AG1720" s="1">
        <v>43836</v>
      </c>
      <c r="AH1720" t="s">
        <v>42</v>
      </c>
      <c r="AI1720" t="s">
        <v>55</v>
      </c>
      <c r="AJ1720">
        <v>12788092</v>
      </c>
      <c r="AK1720">
        <v>250000</v>
      </c>
      <c r="AL1720">
        <v>1500000</v>
      </c>
    </row>
    <row r="1721" spans="1:38" x14ac:dyDescent="0.25">
      <c r="A1721" t="s">
        <v>189</v>
      </c>
      <c r="B1721" t="s">
        <v>484</v>
      </c>
      <c r="C1721" t="s">
        <v>71</v>
      </c>
      <c r="D1721" s="1">
        <v>43112</v>
      </c>
      <c r="E1721" s="1">
        <v>43476</v>
      </c>
      <c r="F1721" t="s">
        <v>76</v>
      </c>
      <c r="G1721">
        <v>1</v>
      </c>
      <c r="H1721" t="s">
        <v>42</v>
      </c>
      <c r="I1721" t="s">
        <v>43</v>
      </c>
      <c r="J1721" t="s">
        <v>485</v>
      </c>
      <c r="K1721" t="s">
        <v>44</v>
      </c>
      <c r="L1721">
        <v>2940.49</v>
      </c>
      <c r="M1721" s="1">
        <v>43112</v>
      </c>
      <c r="N1721" t="s">
        <v>45</v>
      </c>
      <c r="O1721" t="s">
        <v>361</v>
      </c>
      <c r="P1721" t="s">
        <v>47</v>
      </c>
      <c r="Q1721" s="1">
        <v>43852</v>
      </c>
      <c r="R1721" t="s">
        <v>48</v>
      </c>
      <c r="S1721" t="s">
        <v>78</v>
      </c>
      <c r="T1721" t="s">
        <v>79</v>
      </c>
      <c r="U1721" t="s">
        <v>42</v>
      </c>
      <c r="V1721">
        <v>1200000</v>
      </c>
      <c r="W1721">
        <v>100000</v>
      </c>
      <c r="X1721" s="1">
        <v>43921</v>
      </c>
      <c r="Y1721" t="s">
        <v>51</v>
      </c>
      <c r="Z1721" t="s">
        <v>43</v>
      </c>
      <c r="AA1721" t="s">
        <v>80</v>
      </c>
      <c r="AB1721" t="s">
        <v>76</v>
      </c>
      <c r="AC1721" t="s">
        <v>81</v>
      </c>
      <c r="AF1721" t="s">
        <v>58</v>
      </c>
      <c r="AG1721" s="1">
        <v>43837</v>
      </c>
      <c r="AH1721" t="s">
        <v>42</v>
      </c>
      <c r="AI1721" t="s">
        <v>55</v>
      </c>
      <c r="AJ1721">
        <v>12788092</v>
      </c>
      <c r="AK1721">
        <v>250000</v>
      </c>
      <c r="AL1721">
        <v>1500000</v>
      </c>
    </row>
    <row r="1722" spans="1:38" x14ac:dyDescent="0.25">
      <c r="A1722" t="s">
        <v>189</v>
      </c>
      <c r="B1722" t="s">
        <v>484</v>
      </c>
      <c r="C1722" t="s">
        <v>71</v>
      </c>
      <c r="D1722" s="1">
        <v>43112</v>
      </c>
      <c r="E1722" s="1">
        <v>43476</v>
      </c>
      <c r="F1722" t="s">
        <v>76</v>
      </c>
      <c r="G1722">
        <v>1</v>
      </c>
      <c r="H1722" t="s">
        <v>42</v>
      </c>
      <c r="I1722" t="s">
        <v>43</v>
      </c>
      <c r="J1722" t="s">
        <v>485</v>
      </c>
      <c r="K1722" t="s">
        <v>44</v>
      </c>
      <c r="L1722">
        <v>2940.49</v>
      </c>
      <c r="M1722" s="1">
        <v>43112</v>
      </c>
      <c r="N1722" t="s">
        <v>45</v>
      </c>
      <c r="O1722" t="s">
        <v>361</v>
      </c>
      <c r="P1722" t="s">
        <v>47</v>
      </c>
      <c r="Q1722" s="1">
        <v>43852</v>
      </c>
      <c r="R1722" t="s">
        <v>48</v>
      </c>
      <c r="S1722" t="s">
        <v>78</v>
      </c>
      <c r="T1722" t="s">
        <v>79</v>
      </c>
      <c r="U1722" t="s">
        <v>42</v>
      </c>
      <c r="V1722">
        <v>1200000</v>
      </c>
      <c r="W1722">
        <v>100000</v>
      </c>
      <c r="X1722" s="1">
        <v>43921</v>
      </c>
      <c r="Y1722" t="s">
        <v>51</v>
      </c>
      <c r="Z1722" t="s">
        <v>43</v>
      </c>
      <c r="AA1722" t="s">
        <v>80</v>
      </c>
      <c r="AB1722" t="s">
        <v>76</v>
      </c>
      <c r="AC1722" t="s">
        <v>81</v>
      </c>
      <c r="AF1722" t="s">
        <v>59</v>
      </c>
      <c r="AG1722" s="1">
        <v>43838</v>
      </c>
      <c r="AH1722" t="s">
        <v>42</v>
      </c>
      <c r="AI1722" t="s">
        <v>55</v>
      </c>
      <c r="AJ1722">
        <v>12788092</v>
      </c>
      <c r="AK1722">
        <v>250000</v>
      </c>
      <c r="AL1722">
        <v>1500000</v>
      </c>
    </row>
    <row r="1723" spans="1:38" x14ac:dyDescent="0.25">
      <c r="A1723" t="s">
        <v>191</v>
      </c>
      <c r="B1723" t="s">
        <v>486</v>
      </c>
      <c r="C1723" t="s">
        <v>40</v>
      </c>
      <c r="D1723" s="1">
        <v>43477</v>
      </c>
      <c r="E1723" s="1">
        <v>43841</v>
      </c>
      <c r="F1723" t="s">
        <v>76</v>
      </c>
      <c r="G1723">
        <v>1</v>
      </c>
      <c r="H1723" t="s">
        <v>42</v>
      </c>
      <c r="I1723" t="s">
        <v>43</v>
      </c>
      <c r="J1723" t="s">
        <v>485</v>
      </c>
      <c r="K1723" t="s">
        <v>44</v>
      </c>
      <c r="L1723">
        <v>3073.94</v>
      </c>
      <c r="M1723" s="1">
        <v>43477</v>
      </c>
      <c r="N1723" t="s">
        <v>45</v>
      </c>
      <c r="O1723" t="s">
        <v>44</v>
      </c>
      <c r="P1723" t="s">
        <v>47</v>
      </c>
      <c r="Q1723" s="1">
        <v>43852</v>
      </c>
      <c r="R1723" t="s">
        <v>48</v>
      </c>
      <c r="S1723" t="s">
        <v>78</v>
      </c>
      <c r="T1723" t="s">
        <v>79</v>
      </c>
      <c r="U1723" t="s">
        <v>42</v>
      </c>
      <c r="V1723">
        <v>1200000</v>
      </c>
      <c r="W1723">
        <v>100000</v>
      </c>
      <c r="X1723" s="1">
        <v>43921</v>
      </c>
      <c r="Y1723" t="s">
        <v>51</v>
      </c>
      <c r="Z1723" t="s">
        <v>43</v>
      </c>
      <c r="AA1723" t="s">
        <v>80</v>
      </c>
      <c r="AB1723" t="s">
        <v>76</v>
      </c>
      <c r="AC1723" t="s">
        <v>81</v>
      </c>
      <c r="AF1723" t="s">
        <v>54</v>
      </c>
      <c r="AG1723" s="1">
        <v>43832</v>
      </c>
      <c r="AH1723" t="s">
        <v>42</v>
      </c>
      <c r="AI1723" t="s">
        <v>55</v>
      </c>
      <c r="AJ1723">
        <v>12788092</v>
      </c>
      <c r="AK1723">
        <v>250000</v>
      </c>
      <c r="AL1723">
        <v>1500000</v>
      </c>
    </row>
    <row r="1724" spans="1:38" x14ac:dyDescent="0.25">
      <c r="A1724" t="s">
        <v>191</v>
      </c>
      <c r="B1724" t="s">
        <v>486</v>
      </c>
      <c r="C1724" t="s">
        <v>40</v>
      </c>
      <c r="D1724" s="1">
        <v>43477</v>
      </c>
      <c r="E1724" s="1">
        <v>43841</v>
      </c>
      <c r="F1724" t="s">
        <v>76</v>
      </c>
      <c r="G1724">
        <v>1</v>
      </c>
      <c r="H1724" t="s">
        <v>42</v>
      </c>
      <c r="I1724" t="s">
        <v>43</v>
      </c>
      <c r="J1724" t="s">
        <v>485</v>
      </c>
      <c r="K1724" t="s">
        <v>44</v>
      </c>
      <c r="L1724">
        <v>3073.94</v>
      </c>
      <c r="M1724" s="1">
        <v>43477</v>
      </c>
      <c r="N1724" t="s">
        <v>45</v>
      </c>
      <c r="O1724" t="s">
        <v>44</v>
      </c>
      <c r="P1724" t="s">
        <v>47</v>
      </c>
      <c r="Q1724" s="1">
        <v>43852</v>
      </c>
      <c r="R1724" t="s">
        <v>48</v>
      </c>
      <c r="S1724" t="s">
        <v>78</v>
      </c>
      <c r="T1724" t="s">
        <v>79</v>
      </c>
      <c r="U1724" t="s">
        <v>42</v>
      </c>
      <c r="V1724">
        <v>1200000</v>
      </c>
      <c r="W1724">
        <v>100000</v>
      </c>
      <c r="X1724" s="1">
        <v>43921</v>
      </c>
      <c r="Y1724" t="s">
        <v>51</v>
      </c>
      <c r="Z1724" t="s">
        <v>43</v>
      </c>
      <c r="AA1724" t="s">
        <v>80</v>
      </c>
      <c r="AB1724" t="s">
        <v>76</v>
      </c>
      <c r="AC1724" t="s">
        <v>81</v>
      </c>
      <c r="AF1724" t="s">
        <v>56</v>
      </c>
      <c r="AG1724" s="1">
        <v>43833</v>
      </c>
      <c r="AH1724" t="s">
        <v>42</v>
      </c>
      <c r="AI1724" t="s">
        <v>55</v>
      </c>
      <c r="AJ1724">
        <v>12788092</v>
      </c>
      <c r="AK1724">
        <v>250000</v>
      </c>
      <c r="AL1724">
        <v>1500000</v>
      </c>
    </row>
    <row r="1725" spans="1:38" x14ac:dyDescent="0.25">
      <c r="A1725" t="s">
        <v>191</v>
      </c>
      <c r="B1725" t="s">
        <v>486</v>
      </c>
      <c r="C1725" t="s">
        <v>40</v>
      </c>
      <c r="D1725" s="1">
        <v>43477</v>
      </c>
      <c r="E1725" s="1">
        <v>43841</v>
      </c>
      <c r="F1725" t="s">
        <v>76</v>
      </c>
      <c r="G1725">
        <v>1</v>
      </c>
      <c r="H1725" t="s">
        <v>42</v>
      </c>
      <c r="I1725" t="s">
        <v>43</v>
      </c>
      <c r="J1725" t="s">
        <v>485</v>
      </c>
      <c r="K1725" t="s">
        <v>44</v>
      </c>
      <c r="L1725">
        <v>3073.94</v>
      </c>
      <c r="M1725" s="1">
        <v>43477</v>
      </c>
      <c r="N1725" t="s">
        <v>45</v>
      </c>
      <c r="O1725" t="s">
        <v>44</v>
      </c>
      <c r="P1725" t="s">
        <v>47</v>
      </c>
      <c r="Q1725" s="1">
        <v>43852</v>
      </c>
      <c r="R1725" t="s">
        <v>48</v>
      </c>
      <c r="S1725" t="s">
        <v>78</v>
      </c>
      <c r="T1725" t="s">
        <v>79</v>
      </c>
      <c r="U1725" t="s">
        <v>42</v>
      </c>
      <c r="V1725">
        <v>1200000</v>
      </c>
      <c r="W1725">
        <v>100000</v>
      </c>
      <c r="X1725" s="1">
        <v>43921</v>
      </c>
      <c r="Y1725" t="s">
        <v>51</v>
      </c>
      <c r="Z1725" t="s">
        <v>43</v>
      </c>
      <c r="AA1725" t="s">
        <v>80</v>
      </c>
      <c r="AB1725" t="s">
        <v>76</v>
      </c>
      <c r="AC1725" t="s">
        <v>81</v>
      </c>
      <c r="AF1725" t="s">
        <v>57</v>
      </c>
      <c r="AG1725" s="1">
        <v>43836</v>
      </c>
      <c r="AH1725" t="s">
        <v>42</v>
      </c>
      <c r="AI1725" t="s">
        <v>55</v>
      </c>
      <c r="AJ1725">
        <v>12788092</v>
      </c>
      <c r="AK1725">
        <v>250000</v>
      </c>
      <c r="AL1725">
        <v>1500000</v>
      </c>
    </row>
    <row r="1726" spans="1:38" x14ac:dyDescent="0.25">
      <c r="A1726" t="s">
        <v>191</v>
      </c>
      <c r="B1726" t="s">
        <v>486</v>
      </c>
      <c r="C1726" t="s">
        <v>40</v>
      </c>
      <c r="D1726" s="1">
        <v>43477</v>
      </c>
      <c r="E1726" s="1">
        <v>43841</v>
      </c>
      <c r="F1726" t="s">
        <v>76</v>
      </c>
      <c r="G1726">
        <v>1</v>
      </c>
      <c r="H1726" t="s">
        <v>42</v>
      </c>
      <c r="I1726" t="s">
        <v>43</v>
      </c>
      <c r="J1726" t="s">
        <v>485</v>
      </c>
      <c r="K1726" t="s">
        <v>44</v>
      </c>
      <c r="L1726">
        <v>3073.94</v>
      </c>
      <c r="M1726" s="1">
        <v>43477</v>
      </c>
      <c r="N1726" t="s">
        <v>45</v>
      </c>
      <c r="O1726" t="s">
        <v>44</v>
      </c>
      <c r="P1726" t="s">
        <v>47</v>
      </c>
      <c r="Q1726" s="1">
        <v>43852</v>
      </c>
      <c r="R1726" t="s">
        <v>48</v>
      </c>
      <c r="S1726" t="s">
        <v>78</v>
      </c>
      <c r="T1726" t="s">
        <v>79</v>
      </c>
      <c r="U1726" t="s">
        <v>42</v>
      </c>
      <c r="V1726">
        <v>1200000</v>
      </c>
      <c r="W1726">
        <v>100000</v>
      </c>
      <c r="X1726" s="1">
        <v>43921</v>
      </c>
      <c r="Y1726" t="s">
        <v>51</v>
      </c>
      <c r="Z1726" t="s">
        <v>43</v>
      </c>
      <c r="AA1726" t="s">
        <v>80</v>
      </c>
      <c r="AB1726" t="s">
        <v>76</v>
      </c>
      <c r="AC1726" t="s">
        <v>81</v>
      </c>
      <c r="AF1726" t="s">
        <v>58</v>
      </c>
      <c r="AG1726" s="1">
        <v>43837</v>
      </c>
      <c r="AH1726" t="s">
        <v>42</v>
      </c>
      <c r="AI1726" t="s">
        <v>55</v>
      </c>
      <c r="AJ1726">
        <v>12788092</v>
      </c>
      <c r="AK1726">
        <v>250000</v>
      </c>
      <c r="AL1726">
        <v>1500000</v>
      </c>
    </row>
    <row r="1727" spans="1:38" x14ac:dyDescent="0.25">
      <c r="A1727" t="s">
        <v>191</v>
      </c>
      <c r="B1727" t="s">
        <v>486</v>
      </c>
      <c r="C1727" t="s">
        <v>40</v>
      </c>
      <c r="D1727" s="1">
        <v>43477</v>
      </c>
      <c r="E1727" s="1">
        <v>43841</v>
      </c>
      <c r="F1727" t="s">
        <v>76</v>
      </c>
      <c r="G1727">
        <v>1</v>
      </c>
      <c r="H1727" t="s">
        <v>42</v>
      </c>
      <c r="I1727" t="s">
        <v>43</v>
      </c>
      <c r="J1727" t="s">
        <v>485</v>
      </c>
      <c r="K1727" t="s">
        <v>44</v>
      </c>
      <c r="L1727">
        <v>3073.94</v>
      </c>
      <c r="M1727" s="1">
        <v>43477</v>
      </c>
      <c r="N1727" t="s">
        <v>45</v>
      </c>
      <c r="O1727" t="s">
        <v>44</v>
      </c>
      <c r="P1727" t="s">
        <v>47</v>
      </c>
      <c r="Q1727" s="1">
        <v>43852</v>
      </c>
      <c r="R1727" t="s">
        <v>48</v>
      </c>
      <c r="S1727" t="s">
        <v>78</v>
      </c>
      <c r="T1727" t="s">
        <v>79</v>
      </c>
      <c r="U1727" t="s">
        <v>42</v>
      </c>
      <c r="V1727">
        <v>1200000</v>
      </c>
      <c r="W1727">
        <v>100000</v>
      </c>
      <c r="X1727" s="1">
        <v>43921</v>
      </c>
      <c r="Y1727" t="s">
        <v>51</v>
      </c>
      <c r="Z1727" t="s">
        <v>43</v>
      </c>
      <c r="AA1727" t="s">
        <v>80</v>
      </c>
      <c r="AB1727" t="s">
        <v>76</v>
      </c>
      <c r="AC1727" t="s">
        <v>81</v>
      </c>
      <c r="AF1727" t="s">
        <v>59</v>
      </c>
      <c r="AG1727" s="1">
        <v>43838</v>
      </c>
      <c r="AH1727" t="s">
        <v>42</v>
      </c>
      <c r="AI1727" t="s">
        <v>55</v>
      </c>
      <c r="AJ1727">
        <v>12788092</v>
      </c>
      <c r="AK1727">
        <v>250000</v>
      </c>
      <c r="AL1727">
        <v>1500000</v>
      </c>
    </row>
    <row r="1728" spans="1:38" x14ac:dyDescent="0.25">
      <c r="A1728" t="s">
        <v>193</v>
      </c>
      <c r="B1728" t="s">
        <v>487</v>
      </c>
      <c r="C1728" t="s">
        <v>71</v>
      </c>
      <c r="D1728" s="1">
        <v>43116</v>
      </c>
      <c r="E1728" s="1">
        <v>43480</v>
      </c>
      <c r="F1728" t="s">
        <v>41</v>
      </c>
      <c r="G1728">
        <v>1</v>
      </c>
      <c r="H1728" t="s">
        <v>42</v>
      </c>
      <c r="I1728" t="s">
        <v>43</v>
      </c>
      <c r="J1728" t="s">
        <v>41</v>
      </c>
      <c r="K1728" t="s">
        <v>127</v>
      </c>
      <c r="L1728">
        <v>330</v>
      </c>
      <c r="M1728" s="1">
        <v>43116</v>
      </c>
      <c r="N1728" t="s">
        <v>45</v>
      </c>
      <c r="O1728" t="s">
        <v>361</v>
      </c>
      <c r="P1728" t="s">
        <v>47</v>
      </c>
      <c r="Q1728" s="1">
        <v>43852</v>
      </c>
      <c r="R1728" t="s">
        <v>48</v>
      </c>
      <c r="S1728" t="s">
        <v>49</v>
      </c>
      <c r="T1728" t="s">
        <v>50</v>
      </c>
      <c r="U1728" t="s">
        <v>42</v>
      </c>
      <c r="V1728">
        <v>0</v>
      </c>
      <c r="W1728">
        <v>100000</v>
      </c>
      <c r="X1728" s="1">
        <v>44012</v>
      </c>
      <c r="Y1728" t="s">
        <v>51</v>
      </c>
      <c r="Z1728" t="s">
        <v>43</v>
      </c>
      <c r="AA1728" t="s">
        <v>41</v>
      </c>
      <c r="AB1728" t="s">
        <v>52</v>
      </c>
      <c r="AC1728" t="s">
        <v>53</v>
      </c>
      <c r="AF1728" t="s">
        <v>54</v>
      </c>
      <c r="AG1728" s="1">
        <v>43832</v>
      </c>
      <c r="AH1728" t="s">
        <v>42</v>
      </c>
      <c r="AI1728" t="s">
        <v>55</v>
      </c>
      <c r="AJ1728">
        <v>12788092</v>
      </c>
      <c r="AK1728">
        <v>250000</v>
      </c>
      <c r="AL1728">
        <v>1500000</v>
      </c>
    </row>
    <row r="1729" spans="1:38" x14ac:dyDescent="0.25">
      <c r="A1729" t="s">
        <v>193</v>
      </c>
      <c r="B1729" t="s">
        <v>487</v>
      </c>
      <c r="C1729" t="s">
        <v>71</v>
      </c>
      <c r="D1729" s="1">
        <v>43116</v>
      </c>
      <c r="E1729" s="1">
        <v>43480</v>
      </c>
      <c r="F1729" t="s">
        <v>41</v>
      </c>
      <c r="G1729">
        <v>1</v>
      </c>
      <c r="H1729" t="s">
        <v>42</v>
      </c>
      <c r="I1729" t="s">
        <v>43</v>
      </c>
      <c r="J1729" t="s">
        <v>41</v>
      </c>
      <c r="K1729" t="s">
        <v>127</v>
      </c>
      <c r="L1729">
        <v>330</v>
      </c>
      <c r="M1729" s="1">
        <v>43116</v>
      </c>
      <c r="N1729" t="s">
        <v>45</v>
      </c>
      <c r="O1729" t="s">
        <v>361</v>
      </c>
      <c r="P1729" t="s">
        <v>47</v>
      </c>
      <c r="Q1729" s="1">
        <v>43852</v>
      </c>
      <c r="R1729" t="s">
        <v>48</v>
      </c>
      <c r="S1729" t="s">
        <v>49</v>
      </c>
      <c r="T1729" t="s">
        <v>50</v>
      </c>
      <c r="U1729" t="s">
        <v>42</v>
      </c>
      <c r="V1729">
        <v>0</v>
      </c>
      <c r="W1729">
        <v>100000</v>
      </c>
      <c r="X1729" s="1">
        <v>44012</v>
      </c>
      <c r="Y1729" t="s">
        <v>51</v>
      </c>
      <c r="Z1729" t="s">
        <v>43</v>
      </c>
      <c r="AA1729" t="s">
        <v>41</v>
      </c>
      <c r="AB1729" t="s">
        <v>52</v>
      </c>
      <c r="AC1729" t="s">
        <v>53</v>
      </c>
      <c r="AF1729" t="s">
        <v>56</v>
      </c>
      <c r="AG1729" s="1">
        <v>43833</v>
      </c>
      <c r="AH1729" t="s">
        <v>42</v>
      </c>
      <c r="AI1729" t="s">
        <v>55</v>
      </c>
      <c r="AJ1729">
        <v>12788092</v>
      </c>
      <c r="AK1729">
        <v>250000</v>
      </c>
      <c r="AL1729">
        <v>1500000</v>
      </c>
    </row>
    <row r="1730" spans="1:38" x14ac:dyDescent="0.25">
      <c r="A1730" t="s">
        <v>193</v>
      </c>
      <c r="B1730" t="s">
        <v>487</v>
      </c>
      <c r="C1730" t="s">
        <v>71</v>
      </c>
      <c r="D1730" s="1">
        <v>43116</v>
      </c>
      <c r="E1730" s="1">
        <v>43480</v>
      </c>
      <c r="F1730" t="s">
        <v>41</v>
      </c>
      <c r="G1730">
        <v>1</v>
      </c>
      <c r="H1730" t="s">
        <v>42</v>
      </c>
      <c r="I1730" t="s">
        <v>43</v>
      </c>
      <c r="J1730" t="s">
        <v>41</v>
      </c>
      <c r="K1730" t="s">
        <v>127</v>
      </c>
      <c r="L1730">
        <v>330</v>
      </c>
      <c r="M1730" s="1">
        <v>43116</v>
      </c>
      <c r="N1730" t="s">
        <v>45</v>
      </c>
      <c r="O1730" t="s">
        <v>361</v>
      </c>
      <c r="P1730" t="s">
        <v>47</v>
      </c>
      <c r="Q1730" s="1">
        <v>43852</v>
      </c>
      <c r="R1730" t="s">
        <v>48</v>
      </c>
      <c r="S1730" t="s">
        <v>49</v>
      </c>
      <c r="T1730" t="s">
        <v>50</v>
      </c>
      <c r="U1730" t="s">
        <v>42</v>
      </c>
      <c r="V1730">
        <v>0</v>
      </c>
      <c r="W1730">
        <v>100000</v>
      </c>
      <c r="X1730" s="1">
        <v>44012</v>
      </c>
      <c r="Y1730" t="s">
        <v>51</v>
      </c>
      <c r="Z1730" t="s">
        <v>43</v>
      </c>
      <c r="AA1730" t="s">
        <v>41</v>
      </c>
      <c r="AB1730" t="s">
        <v>52</v>
      </c>
      <c r="AC1730" t="s">
        <v>53</v>
      </c>
      <c r="AF1730" t="s">
        <v>57</v>
      </c>
      <c r="AG1730" s="1">
        <v>43836</v>
      </c>
      <c r="AH1730" t="s">
        <v>42</v>
      </c>
      <c r="AI1730" t="s">
        <v>55</v>
      </c>
      <c r="AJ1730">
        <v>12788092</v>
      </c>
      <c r="AK1730">
        <v>250000</v>
      </c>
      <c r="AL1730">
        <v>1500000</v>
      </c>
    </row>
    <row r="1731" spans="1:38" x14ac:dyDescent="0.25">
      <c r="A1731" t="s">
        <v>193</v>
      </c>
      <c r="B1731" t="s">
        <v>487</v>
      </c>
      <c r="C1731" t="s">
        <v>71</v>
      </c>
      <c r="D1731" s="1">
        <v>43116</v>
      </c>
      <c r="E1731" s="1">
        <v>43480</v>
      </c>
      <c r="F1731" t="s">
        <v>41</v>
      </c>
      <c r="G1731">
        <v>1</v>
      </c>
      <c r="H1731" t="s">
        <v>42</v>
      </c>
      <c r="I1731" t="s">
        <v>43</v>
      </c>
      <c r="J1731" t="s">
        <v>41</v>
      </c>
      <c r="K1731" t="s">
        <v>127</v>
      </c>
      <c r="L1731">
        <v>330</v>
      </c>
      <c r="M1731" s="1">
        <v>43116</v>
      </c>
      <c r="N1731" t="s">
        <v>45</v>
      </c>
      <c r="O1731" t="s">
        <v>361</v>
      </c>
      <c r="P1731" t="s">
        <v>47</v>
      </c>
      <c r="Q1731" s="1">
        <v>43852</v>
      </c>
      <c r="R1731" t="s">
        <v>48</v>
      </c>
      <c r="S1731" t="s">
        <v>49</v>
      </c>
      <c r="T1731" t="s">
        <v>50</v>
      </c>
      <c r="U1731" t="s">
        <v>42</v>
      </c>
      <c r="V1731">
        <v>0</v>
      </c>
      <c r="W1731">
        <v>100000</v>
      </c>
      <c r="X1731" s="1">
        <v>44012</v>
      </c>
      <c r="Y1731" t="s">
        <v>51</v>
      </c>
      <c r="Z1731" t="s">
        <v>43</v>
      </c>
      <c r="AA1731" t="s">
        <v>41</v>
      </c>
      <c r="AB1731" t="s">
        <v>52</v>
      </c>
      <c r="AC1731" t="s">
        <v>53</v>
      </c>
      <c r="AF1731" t="s">
        <v>58</v>
      </c>
      <c r="AG1731" s="1">
        <v>43837</v>
      </c>
      <c r="AH1731" t="s">
        <v>42</v>
      </c>
      <c r="AI1731" t="s">
        <v>55</v>
      </c>
      <c r="AJ1731">
        <v>12788092</v>
      </c>
      <c r="AK1731">
        <v>250000</v>
      </c>
      <c r="AL1731">
        <v>1500000</v>
      </c>
    </row>
    <row r="1732" spans="1:38" x14ac:dyDescent="0.25">
      <c r="A1732" t="s">
        <v>193</v>
      </c>
      <c r="B1732" t="s">
        <v>487</v>
      </c>
      <c r="C1732" t="s">
        <v>71</v>
      </c>
      <c r="D1732" s="1">
        <v>43116</v>
      </c>
      <c r="E1732" s="1">
        <v>43480</v>
      </c>
      <c r="F1732" t="s">
        <v>41</v>
      </c>
      <c r="G1732">
        <v>1</v>
      </c>
      <c r="H1732" t="s">
        <v>42</v>
      </c>
      <c r="I1732" t="s">
        <v>43</v>
      </c>
      <c r="J1732" t="s">
        <v>41</v>
      </c>
      <c r="K1732" t="s">
        <v>127</v>
      </c>
      <c r="L1732">
        <v>330</v>
      </c>
      <c r="M1732" s="1">
        <v>43116</v>
      </c>
      <c r="N1732" t="s">
        <v>45</v>
      </c>
      <c r="O1732" t="s">
        <v>361</v>
      </c>
      <c r="P1732" t="s">
        <v>47</v>
      </c>
      <c r="Q1732" s="1">
        <v>43852</v>
      </c>
      <c r="R1732" t="s">
        <v>48</v>
      </c>
      <c r="S1732" t="s">
        <v>49</v>
      </c>
      <c r="T1732" t="s">
        <v>50</v>
      </c>
      <c r="U1732" t="s">
        <v>42</v>
      </c>
      <c r="V1732">
        <v>0</v>
      </c>
      <c r="W1732">
        <v>100000</v>
      </c>
      <c r="X1732" s="1">
        <v>44012</v>
      </c>
      <c r="Y1732" t="s">
        <v>51</v>
      </c>
      <c r="Z1732" t="s">
        <v>43</v>
      </c>
      <c r="AA1732" t="s">
        <v>41</v>
      </c>
      <c r="AB1732" t="s">
        <v>52</v>
      </c>
      <c r="AC1732" t="s">
        <v>53</v>
      </c>
      <c r="AF1732" t="s">
        <v>59</v>
      </c>
      <c r="AG1732" s="1">
        <v>43838</v>
      </c>
      <c r="AH1732" t="s">
        <v>42</v>
      </c>
      <c r="AI1732" t="s">
        <v>55</v>
      </c>
      <c r="AJ1732">
        <v>12788092</v>
      </c>
      <c r="AK1732">
        <v>250000</v>
      </c>
      <c r="AL1732">
        <v>1500000</v>
      </c>
    </row>
    <row r="1733" spans="1:38" x14ac:dyDescent="0.25">
      <c r="A1733" t="s">
        <v>193</v>
      </c>
      <c r="B1733" t="s">
        <v>487</v>
      </c>
      <c r="C1733" t="s">
        <v>71</v>
      </c>
      <c r="D1733" s="1">
        <v>43116</v>
      </c>
      <c r="E1733" s="1">
        <v>43480</v>
      </c>
      <c r="F1733" t="s">
        <v>41</v>
      </c>
      <c r="G1733">
        <v>1</v>
      </c>
      <c r="H1733" t="s">
        <v>42</v>
      </c>
      <c r="I1733" t="s">
        <v>43</v>
      </c>
      <c r="J1733" t="s">
        <v>41</v>
      </c>
      <c r="K1733" t="s">
        <v>127</v>
      </c>
      <c r="L1733">
        <v>330</v>
      </c>
      <c r="M1733" s="1">
        <v>43116</v>
      </c>
      <c r="N1733" t="s">
        <v>45</v>
      </c>
      <c r="O1733" t="s">
        <v>361</v>
      </c>
      <c r="P1733" t="s">
        <v>47</v>
      </c>
      <c r="Q1733" s="1">
        <v>43852</v>
      </c>
      <c r="R1733" t="s">
        <v>48</v>
      </c>
      <c r="S1733" t="s">
        <v>60</v>
      </c>
      <c r="T1733" t="s">
        <v>61</v>
      </c>
      <c r="U1733" t="s">
        <v>42</v>
      </c>
      <c r="V1733">
        <v>0</v>
      </c>
      <c r="W1733">
        <v>100000</v>
      </c>
      <c r="X1733" s="1">
        <v>43921</v>
      </c>
      <c r="Y1733" t="s">
        <v>51</v>
      </c>
      <c r="Z1733" t="s">
        <v>43</v>
      </c>
      <c r="AA1733" t="s">
        <v>41</v>
      </c>
      <c r="AB1733" t="s">
        <v>52</v>
      </c>
      <c r="AC1733" t="s">
        <v>53</v>
      </c>
      <c r="AF1733" t="s">
        <v>54</v>
      </c>
      <c r="AG1733" s="1">
        <v>43832</v>
      </c>
      <c r="AH1733" t="s">
        <v>42</v>
      </c>
      <c r="AI1733" t="s">
        <v>55</v>
      </c>
      <c r="AJ1733">
        <v>12788092</v>
      </c>
      <c r="AK1733">
        <v>250000</v>
      </c>
      <c r="AL1733">
        <v>1500000</v>
      </c>
    </row>
    <row r="1734" spans="1:38" x14ac:dyDescent="0.25">
      <c r="A1734" t="s">
        <v>193</v>
      </c>
      <c r="B1734" t="s">
        <v>487</v>
      </c>
      <c r="C1734" t="s">
        <v>71</v>
      </c>
      <c r="D1734" s="1">
        <v>43116</v>
      </c>
      <c r="E1734" s="1">
        <v>43480</v>
      </c>
      <c r="F1734" t="s">
        <v>41</v>
      </c>
      <c r="G1734">
        <v>1</v>
      </c>
      <c r="H1734" t="s">
        <v>42</v>
      </c>
      <c r="I1734" t="s">
        <v>43</v>
      </c>
      <c r="J1734" t="s">
        <v>41</v>
      </c>
      <c r="K1734" t="s">
        <v>127</v>
      </c>
      <c r="L1734">
        <v>330</v>
      </c>
      <c r="M1734" s="1">
        <v>43116</v>
      </c>
      <c r="N1734" t="s">
        <v>45</v>
      </c>
      <c r="O1734" t="s">
        <v>361</v>
      </c>
      <c r="P1734" t="s">
        <v>47</v>
      </c>
      <c r="Q1734" s="1">
        <v>43852</v>
      </c>
      <c r="R1734" t="s">
        <v>48</v>
      </c>
      <c r="S1734" t="s">
        <v>60</v>
      </c>
      <c r="T1734" t="s">
        <v>61</v>
      </c>
      <c r="U1734" t="s">
        <v>42</v>
      </c>
      <c r="V1734">
        <v>0</v>
      </c>
      <c r="W1734">
        <v>100000</v>
      </c>
      <c r="X1734" s="1">
        <v>43921</v>
      </c>
      <c r="Y1734" t="s">
        <v>51</v>
      </c>
      <c r="Z1734" t="s">
        <v>43</v>
      </c>
      <c r="AA1734" t="s">
        <v>41</v>
      </c>
      <c r="AB1734" t="s">
        <v>52</v>
      </c>
      <c r="AC1734" t="s">
        <v>53</v>
      </c>
      <c r="AF1734" t="s">
        <v>56</v>
      </c>
      <c r="AG1734" s="1">
        <v>43833</v>
      </c>
      <c r="AH1734" t="s">
        <v>42</v>
      </c>
      <c r="AI1734" t="s">
        <v>55</v>
      </c>
      <c r="AJ1734">
        <v>12788092</v>
      </c>
      <c r="AK1734">
        <v>250000</v>
      </c>
      <c r="AL1734">
        <v>1500000</v>
      </c>
    </row>
    <row r="1735" spans="1:38" x14ac:dyDescent="0.25">
      <c r="A1735" t="s">
        <v>193</v>
      </c>
      <c r="B1735" t="s">
        <v>487</v>
      </c>
      <c r="C1735" t="s">
        <v>71</v>
      </c>
      <c r="D1735" s="1">
        <v>43116</v>
      </c>
      <c r="E1735" s="1">
        <v>43480</v>
      </c>
      <c r="F1735" t="s">
        <v>41</v>
      </c>
      <c r="G1735">
        <v>1</v>
      </c>
      <c r="H1735" t="s">
        <v>42</v>
      </c>
      <c r="I1735" t="s">
        <v>43</v>
      </c>
      <c r="J1735" t="s">
        <v>41</v>
      </c>
      <c r="K1735" t="s">
        <v>127</v>
      </c>
      <c r="L1735">
        <v>330</v>
      </c>
      <c r="M1735" s="1">
        <v>43116</v>
      </c>
      <c r="N1735" t="s">
        <v>45</v>
      </c>
      <c r="O1735" t="s">
        <v>361</v>
      </c>
      <c r="P1735" t="s">
        <v>47</v>
      </c>
      <c r="Q1735" s="1">
        <v>43852</v>
      </c>
      <c r="R1735" t="s">
        <v>48</v>
      </c>
      <c r="S1735" t="s">
        <v>60</v>
      </c>
      <c r="T1735" t="s">
        <v>61</v>
      </c>
      <c r="U1735" t="s">
        <v>42</v>
      </c>
      <c r="V1735">
        <v>0</v>
      </c>
      <c r="W1735">
        <v>100000</v>
      </c>
      <c r="X1735" s="1">
        <v>43921</v>
      </c>
      <c r="Y1735" t="s">
        <v>51</v>
      </c>
      <c r="Z1735" t="s">
        <v>43</v>
      </c>
      <c r="AA1735" t="s">
        <v>41</v>
      </c>
      <c r="AB1735" t="s">
        <v>52</v>
      </c>
      <c r="AC1735" t="s">
        <v>53</v>
      </c>
      <c r="AF1735" t="s">
        <v>57</v>
      </c>
      <c r="AG1735" s="1">
        <v>43836</v>
      </c>
      <c r="AH1735" t="s">
        <v>42</v>
      </c>
      <c r="AI1735" t="s">
        <v>55</v>
      </c>
      <c r="AJ1735">
        <v>12788092</v>
      </c>
      <c r="AK1735">
        <v>250000</v>
      </c>
      <c r="AL1735">
        <v>1500000</v>
      </c>
    </row>
    <row r="1736" spans="1:38" x14ac:dyDescent="0.25">
      <c r="A1736" t="s">
        <v>193</v>
      </c>
      <c r="B1736" t="s">
        <v>487</v>
      </c>
      <c r="C1736" t="s">
        <v>71</v>
      </c>
      <c r="D1736" s="1">
        <v>43116</v>
      </c>
      <c r="E1736" s="1">
        <v>43480</v>
      </c>
      <c r="F1736" t="s">
        <v>41</v>
      </c>
      <c r="G1736">
        <v>1</v>
      </c>
      <c r="H1736" t="s">
        <v>42</v>
      </c>
      <c r="I1736" t="s">
        <v>43</v>
      </c>
      <c r="J1736" t="s">
        <v>41</v>
      </c>
      <c r="K1736" t="s">
        <v>127</v>
      </c>
      <c r="L1736">
        <v>330</v>
      </c>
      <c r="M1736" s="1">
        <v>43116</v>
      </c>
      <c r="N1736" t="s">
        <v>45</v>
      </c>
      <c r="O1736" t="s">
        <v>361</v>
      </c>
      <c r="P1736" t="s">
        <v>47</v>
      </c>
      <c r="Q1736" s="1">
        <v>43852</v>
      </c>
      <c r="R1736" t="s">
        <v>48</v>
      </c>
      <c r="S1736" t="s">
        <v>60</v>
      </c>
      <c r="T1736" t="s">
        <v>61</v>
      </c>
      <c r="U1736" t="s">
        <v>42</v>
      </c>
      <c r="V1736">
        <v>0</v>
      </c>
      <c r="W1736">
        <v>100000</v>
      </c>
      <c r="X1736" s="1">
        <v>43921</v>
      </c>
      <c r="Y1736" t="s">
        <v>51</v>
      </c>
      <c r="Z1736" t="s">
        <v>43</v>
      </c>
      <c r="AA1736" t="s">
        <v>41</v>
      </c>
      <c r="AB1736" t="s">
        <v>52</v>
      </c>
      <c r="AC1736" t="s">
        <v>53</v>
      </c>
      <c r="AF1736" t="s">
        <v>58</v>
      </c>
      <c r="AG1736" s="1">
        <v>43837</v>
      </c>
      <c r="AH1736" t="s">
        <v>42</v>
      </c>
      <c r="AI1736" t="s">
        <v>55</v>
      </c>
      <c r="AJ1736">
        <v>12788092</v>
      </c>
      <c r="AK1736">
        <v>250000</v>
      </c>
      <c r="AL1736">
        <v>1500000</v>
      </c>
    </row>
    <row r="1737" spans="1:38" x14ac:dyDescent="0.25">
      <c r="A1737" t="s">
        <v>193</v>
      </c>
      <c r="B1737" t="s">
        <v>487</v>
      </c>
      <c r="C1737" t="s">
        <v>71</v>
      </c>
      <c r="D1737" s="1">
        <v>43116</v>
      </c>
      <c r="E1737" s="1">
        <v>43480</v>
      </c>
      <c r="F1737" t="s">
        <v>41</v>
      </c>
      <c r="G1737">
        <v>1</v>
      </c>
      <c r="H1737" t="s">
        <v>42</v>
      </c>
      <c r="I1737" t="s">
        <v>43</v>
      </c>
      <c r="J1737" t="s">
        <v>41</v>
      </c>
      <c r="K1737" t="s">
        <v>127</v>
      </c>
      <c r="L1737">
        <v>330</v>
      </c>
      <c r="M1737" s="1">
        <v>43116</v>
      </c>
      <c r="N1737" t="s">
        <v>45</v>
      </c>
      <c r="O1737" t="s">
        <v>361</v>
      </c>
      <c r="P1737" t="s">
        <v>47</v>
      </c>
      <c r="Q1737" s="1">
        <v>43852</v>
      </c>
      <c r="R1737" t="s">
        <v>48</v>
      </c>
      <c r="S1737" t="s">
        <v>60</v>
      </c>
      <c r="T1737" t="s">
        <v>61</v>
      </c>
      <c r="U1737" t="s">
        <v>42</v>
      </c>
      <c r="V1737">
        <v>0</v>
      </c>
      <c r="W1737">
        <v>100000</v>
      </c>
      <c r="X1737" s="1">
        <v>43921</v>
      </c>
      <c r="Y1737" t="s">
        <v>51</v>
      </c>
      <c r="Z1737" t="s">
        <v>43</v>
      </c>
      <c r="AA1737" t="s">
        <v>41</v>
      </c>
      <c r="AB1737" t="s">
        <v>52</v>
      </c>
      <c r="AC1737" t="s">
        <v>53</v>
      </c>
      <c r="AF1737" t="s">
        <v>59</v>
      </c>
      <c r="AG1737" s="1">
        <v>43838</v>
      </c>
      <c r="AH1737" t="s">
        <v>42</v>
      </c>
      <c r="AI1737" t="s">
        <v>55</v>
      </c>
      <c r="AJ1737">
        <v>12788092</v>
      </c>
      <c r="AK1737">
        <v>250000</v>
      </c>
      <c r="AL1737">
        <v>1500000</v>
      </c>
    </row>
    <row r="1738" spans="1:38" x14ac:dyDescent="0.25">
      <c r="A1738" t="s">
        <v>193</v>
      </c>
      <c r="B1738" t="s">
        <v>487</v>
      </c>
      <c r="C1738" t="s">
        <v>71</v>
      </c>
      <c r="D1738" s="1">
        <v>43116</v>
      </c>
      <c r="E1738" s="1">
        <v>43480</v>
      </c>
      <c r="F1738" t="s">
        <v>41</v>
      </c>
      <c r="G1738">
        <v>1</v>
      </c>
      <c r="H1738" t="s">
        <v>42</v>
      </c>
      <c r="I1738" t="s">
        <v>43</v>
      </c>
      <c r="J1738" t="s">
        <v>41</v>
      </c>
      <c r="K1738" t="s">
        <v>127</v>
      </c>
      <c r="L1738">
        <v>330</v>
      </c>
      <c r="M1738" s="1">
        <v>43116</v>
      </c>
      <c r="N1738" t="s">
        <v>45</v>
      </c>
      <c r="O1738" t="s">
        <v>361</v>
      </c>
      <c r="P1738" t="s">
        <v>47</v>
      </c>
      <c r="Q1738" s="1">
        <v>43852</v>
      </c>
      <c r="R1738" t="s">
        <v>48</v>
      </c>
      <c r="S1738" t="s">
        <v>62</v>
      </c>
      <c r="T1738" t="s">
        <v>63</v>
      </c>
      <c r="U1738" t="s">
        <v>42</v>
      </c>
      <c r="V1738">
        <v>0</v>
      </c>
      <c r="W1738">
        <v>100000</v>
      </c>
      <c r="X1738" s="1">
        <v>43982</v>
      </c>
      <c r="Y1738" t="s">
        <v>51</v>
      </c>
      <c r="Z1738" t="s">
        <v>43</v>
      </c>
      <c r="AA1738" t="s">
        <v>41</v>
      </c>
      <c r="AB1738" t="s">
        <v>52</v>
      </c>
      <c r="AC1738" t="s">
        <v>53</v>
      </c>
      <c r="AF1738" t="s">
        <v>54</v>
      </c>
      <c r="AG1738" s="1">
        <v>43832</v>
      </c>
      <c r="AH1738" t="s">
        <v>42</v>
      </c>
      <c r="AI1738" t="s">
        <v>55</v>
      </c>
      <c r="AJ1738">
        <v>12788092</v>
      </c>
      <c r="AK1738">
        <v>250000</v>
      </c>
      <c r="AL1738">
        <v>1500000</v>
      </c>
    </row>
    <row r="1739" spans="1:38" x14ac:dyDescent="0.25">
      <c r="A1739" t="s">
        <v>193</v>
      </c>
      <c r="B1739" t="s">
        <v>487</v>
      </c>
      <c r="C1739" t="s">
        <v>71</v>
      </c>
      <c r="D1739" s="1">
        <v>43116</v>
      </c>
      <c r="E1739" s="1">
        <v>43480</v>
      </c>
      <c r="F1739" t="s">
        <v>41</v>
      </c>
      <c r="G1739">
        <v>1</v>
      </c>
      <c r="H1739" t="s">
        <v>42</v>
      </c>
      <c r="I1739" t="s">
        <v>43</v>
      </c>
      <c r="J1739" t="s">
        <v>41</v>
      </c>
      <c r="K1739" t="s">
        <v>127</v>
      </c>
      <c r="L1739">
        <v>330</v>
      </c>
      <c r="M1739" s="1">
        <v>43116</v>
      </c>
      <c r="N1739" t="s">
        <v>45</v>
      </c>
      <c r="O1739" t="s">
        <v>361</v>
      </c>
      <c r="P1739" t="s">
        <v>47</v>
      </c>
      <c r="Q1739" s="1">
        <v>43852</v>
      </c>
      <c r="R1739" t="s">
        <v>48</v>
      </c>
      <c r="S1739" t="s">
        <v>62</v>
      </c>
      <c r="T1739" t="s">
        <v>63</v>
      </c>
      <c r="U1739" t="s">
        <v>42</v>
      </c>
      <c r="V1739">
        <v>0</v>
      </c>
      <c r="W1739">
        <v>100000</v>
      </c>
      <c r="X1739" s="1">
        <v>43982</v>
      </c>
      <c r="Y1739" t="s">
        <v>51</v>
      </c>
      <c r="Z1739" t="s">
        <v>43</v>
      </c>
      <c r="AA1739" t="s">
        <v>41</v>
      </c>
      <c r="AB1739" t="s">
        <v>52</v>
      </c>
      <c r="AC1739" t="s">
        <v>53</v>
      </c>
      <c r="AF1739" t="s">
        <v>56</v>
      </c>
      <c r="AG1739" s="1">
        <v>43833</v>
      </c>
      <c r="AH1739" t="s">
        <v>42</v>
      </c>
      <c r="AI1739" t="s">
        <v>55</v>
      </c>
      <c r="AJ1739">
        <v>12788092</v>
      </c>
      <c r="AK1739">
        <v>250000</v>
      </c>
      <c r="AL1739">
        <v>1500000</v>
      </c>
    </row>
    <row r="1740" spans="1:38" x14ac:dyDescent="0.25">
      <c r="A1740" t="s">
        <v>193</v>
      </c>
      <c r="B1740" t="s">
        <v>487</v>
      </c>
      <c r="C1740" t="s">
        <v>71</v>
      </c>
      <c r="D1740" s="1">
        <v>43116</v>
      </c>
      <c r="E1740" s="1">
        <v>43480</v>
      </c>
      <c r="F1740" t="s">
        <v>41</v>
      </c>
      <c r="G1740">
        <v>1</v>
      </c>
      <c r="H1740" t="s">
        <v>42</v>
      </c>
      <c r="I1740" t="s">
        <v>43</v>
      </c>
      <c r="J1740" t="s">
        <v>41</v>
      </c>
      <c r="K1740" t="s">
        <v>127</v>
      </c>
      <c r="L1740">
        <v>330</v>
      </c>
      <c r="M1740" s="1">
        <v>43116</v>
      </c>
      <c r="N1740" t="s">
        <v>45</v>
      </c>
      <c r="O1740" t="s">
        <v>361</v>
      </c>
      <c r="P1740" t="s">
        <v>47</v>
      </c>
      <c r="Q1740" s="1">
        <v>43852</v>
      </c>
      <c r="R1740" t="s">
        <v>48</v>
      </c>
      <c r="S1740" t="s">
        <v>62</v>
      </c>
      <c r="T1740" t="s">
        <v>63</v>
      </c>
      <c r="U1740" t="s">
        <v>42</v>
      </c>
      <c r="V1740">
        <v>0</v>
      </c>
      <c r="W1740">
        <v>100000</v>
      </c>
      <c r="X1740" s="1">
        <v>43982</v>
      </c>
      <c r="Y1740" t="s">
        <v>51</v>
      </c>
      <c r="Z1740" t="s">
        <v>43</v>
      </c>
      <c r="AA1740" t="s">
        <v>41</v>
      </c>
      <c r="AB1740" t="s">
        <v>52</v>
      </c>
      <c r="AC1740" t="s">
        <v>53</v>
      </c>
      <c r="AF1740" t="s">
        <v>57</v>
      </c>
      <c r="AG1740" s="1">
        <v>43836</v>
      </c>
      <c r="AH1740" t="s">
        <v>42</v>
      </c>
      <c r="AI1740" t="s">
        <v>55</v>
      </c>
      <c r="AJ1740">
        <v>12788092</v>
      </c>
      <c r="AK1740">
        <v>250000</v>
      </c>
      <c r="AL1740">
        <v>1500000</v>
      </c>
    </row>
    <row r="1741" spans="1:38" x14ac:dyDescent="0.25">
      <c r="A1741" t="s">
        <v>193</v>
      </c>
      <c r="B1741" t="s">
        <v>487</v>
      </c>
      <c r="C1741" t="s">
        <v>71</v>
      </c>
      <c r="D1741" s="1">
        <v>43116</v>
      </c>
      <c r="E1741" s="1">
        <v>43480</v>
      </c>
      <c r="F1741" t="s">
        <v>41</v>
      </c>
      <c r="G1741">
        <v>1</v>
      </c>
      <c r="H1741" t="s">
        <v>42</v>
      </c>
      <c r="I1741" t="s">
        <v>43</v>
      </c>
      <c r="J1741" t="s">
        <v>41</v>
      </c>
      <c r="K1741" t="s">
        <v>127</v>
      </c>
      <c r="L1741">
        <v>330</v>
      </c>
      <c r="M1741" s="1">
        <v>43116</v>
      </c>
      <c r="N1741" t="s">
        <v>45</v>
      </c>
      <c r="O1741" t="s">
        <v>361</v>
      </c>
      <c r="P1741" t="s">
        <v>47</v>
      </c>
      <c r="Q1741" s="1">
        <v>43852</v>
      </c>
      <c r="R1741" t="s">
        <v>48</v>
      </c>
      <c r="S1741" t="s">
        <v>62</v>
      </c>
      <c r="T1741" t="s">
        <v>63</v>
      </c>
      <c r="U1741" t="s">
        <v>42</v>
      </c>
      <c r="V1741">
        <v>0</v>
      </c>
      <c r="W1741">
        <v>100000</v>
      </c>
      <c r="X1741" s="1">
        <v>43982</v>
      </c>
      <c r="Y1741" t="s">
        <v>51</v>
      </c>
      <c r="Z1741" t="s">
        <v>43</v>
      </c>
      <c r="AA1741" t="s">
        <v>41</v>
      </c>
      <c r="AB1741" t="s">
        <v>52</v>
      </c>
      <c r="AC1741" t="s">
        <v>53</v>
      </c>
      <c r="AF1741" t="s">
        <v>58</v>
      </c>
      <c r="AG1741" s="1">
        <v>43837</v>
      </c>
      <c r="AH1741" t="s">
        <v>42</v>
      </c>
      <c r="AI1741" t="s">
        <v>55</v>
      </c>
      <c r="AJ1741">
        <v>12788092</v>
      </c>
      <c r="AK1741">
        <v>250000</v>
      </c>
      <c r="AL1741">
        <v>1500000</v>
      </c>
    </row>
    <row r="1742" spans="1:38" x14ac:dyDescent="0.25">
      <c r="A1742" t="s">
        <v>193</v>
      </c>
      <c r="B1742" t="s">
        <v>487</v>
      </c>
      <c r="C1742" t="s">
        <v>71</v>
      </c>
      <c r="D1742" s="1">
        <v>43116</v>
      </c>
      <c r="E1742" s="1">
        <v>43480</v>
      </c>
      <c r="F1742" t="s">
        <v>41</v>
      </c>
      <c r="G1742">
        <v>1</v>
      </c>
      <c r="H1742" t="s">
        <v>42</v>
      </c>
      <c r="I1742" t="s">
        <v>43</v>
      </c>
      <c r="J1742" t="s">
        <v>41</v>
      </c>
      <c r="K1742" t="s">
        <v>127</v>
      </c>
      <c r="L1742">
        <v>330</v>
      </c>
      <c r="M1742" s="1">
        <v>43116</v>
      </c>
      <c r="N1742" t="s">
        <v>45</v>
      </c>
      <c r="O1742" t="s">
        <v>361</v>
      </c>
      <c r="P1742" t="s">
        <v>47</v>
      </c>
      <c r="Q1742" s="1">
        <v>43852</v>
      </c>
      <c r="R1742" t="s">
        <v>48</v>
      </c>
      <c r="S1742" t="s">
        <v>62</v>
      </c>
      <c r="T1742" t="s">
        <v>63</v>
      </c>
      <c r="U1742" t="s">
        <v>42</v>
      </c>
      <c r="V1742">
        <v>0</v>
      </c>
      <c r="W1742">
        <v>100000</v>
      </c>
      <c r="X1742" s="1">
        <v>43982</v>
      </c>
      <c r="Y1742" t="s">
        <v>51</v>
      </c>
      <c r="Z1742" t="s">
        <v>43</v>
      </c>
      <c r="AA1742" t="s">
        <v>41</v>
      </c>
      <c r="AB1742" t="s">
        <v>52</v>
      </c>
      <c r="AC1742" t="s">
        <v>53</v>
      </c>
      <c r="AF1742" t="s">
        <v>59</v>
      </c>
      <c r="AG1742" s="1">
        <v>43838</v>
      </c>
      <c r="AH1742" t="s">
        <v>42</v>
      </c>
      <c r="AI1742" t="s">
        <v>55</v>
      </c>
      <c r="AJ1742">
        <v>12788092</v>
      </c>
      <c r="AK1742">
        <v>250000</v>
      </c>
      <c r="AL1742">
        <v>1500000</v>
      </c>
    </row>
    <row r="1743" spans="1:38" x14ac:dyDescent="0.25">
      <c r="A1743" t="s">
        <v>193</v>
      </c>
      <c r="B1743" t="s">
        <v>487</v>
      </c>
      <c r="C1743" t="s">
        <v>71</v>
      </c>
      <c r="D1743" s="1">
        <v>43116</v>
      </c>
      <c r="E1743" s="1">
        <v>43480</v>
      </c>
      <c r="F1743" t="s">
        <v>41</v>
      </c>
      <c r="G1743">
        <v>1</v>
      </c>
      <c r="H1743" t="s">
        <v>42</v>
      </c>
      <c r="I1743" t="s">
        <v>43</v>
      </c>
      <c r="J1743" t="s">
        <v>41</v>
      </c>
      <c r="K1743" t="s">
        <v>127</v>
      </c>
      <c r="L1743">
        <v>330</v>
      </c>
      <c r="M1743" s="1">
        <v>43116</v>
      </c>
      <c r="N1743" t="s">
        <v>45</v>
      </c>
      <c r="O1743" t="s">
        <v>361</v>
      </c>
      <c r="P1743" t="s">
        <v>47</v>
      </c>
      <c r="Q1743" s="1">
        <v>43852</v>
      </c>
      <c r="R1743" t="s">
        <v>48</v>
      </c>
      <c r="S1743" t="s">
        <v>64</v>
      </c>
      <c r="T1743" t="s">
        <v>65</v>
      </c>
      <c r="U1743" t="s">
        <v>42</v>
      </c>
      <c r="V1743">
        <v>0</v>
      </c>
      <c r="W1743">
        <v>100000</v>
      </c>
      <c r="X1743" s="1">
        <v>43921</v>
      </c>
      <c r="Y1743" t="s">
        <v>51</v>
      </c>
      <c r="Z1743" t="s">
        <v>43</v>
      </c>
      <c r="AA1743" t="s">
        <v>41</v>
      </c>
      <c r="AB1743" t="s">
        <v>52</v>
      </c>
      <c r="AC1743" t="s">
        <v>53</v>
      </c>
      <c r="AF1743" t="s">
        <v>54</v>
      </c>
      <c r="AG1743" s="1">
        <v>43832</v>
      </c>
      <c r="AH1743" t="s">
        <v>42</v>
      </c>
      <c r="AI1743" t="s">
        <v>55</v>
      </c>
      <c r="AJ1743">
        <v>12788092</v>
      </c>
      <c r="AK1743">
        <v>250000</v>
      </c>
      <c r="AL1743">
        <v>1500000</v>
      </c>
    </row>
    <row r="1744" spans="1:38" x14ac:dyDescent="0.25">
      <c r="A1744" t="s">
        <v>193</v>
      </c>
      <c r="B1744" t="s">
        <v>487</v>
      </c>
      <c r="C1744" t="s">
        <v>71</v>
      </c>
      <c r="D1744" s="1">
        <v>43116</v>
      </c>
      <c r="E1744" s="1">
        <v>43480</v>
      </c>
      <c r="F1744" t="s">
        <v>41</v>
      </c>
      <c r="G1744">
        <v>1</v>
      </c>
      <c r="H1744" t="s">
        <v>42</v>
      </c>
      <c r="I1744" t="s">
        <v>43</v>
      </c>
      <c r="J1744" t="s">
        <v>41</v>
      </c>
      <c r="K1744" t="s">
        <v>127</v>
      </c>
      <c r="L1744">
        <v>330</v>
      </c>
      <c r="M1744" s="1">
        <v>43116</v>
      </c>
      <c r="N1744" t="s">
        <v>45</v>
      </c>
      <c r="O1744" t="s">
        <v>361</v>
      </c>
      <c r="P1744" t="s">
        <v>47</v>
      </c>
      <c r="Q1744" s="1">
        <v>43852</v>
      </c>
      <c r="R1744" t="s">
        <v>48</v>
      </c>
      <c r="S1744" t="s">
        <v>64</v>
      </c>
      <c r="T1744" t="s">
        <v>65</v>
      </c>
      <c r="U1744" t="s">
        <v>42</v>
      </c>
      <c r="V1744">
        <v>0</v>
      </c>
      <c r="W1744">
        <v>100000</v>
      </c>
      <c r="X1744" s="1">
        <v>43921</v>
      </c>
      <c r="Y1744" t="s">
        <v>51</v>
      </c>
      <c r="Z1744" t="s">
        <v>43</v>
      </c>
      <c r="AA1744" t="s">
        <v>41</v>
      </c>
      <c r="AB1744" t="s">
        <v>52</v>
      </c>
      <c r="AC1744" t="s">
        <v>53</v>
      </c>
      <c r="AF1744" t="s">
        <v>56</v>
      </c>
      <c r="AG1744" s="1">
        <v>43833</v>
      </c>
      <c r="AH1744" t="s">
        <v>42</v>
      </c>
      <c r="AI1744" t="s">
        <v>55</v>
      </c>
      <c r="AJ1744">
        <v>12788092</v>
      </c>
      <c r="AK1744">
        <v>250000</v>
      </c>
      <c r="AL1744">
        <v>1500000</v>
      </c>
    </row>
    <row r="1745" spans="1:38" x14ac:dyDescent="0.25">
      <c r="A1745" t="s">
        <v>193</v>
      </c>
      <c r="B1745" t="s">
        <v>487</v>
      </c>
      <c r="C1745" t="s">
        <v>71</v>
      </c>
      <c r="D1745" s="1">
        <v>43116</v>
      </c>
      <c r="E1745" s="1">
        <v>43480</v>
      </c>
      <c r="F1745" t="s">
        <v>41</v>
      </c>
      <c r="G1745">
        <v>1</v>
      </c>
      <c r="H1745" t="s">
        <v>42</v>
      </c>
      <c r="I1745" t="s">
        <v>43</v>
      </c>
      <c r="J1745" t="s">
        <v>41</v>
      </c>
      <c r="K1745" t="s">
        <v>127</v>
      </c>
      <c r="L1745">
        <v>330</v>
      </c>
      <c r="M1745" s="1">
        <v>43116</v>
      </c>
      <c r="N1745" t="s">
        <v>45</v>
      </c>
      <c r="O1745" t="s">
        <v>361</v>
      </c>
      <c r="P1745" t="s">
        <v>47</v>
      </c>
      <c r="Q1745" s="1">
        <v>43852</v>
      </c>
      <c r="R1745" t="s">
        <v>48</v>
      </c>
      <c r="S1745" t="s">
        <v>64</v>
      </c>
      <c r="T1745" t="s">
        <v>65</v>
      </c>
      <c r="U1745" t="s">
        <v>42</v>
      </c>
      <c r="V1745">
        <v>0</v>
      </c>
      <c r="W1745">
        <v>100000</v>
      </c>
      <c r="X1745" s="1">
        <v>43921</v>
      </c>
      <c r="Y1745" t="s">
        <v>51</v>
      </c>
      <c r="Z1745" t="s">
        <v>43</v>
      </c>
      <c r="AA1745" t="s">
        <v>41</v>
      </c>
      <c r="AB1745" t="s">
        <v>52</v>
      </c>
      <c r="AC1745" t="s">
        <v>53</v>
      </c>
      <c r="AF1745" t="s">
        <v>57</v>
      </c>
      <c r="AG1745" s="1">
        <v>43836</v>
      </c>
      <c r="AH1745" t="s">
        <v>42</v>
      </c>
      <c r="AI1745" t="s">
        <v>55</v>
      </c>
      <c r="AJ1745">
        <v>12788092</v>
      </c>
      <c r="AK1745">
        <v>250000</v>
      </c>
      <c r="AL1745">
        <v>1500000</v>
      </c>
    </row>
    <row r="1746" spans="1:38" x14ac:dyDescent="0.25">
      <c r="A1746" t="s">
        <v>193</v>
      </c>
      <c r="B1746" t="s">
        <v>487</v>
      </c>
      <c r="C1746" t="s">
        <v>71</v>
      </c>
      <c r="D1746" s="1">
        <v>43116</v>
      </c>
      <c r="E1746" s="1">
        <v>43480</v>
      </c>
      <c r="F1746" t="s">
        <v>41</v>
      </c>
      <c r="G1746">
        <v>1</v>
      </c>
      <c r="H1746" t="s">
        <v>42</v>
      </c>
      <c r="I1746" t="s">
        <v>43</v>
      </c>
      <c r="J1746" t="s">
        <v>41</v>
      </c>
      <c r="K1746" t="s">
        <v>127</v>
      </c>
      <c r="L1746">
        <v>330</v>
      </c>
      <c r="M1746" s="1">
        <v>43116</v>
      </c>
      <c r="N1746" t="s">
        <v>45</v>
      </c>
      <c r="O1746" t="s">
        <v>361</v>
      </c>
      <c r="P1746" t="s">
        <v>47</v>
      </c>
      <c r="Q1746" s="1">
        <v>43852</v>
      </c>
      <c r="R1746" t="s">
        <v>48</v>
      </c>
      <c r="S1746" t="s">
        <v>64</v>
      </c>
      <c r="T1746" t="s">
        <v>65</v>
      </c>
      <c r="U1746" t="s">
        <v>42</v>
      </c>
      <c r="V1746">
        <v>0</v>
      </c>
      <c r="W1746">
        <v>100000</v>
      </c>
      <c r="X1746" s="1">
        <v>43921</v>
      </c>
      <c r="Y1746" t="s">
        <v>51</v>
      </c>
      <c r="Z1746" t="s">
        <v>43</v>
      </c>
      <c r="AA1746" t="s">
        <v>41</v>
      </c>
      <c r="AB1746" t="s">
        <v>52</v>
      </c>
      <c r="AC1746" t="s">
        <v>53</v>
      </c>
      <c r="AF1746" t="s">
        <v>58</v>
      </c>
      <c r="AG1746" s="1">
        <v>43837</v>
      </c>
      <c r="AH1746" t="s">
        <v>42</v>
      </c>
      <c r="AI1746" t="s">
        <v>55</v>
      </c>
      <c r="AJ1746">
        <v>12788092</v>
      </c>
      <c r="AK1746">
        <v>250000</v>
      </c>
      <c r="AL1746">
        <v>1500000</v>
      </c>
    </row>
    <row r="1747" spans="1:38" x14ac:dyDescent="0.25">
      <c r="A1747" t="s">
        <v>193</v>
      </c>
      <c r="B1747" t="s">
        <v>487</v>
      </c>
      <c r="C1747" t="s">
        <v>71</v>
      </c>
      <c r="D1747" s="1">
        <v>43116</v>
      </c>
      <c r="E1747" s="1">
        <v>43480</v>
      </c>
      <c r="F1747" t="s">
        <v>41</v>
      </c>
      <c r="G1747">
        <v>1</v>
      </c>
      <c r="H1747" t="s">
        <v>42</v>
      </c>
      <c r="I1747" t="s">
        <v>43</v>
      </c>
      <c r="J1747" t="s">
        <v>41</v>
      </c>
      <c r="K1747" t="s">
        <v>127</v>
      </c>
      <c r="L1747">
        <v>330</v>
      </c>
      <c r="M1747" s="1">
        <v>43116</v>
      </c>
      <c r="N1747" t="s">
        <v>45</v>
      </c>
      <c r="O1747" t="s">
        <v>361</v>
      </c>
      <c r="P1747" t="s">
        <v>47</v>
      </c>
      <c r="Q1747" s="1">
        <v>43852</v>
      </c>
      <c r="R1747" t="s">
        <v>48</v>
      </c>
      <c r="S1747" t="s">
        <v>64</v>
      </c>
      <c r="T1747" t="s">
        <v>65</v>
      </c>
      <c r="U1747" t="s">
        <v>42</v>
      </c>
      <c r="V1747">
        <v>0</v>
      </c>
      <c r="W1747">
        <v>100000</v>
      </c>
      <c r="X1747" s="1">
        <v>43921</v>
      </c>
      <c r="Y1747" t="s">
        <v>51</v>
      </c>
      <c r="Z1747" t="s">
        <v>43</v>
      </c>
      <c r="AA1747" t="s">
        <v>41</v>
      </c>
      <c r="AB1747" t="s">
        <v>52</v>
      </c>
      <c r="AC1747" t="s">
        <v>53</v>
      </c>
      <c r="AF1747" t="s">
        <v>59</v>
      </c>
      <c r="AG1747" s="1">
        <v>43838</v>
      </c>
      <c r="AH1747" t="s">
        <v>42</v>
      </c>
      <c r="AI1747" t="s">
        <v>55</v>
      </c>
      <c r="AJ1747">
        <v>12788092</v>
      </c>
      <c r="AK1747">
        <v>250000</v>
      </c>
      <c r="AL1747">
        <v>1500000</v>
      </c>
    </row>
    <row r="1748" spans="1:38" x14ac:dyDescent="0.25">
      <c r="A1748" t="s">
        <v>195</v>
      </c>
      <c r="B1748" t="s">
        <v>488</v>
      </c>
      <c r="C1748" t="s">
        <v>40</v>
      </c>
      <c r="D1748" s="1">
        <v>43709</v>
      </c>
      <c r="E1748" s="1">
        <v>44074</v>
      </c>
      <c r="F1748" t="s">
        <v>72</v>
      </c>
      <c r="G1748">
        <v>1</v>
      </c>
      <c r="H1748" t="s">
        <v>42</v>
      </c>
      <c r="I1748" t="s">
        <v>43</v>
      </c>
      <c r="J1748" t="s">
        <v>115</v>
      </c>
      <c r="K1748" t="s">
        <v>44</v>
      </c>
      <c r="L1748">
        <v>20327.63</v>
      </c>
      <c r="M1748" s="1">
        <v>43709</v>
      </c>
      <c r="N1748" t="s">
        <v>45</v>
      </c>
      <c r="O1748" t="s">
        <v>44</v>
      </c>
      <c r="P1748" t="s">
        <v>47</v>
      </c>
      <c r="Q1748" s="1">
        <v>43852</v>
      </c>
      <c r="R1748" t="s">
        <v>48</v>
      </c>
    </row>
    <row r="1749" spans="1:38" x14ac:dyDescent="0.25">
      <c r="A1749" t="s">
        <v>197</v>
      </c>
      <c r="B1749" s="2">
        <v>3.10304E+17</v>
      </c>
      <c r="C1749" t="s">
        <v>71</v>
      </c>
      <c r="D1749" s="1">
        <v>43344</v>
      </c>
      <c r="E1749" s="1">
        <v>43708</v>
      </c>
      <c r="F1749" t="s">
        <v>72</v>
      </c>
      <c r="G1749">
        <v>1</v>
      </c>
      <c r="H1749" t="s">
        <v>42</v>
      </c>
      <c r="I1749" t="s">
        <v>43</v>
      </c>
      <c r="J1749" t="s">
        <v>115</v>
      </c>
      <c r="K1749" t="s">
        <v>44</v>
      </c>
      <c r="L1749">
        <v>2164.3000000000002</v>
      </c>
      <c r="M1749" s="1">
        <v>43344</v>
      </c>
      <c r="N1749" t="s">
        <v>45</v>
      </c>
      <c r="O1749" t="s">
        <v>46</v>
      </c>
      <c r="P1749" t="s">
        <v>47</v>
      </c>
      <c r="Q1749" s="1">
        <v>43852</v>
      </c>
      <c r="R1749" t="s">
        <v>48</v>
      </c>
    </row>
    <row r="1750" spans="1:38" x14ac:dyDescent="0.25">
      <c r="A1750" t="s">
        <v>198</v>
      </c>
      <c r="B1750" t="s">
        <v>489</v>
      </c>
      <c r="C1750" t="s">
        <v>40</v>
      </c>
      <c r="D1750" s="1">
        <v>43709</v>
      </c>
      <c r="E1750" s="1">
        <v>44074</v>
      </c>
      <c r="F1750" t="s">
        <v>72</v>
      </c>
      <c r="G1750">
        <v>1</v>
      </c>
      <c r="H1750" t="s">
        <v>42</v>
      </c>
      <c r="I1750" t="s">
        <v>43</v>
      </c>
      <c r="J1750" t="s">
        <v>115</v>
      </c>
      <c r="K1750" t="s">
        <v>44</v>
      </c>
      <c r="L1750">
        <v>27258.799999999999</v>
      </c>
      <c r="M1750" s="1">
        <v>43709</v>
      </c>
      <c r="N1750" t="s">
        <v>45</v>
      </c>
      <c r="O1750" t="s">
        <v>44</v>
      </c>
      <c r="P1750" t="s">
        <v>47</v>
      </c>
      <c r="Q1750" s="1">
        <v>43852</v>
      </c>
      <c r="R1750" t="s">
        <v>48</v>
      </c>
    </row>
    <row r="1751" spans="1:38" x14ac:dyDescent="0.25">
      <c r="A1751" t="s">
        <v>200</v>
      </c>
      <c r="B1751" s="2">
        <v>3.10304E+17</v>
      </c>
      <c r="C1751" t="s">
        <v>71</v>
      </c>
      <c r="D1751" s="1">
        <v>43344</v>
      </c>
      <c r="E1751" s="1">
        <v>43708</v>
      </c>
      <c r="F1751" t="s">
        <v>72</v>
      </c>
      <c r="G1751">
        <v>1</v>
      </c>
      <c r="H1751" t="s">
        <v>42</v>
      </c>
      <c r="I1751" t="s">
        <v>43</v>
      </c>
      <c r="J1751" t="s">
        <v>115</v>
      </c>
      <c r="K1751" t="s">
        <v>44</v>
      </c>
      <c r="L1751">
        <v>5105.2</v>
      </c>
      <c r="M1751" s="1">
        <v>43344</v>
      </c>
      <c r="N1751" t="s">
        <v>45</v>
      </c>
      <c r="O1751" t="s">
        <v>46</v>
      </c>
      <c r="P1751" t="s">
        <v>47</v>
      </c>
      <c r="Q1751" s="1">
        <v>43852</v>
      </c>
      <c r="R1751" t="s">
        <v>48</v>
      </c>
    </row>
    <row r="1752" spans="1:38" x14ac:dyDescent="0.25">
      <c r="A1752" t="s">
        <v>202</v>
      </c>
      <c r="B1752" t="s">
        <v>490</v>
      </c>
      <c r="C1752" t="s">
        <v>40</v>
      </c>
      <c r="D1752" s="1">
        <v>43847</v>
      </c>
      <c r="E1752" s="1">
        <v>43852</v>
      </c>
      <c r="F1752" t="s">
        <v>84</v>
      </c>
      <c r="G1752">
        <v>1</v>
      </c>
      <c r="H1752" t="s">
        <v>42</v>
      </c>
      <c r="I1752" t="s">
        <v>43</v>
      </c>
      <c r="J1752" t="s">
        <v>122</v>
      </c>
      <c r="K1752" t="s">
        <v>127</v>
      </c>
      <c r="L1752">
        <v>95.85</v>
      </c>
      <c r="M1752" s="1">
        <v>43847</v>
      </c>
      <c r="N1752" t="s">
        <v>45</v>
      </c>
      <c r="O1752" t="s">
        <v>46</v>
      </c>
      <c r="P1752" t="s">
        <v>47</v>
      </c>
      <c r="Q1752" s="1">
        <v>43852</v>
      </c>
      <c r="R1752" t="s">
        <v>48</v>
      </c>
      <c r="S1752" t="s">
        <v>491</v>
      </c>
      <c r="T1752" t="s">
        <v>492</v>
      </c>
      <c r="U1752" t="s">
        <v>42</v>
      </c>
      <c r="V1752">
        <v>200000</v>
      </c>
      <c r="W1752">
        <v>30000</v>
      </c>
      <c r="X1752" s="1">
        <v>43921</v>
      </c>
      <c r="Y1752" t="s">
        <v>51</v>
      </c>
      <c r="Z1752" t="s">
        <v>43</v>
      </c>
      <c r="AA1752" t="s">
        <v>86</v>
      </c>
      <c r="AB1752" t="s">
        <v>89</v>
      </c>
      <c r="AC1752" t="s">
        <v>101</v>
      </c>
      <c r="AF1752" t="s">
        <v>54</v>
      </c>
      <c r="AG1752" s="1">
        <v>43832</v>
      </c>
      <c r="AH1752" t="s">
        <v>42</v>
      </c>
      <c r="AI1752" t="s">
        <v>55</v>
      </c>
      <c r="AJ1752">
        <v>12788092</v>
      </c>
      <c r="AK1752">
        <v>250000</v>
      </c>
      <c r="AL1752">
        <v>1500000</v>
      </c>
    </row>
    <row r="1753" spans="1:38" x14ac:dyDescent="0.25">
      <c r="A1753" t="s">
        <v>202</v>
      </c>
      <c r="B1753" t="s">
        <v>490</v>
      </c>
      <c r="C1753" t="s">
        <v>40</v>
      </c>
      <c r="D1753" s="1">
        <v>43847</v>
      </c>
      <c r="E1753" s="1">
        <v>43852</v>
      </c>
      <c r="F1753" t="s">
        <v>84</v>
      </c>
      <c r="G1753">
        <v>1</v>
      </c>
      <c r="H1753" t="s">
        <v>42</v>
      </c>
      <c r="I1753" t="s">
        <v>43</v>
      </c>
      <c r="J1753" t="s">
        <v>122</v>
      </c>
      <c r="K1753" t="s">
        <v>127</v>
      </c>
      <c r="L1753">
        <v>95.85</v>
      </c>
      <c r="M1753" s="1">
        <v>43847</v>
      </c>
      <c r="N1753" t="s">
        <v>45</v>
      </c>
      <c r="O1753" t="s">
        <v>46</v>
      </c>
      <c r="P1753" t="s">
        <v>47</v>
      </c>
      <c r="Q1753" s="1">
        <v>43852</v>
      </c>
      <c r="R1753" t="s">
        <v>48</v>
      </c>
      <c r="S1753" t="s">
        <v>491</v>
      </c>
      <c r="T1753" t="s">
        <v>492</v>
      </c>
      <c r="U1753" t="s">
        <v>42</v>
      </c>
      <c r="V1753">
        <v>200000</v>
      </c>
      <c r="W1753">
        <v>30000</v>
      </c>
      <c r="X1753" s="1">
        <v>43921</v>
      </c>
      <c r="Y1753" t="s">
        <v>51</v>
      </c>
      <c r="Z1753" t="s">
        <v>43</v>
      </c>
      <c r="AA1753" t="s">
        <v>86</v>
      </c>
      <c r="AB1753" t="s">
        <v>89</v>
      </c>
      <c r="AC1753" t="s">
        <v>101</v>
      </c>
      <c r="AF1753" t="s">
        <v>56</v>
      </c>
      <c r="AG1753" s="1">
        <v>43833</v>
      </c>
      <c r="AH1753" t="s">
        <v>42</v>
      </c>
      <c r="AI1753" t="s">
        <v>55</v>
      </c>
      <c r="AJ1753">
        <v>12788092</v>
      </c>
      <c r="AK1753">
        <v>250000</v>
      </c>
      <c r="AL1753">
        <v>1500000</v>
      </c>
    </row>
    <row r="1754" spans="1:38" x14ac:dyDescent="0.25">
      <c r="A1754" t="s">
        <v>202</v>
      </c>
      <c r="B1754" t="s">
        <v>490</v>
      </c>
      <c r="C1754" t="s">
        <v>40</v>
      </c>
      <c r="D1754" s="1">
        <v>43847</v>
      </c>
      <c r="E1754" s="1">
        <v>43852</v>
      </c>
      <c r="F1754" t="s">
        <v>84</v>
      </c>
      <c r="G1754">
        <v>1</v>
      </c>
      <c r="H1754" t="s">
        <v>42</v>
      </c>
      <c r="I1754" t="s">
        <v>43</v>
      </c>
      <c r="J1754" t="s">
        <v>122</v>
      </c>
      <c r="K1754" t="s">
        <v>127</v>
      </c>
      <c r="L1754">
        <v>95.85</v>
      </c>
      <c r="M1754" s="1">
        <v>43847</v>
      </c>
      <c r="N1754" t="s">
        <v>45</v>
      </c>
      <c r="O1754" t="s">
        <v>46</v>
      </c>
      <c r="P1754" t="s">
        <v>47</v>
      </c>
      <c r="Q1754" s="1">
        <v>43852</v>
      </c>
      <c r="R1754" t="s">
        <v>48</v>
      </c>
      <c r="S1754" t="s">
        <v>491</v>
      </c>
      <c r="T1754" t="s">
        <v>492</v>
      </c>
      <c r="U1754" t="s">
        <v>42</v>
      </c>
      <c r="V1754">
        <v>200000</v>
      </c>
      <c r="W1754">
        <v>30000</v>
      </c>
      <c r="X1754" s="1">
        <v>43921</v>
      </c>
      <c r="Y1754" t="s">
        <v>51</v>
      </c>
      <c r="Z1754" t="s">
        <v>43</v>
      </c>
      <c r="AA1754" t="s">
        <v>86</v>
      </c>
      <c r="AB1754" t="s">
        <v>89</v>
      </c>
      <c r="AC1754" t="s">
        <v>101</v>
      </c>
      <c r="AF1754" t="s">
        <v>57</v>
      </c>
      <c r="AG1754" s="1">
        <v>43836</v>
      </c>
      <c r="AH1754" t="s">
        <v>42</v>
      </c>
      <c r="AI1754" t="s">
        <v>55</v>
      </c>
      <c r="AJ1754">
        <v>12788092</v>
      </c>
      <c r="AK1754">
        <v>250000</v>
      </c>
      <c r="AL1754">
        <v>1500000</v>
      </c>
    </row>
    <row r="1755" spans="1:38" x14ac:dyDescent="0.25">
      <c r="A1755" t="s">
        <v>202</v>
      </c>
      <c r="B1755" t="s">
        <v>490</v>
      </c>
      <c r="C1755" t="s">
        <v>40</v>
      </c>
      <c r="D1755" s="1">
        <v>43847</v>
      </c>
      <c r="E1755" s="1">
        <v>43852</v>
      </c>
      <c r="F1755" t="s">
        <v>84</v>
      </c>
      <c r="G1755">
        <v>1</v>
      </c>
      <c r="H1755" t="s">
        <v>42</v>
      </c>
      <c r="I1755" t="s">
        <v>43</v>
      </c>
      <c r="J1755" t="s">
        <v>122</v>
      </c>
      <c r="K1755" t="s">
        <v>127</v>
      </c>
      <c r="L1755">
        <v>95.85</v>
      </c>
      <c r="M1755" s="1">
        <v>43847</v>
      </c>
      <c r="N1755" t="s">
        <v>45</v>
      </c>
      <c r="O1755" t="s">
        <v>46</v>
      </c>
      <c r="P1755" t="s">
        <v>47</v>
      </c>
      <c r="Q1755" s="1">
        <v>43852</v>
      </c>
      <c r="R1755" t="s">
        <v>48</v>
      </c>
      <c r="S1755" t="s">
        <v>491</v>
      </c>
      <c r="T1755" t="s">
        <v>492</v>
      </c>
      <c r="U1755" t="s">
        <v>42</v>
      </c>
      <c r="V1755">
        <v>200000</v>
      </c>
      <c r="W1755">
        <v>30000</v>
      </c>
      <c r="X1755" s="1">
        <v>43921</v>
      </c>
      <c r="Y1755" t="s">
        <v>51</v>
      </c>
      <c r="Z1755" t="s">
        <v>43</v>
      </c>
      <c r="AA1755" t="s">
        <v>86</v>
      </c>
      <c r="AB1755" t="s">
        <v>89</v>
      </c>
      <c r="AC1755" t="s">
        <v>101</v>
      </c>
      <c r="AF1755" t="s">
        <v>58</v>
      </c>
      <c r="AG1755" s="1">
        <v>43837</v>
      </c>
      <c r="AH1755" t="s">
        <v>42</v>
      </c>
      <c r="AI1755" t="s">
        <v>55</v>
      </c>
      <c r="AJ1755">
        <v>12788092</v>
      </c>
      <c r="AK1755">
        <v>250000</v>
      </c>
      <c r="AL1755">
        <v>1500000</v>
      </c>
    </row>
    <row r="1756" spans="1:38" x14ac:dyDescent="0.25">
      <c r="A1756" t="s">
        <v>202</v>
      </c>
      <c r="B1756" t="s">
        <v>490</v>
      </c>
      <c r="C1756" t="s">
        <v>40</v>
      </c>
      <c r="D1756" s="1">
        <v>43847</v>
      </c>
      <c r="E1756" s="1">
        <v>43852</v>
      </c>
      <c r="F1756" t="s">
        <v>84</v>
      </c>
      <c r="G1756">
        <v>1</v>
      </c>
      <c r="H1756" t="s">
        <v>42</v>
      </c>
      <c r="I1756" t="s">
        <v>43</v>
      </c>
      <c r="J1756" t="s">
        <v>122</v>
      </c>
      <c r="K1756" t="s">
        <v>127</v>
      </c>
      <c r="L1756">
        <v>95.85</v>
      </c>
      <c r="M1756" s="1">
        <v>43847</v>
      </c>
      <c r="N1756" t="s">
        <v>45</v>
      </c>
      <c r="O1756" t="s">
        <v>46</v>
      </c>
      <c r="P1756" t="s">
        <v>47</v>
      </c>
      <c r="Q1756" s="1">
        <v>43852</v>
      </c>
      <c r="R1756" t="s">
        <v>48</v>
      </c>
      <c r="S1756" t="s">
        <v>491</v>
      </c>
      <c r="T1756" t="s">
        <v>492</v>
      </c>
      <c r="U1756" t="s">
        <v>42</v>
      </c>
      <c r="V1756">
        <v>200000</v>
      </c>
      <c r="W1756">
        <v>30000</v>
      </c>
      <c r="X1756" s="1">
        <v>43921</v>
      </c>
      <c r="Y1756" t="s">
        <v>51</v>
      </c>
      <c r="Z1756" t="s">
        <v>43</v>
      </c>
      <c r="AA1756" t="s">
        <v>86</v>
      </c>
      <c r="AB1756" t="s">
        <v>89</v>
      </c>
      <c r="AC1756" t="s">
        <v>101</v>
      </c>
      <c r="AF1756" t="s">
        <v>59</v>
      </c>
      <c r="AG1756" s="1">
        <v>43838</v>
      </c>
      <c r="AH1756" t="s">
        <v>42</v>
      </c>
      <c r="AI1756" t="s">
        <v>55</v>
      </c>
      <c r="AJ1756">
        <v>12788092</v>
      </c>
      <c r="AK1756">
        <v>250000</v>
      </c>
      <c r="AL1756">
        <v>1500000</v>
      </c>
    </row>
    <row r="1757" spans="1:38" x14ac:dyDescent="0.25">
      <c r="A1757" t="s">
        <v>202</v>
      </c>
      <c r="B1757" t="s">
        <v>490</v>
      </c>
      <c r="C1757" t="s">
        <v>40</v>
      </c>
      <c r="D1757" s="1">
        <v>43847</v>
      </c>
      <c r="E1757" s="1">
        <v>43852</v>
      </c>
      <c r="F1757" t="s">
        <v>84</v>
      </c>
      <c r="G1757">
        <v>1</v>
      </c>
      <c r="H1757" t="s">
        <v>42</v>
      </c>
      <c r="I1757" t="s">
        <v>43</v>
      </c>
      <c r="J1757" t="s">
        <v>122</v>
      </c>
      <c r="K1757" t="s">
        <v>127</v>
      </c>
      <c r="L1757">
        <v>95.85</v>
      </c>
      <c r="M1757" s="1">
        <v>43847</v>
      </c>
      <c r="N1757" t="s">
        <v>45</v>
      </c>
      <c r="O1757" t="s">
        <v>46</v>
      </c>
      <c r="P1757" t="s">
        <v>47</v>
      </c>
      <c r="Q1757" s="1">
        <v>43852</v>
      </c>
      <c r="R1757" t="s">
        <v>48</v>
      </c>
      <c r="S1757" t="s">
        <v>493</v>
      </c>
      <c r="T1757" t="s">
        <v>494</v>
      </c>
      <c r="U1757" t="s">
        <v>42</v>
      </c>
      <c r="V1757">
        <v>0</v>
      </c>
      <c r="W1757">
        <v>125000</v>
      </c>
      <c r="X1757" s="1">
        <v>44012</v>
      </c>
      <c r="Y1757" t="s">
        <v>51</v>
      </c>
      <c r="Z1757" t="s">
        <v>43</v>
      </c>
      <c r="AA1757" t="s">
        <v>86</v>
      </c>
      <c r="AB1757" t="s">
        <v>89</v>
      </c>
      <c r="AC1757" t="s">
        <v>90</v>
      </c>
      <c r="AF1757" t="s">
        <v>54</v>
      </c>
      <c r="AG1757" s="1">
        <v>43832</v>
      </c>
      <c r="AH1757" t="s">
        <v>42</v>
      </c>
      <c r="AI1757" t="s">
        <v>55</v>
      </c>
      <c r="AJ1757">
        <v>12788092</v>
      </c>
      <c r="AK1757">
        <v>250000</v>
      </c>
      <c r="AL1757">
        <v>1500000</v>
      </c>
    </row>
    <row r="1758" spans="1:38" x14ac:dyDescent="0.25">
      <c r="A1758" t="s">
        <v>202</v>
      </c>
      <c r="B1758" t="s">
        <v>490</v>
      </c>
      <c r="C1758" t="s">
        <v>40</v>
      </c>
      <c r="D1758" s="1">
        <v>43847</v>
      </c>
      <c r="E1758" s="1">
        <v>43852</v>
      </c>
      <c r="F1758" t="s">
        <v>84</v>
      </c>
      <c r="G1758">
        <v>1</v>
      </c>
      <c r="H1758" t="s">
        <v>42</v>
      </c>
      <c r="I1758" t="s">
        <v>43</v>
      </c>
      <c r="J1758" t="s">
        <v>122</v>
      </c>
      <c r="K1758" t="s">
        <v>127</v>
      </c>
      <c r="L1758">
        <v>95.85</v>
      </c>
      <c r="M1758" s="1">
        <v>43847</v>
      </c>
      <c r="N1758" t="s">
        <v>45</v>
      </c>
      <c r="O1758" t="s">
        <v>46</v>
      </c>
      <c r="P1758" t="s">
        <v>47</v>
      </c>
      <c r="Q1758" s="1">
        <v>43852</v>
      </c>
      <c r="R1758" t="s">
        <v>48</v>
      </c>
      <c r="S1758" t="s">
        <v>493</v>
      </c>
      <c r="T1758" t="s">
        <v>494</v>
      </c>
      <c r="U1758" t="s">
        <v>42</v>
      </c>
      <c r="V1758">
        <v>0</v>
      </c>
      <c r="W1758">
        <v>125000</v>
      </c>
      <c r="X1758" s="1">
        <v>44012</v>
      </c>
      <c r="Y1758" t="s">
        <v>51</v>
      </c>
      <c r="Z1758" t="s">
        <v>43</v>
      </c>
      <c r="AA1758" t="s">
        <v>86</v>
      </c>
      <c r="AB1758" t="s">
        <v>89</v>
      </c>
      <c r="AC1758" t="s">
        <v>90</v>
      </c>
      <c r="AF1758" t="s">
        <v>56</v>
      </c>
      <c r="AG1758" s="1">
        <v>43833</v>
      </c>
      <c r="AH1758" t="s">
        <v>42</v>
      </c>
      <c r="AI1758" t="s">
        <v>55</v>
      </c>
      <c r="AJ1758">
        <v>12788092</v>
      </c>
      <c r="AK1758">
        <v>250000</v>
      </c>
      <c r="AL1758">
        <v>1500000</v>
      </c>
    </row>
    <row r="1759" spans="1:38" x14ac:dyDescent="0.25">
      <c r="A1759" t="s">
        <v>202</v>
      </c>
      <c r="B1759" t="s">
        <v>490</v>
      </c>
      <c r="C1759" t="s">
        <v>40</v>
      </c>
      <c r="D1759" s="1">
        <v>43847</v>
      </c>
      <c r="E1759" s="1">
        <v>43852</v>
      </c>
      <c r="F1759" t="s">
        <v>84</v>
      </c>
      <c r="G1759">
        <v>1</v>
      </c>
      <c r="H1759" t="s">
        <v>42</v>
      </c>
      <c r="I1759" t="s">
        <v>43</v>
      </c>
      <c r="J1759" t="s">
        <v>122</v>
      </c>
      <c r="K1759" t="s">
        <v>127</v>
      </c>
      <c r="L1759">
        <v>95.85</v>
      </c>
      <c r="M1759" s="1">
        <v>43847</v>
      </c>
      <c r="N1759" t="s">
        <v>45</v>
      </c>
      <c r="O1759" t="s">
        <v>46</v>
      </c>
      <c r="P1759" t="s">
        <v>47</v>
      </c>
      <c r="Q1759" s="1">
        <v>43852</v>
      </c>
      <c r="R1759" t="s">
        <v>48</v>
      </c>
      <c r="S1759" t="s">
        <v>493</v>
      </c>
      <c r="T1759" t="s">
        <v>494</v>
      </c>
      <c r="U1759" t="s">
        <v>42</v>
      </c>
      <c r="V1759">
        <v>0</v>
      </c>
      <c r="W1759">
        <v>125000</v>
      </c>
      <c r="X1759" s="1">
        <v>44012</v>
      </c>
      <c r="Y1759" t="s">
        <v>51</v>
      </c>
      <c r="Z1759" t="s">
        <v>43</v>
      </c>
      <c r="AA1759" t="s">
        <v>86</v>
      </c>
      <c r="AB1759" t="s">
        <v>89</v>
      </c>
      <c r="AC1759" t="s">
        <v>90</v>
      </c>
      <c r="AF1759" t="s">
        <v>57</v>
      </c>
      <c r="AG1759" s="1">
        <v>43836</v>
      </c>
      <c r="AH1759" t="s">
        <v>42</v>
      </c>
      <c r="AI1759" t="s">
        <v>55</v>
      </c>
      <c r="AJ1759">
        <v>12788092</v>
      </c>
      <c r="AK1759">
        <v>250000</v>
      </c>
      <c r="AL1759">
        <v>1500000</v>
      </c>
    </row>
    <row r="1760" spans="1:38" x14ac:dyDescent="0.25">
      <c r="A1760" t="s">
        <v>202</v>
      </c>
      <c r="B1760" t="s">
        <v>490</v>
      </c>
      <c r="C1760" t="s">
        <v>40</v>
      </c>
      <c r="D1760" s="1">
        <v>43847</v>
      </c>
      <c r="E1760" s="1">
        <v>43852</v>
      </c>
      <c r="F1760" t="s">
        <v>84</v>
      </c>
      <c r="G1760">
        <v>1</v>
      </c>
      <c r="H1760" t="s">
        <v>42</v>
      </c>
      <c r="I1760" t="s">
        <v>43</v>
      </c>
      <c r="J1760" t="s">
        <v>122</v>
      </c>
      <c r="K1760" t="s">
        <v>127</v>
      </c>
      <c r="L1760">
        <v>95.85</v>
      </c>
      <c r="M1760" s="1">
        <v>43847</v>
      </c>
      <c r="N1760" t="s">
        <v>45</v>
      </c>
      <c r="O1760" t="s">
        <v>46</v>
      </c>
      <c r="P1760" t="s">
        <v>47</v>
      </c>
      <c r="Q1760" s="1">
        <v>43852</v>
      </c>
      <c r="R1760" t="s">
        <v>48</v>
      </c>
      <c r="S1760" t="s">
        <v>493</v>
      </c>
      <c r="T1760" t="s">
        <v>494</v>
      </c>
      <c r="U1760" t="s">
        <v>42</v>
      </c>
      <c r="V1760">
        <v>0</v>
      </c>
      <c r="W1760">
        <v>125000</v>
      </c>
      <c r="X1760" s="1">
        <v>44012</v>
      </c>
      <c r="Y1760" t="s">
        <v>51</v>
      </c>
      <c r="Z1760" t="s">
        <v>43</v>
      </c>
      <c r="AA1760" t="s">
        <v>86</v>
      </c>
      <c r="AB1760" t="s">
        <v>89</v>
      </c>
      <c r="AC1760" t="s">
        <v>90</v>
      </c>
      <c r="AF1760" t="s">
        <v>58</v>
      </c>
      <c r="AG1760" s="1">
        <v>43837</v>
      </c>
      <c r="AH1760" t="s">
        <v>42</v>
      </c>
      <c r="AI1760" t="s">
        <v>55</v>
      </c>
      <c r="AJ1760">
        <v>12788092</v>
      </c>
      <c r="AK1760">
        <v>250000</v>
      </c>
      <c r="AL1760">
        <v>1500000</v>
      </c>
    </row>
    <row r="1761" spans="1:38" x14ac:dyDescent="0.25">
      <c r="A1761" t="s">
        <v>202</v>
      </c>
      <c r="B1761" t="s">
        <v>490</v>
      </c>
      <c r="C1761" t="s">
        <v>40</v>
      </c>
      <c r="D1761" s="1">
        <v>43847</v>
      </c>
      <c r="E1761" s="1">
        <v>43852</v>
      </c>
      <c r="F1761" t="s">
        <v>84</v>
      </c>
      <c r="G1761">
        <v>1</v>
      </c>
      <c r="H1761" t="s">
        <v>42</v>
      </c>
      <c r="I1761" t="s">
        <v>43</v>
      </c>
      <c r="J1761" t="s">
        <v>122</v>
      </c>
      <c r="K1761" t="s">
        <v>127</v>
      </c>
      <c r="L1761">
        <v>95.85</v>
      </c>
      <c r="M1761" s="1">
        <v>43847</v>
      </c>
      <c r="N1761" t="s">
        <v>45</v>
      </c>
      <c r="O1761" t="s">
        <v>46</v>
      </c>
      <c r="P1761" t="s">
        <v>47</v>
      </c>
      <c r="Q1761" s="1">
        <v>43852</v>
      </c>
      <c r="R1761" t="s">
        <v>48</v>
      </c>
      <c r="S1761" t="s">
        <v>493</v>
      </c>
      <c r="T1761" t="s">
        <v>494</v>
      </c>
      <c r="U1761" t="s">
        <v>42</v>
      </c>
      <c r="V1761">
        <v>0</v>
      </c>
      <c r="W1761">
        <v>125000</v>
      </c>
      <c r="X1761" s="1">
        <v>44012</v>
      </c>
      <c r="Y1761" t="s">
        <v>51</v>
      </c>
      <c r="Z1761" t="s">
        <v>43</v>
      </c>
      <c r="AA1761" t="s">
        <v>86</v>
      </c>
      <c r="AB1761" t="s">
        <v>89</v>
      </c>
      <c r="AC1761" t="s">
        <v>90</v>
      </c>
      <c r="AF1761" t="s">
        <v>59</v>
      </c>
      <c r="AG1761" s="1">
        <v>43838</v>
      </c>
      <c r="AH1761" t="s">
        <v>42</v>
      </c>
      <c r="AI1761" t="s">
        <v>55</v>
      </c>
      <c r="AJ1761">
        <v>12788092</v>
      </c>
      <c r="AK1761">
        <v>250000</v>
      </c>
      <c r="AL1761">
        <v>1500000</v>
      </c>
    </row>
    <row r="1762" spans="1:38" x14ac:dyDescent="0.25">
      <c r="A1762" t="s">
        <v>203</v>
      </c>
      <c r="B1762" s="2">
        <v>3.10304E+17</v>
      </c>
      <c r="C1762" t="s">
        <v>40</v>
      </c>
      <c r="D1762" s="1">
        <v>43344</v>
      </c>
      <c r="E1762" s="1">
        <v>43708</v>
      </c>
      <c r="F1762" t="s">
        <v>72</v>
      </c>
      <c r="G1762">
        <v>1</v>
      </c>
      <c r="H1762" t="s">
        <v>42</v>
      </c>
      <c r="I1762" t="s">
        <v>43</v>
      </c>
      <c r="J1762" t="s">
        <v>115</v>
      </c>
      <c r="K1762" t="s">
        <v>44</v>
      </c>
      <c r="L1762">
        <v>153.76</v>
      </c>
      <c r="M1762" s="1">
        <v>43344</v>
      </c>
      <c r="N1762" t="s">
        <v>45</v>
      </c>
      <c r="O1762" t="s">
        <v>46</v>
      </c>
      <c r="P1762" t="s">
        <v>47</v>
      </c>
      <c r="Q1762" s="1">
        <v>43852</v>
      </c>
      <c r="R1762" t="s">
        <v>48</v>
      </c>
    </row>
    <row r="1763" spans="1:38" x14ac:dyDescent="0.25">
      <c r="A1763" t="s">
        <v>205</v>
      </c>
      <c r="B1763" s="2">
        <v>3.10304E+17</v>
      </c>
      <c r="C1763" t="s">
        <v>40</v>
      </c>
      <c r="D1763" s="1">
        <v>43344</v>
      </c>
      <c r="E1763" s="1">
        <v>43708</v>
      </c>
      <c r="F1763" t="s">
        <v>72</v>
      </c>
      <c r="G1763">
        <v>1</v>
      </c>
      <c r="H1763" t="s">
        <v>42</v>
      </c>
      <c r="I1763" t="s">
        <v>43</v>
      </c>
      <c r="J1763" t="s">
        <v>115</v>
      </c>
      <c r="K1763" t="s">
        <v>44</v>
      </c>
      <c r="L1763">
        <v>3842.38</v>
      </c>
      <c r="M1763" s="1">
        <v>43344</v>
      </c>
      <c r="N1763" t="s">
        <v>45</v>
      </c>
      <c r="O1763" t="s">
        <v>46</v>
      </c>
      <c r="P1763" t="s">
        <v>47</v>
      </c>
      <c r="Q1763" s="1">
        <v>43852</v>
      </c>
      <c r="R1763" t="s">
        <v>48</v>
      </c>
    </row>
    <row r="1764" spans="1:38" x14ac:dyDescent="0.25">
      <c r="A1764" t="s">
        <v>209</v>
      </c>
      <c r="B1764" t="s">
        <v>495</v>
      </c>
      <c r="C1764" t="s">
        <v>40</v>
      </c>
      <c r="D1764" s="1">
        <v>43720</v>
      </c>
      <c r="E1764" s="1">
        <v>44085</v>
      </c>
      <c r="F1764" t="s">
        <v>41</v>
      </c>
      <c r="G1764">
        <v>1</v>
      </c>
      <c r="H1764" t="s">
        <v>42</v>
      </c>
      <c r="I1764" t="s">
        <v>43</v>
      </c>
      <c r="J1764" t="s">
        <v>122</v>
      </c>
      <c r="K1764" t="s">
        <v>44</v>
      </c>
      <c r="L1764">
        <v>3300</v>
      </c>
      <c r="M1764" s="1">
        <v>43720</v>
      </c>
      <c r="N1764" t="s">
        <v>45</v>
      </c>
      <c r="O1764" t="s">
        <v>46</v>
      </c>
      <c r="P1764" t="s">
        <v>47</v>
      </c>
      <c r="Q1764" s="1">
        <v>43852</v>
      </c>
      <c r="R1764" t="s">
        <v>48</v>
      </c>
      <c r="S1764" t="s">
        <v>49</v>
      </c>
      <c r="T1764" t="s">
        <v>50</v>
      </c>
      <c r="U1764" t="s">
        <v>42</v>
      </c>
      <c r="V1764">
        <v>0</v>
      </c>
      <c r="W1764">
        <v>100000</v>
      </c>
      <c r="X1764" s="1">
        <v>44012</v>
      </c>
      <c r="Y1764" t="s">
        <v>51</v>
      </c>
      <c r="Z1764" t="s">
        <v>43</v>
      </c>
      <c r="AA1764" t="s">
        <v>41</v>
      </c>
      <c r="AB1764" t="s">
        <v>52</v>
      </c>
      <c r="AC1764" t="s">
        <v>53</v>
      </c>
      <c r="AF1764" t="s">
        <v>54</v>
      </c>
      <c r="AG1764" s="1">
        <v>43832</v>
      </c>
      <c r="AH1764" t="s">
        <v>42</v>
      </c>
      <c r="AI1764" t="s">
        <v>55</v>
      </c>
      <c r="AJ1764">
        <v>12788092</v>
      </c>
      <c r="AK1764">
        <v>250000</v>
      </c>
      <c r="AL1764">
        <v>1500000</v>
      </c>
    </row>
    <row r="1765" spans="1:38" x14ac:dyDescent="0.25">
      <c r="A1765" t="s">
        <v>209</v>
      </c>
      <c r="B1765" t="s">
        <v>495</v>
      </c>
      <c r="C1765" t="s">
        <v>40</v>
      </c>
      <c r="D1765" s="1">
        <v>43720</v>
      </c>
      <c r="E1765" s="1">
        <v>44085</v>
      </c>
      <c r="F1765" t="s">
        <v>41</v>
      </c>
      <c r="G1765">
        <v>1</v>
      </c>
      <c r="H1765" t="s">
        <v>42</v>
      </c>
      <c r="I1765" t="s">
        <v>43</v>
      </c>
      <c r="J1765" t="s">
        <v>122</v>
      </c>
      <c r="K1765" t="s">
        <v>44</v>
      </c>
      <c r="L1765">
        <v>3300</v>
      </c>
      <c r="M1765" s="1">
        <v>43720</v>
      </c>
      <c r="N1765" t="s">
        <v>45</v>
      </c>
      <c r="O1765" t="s">
        <v>46</v>
      </c>
      <c r="P1765" t="s">
        <v>47</v>
      </c>
      <c r="Q1765" s="1">
        <v>43852</v>
      </c>
      <c r="R1765" t="s">
        <v>48</v>
      </c>
      <c r="S1765" t="s">
        <v>49</v>
      </c>
      <c r="T1765" t="s">
        <v>50</v>
      </c>
      <c r="U1765" t="s">
        <v>42</v>
      </c>
      <c r="V1765">
        <v>0</v>
      </c>
      <c r="W1765">
        <v>100000</v>
      </c>
      <c r="X1765" s="1">
        <v>44012</v>
      </c>
      <c r="Y1765" t="s">
        <v>51</v>
      </c>
      <c r="Z1765" t="s">
        <v>43</v>
      </c>
      <c r="AA1765" t="s">
        <v>41</v>
      </c>
      <c r="AB1765" t="s">
        <v>52</v>
      </c>
      <c r="AC1765" t="s">
        <v>53</v>
      </c>
      <c r="AF1765" t="s">
        <v>56</v>
      </c>
      <c r="AG1765" s="1">
        <v>43833</v>
      </c>
      <c r="AH1765" t="s">
        <v>42</v>
      </c>
      <c r="AI1765" t="s">
        <v>55</v>
      </c>
      <c r="AJ1765">
        <v>12788092</v>
      </c>
      <c r="AK1765">
        <v>250000</v>
      </c>
      <c r="AL1765">
        <v>1500000</v>
      </c>
    </row>
    <row r="1766" spans="1:38" x14ac:dyDescent="0.25">
      <c r="A1766" t="s">
        <v>209</v>
      </c>
      <c r="B1766" t="s">
        <v>495</v>
      </c>
      <c r="C1766" t="s">
        <v>40</v>
      </c>
      <c r="D1766" s="1">
        <v>43720</v>
      </c>
      <c r="E1766" s="1">
        <v>44085</v>
      </c>
      <c r="F1766" t="s">
        <v>41</v>
      </c>
      <c r="G1766">
        <v>1</v>
      </c>
      <c r="H1766" t="s">
        <v>42</v>
      </c>
      <c r="I1766" t="s">
        <v>43</v>
      </c>
      <c r="J1766" t="s">
        <v>122</v>
      </c>
      <c r="K1766" t="s">
        <v>44</v>
      </c>
      <c r="L1766">
        <v>3300</v>
      </c>
      <c r="M1766" s="1">
        <v>43720</v>
      </c>
      <c r="N1766" t="s">
        <v>45</v>
      </c>
      <c r="O1766" t="s">
        <v>46</v>
      </c>
      <c r="P1766" t="s">
        <v>47</v>
      </c>
      <c r="Q1766" s="1">
        <v>43852</v>
      </c>
      <c r="R1766" t="s">
        <v>48</v>
      </c>
      <c r="S1766" t="s">
        <v>49</v>
      </c>
      <c r="T1766" t="s">
        <v>50</v>
      </c>
      <c r="U1766" t="s">
        <v>42</v>
      </c>
      <c r="V1766">
        <v>0</v>
      </c>
      <c r="W1766">
        <v>100000</v>
      </c>
      <c r="X1766" s="1">
        <v>44012</v>
      </c>
      <c r="Y1766" t="s">
        <v>51</v>
      </c>
      <c r="Z1766" t="s">
        <v>43</v>
      </c>
      <c r="AA1766" t="s">
        <v>41</v>
      </c>
      <c r="AB1766" t="s">
        <v>52</v>
      </c>
      <c r="AC1766" t="s">
        <v>53</v>
      </c>
      <c r="AF1766" t="s">
        <v>57</v>
      </c>
      <c r="AG1766" s="1">
        <v>43836</v>
      </c>
      <c r="AH1766" t="s">
        <v>42</v>
      </c>
      <c r="AI1766" t="s">
        <v>55</v>
      </c>
      <c r="AJ1766">
        <v>12788092</v>
      </c>
      <c r="AK1766">
        <v>250000</v>
      </c>
      <c r="AL1766">
        <v>1500000</v>
      </c>
    </row>
    <row r="1767" spans="1:38" x14ac:dyDescent="0.25">
      <c r="A1767" t="s">
        <v>209</v>
      </c>
      <c r="B1767" t="s">
        <v>495</v>
      </c>
      <c r="C1767" t="s">
        <v>40</v>
      </c>
      <c r="D1767" s="1">
        <v>43720</v>
      </c>
      <c r="E1767" s="1">
        <v>44085</v>
      </c>
      <c r="F1767" t="s">
        <v>41</v>
      </c>
      <c r="G1767">
        <v>1</v>
      </c>
      <c r="H1767" t="s">
        <v>42</v>
      </c>
      <c r="I1767" t="s">
        <v>43</v>
      </c>
      <c r="J1767" t="s">
        <v>122</v>
      </c>
      <c r="K1767" t="s">
        <v>44</v>
      </c>
      <c r="L1767">
        <v>3300</v>
      </c>
      <c r="M1767" s="1">
        <v>43720</v>
      </c>
      <c r="N1767" t="s">
        <v>45</v>
      </c>
      <c r="O1767" t="s">
        <v>46</v>
      </c>
      <c r="P1767" t="s">
        <v>47</v>
      </c>
      <c r="Q1767" s="1">
        <v>43852</v>
      </c>
      <c r="R1767" t="s">
        <v>48</v>
      </c>
      <c r="S1767" t="s">
        <v>49</v>
      </c>
      <c r="T1767" t="s">
        <v>50</v>
      </c>
      <c r="U1767" t="s">
        <v>42</v>
      </c>
      <c r="V1767">
        <v>0</v>
      </c>
      <c r="W1767">
        <v>100000</v>
      </c>
      <c r="X1767" s="1">
        <v>44012</v>
      </c>
      <c r="Y1767" t="s">
        <v>51</v>
      </c>
      <c r="Z1767" t="s">
        <v>43</v>
      </c>
      <c r="AA1767" t="s">
        <v>41</v>
      </c>
      <c r="AB1767" t="s">
        <v>52</v>
      </c>
      <c r="AC1767" t="s">
        <v>53</v>
      </c>
      <c r="AF1767" t="s">
        <v>58</v>
      </c>
      <c r="AG1767" s="1">
        <v>43837</v>
      </c>
      <c r="AH1767" t="s">
        <v>42</v>
      </c>
      <c r="AI1767" t="s">
        <v>55</v>
      </c>
      <c r="AJ1767">
        <v>12788092</v>
      </c>
      <c r="AK1767">
        <v>250000</v>
      </c>
      <c r="AL1767">
        <v>1500000</v>
      </c>
    </row>
    <row r="1768" spans="1:38" x14ac:dyDescent="0.25">
      <c r="A1768" t="s">
        <v>209</v>
      </c>
      <c r="B1768" t="s">
        <v>495</v>
      </c>
      <c r="C1768" t="s">
        <v>40</v>
      </c>
      <c r="D1768" s="1">
        <v>43720</v>
      </c>
      <c r="E1768" s="1">
        <v>44085</v>
      </c>
      <c r="F1768" t="s">
        <v>41</v>
      </c>
      <c r="G1768">
        <v>1</v>
      </c>
      <c r="H1768" t="s">
        <v>42</v>
      </c>
      <c r="I1768" t="s">
        <v>43</v>
      </c>
      <c r="J1768" t="s">
        <v>122</v>
      </c>
      <c r="K1768" t="s">
        <v>44</v>
      </c>
      <c r="L1768">
        <v>3300</v>
      </c>
      <c r="M1768" s="1">
        <v>43720</v>
      </c>
      <c r="N1768" t="s">
        <v>45</v>
      </c>
      <c r="O1768" t="s">
        <v>46</v>
      </c>
      <c r="P1768" t="s">
        <v>47</v>
      </c>
      <c r="Q1768" s="1">
        <v>43852</v>
      </c>
      <c r="R1768" t="s">
        <v>48</v>
      </c>
      <c r="S1768" t="s">
        <v>49</v>
      </c>
      <c r="T1768" t="s">
        <v>50</v>
      </c>
      <c r="U1768" t="s">
        <v>42</v>
      </c>
      <c r="V1768">
        <v>0</v>
      </c>
      <c r="W1768">
        <v>100000</v>
      </c>
      <c r="X1768" s="1">
        <v>44012</v>
      </c>
      <c r="Y1768" t="s">
        <v>51</v>
      </c>
      <c r="Z1768" t="s">
        <v>43</v>
      </c>
      <c r="AA1768" t="s">
        <v>41</v>
      </c>
      <c r="AB1768" t="s">
        <v>52</v>
      </c>
      <c r="AC1768" t="s">
        <v>53</v>
      </c>
      <c r="AF1768" t="s">
        <v>59</v>
      </c>
      <c r="AG1768" s="1">
        <v>43838</v>
      </c>
      <c r="AH1768" t="s">
        <v>42</v>
      </c>
      <c r="AI1768" t="s">
        <v>55</v>
      </c>
      <c r="AJ1768">
        <v>12788092</v>
      </c>
      <c r="AK1768">
        <v>250000</v>
      </c>
      <c r="AL1768">
        <v>1500000</v>
      </c>
    </row>
    <row r="1769" spans="1:38" x14ac:dyDescent="0.25">
      <c r="A1769" t="s">
        <v>209</v>
      </c>
      <c r="B1769" t="s">
        <v>495</v>
      </c>
      <c r="C1769" t="s">
        <v>40</v>
      </c>
      <c r="D1769" s="1">
        <v>43720</v>
      </c>
      <c r="E1769" s="1">
        <v>44085</v>
      </c>
      <c r="F1769" t="s">
        <v>41</v>
      </c>
      <c r="G1769">
        <v>1</v>
      </c>
      <c r="H1769" t="s">
        <v>42</v>
      </c>
      <c r="I1769" t="s">
        <v>43</v>
      </c>
      <c r="J1769" t="s">
        <v>122</v>
      </c>
      <c r="K1769" t="s">
        <v>44</v>
      </c>
      <c r="L1769">
        <v>3300</v>
      </c>
      <c r="M1769" s="1">
        <v>43720</v>
      </c>
      <c r="N1769" t="s">
        <v>45</v>
      </c>
      <c r="O1769" t="s">
        <v>46</v>
      </c>
      <c r="P1769" t="s">
        <v>47</v>
      </c>
      <c r="Q1769" s="1">
        <v>43852</v>
      </c>
      <c r="R1769" t="s">
        <v>48</v>
      </c>
      <c r="S1769" t="s">
        <v>60</v>
      </c>
      <c r="T1769" t="s">
        <v>61</v>
      </c>
      <c r="U1769" t="s">
        <v>42</v>
      </c>
      <c r="V1769">
        <v>0</v>
      </c>
      <c r="W1769">
        <v>100000</v>
      </c>
      <c r="X1769" s="1">
        <v>43921</v>
      </c>
      <c r="Y1769" t="s">
        <v>51</v>
      </c>
      <c r="Z1769" t="s">
        <v>43</v>
      </c>
      <c r="AA1769" t="s">
        <v>41</v>
      </c>
      <c r="AB1769" t="s">
        <v>52</v>
      </c>
      <c r="AC1769" t="s">
        <v>53</v>
      </c>
      <c r="AF1769" t="s">
        <v>54</v>
      </c>
      <c r="AG1769" s="1">
        <v>43832</v>
      </c>
      <c r="AH1769" t="s">
        <v>42</v>
      </c>
      <c r="AI1769" t="s">
        <v>55</v>
      </c>
      <c r="AJ1769">
        <v>12788092</v>
      </c>
      <c r="AK1769">
        <v>250000</v>
      </c>
      <c r="AL1769">
        <v>1500000</v>
      </c>
    </row>
    <row r="1770" spans="1:38" x14ac:dyDescent="0.25">
      <c r="A1770" t="s">
        <v>209</v>
      </c>
      <c r="B1770" t="s">
        <v>495</v>
      </c>
      <c r="C1770" t="s">
        <v>40</v>
      </c>
      <c r="D1770" s="1">
        <v>43720</v>
      </c>
      <c r="E1770" s="1">
        <v>44085</v>
      </c>
      <c r="F1770" t="s">
        <v>41</v>
      </c>
      <c r="G1770">
        <v>1</v>
      </c>
      <c r="H1770" t="s">
        <v>42</v>
      </c>
      <c r="I1770" t="s">
        <v>43</v>
      </c>
      <c r="J1770" t="s">
        <v>122</v>
      </c>
      <c r="K1770" t="s">
        <v>44</v>
      </c>
      <c r="L1770">
        <v>3300</v>
      </c>
      <c r="M1770" s="1">
        <v>43720</v>
      </c>
      <c r="N1770" t="s">
        <v>45</v>
      </c>
      <c r="O1770" t="s">
        <v>46</v>
      </c>
      <c r="P1770" t="s">
        <v>47</v>
      </c>
      <c r="Q1770" s="1">
        <v>43852</v>
      </c>
      <c r="R1770" t="s">
        <v>48</v>
      </c>
      <c r="S1770" t="s">
        <v>60</v>
      </c>
      <c r="T1770" t="s">
        <v>61</v>
      </c>
      <c r="U1770" t="s">
        <v>42</v>
      </c>
      <c r="V1770">
        <v>0</v>
      </c>
      <c r="W1770">
        <v>100000</v>
      </c>
      <c r="X1770" s="1">
        <v>43921</v>
      </c>
      <c r="Y1770" t="s">
        <v>51</v>
      </c>
      <c r="Z1770" t="s">
        <v>43</v>
      </c>
      <c r="AA1770" t="s">
        <v>41</v>
      </c>
      <c r="AB1770" t="s">
        <v>52</v>
      </c>
      <c r="AC1770" t="s">
        <v>53</v>
      </c>
      <c r="AF1770" t="s">
        <v>56</v>
      </c>
      <c r="AG1770" s="1">
        <v>43833</v>
      </c>
      <c r="AH1770" t="s">
        <v>42</v>
      </c>
      <c r="AI1770" t="s">
        <v>55</v>
      </c>
      <c r="AJ1770">
        <v>12788092</v>
      </c>
      <c r="AK1770">
        <v>250000</v>
      </c>
      <c r="AL1770">
        <v>1500000</v>
      </c>
    </row>
    <row r="1771" spans="1:38" x14ac:dyDescent="0.25">
      <c r="A1771" t="s">
        <v>209</v>
      </c>
      <c r="B1771" t="s">
        <v>495</v>
      </c>
      <c r="C1771" t="s">
        <v>40</v>
      </c>
      <c r="D1771" s="1">
        <v>43720</v>
      </c>
      <c r="E1771" s="1">
        <v>44085</v>
      </c>
      <c r="F1771" t="s">
        <v>41</v>
      </c>
      <c r="G1771">
        <v>1</v>
      </c>
      <c r="H1771" t="s">
        <v>42</v>
      </c>
      <c r="I1771" t="s">
        <v>43</v>
      </c>
      <c r="J1771" t="s">
        <v>122</v>
      </c>
      <c r="K1771" t="s">
        <v>44</v>
      </c>
      <c r="L1771">
        <v>3300</v>
      </c>
      <c r="M1771" s="1">
        <v>43720</v>
      </c>
      <c r="N1771" t="s">
        <v>45</v>
      </c>
      <c r="O1771" t="s">
        <v>46</v>
      </c>
      <c r="P1771" t="s">
        <v>47</v>
      </c>
      <c r="Q1771" s="1">
        <v>43852</v>
      </c>
      <c r="R1771" t="s">
        <v>48</v>
      </c>
      <c r="S1771" t="s">
        <v>60</v>
      </c>
      <c r="T1771" t="s">
        <v>61</v>
      </c>
      <c r="U1771" t="s">
        <v>42</v>
      </c>
      <c r="V1771">
        <v>0</v>
      </c>
      <c r="W1771">
        <v>100000</v>
      </c>
      <c r="X1771" s="1">
        <v>43921</v>
      </c>
      <c r="Y1771" t="s">
        <v>51</v>
      </c>
      <c r="Z1771" t="s">
        <v>43</v>
      </c>
      <c r="AA1771" t="s">
        <v>41</v>
      </c>
      <c r="AB1771" t="s">
        <v>52</v>
      </c>
      <c r="AC1771" t="s">
        <v>53</v>
      </c>
      <c r="AF1771" t="s">
        <v>57</v>
      </c>
      <c r="AG1771" s="1">
        <v>43836</v>
      </c>
      <c r="AH1771" t="s">
        <v>42</v>
      </c>
      <c r="AI1771" t="s">
        <v>55</v>
      </c>
      <c r="AJ1771">
        <v>12788092</v>
      </c>
      <c r="AK1771">
        <v>250000</v>
      </c>
      <c r="AL1771">
        <v>1500000</v>
      </c>
    </row>
    <row r="1772" spans="1:38" x14ac:dyDescent="0.25">
      <c r="A1772" t="s">
        <v>209</v>
      </c>
      <c r="B1772" t="s">
        <v>495</v>
      </c>
      <c r="C1772" t="s">
        <v>40</v>
      </c>
      <c r="D1772" s="1">
        <v>43720</v>
      </c>
      <c r="E1772" s="1">
        <v>44085</v>
      </c>
      <c r="F1772" t="s">
        <v>41</v>
      </c>
      <c r="G1772">
        <v>1</v>
      </c>
      <c r="H1772" t="s">
        <v>42</v>
      </c>
      <c r="I1772" t="s">
        <v>43</v>
      </c>
      <c r="J1772" t="s">
        <v>122</v>
      </c>
      <c r="K1772" t="s">
        <v>44</v>
      </c>
      <c r="L1772">
        <v>3300</v>
      </c>
      <c r="M1772" s="1">
        <v>43720</v>
      </c>
      <c r="N1772" t="s">
        <v>45</v>
      </c>
      <c r="O1772" t="s">
        <v>46</v>
      </c>
      <c r="P1772" t="s">
        <v>47</v>
      </c>
      <c r="Q1772" s="1">
        <v>43852</v>
      </c>
      <c r="R1772" t="s">
        <v>48</v>
      </c>
      <c r="S1772" t="s">
        <v>60</v>
      </c>
      <c r="T1772" t="s">
        <v>61</v>
      </c>
      <c r="U1772" t="s">
        <v>42</v>
      </c>
      <c r="V1772">
        <v>0</v>
      </c>
      <c r="W1772">
        <v>100000</v>
      </c>
      <c r="X1772" s="1">
        <v>43921</v>
      </c>
      <c r="Y1772" t="s">
        <v>51</v>
      </c>
      <c r="Z1772" t="s">
        <v>43</v>
      </c>
      <c r="AA1772" t="s">
        <v>41</v>
      </c>
      <c r="AB1772" t="s">
        <v>52</v>
      </c>
      <c r="AC1772" t="s">
        <v>53</v>
      </c>
      <c r="AF1772" t="s">
        <v>58</v>
      </c>
      <c r="AG1772" s="1">
        <v>43837</v>
      </c>
      <c r="AH1772" t="s">
        <v>42</v>
      </c>
      <c r="AI1772" t="s">
        <v>55</v>
      </c>
      <c r="AJ1772">
        <v>12788092</v>
      </c>
      <c r="AK1772">
        <v>250000</v>
      </c>
      <c r="AL1772">
        <v>1500000</v>
      </c>
    </row>
    <row r="1773" spans="1:38" x14ac:dyDescent="0.25">
      <c r="A1773" t="s">
        <v>209</v>
      </c>
      <c r="B1773" t="s">
        <v>495</v>
      </c>
      <c r="C1773" t="s">
        <v>40</v>
      </c>
      <c r="D1773" s="1">
        <v>43720</v>
      </c>
      <c r="E1773" s="1">
        <v>44085</v>
      </c>
      <c r="F1773" t="s">
        <v>41</v>
      </c>
      <c r="G1773">
        <v>1</v>
      </c>
      <c r="H1773" t="s">
        <v>42</v>
      </c>
      <c r="I1773" t="s">
        <v>43</v>
      </c>
      <c r="J1773" t="s">
        <v>122</v>
      </c>
      <c r="K1773" t="s">
        <v>44</v>
      </c>
      <c r="L1773">
        <v>3300</v>
      </c>
      <c r="M1773" s="1">
        <v>43720</v>
      </c>
      <c r="N1773" t="s">
        <v>45</v>
      </c>
      <c r="O1773" t="s">
        <v>46</v>
      </c>
      <c r="P1773" t="s">
        <v>47</v>
      </c>
      <c r="Q1773" s="1">
        <v>43852</v>
      </c>
      <c r="R1773" t="s">
        <v>48</v>
      </c>
      <c r="S1773" t="s">
        <v>60</v>
      </c>
      <c r="T1773" t="s">
        <v>61</v>
      </c>
      <c r="U1773" t="s">
        <v>42</v>
      </c>
      <c r="V1773">
        <v>0</v>
      </c>
      <c r="W1773">
        <v>100000</v>
      </c>
      <c r="X1773" s="1">
        <v>43921</v>
      </c>
      <c r="Y1773" t="s">
        <v>51</v>
      </c>
      <c r="Z1773" t="s">
        <v>43</v>
      </c>
      <c r="AA1773" t="s">
        <v>41</v>
      </c>
      <c r="AB1773" t="s">
        <v>52</v>
      </c>
      <c r="AC1773" t="s">
        <v>53</v>
      </c>
      <c r="AF1773" t="s">
        <v>59</v>
      </c>
      <c r="AG1773" s="1">
        <v>43838</v>
      </c>
      <c r="AH1773" t="s">
        <v>42</v>
      </c>
      <c r="AI1773" t="s">
        <v>55</v>
      </c>
      <c r="AJ1773">
        <v>12788092</v>
      </c>
      <c r="AK1773">
        <v>250000</v>
      </c>
      <c r="AL1773">
        <v>1500000</v>
      </c>
    </row>
    <row r="1774" spans="1:38" x14ac:dyDescent="0.25">
      <c r="A1774" t="s">
        <v>209</v>
      </c>
      <c r="B1774" t="s">
        <v>495</v>
      </c>
      <c r="C1774" t="s">
        <v>40</v>
      </c>
      <c r="D1774" s="1">
        <v>43720</v>
      </c>
      <c r="E1774" s="1">
        <v>44085</v>
      </c>
      <c r="F1774" t="s">
        <v>41</v>
      </c>
      <c r="G1774">
        <v>1</v>
      </c>
      <c r="H1774" t="s">
        <v>42</v>
      </c>
      <c r="I1774" t="s">
        <v>43</v>
      </c>
      <c r="J1774" t="s">
        <v>122</v>
      </c>
      <c r="K1774" t="s">
        <v>44</v>
      </c>
      <c r="L1774">
        <v>3300</v>
      </c>
      <c r="M1774" s="1">
        <v>43720</v>
      </c>
      <c r="N1774" t="s">
        <v>45</v>
      </c>
      <c r="O1774" t="s">
        <v>46</v>
      </c>
      <c r="P1774" t="s">
        <v>47</v>
      </c>
      <c r="Q1774" s="1">
        <v>43852</v>
      </c>
      <c r="R1774" t="s">
        <v>48</v>
      </c>
      <c r="S1774" t="s">
        <v>62</v>
      </c>
      <c r="T1774" t="s">
        <v>63</v>
      </c>
      <c r="U1774" t="s">
        <v>42</v>
      </c>
      <c r="V1774">
        <v>0</v>
      </c>
      <c r="W1774">
        <v>100000</v>
      </c>
      <c r="X1774" s="1">
        <v>43982</v>
      </c>
      <c r="Y1774" t="s">
        <v>51</v>
      </c>
      <c r="Z1774" t="s">
        <v>43</v>
      </c>
      <c r="AA1774" t="s">
        <v>41</v>
      </c>
      <c r="AB1774" t="s">
        <v>52</v>
      </c>
      <c r="AC1774" t="s">
        <v>53</v>
      </c>
      <c r="AF1774" t="s">
        <v>54</v>
      </c>
      <c r="AG1774" s="1">
        <v>43832</v>
      </c>
      <c r="AH1774" t="s">
        <v>42</v>
      </c>
      <c r="AI1774" t="s">
        <v>55</v>
      </c>
      <c r="AJ1774">
        <v>12788092</v>
      </c>
      <c r="AK1774">
        <v>250000</v>
      </c>
      <c r="AL1774">
        <v>1500000</v>
      </c>
    </row>
    <row r="1775" spans="1:38" x14ac:dyDescent="0.25">
      <c r="A1775" t="s">
        <v>209</v>
      </c>
      <c r="B1775" t="s">
        <v>495</v>
      </c>
      <c r="C1775" t="s">
        <v>40</v>
      </c>
      <c r="D1775" s="1">
        <v>43720</v>
      </c>
      <c r="E1775" s="1">
        <v>44085</v>
      </c>
      <c r="F1775" t="s">
        <v>41</v>
      </c>
      <c r="G1775">
        <v>1</v>
      </c>
      <c r="H1775" t="s">
        <v>42</v>
      </c>
      <c r="I1775" t="s">
        <v>43</v>
      </c>
      <c r="J1775" t="s">
        <v>122</v>
      </c>
      <c r="K1775" t="s">
        <v>44</v>
      </c>
      <c r="L1775">
        <v>3300</v>
      </c>
      <c r="M1775" s="1">
        <v>43720</v>
      </c>
      <c r="N1775" t="s">
        <v>45</v>
      </c>
      <c r="O1775" t="s">
        <v>46</v>
      </c>
      <c r="P1775" t="s">
        <v>47</v>
      </c>
      <c r="Q1775" s="1">
        <v>43852</v>
      </c>
      <c r="R1775" t="s">
        <v>48</v>
      </c>
      <c r="S1775" t="s">
        <v>62</v>
      </c>
      <c r="T1775" t="s">
        <v>63</v>
      </c>
      <c r="U1775" t="s">
        <v>42</v>
      </c>
      <c r="V1775">
        <v>0</v>
      </c>
      <c r="W1775">
        <v>100000</v>
      </c>
      <c r="X1775" s="1">
        <v>43982</v>
      </c>
      <c r="Y1775" t="s">
        <v>51</v>
      </c>
      <c r="Z1775" t="s">
        <v>43</v>
      </c>
      <c r="AA1775" t="s">
        <v>41</v>
      </c>
      <c r="AB1775" t="s">
        <v>52</v>
      </c>
      <c r="AC1775" t="s">
        <v>53</v>
      </c>
      <c r="AF1775" t="s">
        <v>56</v>
      </c>
      <c r="AG1775" s="1">
        <v>43833</v>
      </c>
      <c r="AH1775" t="s">
        <v>42</v>
      </c>
      <c r="AI1775" t="s">
        <v>55</v>
      </c>
      <c r="AJ1775">
        <v>12788092</v>
      </c>
      <c r="AK1775">
        <v>250000</v>
      </c>
      <c r="AL1775">
        <v>1500000</v>
      </c>
    </row>
    <row r="1776" spans="1:38" x14ac:dyDescent="0.25">
      <c r="A1776" t="s">
        <v>209</v>
      </c>
      <c r="B1776" t="s">
        <v>495</v>
      </c>
      <c r="C1776" t="s">
        <v>40</v>
      </c>
      <c r="D1776" s="1">
        <v>43720</v>
      </c>
      <c r="E1776" s="1">
        <v>44085</v>
      </c>
      <c r="F1776" t="s">
        <v>41</v>
      </c>
      <c r="G1776">
        <v>1</v>
      </c>
      <c r="H1776" t="s">
        <v>42</v>
      </c>
      <c r="I1776" t="s">
        <v>43</v>
      </c>
      <c r="J1776" t="s">
        <v>122</v>
      </c>
      <c r="K1776" t="s">
        <v>44</v>
      </c>
      <c r="L1776">
        <v>3300</v>
      </c>
      <c r="M1776" s="1">
        <v>43720</v>
      </c>
      <c r="N1776" t="s">
        <v>45</v>
      </c>
      <c r="O1776" t="s">
        <v>46</v>
      </c>
      <c r="P1776" t="s">
        <v>47</v>
      </c>
      <c r="Q1776" s="1">
        <v>43852</v>
      </c>
      <c r="R1776" t="s">
        <v>48</v>
      </c>
      <c r="S1776" t="s">
        <v>62</v>
      </c>
      <c r="T1776" t="s">
        <v>63</v>
      </c>
      <c r="U1776" t="s">
        <v>42</v>
      </c>
      <c r="V1776">
        <v>0</v>
      </c>
      <c r="W1776">
        <v>100000</v>
      </c>
      <c r="X1776" s="1">
        <v>43982</v>
      </c>
      <c r="Y1776" t="s">
        <v>51</v>
      </c>
      <c r="Z1776" t="s">
        <v>43</v>
      </c>
      <c r="AA1776" t="s">
        <v>41</v>
      </c>
      <c r="AB1776" t="s">
        <v>52</v>
      </c>
      <c r="AC1776" t="s">
        <v>53</v>
      </c>
      <c r="AF1776" t="s">
        <v>57</v>
      </c>
      <c r="AG1776" s="1">
        <v>43836</v>
      </c>
      <c r="AH1776" t="s">
        <v>42</v>
      </c>
      <c r="AI1776" t="s">
        <v>55</v>
      </c>
      <c r="AJ1776">
        <v>12788092</v>
      </c>
      <c r="AK1776">
        <v>250000</v>
      </c>
      <c r="AL1776">
        <v>1500000</v>
      </c>
    </row>
    <row r="1777" spans="1:38" x14ac:dyDescent="0.25">
      <c r="A1777" t="s">
        <v>209</v>
      </c>
      <c r="B1777" t="s">
        <v>495</v>
      </c>
      <c r="C1777" t="s">
        <v>40</v>
      </c>
      <c r="D1777" s="1">
        <v>43720</v>
      </c>
      <c r="E1777" s="1">
        <v>44085</v>
      </c>
      <c r="F1777" t="s">
        <v>41</v>
      </c>
      <c r="G1777">
        <v>1</v>
      </c>
      <c r="H1777" t="s">
        <v>42</v>
      </c>
      <c r="I1777" t="s">
        <v>43</v>
      </c>
      <c r="J1777" t="s">
        <v>122</v>
      </c>
      <c r="K1777" t="s">
        <v>44</v>
      </c>
      <c r="L1777">
        <v>3300</v>
      </c>
      <c r="M1777" s="1">
        <v>43720</v>
      </c>
      <c r="N1777" t="s">
        <v>45</v>
      </c>
      <c r="O1777" t="s">
        <v>46</v>
      </c>
      <c r="P1777" t="s">
        <v>47</v>
      </c>
      <c r="Q1777" s="1">
        <v>43852</v>
      </c>
      <c r="R1777" t="s">
        <v>48</v>
      </c>
      <c r="S1777" t="s">
        <v>62</v>
      </c>
      <c r="T1777" t="s">
        <v>63</v>
      </c>
      <c r="U1777" t="s">
        <v>42</v>
      </c>
      <c r="V1777">
        <v>0</v>
      </c>
      <c r="W1777">
        <v>100000</v>
      </c>
      <c r="X1777" s="1">
        <v>43982</v>
      </c>
      <c r="Y1777" t="s">
        <v>51</v>
      </c>
      <c r="Z1777" t="s">
        <v>43</v>
      </c>
      <c r="AA1777" t="s">
        <v>41</v>
      </c>
      <c r="AB1777" t="s">
        <v>52</v>
      </c>
      <c r="AC1777" t="s">
        <v>53</v>
      </c>
      <c r="AF1777" t="s">
        <v>58</v>
      </c>
      <c r="AG1777" s="1">
        <v>43837</v>
      </c>
      <c r="AH1777" t="s">
        <v>42</v>
      </c>
      <c r="AI1777" t="s">
        <v>55</v>
      </c>
      <c r="AJ1777">
        <v>12788092</v>
      </c>
      <c r="AK1777">
        <v>250000</v>
      </c>
      <c r="AL1777">
        <v>1500000</v>
      </c>
    </row>
    <row r="1778" spans="1:38" x14ac:dyDescent="0.25">
      <c r="A1778" t="s">
        <v>209</v>
      </c>
      <c r="B1778" t="s">
        <v>495</v>
      </c>
      <c r="C1778" t="s">
        <v>40</v>
      </c>
      <c r="D1778" s="1">
        <v>43720</v>
      </c>
      <c r="E1778" s="1">
        <v>44085</v>
      </c>
      <c r="F1778" t="s">
        <v>41</v>
      </c>
      <c r="G1778">
        <v>1</v>
      </c>
      <c r="H1778" t="s">
        <v>42</v>
      </c>
      <c r="I1778" t="s">
        <v>43</v>
      </c>
      <c r="J1778" t="s">
        <v>122</v>
      </c>
      <c r="K1778" t="s">
        <v>44</v>
      </c>
      <c r="L1778">
        <v>3300</v>
      </c>
      <c r="M1778" s="1">
        <v>43720</v>
      </c>
      <c r="N1778" t="s">
        <v>45</v>
      </c>
      <c r="O1778" t="s">
        <v>46</v>
      </c>
      <c r="P1778" t="s">
        <v>47</v>
      </c>
      <c r="Q1778" s="1">
        <v>43852</v>
      </c>
      <c r="R1778" t="s">
        <v>48</v>
      </c>
      <c r="S1778" t="s">
        <v>62</v>
      </c>
      <c r="T1778" t="s">
        <v>63</v>
      </c>
      <c r="U1778" t="s">
        <v>42</v>
      </c>
      <c r="V1778">
        <v>0</v>
      </c>
      <c r="W1778">
        <v>100000</v>
      </c>
      <c r="X1778" s="1">
        <v>43982</v>
      </c>
      <c r="Y1778" t="s">
        <v>51</v>
      </c>
      <c r="Z1778" t="s">
        <v>43</v>
      </c>
      <c r="AA1778" t="s">
        <v>41</v>
      </c>
      <c r="AB1778" t="s">
        <v>52</v>
      </c>
      <c r="AC1778" t="s">
        <v>53</v>
      </c>
      <c r="AF1778" t="s">
        <v>59</v>
      </c>
      <c r="AG1778" s="1">
        <v>43838</v>
      </c>
      <c r="AH1778" t="s">
        <v>42</v>
      </c>
      <c r="AI1778" t="s">
        <v>55</v>
      </c>
      <c r="AJ1778">
        <v>12788092</v>
      </c>
      <c r="AK1778">
        <v>250000</v>
      </c>
      <c r="AL1778">
        <v>1500000</v>
      </c>
    </row>
    <row r="1779" spans="1:38" x14ac:dyDescent="0.25">
      <c r="A1779" t="s">
        <v>209</v>
      </c>
      <c r="B1779" t="s">
        <v>495</v>
      </c>
      <c r="C1779" t="s">
        <v>40</v>
      </c>
      <c r="D1779" s="1">
        <v>43720</v>
      </c>
      <c r="E1779" s="1">
        <v>44085</v>
      </c>
      <c r="F1779" t="s">
        <v>41</v>
      </c>
      <c r="G1779">
        <v>1</v>
      </c>
      <c r="H1779" t="s">
        <v>42</v>
      </c>
      <c r="I1779" t="s">
        <v>43</v>
      </c>
      <c r="J1779" t="s">
        <v>122</v>
      </c>
      <c r="K1779" t="s">
        <v>44</v>
      </c>
      <c r="L1779">
        <v>3300</v>
      </c>
      <c r="M1779" s="1">
        <v>43720</v>
      </c>
      <c r="N1779" t="s">
        <v>45</v>
      </c>
      <c r="O1779" t="s">
        <v>46</v>
      </c>
      <c r="P1779" t="s">
        <v>47</v>
      </c>
      <c r="Q1779" s="1">
        <v>43852</v>
      </c>
      <c r="R1779" t="s">
        <v>48</v>
      </c>
      <c r="S1779" t="s">
        <v>64</v>
      </c>
      <c r="T1779" t="s">
        <v>65</v>
      </c>
      <c r="U1779" t="s">
        <v>42</v>
      </c>
      <c r="V1779">
        <v>0</v>
      </c>
      <c r="W1779">
        <v>100000</v>
      </c>
      <c r="X1779" s="1">
        <v>43921</v>
      </c>
      <c r="Y1779" t="s">
        <v>51</v>
      </c>
      <c r="Z1779" t="s">
        <v>43</v>
      </c>
      <c r="AA1779" t="s">
        <v>41</v>
      </c>
      <c r="AB1779" t="s">
        <v>52</v>
      </c>
      <c r="AC1779" t="s">
        <v>53</v>
      </c>
      <c r="AF1779" t="s">
        <v>54</v>
      </c>
      <c r="AG1779" s="1">
        <v>43832</v>
      </c>
      <c r="AH1779" t="s">
        <v>42</v>
      </c>
      <c r="AI1779" t="s">
        <v>55</v>
      </c>
      <c r="AJ1779">
        <v>12788092</v>
      </c>
      <c r="AK1779">
        <v>250000</v>
      </c>
      <c r="AL1779">
        <v>1500000</v>
      </c>
    </row>
    <row r="1780" spans="1:38" x14ac:dyDescent="0.25">
      <c r="A1780" t="s">
        <v>209</v>
      </c>
      <c r="B1780" t="s">
        <v>495</v>
      </c>
      <c r="C1780" t="s">
        <v>40</v>
      </c>
      <c r="D1780" s="1">
        <v>43720</v>
      </c>
      <c r="E1780" s="1">
        <v>44085</v>
      </c>
      <c r="F1780" t="s">
        <v>41</v>
      </c>
      <c r="G1780">
        <v>1</v>
      </c>
      <c r="H1780" t="s">
        <v>42</v>
      </c>
      <c r="I1780" t="s">
        <v>43</v>
      </c>
      <c r="J1780" t="s">
        <v>122</v>
      </c>
      <c r="K1780" t="s">
        <v>44</v>
      </c>
      <c r="L1780">
        <v>3300</v>
      </c>
      <c r="M1780" s="1">
        <v>43720</v>
      </c>
      <c r="N1780" t="s">
        <v>45</v>
      </c>
      <c r="O1780" t="s">
        <v>46</v>
      </c>
      <c r="P1780" t="s">
        <v>47</v>
      </c>
      <c r="Q1780" s="1">
        <v>43852</v>
      </c>
      <c r="R1780" t="s">
        <v>48</v>
      </c>
      <c r="S1780" t="s">
        <v>64</v>
      </c>
      <c r="T1780" t="s">
        <v>65</v>
      </c>
      <c r="U1780" t="s">
        <v>42</v>
      </c>
      <c r="V1780">
        <v>0</v>
      </c>
      <c r="W1780">
        <v>100000</v>
      </c>
      <c r="X1780" s="1">
        <v>43921</v>
      </c>
      <c r="Y1780" t="s">
        <v>51</v>
      </c>
      <c r="Z1780" t="s">
        <v>43</v>
      </c>
      <c r="AA1780" t="s">
        <v>41</v>
      </c>
      <c r="AB1780" t="s">
        <v>52</v>
      </c>
      <c r="AC1780" t="s">
        <v>53</v>
      </c>
      <c r="AF1780" t="s">
        <v>56</v>
      </c>
      <c r="AG1780" s="1">
        <v>43833</v>
      </c>
      <c r="AH1780" t="s">
        <v>42</v>
      </c>
      <c r="AI1780" t="s">
        <v>55</v>
      </c>
      <c r="AJ1780">
        <v>12788092</v>
      </c>
      <c r="AK1780">
        <v>250000</v>
      </c>
      <c r="AL1780">
        <v>1500000</v>
      </c>
    </row>
    <row r="1781" spans="1:38" x14ac:dyDescent="0.25">
      <c r="A1781" t="s">
        <v>209</v>
      </c>
      <c r="B1781" t="s">
        <v>495</v>
      </c>
      <c r="C1781" t="s">
        <v>40</v>
      </c>
      <c r="D1781" s="1">
        <v>43720</v>
      </c>
      <c r="E1781" s="1">
        <v>44085</v>
      </c>
      <c r="F1781" t="s">
        <v>41</v>
      </c>
      <c r="G1781">
        <v>1</v>
      </c>
      <c r="H1781" t="s">
        <v>42</v>
      </c>
      <c r="I1781" t="s">
        <v>43</v>
      </c>
      <c r="J1781" t="s">
        <v>122</v>
      </c>
      <c r="K1781" t="s">
        <v>44</v>
      </c>
      <c r="L1781">
        <v>3300</v>
      </c>
      <c r="M1781" s="1">
        <v>43720</v>
      </c>
      <c r="N1781" t="s">
        <v>45</v>
      </c>
      <c r="O1781" t="s">
        <v>46</v>
      </c>
      <c r="P1781" t="s">
        <v>47</v>
      </c>
      <c r="Q1781" s="1">
        <v>43852</v>
      </c>
      <c r="R1781" t="s">
        <v>48</v>
      </c>
      <c r="S1781" t="s">
        <v>64</v>
      </c>
      <c r="T1781" t="s">
        <v>65</v>
      </c>
      <c r="U1781" t="s">
        <v>42</v>
      </c>
      <c r="V1781">
        <v>0</v>
      </c>
      <c r="W1781">
        <v>100000</v>
      </c>
      <c r="X1781" s="1">
        <v>43921</v>
      </c>
      <c r="Y1781" t="s">
        <v>51</v>
      </c>
      <c r="Z1781" t="s">
        <v>43</v>
      </c>
      <c r="AA1781" t="s">
        <v>41</v>
      </c>
      <c r="AB1781" t="s">
        <v>52</v>
      </c>
      <c r="AC1781" t="s">
        <v>53</v>
      </c>
      <c r="AF1781" t="s">
        <v>57</v>
      </c>
      <c r="AG1781" s="1">
        <v>43836</v>
      </c>
      <c r="AH1781" t="s">
        <v>42</v>
      </c>
      <c r="AI1781" t="s">
        <v>55</v>
      </c>
      <c r="AJ1781">
        <v>12788092</v>
      </c>
      <c r="AK1781">
        <v>250000</v>
      </c>
      <c r="AL1781">
        <v>1500000</v>
      </c>
    </row>
    <row r="1782" spans="1:38" x14ac:dyDescent="0.25">
      <c r="A1782" t="s">
        <v>209</v>
      </c>
      <c r="B1782" t="s">
        <v>495</v>
      </c>
      <c r="C1782" t="s">
        <v>40</v>
      </c>
      <c r="D1782" s="1">
        <v>43720</v>
      </c>
      <c r="E1782" s="1">
        <v>44085</v>
      </c>
      <c r="F1782" t="s">
        <v>41</v>
      </c>
      <c r="G1782">
        <v>1</v>
      </c>
      <c r="H1782" t="s">
        <v>42</v>
      </c>
      <c r="I1782" t="s">
        <v>43</v>
      </c>
      <c r="J1782" t="s">
        <v>122</v>
      </c>
      <c r="K1782" t="s">
        <v>44</v>
      </c>
      <c r="L1782">
        <v>3300</v>
      </c>
      <c r="M1782" s="1">
        <v>43720</v>
      </c>
      <c r="N1782" t="s">
        <v>45</v>
      </c>
      <c r="O1782" t="s">
        <v>46</v>
      </c>
      <c r="P1782" t="s">
        <v>47</v>
      </c>
      <c r="Q1782" s="1">
        <v>43852</v>
      </c>
      <c r="R1782" t="s">
        <v>48</v>
      </c>
      <c r="S1782" t="s">
        <v>64</v>
      </c>
      <c r="T1782" t="s">
        <v>65</v>
      </c>
      <c r="U1782" t="s">
        <v>42</v>
      </c>
      <c r="V1782">
        <v>0</v>
      </c>
      <c r="W1782">
        <v>100000</v>
      </c>
      <c r="X1782" s="1">
        <v>43921</v>
      </c>
      <c r="Y1782" t="s">
        <v>51</v>
      </c>
      <c r="Z1782" t="s">
        <v>43</v>
      </c>
      <c r="AA1782" t="s">
        <v>41</v>
      </c>
      <c r="AB1782" t="s">
        <v>52</v>
      </c>
      <c r="AC1782" t="s">
        <v>53</v>
      </c>
      <c r="AF1782" t="s">
        <v>58</v>
      </c>
      <c r="AG1782" s="1">
        <v>43837</v>
      </c>
      <c r="AH1782" t="s">
        <v>42</v>
      </c>
      <c r="AI1782" t="s">
        <v>55</v>
      </c>
      <c r="AJ1782">
        <v>12788092</v>
      </c>
      <c r="AK1782">
        <v>250000</v>
      </c>
      <c r="AL1782">
        <v>1500000</v>
      </c>
    </row>
    <row r="1783" spans="1:38" x14ac:dyDescent="0.25">
      <c r="A1783" t="s">
        <v>209</v>
      </c>
      <c r="B1783" t="s">
        <v>495</v>
      </c>
      <c r="C1783" t="s">
        <v>40</v>
      </c>
      <c r="D1783" s="1">
        <v>43720</v>
      </c>
      <c r="E1783" s="1">
        <v>44085</v>
      </c>
      <c r="F1783" t="s">
        <v>41</v>
      </c>
      <c r="G1783">
        <v>1</v>
      </c>
      <c r="H1783" t="s">
        <v>42</v>
      </c>
      <c r="I1783" t="s">
        <v>43</v>
      </c>
      <c r="J1783" t="s">
        <v>122</v>
      </c>
      <c r="K1783" t="s">
        <v>44</v>
      </c>
      <c r="L1783">
        <v>3300</v>
      </c>
      <c r="M1783" s="1">
        <v>43720</v>
      </c>
      <c r="N1783" t="s">
        <v>45</v>
      </c>
      <c r="O1783" t="s">
        <v>46</v>
      </c>
      <c r="P1783" t="s">
        <v>47</v>
      </c>
      <c r="Q1783" s="1">
        <v>43852</v>
      </c>
      <c r="R1783" t="s">
        <v>48</v>
      </c>
      <c r="S1783" t="s">
        <v>64</v>
      </c>
      <c r="T1783" t="s">
        <v>65</v>
      </c>
      <c r="U1783" t="s">
        <v>42</v>
      </c>
      <c r="V1783">
        <v>0</v>
      </c>
      <c r="W1783">
        <v>100000</v>
      </c>
      <c r="X1783" s="1">
        <v>43921</v>
      </c>
      <c r="Y1783" t="s">
        <v>51</v>
      </c>
      <c r="Z1783" t="s">
        <v>43</v>
      </c>
      <c r="AA1783" t="s">
        <v>41</v>
      </c>
      <c r="AB1783" t="s">
        <v>52</v>
      </c>
      <c r="AC1783" t="s">
        <v>53</v>
      </c>
      <c r="AF1783" t="s">
        <v>59</v>
      </c>
      <c r="AG1783" s="1">
        <v>43838</v>
      </c>
      <c r="AH1783" t="s">
        <v>42</v>
      </c>
      <c r="AI1783" t="s">
        <v>55</v>
      </c>
      <c r="AJ1783">
        <v>12788092</v>
      </c>
      <c r="AK1783">
        <v>250000</v>
      </c>
      <c r="AL1783">
        <v>1500000</v>
      </c>
    </row>
    <row r="1784" spans="1:38" x14ac:dyDescent="0.25">
      <c r="A1784" t="s">
        <v>211</v>
      </c>
      <c r="B1784" t="s">
        <v>496</v>
      </c>
      <c r="C1784" t="s">
        <v>40</v>
      </c>
      <c r="D1784" s="1">
        <v>43405</v>
      </c>
      <c r="E1784" s="1">
        <v>43769</v>
      </c>
      <c r="F1784" t="s">
        <v>41</v>
      </c>
      <c r="G1784">
        <v>1</v>
      </c>
      <c r="H1784" t="s">
        <v>42</v>
      </c>
      <c r="I1784" t="s">
        <v>43</v>
      </c>
      <c r="J1784" t="s">
        <v>41</v>
      </c>
      <c r="K1784" t="s">
        <v>44</v>
      </c>
      <c r="L1784">
        <v>7424.84</v>
      </c>
      <c r="M1784" s="1">
        <v>43405</v>
      </c>
      <c r="N1784" t="s">
        <v>45</v>
      </c>
      <c r="O1784" t="s">
        <v>44</v>
      </c>
      <c r="P1784" t="s">
        <v>47</v>
      </c>
      <c r="Q1784" s="1">
        <v>43852</v>
      </c>
      <c r="R1784" t="s">
        <v>48</v>
      </c>
      <c r="S1784" t="s">
        <v>49</v>
      </c>
      <c r="T1784" t="s">
        <v>50</v>
      </c>
      <c r="U1784" t="s">
        <v>42</v>
      </c>
      <c r="V1784">
        <v>0</v>
      </c>
      <c r="W1784">
        <v>100000</v>
      </c>
      <c r="X1784" s="1">
        <v>44012</v>
      </c>
      <c r="Y1784" t="s">
        <v>51</v>
      </c>
      <c r="Z1784" t="s">
        <v>43</v>
      </c>
      <c r="AA1784" t="s">
        <v>41</v>
      </c>
      <c r="AB1784" t="s">
        <v>52</v>
      </c>
      <c r="AC1784" t="s">
        <v>53</v>
      </c>
      <c r="AF1784" t="s">
        <v>54</v>
      </c>
      <c r="AG1784" s="1">
        <v>43832</v>
      </c>
      <c r="AH1784" t="s">
        <v>42</v>
      </c>
      <c r="AI1784" t="s">
        <v>55</v>
      </c>
      <c r="AJ1784">
        <v>12788092</v>
      </c>
      <c r="AK1784">
        <v>250000</v>
      </c>
      <c r="AL1784">
        <v>1500000</v>
      </c>
    </row>
    <row r="1785" spans="1:38" x14ac:dyDescent="0.25">
      <c r="A1785" t="s">
        <v>211</v>
      </c>
      <c r="B1785" t="s">
        <v>496</v>
      </c>
      <c r="C1785" t="s">
        <v>40</v>
      </c>
      <c r="D1785" s="1">
        <v>43405</v>
      </c>
      <c r="E1785" s="1">
        <v>43769</v>
      </c>
      <c r="F1785" t="s">
        <v>41</v>
      </c>
      <c r="G1785">
        <v>1</v>
      </c>
      <c r="H1785" t="s">
        <v>42</v>
      </c>
      <c r="I1785" t="s">
        <v>43</v>
      </c>
      <c r="J1785" t="s">
        <v>41</v>
      </c>
      <c r="K1785" t="s">
        <v>44</v>
      </c>
      <c r="L1785">
        <v>7424.84</v>
      </c>
      <c r="M1785" s="1">
        <v>43405</v>
      </c>
      <c r="N1785" t="s">
        <v>45</v>
      </c>
      <c r="O1785" t="s">
        <v>44</v>
      </c>
      <c r="P1785" t="s">
        <v>47</v>
      </c>
      <c r="Q1785" s="1">
        <v>43852</v>
      </c>
      <c r="R1785" t="s">
        <v>48</v>
      </c>
      <c r="S1785" t="s">
        <v>49</v>
      </c>
      <c r="T1785" t="s">
        <v>50</v>
      </c>
      <c r="U1785" t="s">
        <v>42</v>
      </c>
      <c r="V1785">
        <v>0</v>
      </c>
      <c r="W1785">
        <v>100000</v>
      </c>
      <c r="X1785" s="1">
        <v>44012</v>
      </c>
      <c r="Y1785" t="s">
        <v>51</v>
      </c>
      <c r="Z1785" t="s">
        <v>43</v>
      </c>
      <c r="AA1785" t="s">
        <v>41</v>
      </c>
      <c r="AB1785" t="s">
        <v>52</v>
      </c>
      <c r="AC1785" t="s">
        <v>53</v>
      </c>
      <c r="AF1785" t="s">
        <v>56</v>
      </c>
      <c r="AG1785" s="1">
        <v>43833</v>
      </c>
      <c r="AH1785" t="s">
        <v>42</v>
      </c>
      <c r="AI1785" t="s">
        <v>55</v>
      </c>
      <c r="AJ1785">
        <v>12788092</v>
      </c>
      <c r="AK1785">
        <v>250000</v>
      </c>
      <c r="AL1785">
        <v>1500000</v>
      </c>
    </row>
    <row r="1786" spans="1:38" x14ac:dyDescent="0.25">
      <c r="A1786" t="s">
        <v>211</v>
      </c>
      <c r="B1786" t="s">
        <v>496</v>
      </c>
      <c r="C1786" t="s">
        <v>40</v>
      </c>
      <c r="D1786" s="1">
        <v>43405</v>
      </c>
      <c r="E1786" s="1">
        <v>43769</v>
      </c>
      <c r="F1786" t="s">
        <v>41</v>
      </c>
      <c r="G1786">
        <v>1</v>
      </c>
      <c r="H1786" t="s">
        <v>42</v>
      </c>
      <c r="I1786" t="s">
        <v>43</v>
      </c>
      <c r="J1786" t="s">
        <v>41</v>
      </c>
      <c r="K1786" t="s">
        <v>44</v>
      </c>
      <c r="L1786">
        <v>7424.84</v>
      </c>
      <c r="M1786" s="1">
        <v>43405</v>
      </c>
      <c r="N1786" t="s">
        <v>45</v>
      </c>
      <c r="O1786" t="s">
        <v>44</v>
      </c>
      <c r="P1786" t="s">
        <v>47</v>
      </c>
      <c r="Q1786" s="1">
        <v>43852</v>
      </c>
      <c r="R1786" t="s">
        <v>48</v>
      </c>
      <c r="S1786" t="s">
        <v>49</v>
      </c>
      <c r="T1786" t="s">
        <v>50</v>
      </c>
      <c r="U1786" t="s">
        <v>42</v>
      </c>
      <c r="V1786">
        <v>0</v>
      </c>
      <c r="W1786">
        <v>100000</v>
      </c>
      <c r="X1786" s="1">
        <v>44012</v>
      </c>
      <c r="Y1786" t="s">
        <v>51</v>
      </c>
      <c r="Z1786" t="s">
        <v>43</v>
      </c>
      <c r="AA1786" t="s">
        <v>41</v>
      </c>
      <c r="AB1786" t="s">
        <v>52</v>
      </c>
      <c r="AC1786" t="s">
        <v>53</v>
      </c>
      <c r="AF1786" t="s">
        <v>57</v>
      </c>
      <c r="AG1786" s="1">
        <v>43836</v>
      </c>
      <c r="AH1786" t="s">
        <v>42</v>
      </c>
      <c r="AI1786" t="s">
        <v>55</v>
      </c>
      <c r="AJ1786">
        <v>12788092</v>
      </c>
      <c r="AK1786">
        <v>250000</v>
      </c>
      <c r="AL1786">
        <v>1500000</v>
      </c>
    </row>
    <row r="1787" spans="1:38" x14ac:dyDescent="0.25">
      <c r="A1787" t="s">
        <v>211</v>
      </c>
      <c r="B1787" t="s">
        <v>496</v>
      </c>
      <c r="C1787" t="s">
        <v>40</v>
      </c>
      <c r="D1787" s="1">
        <v>43405</v>
      </c>
      <c r="E1787" s="1">
        <v>43769</v>
      </c>
      <c r="F1787" t="s">
        <v>41</v>
      </c>
      <c r="G1787">
        <v>1</v>
      </c>
      <c r="H1787" t="s">
        <v>42</v>
      </c>
      <c r="I1787" t="s">
        <v>43</v>
      </c>
      <c r="J1787" t="s">
        <v>41</v>
      </c>
      <c r="K1787" t="s">
        <v>44</v>
      </c>
      <c r="L1787">
        <v>7424.84</v>
      </c>
      <c r="M1787" s="1">
        <v>43405</v>
      </c>
      <c r="N1787" t="s">
        <v>45</v>
      </c>
      <c r="O1787" t="s">
        <v>44</v>
      </c>
      <c r="P1787" t="s">
        <v>47</v>
      </c>
      <c r="Q1787" s="1">
        <v>43852</v>
      </c>
      <c r="R1787" t="s">
        <v>48</v>
      </c>
      <c r="S1787" t="s">
        <v>49</v>
      </c>
      <c r="T1787" t="s">
        <v>50</v>
      </c>
      <c r="U1787" t="s">
        <v>42</v>
      </c>
      <c r="V1787">
        <v>0</v>
      </c>
      <c r="W1787">
        <v>100000</v>
      </c>
      <c r="X1787" s="1">
        <v>44012</v>
      </c>
      <c r="Y1787" t="s">
        <v>51</v>
      </c>
      <c r="Z1787" t="s">
        <v>43</v>
      </c>
      <c r="AA1787" t="s">
        <v>41</v>
      </c>
      <c r="AB1787" t="s">
        <v>52</v>
      </c>
      <c r="AC1787" t="s">
        <v>53</v>
      </c>
      <c r="AF1787" t="s">
        <v>58</v>
      </c>
      <c r="AG1787" s="1">
        <v>43837</v>
      </c>
      <c r="AH1787" t="s">
        <v>42</v>
      </c>
      <c r="AI1787" t="s">
        <v>55</v>
      </c>
      <c r="AJ1787">
        <v>12788092</v>
      </c>
      <c r="AK1787">
        <v>250000</v>
      </c>
      <c r="AL1787">
        <v>1500000</v>
      </c>
    </row>
    <row r="1788" spans="1:38" x14ac:dyDescent="0.25">
      <c r="A1788" t="s">
        <v>211</v>
      </c>
      <c r="B1788" t="s">
        <v>496</v>
      </c>
      <c r="C1788" t="s">
        <v>40</v>
      </c>
      <c r="D1788" s="1">
        <v>43405</v>
      </c>
      <c r="E1788" s="1">
        <v>43769</v>
      </c>
      <c r="F1788" t="s">
        <v>41</v>
      </c>
      <c r="G1788">
        <v>1</v>
      </c>
      <c r="H1788" t="s">
        <v>42</v>
      </c>
      <c r="I1788" t="s">
        <v>43</v>
      </c>
      <c r="J1788" t="s">
        <v>41</v>
      </c>
      <c r="K1788" t="s">
        <v>44</v>
      </c>
      <c r="L1788">
        <v>7424.84</v>
      </c>
      <c r="M1788" s="1">
        <v>43405</v>
      </c>
      <c r="N1788" t="s">
        <v>45</v>
      </c>
      <c r="O1788" t="s">
        <v>44</v>
      </c>
      <c r="P1788" t="s">
        <v>47</v>
      </c>
      <c r="Q1788" s="1">
        <v>43852</v>
      </c>
      <c r="R1788" t="s">
        <v>48</v>
      </c>
      <c r="S1788" t="s">
        <v>49</v>
      </c>
      <c r="T1788" t="s">
        <v>50</v>
      </c>
      <c r="U1788" t="s">
        <v>42</v>
      </c>
      <c r="V1788">
        <v>0</v>
      </c>
      <c r="W1788">
        <v>100000</v>
      </c>
      <c r="X1788" s="1">
        <v>44012</v>
      </c>
      <c r="Y1788" t="s">
        <v>51</v>
      </c>
      <c r="Z1788" t="s">
        <v>43</v>
      </c>
      <c r="AA1788" t="s">
        <v>41</v>
      </c>
      <c r="AB1788" t="s">
        <v>52</v>
      </c>
      <c r="AC1788" t="s">
        <v>53</v>
      </c>
      <c r="AF1788" t="s">
        <v>59</v>
      </c>
      <c r="AG1788" s="1">
        <v>43838</v>
      </c>
      <c r="AH1788" t="s">
        <v>42</v>
      </c>
      <c r="AI1788" t="s">
        <v>55</v>
      </c>
      <c r="AJ1788">
        <v>12788092</v>
      </c>
      <c r="AK1788">
        <v>250000</v>
      </c>
      <c r="AL1788">
        <v>1500000</v>
      </c>
    </row>
    <row r="1789" spans="1:38" x14ac:dyDescent="0.25">
      <c r="A1789" t="s">
        <v>211</v>
      </c>
      <c r="B1789" t="s">
        <v>496</v>
      </c>
      <c r="C1789" t="s">
        <v>40</v>
      </c>
      <c r="D1789" s="1">
        <v>43405</v>
      </c>
      <c r="E1789" s="1">
        <v>43769</v>
      </c>
      <c r="F1789" t="s">
        <v>41</v>
      </c>
      <c r="G1789">
        <v>1</v>
      </c>
      <c r="H1789" t="s">
        <v>42</v>
      </c>
      <c r="I1789" t="s">
        <v>43</v>
      </c>
      <c r="J1789" t="s">
        <v>41</v>
      </c>
      <c r="K1789" t="s">
        <v>44</v>
      </c>
      <c r="L1789">
        <v>7424.84</v>
      </c>
      <c r="M1789" s="1">
        <v>43405</v>
      </c>
      <c r="N1789" t="s">
        <v>45</v>
      </c>
      <c r="O1789" t="s">
        <v>44</v>
      </c>
      <c r="P1789" t="s">
        <v>47</v>
      </c>
      <c r="Q1789" s="1">
        <v>43852</v>
      </c>
      <c r="R1789" t="s">
        <v>48</v>
      </c>
      <c r="S1789" t="s">
        <v>60</v>
      </c>
      <c r="T1789" t="s">
        <v>61</v>
      </c>
      <c r="U1789" t="s">
        <v>42</v>
      </c>
      <c r="V1789">
        <v>0</v>
      </c>
      <c r="W1789">
        <v>100000</v>
      </c>
      <c r="X1789" s="1">
        <v>43921</v>
      </c>
      <c r="Y1789" t="s">
        <v>51</v>
      </c>
      <c r="Z1789" t="s">
        <v>43</v>
      </c>
      <c r="AA1789" t="s">
        <v>41</v>
      </c>
      <c r="AB1789" t="s">
        <v>52</v>
      </c>
      <c r="AC1789" t="s">
        <v>53</v>
      </c>
      <c r="AF1789" t="s">
        <v>54</v>
      </c>
      <c r="AG1789" s="1">
        <v>43832</v>
      </c>
      <c r="AH1789" t="s">
        <v>42</v>
      </c>
      <c r="AI1789" t="s">
        <v>55</v>
      </c>
      <c r="AJ1789">
        <v>12788092</v>
      </c>
      <c r="AK1789">
        <v>250000</v>
      </c>
      <c r="AL1789">
        <v>1500000</v>
      </c>
    </row>
    <row r="1790" spans="1:38" x14ac:dyDescent="0.25">
      <c r="A1790" t="s">
        <v>211</v>
      </c>
      <c r="B1790" t="s">
        <v>496</v>
      </c>
      <c r="C1790" t="s">
        <v>40</v>
      </c>
      <c r="D1790" s="1">
        <v>43405</v>
      </c>
      <c r="E1790" s="1">
        <v>43769</v>
      </c>
      <c r="F1790" t="s">
        <v>41</v>
      </c>
      <c r="G1790">
        <v>1</v>
      </c>
      <c r="H1790" t="s">
        <v>42</v>
      </c>
      <c r="I1790" t="s">
        <v>43</v>
      </c>
      <c r="J1790" t="s">
        <v>41</v>
      </c>
      <c r="K1790" t="s">
        <v>44</v>
      </c>
      <c r="L1790">
        <v>7424.84</v>
      </c>
      <c r="M1790" s="1">
        <v>43405</v>
      </c>
      <c r="N1790" t="s">
        <v>45</v>
      </c>
      <c r="O1790" t="s">
        <v>44</v>
      </c>
      <c r="P1790" t="s">
        <v>47</v>
      </c>
      <c r="Q1790" s="1">
        <v>43852</v>
      </c>
      <c r="R1790" t="s">
        <v>48</v>
      </c>
      <c r="S1790" t="s">
        <v>60</v>
      </c>
      <c r="T1790" t="s">
        <v>61</v>
      </c>
      <c r="U1790" t="s">
        <v>42</v>
      </c>
      <c r="V1790">
        <v>0</v>
      </c>
      <c r="W1790">
        <v>100000</v>
      </c>
      <c r="X1790" s="1">
        <v>43921</v>
      </c>
      <c r="Y1790" t="s">
        <v>51</v>
      </c>
      <c r="Z1790" t="s">
        <v>43</v>
      </c>
      <c r="AA1790" t="s">
        <v>41</v>
      </c>
      <c r="AB1790" t="s">
        <v>52</v>
      </c>
      <c r="AC1790" t="s">
        <v>53</v>
      </c>
      <c r="AF1790" t="s">
        <v>56</v>
      </c>
      <c r="AG1790" s="1">
        <v>43833</v>
      </c>
      <c r="AH1790" t="s">
        <v>42</v>
      </c>
      <c r="AI1790" t="s">
        <v>55</v>
      </c>
      <c r="AJ1790">
        <v>12788092</v>
      </c>
      <c r="AK1790">
        <v>250000</v>
      </c>
      <c r="AL1790">
        <v>1500000</v>
      </c>
    </row>
    <row r="1791" spans="1:38" x14ac:dyDescent="0.25">
      <c r="A1791" t="s">
        <v>211</v>
      </c>
      <c r="B1791" t="s">
        <v>496</v>
      </c>
      <c r="C1791" t="s">
        <v>40</v>
      </c>
      <c r="D1791" s="1">
        <v>43405</v>
      </c>
      <c r="E1791" s="1">
        <v>43769</v>
      </c>
      <c r="F1791" t="s">
        <v>41</v>
      </c>
      <c r="G1791">
        <v>1</v>
      </c>
      <c r="H1791" t="s">
        <v>42</v>
      </c>
      <c r="I1791" t="s">
        <v>43</v>
      </c>
      <c r="J1791" t="s">
        <v>41</v>
      </c>
      <c r="K1791" t="s">
        <v>44</v>
      </c>
      <c r="L1791">
        <v>7424.84</v>
      </c>
      <c r="M1791" s="1">
        <v>43405</v>
      </c>
      <c r="N1791" t="s">
        <v>45</v>
      </c>
      <c r="O1791" t="s">
        <v>44</v>
      </c>
      <c r="P1791" t="s">
        <v>47</v>
      </c>
      <c r="Q1791" s="1">
        <v>43852</v>
      </c>
      <c r="R1791" t="s">
        <v>48</v>
      </c>
      <c r="S1791" t="s">
        <v>60</v>
      </c>
      <c r="T1791" t="s">
        <v>61</v>
      </c>
      <c r="U1791" t="s">
        <v>42</v>
      </c>
      <c r="V1791">
        <v>0</v>
      </c>
      <c r="W1791">
        <v>100000</v>
      </c>
      <c r="X1791" s="1">
        <v>43921</v>
      </c>
      <c r="Y1791" t="s">
        <v>51</v>
      </c>
      <c r="Z1791" t="s">
        <v>43</v>
      </c>
      <c r="AA1791" t="s">
        <v>41</v>
      </c>
      <c r="AB1791" t="s">
        <v>52</v>
      </c>
      <c r="AC1791" t="s">
        <v>53</v>
      </c>
      <c r="AF1791" t="s">
        <v>57</v>
      </c>
      <c r="AG1791" s="1">
        <v>43836</v>
      </c>
      <c r="AH1791" t="s">
        <v>42</v>
      </c>
      <c r="AI1791" t="s">
        <v>55</v>
      </c>
      <c r="AJ1791">
        <v>12788092</v>
      </c>
      <c r="AK1791">
        <v>250000</v>
      </c>
      <c r="AL1791">
        <v>1500000</v>
      </c>
    </row>
    <row r="1792" spans="1:38" x14ac:dyDescent="0.25">
      <c r="A1792" t="s">
        <v>211</v>
      </c>
      <c r="B1792" t="s">
        <v>496</v>
      </c>
      <c r="C1792" t="s">
        <v>40</v>
      </c>
      <c r="D1792" s="1">
        <v>43405</v>
      </c>
      <c r="E1792" s="1">
        <v>43769</v>
      </c>
      <c r="F1792" t="s">
        <v>41</v>
      </c>
      <c r="G1792">
        <v>1</v>
      </c>
      <c r="H1792" t="s">
        <v>42</v>
      </c>
      <c r="I1792" t="s">
        <v>43</v>
      </c>
      <c r="J1792" t="s">
        <v>41</v>
      </c>
      <c r="K1792" t="s">
        <v>44</v>
      </c>
      <c r="L1792">
        <v>7424.84</v>
      </c>
      <c r="M1792" s="1">
        <v>43405</v>
      </c>
      <c r="N1792" t="s">
        <v>45</v>
      </c>
      <c r="O1792" t="s">
        <v>44</v>
      </c>
      <c r="P1792" t="s">
        <v>47</v>
      </c>
      <c r="Q1792" s="1">
        <v>43852</v>
      </c>
      <c r="R1792" t="s">
        <v>48</v>
      </c>
      <c r="S1792" t="s">
        <v>60</v>
      </c>
      <c r="T1792" t="s">
        <v>61</v>
      </c>
      <c r="U1792" t="s">
        <v>42</v>
      </c>
      <c r="V1792">
        <v>0</v>
      </c>
      <c r="W1792">
        <v>100000</v>
      </c>
      <c r="X1792" s="1">
        <v>43921</v>
      </c>
      <c r="Y1792" t="s">
        <v>51</v>
      </c>
      <c r="Z1792" t="s">
        <v>43</v>
      </c>
      <c r="AA1792" t="s">
        <v>41</v>
      </c>
      <c r="AB1792" t="s">
        <v>52</v>
      </c>
      <c r="AC1792" t="s">
        <v>53</v>
      </c>
      <c r="AF1792" t="s">
        <v>58</v>
      </c>
      <c r="AG1792" s="1">
        <v>43837</v>
      </c>
      <c r="AH1792" t="s">
        <v>42</v>
      </c>
      <c r="AI1792" t="s">
        <v>55</v>
      </c>
      <c r="AJ1792">
        <v>12788092</v>
      </c>
      <c r="AK1792">
        <v>250000</v>
      </c>
      <c r="AL1792">
        <v>1500000</v>
      </c>
    </row>
    <row r="1793" spans="1:38" x14ac:dyDescent="0.25">
      <c r="A1793" t="s">
        <v>211</v>
      </c>
      <c r="B1793" t="s">
        <v>496</v>
      </c>
      <c r="C1793" t="s">
        <v>40</v>
      </c>
      <c r="D1793" s="1">
        <v>43405</v>
      </c>
      <c r="E1793" s="1">
        <v>43769</v>
      </c>
      <c r="F1793" t="s">
        <v>41</v>
      </c>
      <c r="G1793">
        <v>1</v>
      </c>
      <c r="H1793" t="s">
        <v>42</v>
      </c>
      <c r="I1793" t="s">
        <v>43</v>
      </c>
      <c r="J1793" t="s">
        <v>41</v>
      </c>
      <c r="K1793" t="s">
        <v>44</v>
      </c>
      <c r="L1793">
        <v>7424.84</v>
      </c>
      <c r="M1793" s="1">
        <v>43405</v>
      </c>
      <c r="N1793" t="s">
        <v>45</v>
      </c>
      <c r="O1793" t="s">
        <v>44</v>
      </c>
      <c r="P1793" t="s">
        <v>47</v>
      </c>
      <c r="Q1793" s="1">
        <v>43852</v>
      </c>
      <c r="R1793" t="s">
        <v>48</v>
      </c>
      <c r="S1793" t="s">
        <v>60</v>
      </c>
      <c r="T1793" t="s">
        <v>61</v>
      </c>
      <c r="U1793" t="s">
        <v>42</v>
      </c>
      <c r="V1793">
        <v>0</v>
      </c>
      <c r="W1793">
        <v>100000</v>
      </c>
      <c r="X1793" s="1">
        <v>43921</v>
      </c>
      <c r="Y1793" t="s">
        <v>51</v>
      </c>
      <c r="Z1793" t="s">
        <v>43</v>
      </c>
      <c r="AA1793" t="s">
        <v>41</v>
      </c>
      <c r="AB1793" t="s">
        <v>52</v>
      </c>
      <c r="AC1793" t="s">
        <v>53</v>
      </c>
      <c r="AF1793" t="s">
        <v>59</v>
      </c>
      <c r="AG1793" s="1">
        <v>43838</v>
      </c>
      <c r="AH1793" t="s">
        <v>42</v>
      </c>
      <c r="AI1793" t="s">
        <v>55</v>
      </c>
      <c r="AJ1793">
        <v>12788092</v>
      </c>
      <c r="AK1793">
        <v>250000</v>
      </c>
      <c r="AL1793">
        <v>1500000</v>
      </c>
    </row>
    <row r="1794" spans="1:38" x14ac:dyDescent="0.25">
      <c r="A1794" t="s">
        <v>211</v>
      </c>
      <c r="B1794" t="s">
        <v>496</v>
      </c>
      <c r="C1794" t="s">
        <v>40</v>
      </c>
      <c r="D1794" s="1">
        <v>43405</v>
      </c>
      <c r="E1794" s="1">
        <v>43769</v>
      </c>
      <c r="F1794" t="s">
        <v>41</v>
      </c>
      <c r="G1794">
        <v>1</v>
      </c>
      <c r="H1794" t="s">
        <v>42</v>
      </c>
      <c r="I1794" t="s">
        <v>43</v>
      </c>
      <c r="J1794" t="s">
        <v>41</v>
      </c>
      <c r="K1794" t="s">
        <v>44</v>
      </c>
      <c r="L1794">
        <v>7424.84</v>
      </c>
      <c r="M1794" s="1">
        <v>43405</v>
      </c>
      <c r="N1794" t="s">
        <v>45</v>
      </c>
      <c r="O1794" t="s">
        <v>44</v>
      </c>
      <c r="P1794" t="s">
        <v>47</v>
      </c>
      <c r="Q1794" s="1">
        <v>43852</v>
      </c>
      <c r="R1794" t="s">
        <v>48</v>
      </c>
      <c r="S1794" t="s">
        <v>62</v>
      </c>
      <c r="T1794" t="s">
        <v>63</v>
      </c>
      <c r="U1794" t="s">
        <v>42</v>
      </c>
      <c r="V1794">
        <v>0</v>
      </c>
      <c r="W1794">
        <v>100000</v>
      </c>
      <c r="X1794" s="1">
        <v>43982</v>
      </c>
      <c r="Y1794" t="s">
        <v>51</v>
      </c>
      <c r="Z1794" t="s">
        <v>43</v>
      </c>
      <c r="AA1794" t="s">
        <v>41</v>
      </c>
      <c r="AB1794" t="s">
        <v>52</v>
      </c>
      <c r="AC1794" t="s">
        <v>53</v>
      </c>
      <c r="AF1794" t="s">
        <v>54</v>
      </c>
      <c r="AG1794" s="1">
        <v>43832</v>
      </c>
      <c r="AH1794" t="s">
        <v>42</v>
      </c>
      <c r="AI1794" t="s">
        <v>55</v>
      </c>
      <c r="AJ1794">
        <v>12788092</v>
      </c>
      <c r="AK1794">
        <v>250000</v>
      </c>
      <c r="AL1794">
        <v>1500000</v>
      </c>
    </row>
    <row r="1795" spans="1:38" x14ac:dyDescent="0.25">
      <c r="A1795" t="s">
        <v>211</v>
      </c>
      <c r="B1795" t="s">
        <v>496</v>
      </c>
      <c r="C1795" t="s">
        <v>40</v>
      </c>
      <c r="D1795" s="1">
        <v>43405</v>
      </c>
      <c r="E1795" s="1">
        <v>43769</v>
      </c>
      <c r="F1795" t="s">
        <v>41</v>
      </c>
      <c r="G1795">
        <v>1</v>
      </c>
      <c r="H1795" t="s">
        <v>42</v>
      </c>
      <c r="I1795" t="s">
        <v>43</v>
      </c>
      <c r="J1795" t="s">
        <v>41</v>
      </c>
      <c r="K1795" t="s">
        <v>44</v>
      </c>
      <c r="L1795">
        <v>7424.84</v>
      </c>
      <c r="M1795" s="1">
        <v>43405</v>
      </c>
      <c r="N1795" t="s">
        <v>45</v>
      </c>
      <c r="O1795" t="s">
        <v>44</v>
      </c>
      <c r="P1795" t="s">
        <v>47</v>
      </c>
      <c r="Q1795" s="1">
        <v>43852</v>
      </c>
      <c r="R1795" t="s">
        <v>48</v>
      </c>
      <c r="S1795" t="s">
        <v>62</v>
      </c>
      <c r="T1795" t="s">
        <v>63</v>
      </c>
      <c r="U1795" t="s">
        <v>42</v>
      </c>
      <c r="V1795">
        <v>0</v>
      </c>
      <c r="W1795">
        <v>100000</v>
      </c>
      <c r="X1795" s="1">
        <v>43982</v>
      </c>
      <c r="Y1795" t="s">
        <v>51</v>
      </c>
      <c r="Z1795" t="s">
        <v>43</v>
      </c>
      <c r="AA1795" t="s">
        <v>41</v>
      </c>
      <c r="AB1795" t="s">
        <v>52</v>
      </c>
      <c r="AC1795" t="s">
        <v>53</v>
      </c>
      <c r="AF1795" t="s">
        <v>56</v>
      </c>
      <c r="AG1795" s="1">
        <v>43833</v>
      </c>
      <c r="AH1795" t="s">
        <v>42</v>
      </c>
      <c r="AI1795" t="s">
        <v>55</v>
      </c>
      <c r="AJ1795">
        <v>12788092</v>
      </c>
      <c r="AK1795">
        <v>250000</v>
      </c>
      <c r="AL1795">
        <v>1500000</v>
      </c>
    </row>
    <row r="1796" spans="1:38" x14ac:dyDescent="0.25">
      <c r="A1796" t="s">
        <v>211</v>
      </c>
      <c r="B1796" t="s">
        <v>496</v>
      </c>
      <c r="C1796" t="s">
        <v>40</v>
      </c>
      <c r="D1796" s="1">
        <v>43405</v>
      </c>
      <c r="E1796" s="1">
        <v>43769</v>
      </c>
      <c r="F1796" t="s">
        <v>41</v>
      </c>
      <c r="G1796">
        <v>1</v>
      </c>
      <c r="H1796" t="s">
        <v>42</v>
      </c>
      <c r="I1796" t="s">
        <v>43</v>
      </c>
      <c r="J1796" t="s">
        <v>41</v>
      </c>
      <c r="K1796" t="s">
        <v>44</v>
      </c>
      <c r="L1796">
        <v>7424.84</v>
      </c>
      <c r="M1796" s="1">
        <v>43405</v>
      </c>
      <c r="N1796" t="s">
        <v>45</v>
      </c>
      <c r="O1796" t="s">
        <v>44</v>
      </c>
      <c r="P1796" t="s">
        <v>47</v>
      </c>
      <c r="Q1796" s="1">
        <v>43852</v>
      </c>
      <c r="R1796" t="s">
        <v>48</v>
      </c>
      <c r="S1796" t="s">
        <v>62</v>
      </c>
      <c r="T1796" t="s">
        <v>63</v>
      </c>
      <c r="U1796" t="s">
        <v>42</v>
      </c>
      <c r="V1796">
        <v>0</v>
      </c>
      <c r="W1796">
        <v>100000</v>
      </c>
      <c r="X1796" s="1">
        <v>43982</v>
      </c>
      <c r="Y1796" t="s">
        <v>51</v>
      </c>
      <c r="Z1796" t="s">
        <v>43</v>
      </c>
      <c r="AA1796" t="s">
        <v>41</v>
      </c>
      <c r="AB1796" t="s">
        <v>52</v>
      </c>
      <c r="AC1796" t="s">
        <v>53</v>
      </c>
      <c r="AF1796" t="s">
        <v>57</v>
      </c>
      <c r="AG1796" s="1">
        <v>43836</v>
      </c>
      <c r="AH1796" t="s">
        <v>42</v>
      </c>
      <c r="AI1796" t="s">
        <v>55</v>
      </c>
      <c r="AJ1796">
        <v>12788092</v>
      </c>
      <c r="AK1796">
        <v>250000</v>
      </c>
      <c r="AL1796">
        <v>1500000</v>
      </c>
    </row>
    <row r="1797" spans="1:38" x14ac:dyDescent="0.25">
      <c r="A1797" t="s">
        <v>211</v>
      </c>
      <c r="B1797" t="s">
        <v>496</v>
      </c>
      <c r="C1797" t="s">
        <v>40</v>
      </c>
      <c r="D1797" s="1">
        <v>43405</v>
      </c>
      <c r="E1797" s="1">
        <v>43769</v>
      </c>
      <c r="F1797" t="s">
        <v>41</v>
      </c>
      <c r="G1797">
        <v>1</v>
      </c>
      <c r="H1797" t="s">
        <v>42</v>
      </c>
      <c r="I1797" t="s">
        <v>43</v>
      </c>
      <c r="J1797" t="s">
        <v>41</v>
      </c>
      <c r="K1797" t="s">
        <v>44</v>
      </c>
      <c r="L1797">
        <v>7424.84</v>
      </c>
      <c r="M1797" s="1">
        <v>43405</v>
      </c>
      <c r="N1797" t="s">
        <v>45</v>
      </c>
      <c r="O1797" t="s">
        <v>44</v>
      </c>
      <c r="P1797" t="s">
        <v>47</v>
      </c>
      <c r="Q1797" s="1">
        <v>43852</v>
      </c>
      <c r="R1797" t="s">
        <v>48</v>
      </c>
      <c r="S1797" t="s">
        <v>62</v>
      </c>
      <c r="T1797" t="s">
        <v>63</v>
      </c>
      <c r="U1797" t="s">
        <v>42</v>
      </c>
      <c r="V1797">
        <v>0</v>
      </c>
      <c r="W1797">
        <v>100000</v>
      </c>
      <c r="X1797" s="1">
        <v>43982</v>
      </c>
      <c r="Y1797" t="s">
        <v>51</v>
      </c>
      <c r="Z1797" t="s">
        <v>43</v>
      </c>
      <c r="AA1797" t="s">
        <v>41</v>
      </c>
      <c r="AB1797" t="s">
        <v>52</v>
      </c>
      <c r="AC1797" t="s">
        <v>53</v>
      </c>
      <c r="AF1797" t="s">
        <v>58</v>
      </c>
      <c r="AG1797" s="1">
        <v>43837</v>
      </c>
      <c r="AH1797" t="s">
        <v>42</v>
      </c>
      <c r="AI1797" t="s">
        <v>55</v>
      </c>
      <c r="AJ1797">
        <v>12788092</v>
      </c>
      <c r="AK1797">
        <v>250000</v>
      </c>
      <c r="AL1797">
        <v>1500000</v>
      </c>
    </row>
    <row r="1798" spans="1:38" x14ac:dyDescent="0.25">
      <c r="A1798" t="s">
        <v>211</v>
      </c>
      <c r="B1798" t="s">
        <v>496</v>
      </c>
      <c r="C1798" t="s">
        <v>40</v>
      </c>
      <c r="D1798" s="1">
        <v>43405</v>
      </c>
      <c r="E1798" s="1">
        <v>43769</v>
      </c>
      <c r="F1798" t="s">
        <v>41</v>
      </c>
      <c r="G1798">
        <v>1</v>
      </c>
      <c r="H1798" t="s">
        <v>42</v>
      </c>
      <c r="I1798" t="s">
        <v>43</v>
      </c>
      <c r="J1798" t="s">
        <v>41</v>
      </c>
      <c r="K1798" t="s">
        <v>44</v>
      </c>
      <c r="L1798">
        <v>7424.84</v>
      </c>
      <c r="M1798" s="1">
        <v>43405</v>
      </c>
      <c r="N1798" t="s">
        <v>45</v>
      </c>
      <c r="O1798" t="s">
        <v>44</v>
      </c>
      <c r="P1798" t="s">
        <v>47</v>
      </c>
      <c r="Q1798" s="1">
        <v>43852</v>
      </c>
      <c r="R1798" t="s">
        <v>48</v>
      </c>
      <c r="S1798" t="s">
        <v>62</v>
      </c>
      <c r="T1798" t="s">
        <v>63</v>
      </c>
      <c r="U1798" t="s">
        <v>42</v>
      </c>
      <c r="V1798">
        <v>0</v>
      </c>
      <c r="W1798">
        <v>100000</v>
      </c>
      <c r="X1798" s="1">
        <v>43982</v>
      </c>
      <c r="Y1798" t="s">
        <v>51</v>
      </c>
      <c r="Z1798" t="s">
        <v>43</v>
      </c>
      <c r="AA1798" t="s">
        <v>41</v>
      </c>
      <c r="AB1798" t="s">
        <v>52</v>
      </c>
      <c r="AC1798" t="s">
        <v>53</v>
      </c>
      <c r="AF1798" t="s">
        <v>59</v>
      </c>
      <c r="AG1798" s="1">
        <v>43838</v>
      </c>
      <c r="AH1798" t="s">
        <v>42</v>
      </c>
      <c r="AI1798" t="s">
        <v>55</v>
      </c>
      <c r="AJ1798">
        <v>12788092</v>
      </c>
      <c r="AK1798">
        <v>250000</v>
      </c>
      <c r="AL1798">
        <v>1500000</v>
      </c>
    </row>
    <row r="1799" spans="1:38" x14ac:dyDescent="0.25">
      <c r="A1799" t="s">
        <v>211</v>
      </c>
      <c r="B1799" t="s">
        <v>496</v>
      </c>
      <c r="C1799" t="s">
        <v>40</v>
      </c>
      <c r="D1799" s="1">
        <v>43405</v>
      </c>
      <c r="E1799" s="1">
        <v>43769</v>
      </c>
      <c r="F1799" t="s">
        <v>41</v>
      </c>
      <c r="G1799">
        <v>1</v>
      </c>
      <c r="H1799" t="s">
        <v>42</v>
      </c>
      <c r="I1799" t="s">
        <v>43</v>
      </c>
      <c r="J1799" t="s">
        <v>41</v>
      </c>
      <c r="K1799" t="s">
        <v>44</v>
      </c>
      <c r="L1799">
        <v>7424.84</v>
      </c>
      <c r="M1799" s="1">
        <v>43405</v>
      </c>
      <c r="N1799" t="s">
        <v>45</v>
      </c>
      <c r="O1799" t="s">
        <v>44</v>
      </c>
      <c r="P1799" t="s">
        <v>47</v>
      </c>
      <c r="Q1799" s="1">
        <v>43852</v>
      </c>
      <c r="R1799" t="s">
        <v>48</v>
      </c>
      <c r="S1799" t="s">
        <v>64</v>
      </c>
      <c r="T1799" t="s">
        <v>65</v>
      </c>
      <c r="U1799" t="s">
        <v>42</v>
      </c>
      <c r="V1799">
        <v>0</v>
      </c>
      <c r="W1799">
        <v>100000</v>
      </c>
      <c r="X1799" s="1">
        <v>43921</v>
      </c>
      <c r="Y1799" t="s">
        <v>51</v>
      </c>
      <c r="Z1799" t="s">
        <v>43</v>
      </c>
      <c r="AA1799" t="s">
        <v>41</v>
      </c>
      <c r="AB1799" t="s">
        <v>52</v>
      </c>
      <c r="AC1799" t="s">
        <v>53</v>
      </c>
      <c r="AF1799" t="s">
        <v>54</v>
      </c>
      <c r="AG1799" s="1">
        <v>43832</v>
      </c>
      <c r="AH1799" t="s">
        <v>42</v>
      </c>
      <c r="AI1799" t="s">
        <v>55</v>
      </c>
      <c r="AJ1799">
        <v>12788092</v>
      </c>
      <c r="AK1799">
        <v>250000</v>
      </c>
      <c r="AL1799">
        <v>1500000</v>
      </c>
    </row>
    <row r="1800" spans="1:38" x14ac:dyDescent="0.25">
      <c r="A1800" t="s">
        <v>211</v>
      </c>
      <c r="B1800" t="s">
        <v>496</v>
      </c>
      <c r="C1800" t="s">
        <v>40</v>
      </c>
      <c r="D1800" s="1">
        <v>43405</v>
      </c>
      <c r="E1800" s="1">
        <v>43769</v>
      </c>
      <c r="F1800" t="s">
        <v>41</v>
      </c>
      <c r="G1800">
        <v>1</v>
      </c>
      <c r="H1800" t="s">
        <v>42</v>
      </c>
      <c r="I1800" t="s">
        <v>43</v>
      </c>
      <c r="J1800" t="s">
        <v>41</v>
      </c>
      <c r="K1800" t="s">
        <v>44</v>
      </c>
      <c r="L1800">
        <v>7424.84</v>
      </c>
      <c r="M1800" s="1">
        <v>43405</v>
      </c>
      <c r="N1800" t="s">
        <v>45</v>
      </c>
      <c r="O1800" t="s">
        <v>44</v>
      </c>
      <c r="P1800" t="s">
        <v>47</v>
      </c>
      <c r="Q1800" s="1">
        <v>43852</v>
      </c>
      <c r="R1800" t="s">
        <v>48</v>
      </c>
      <c r="S1800" t="s">
        <v>64</v>
      </c>
      <c r="T1800" t="s">
        <v>65</v>
      </c>
      <c r="U1800" t="s">
        <v>42</v>
      </c>
      <c r="V1800">
        <v>0</v>
      </c>
      <c r="W1800">
        <v>100000</v>
      </c>
      <c r="X1800" s="1">
        <v>43921</v>
      </c>
      <c r="Y1800" t="s">
        <v>51</v>
      </c>
      <c r="Z1800" t="s">
        <v>43</v>
      </c>
      <c r="AA1800" t="s">
        <v>41</v>
      </c>
      <c r="AB1800" t="s">
        <v>52</v>
      </c>
      <c r="AC1800" t="s">
        <v>53</v>
      </c>
      <c r="AF1800" t="s">
        <v>56</v>
      </c>
      <c r="AG1800" s="1">
        <v>43833</v>
      </c>
      <c r="AH1800" t="s">
        <v>42</v>
      </c>
      <c r="AI1800" t="s">
        <v>55</v>
      </c>
      <c r="AJ1800">
        <v>12788092</v>
      </c>
      <c r="AK1800">
        <v>250000</v>
      </c>
      <c r="AL1800">
        <v>1500000</v>
      </c>
    </row>
    <row r="1801" spans="1:38" x14ac:dyDescent="0.25">
      <c r="A1801" t="s">
        <v>211</v>
      </c>
      <c r="B1801" t="s">
        <v>496</v>
      </c>
      <c r="C1801" t="s">
        <v>40</v>
      </c>
      <c r="D1801" s="1">
        <v>43405</v>
      </c>
      <c r="E1801" s="1">
        <v>43769</v>
      </c>
      <c r="F1801" t="s">
        <v>41</v>
      </c>
      <c r="G1801">
        <v>1</v>
      </c>
      <c r="H1801" t="s">
        <v>42</v>
      </c>
      <c r="I1801" t="s">
        <v>43</v>
      </c>
      <c r="J1801" t="s">
        <v>41</v>
      </c>
      <c r="K1801" t="s">
        <v>44</v>
      </c>
      <c r="L1801">
        <v>7424.84</v>
      </c>
      <c r="M1801" s="1">
        <v>43405</v>
      </c>
      <c r="N1801" t="s">
        <v>45</v>
      </c>
      <c r="O1801" t="s">
        <v>44</v>
      </c>
      <c r="P1801" t="s">
        <v>47</v>
      </c>
      <c r="Q1801" s="1">
        <v>43852</v>
      </c>
      <c r="R1801" t="s">
        <v>48</v>
      </c>
      <c r="S1801" t="s">
        <v>64</v>
      </c>
      <c r="T1801" t="s">
        <v>65</v>
      </c>
      <c r="U1801" t="s">
        <v>42</v>
      </c>
      <c r="V1801">
        <v>0</v>
      </c>
      <c r="W1801">
        <v>100000</v>
      </c>
      <c r="X1801" s="1">
        <v>43921</v>
      </c>
      <c r="Y1801" t="s">
        <v>51</v>
      </c>
      <c r="Z1801" t="s">
        <v>43</v>
      </c>
      <c r="AA1801" t="s">
        <v>41</v>
      </c>
      <c r="AB1801" t="s">
        <v>52</v>
      </c>
      <c r="AC1801" t="s">
        <v>53</v>
      </c>
      <c r="AF1801" t="s">
        <v>57</v>
      </c>
      <c r="AG1801" s="1">
        <v>43836</v>
      </c>
      <c r="AH1801" t="s">
        <v>42</v>
      </c>
      <c r="AI1801" t="s">
        <v>55</v>
      </c>
      <c r="AJ1801">
        <v>12788092</v>
      </c>
      <c r="AK1801">
        <v>250000</v>
      </c>
      <c r="AL1801">
        <v>1500000</v>
      </c>
    </row>
    <row r="1802" spans="1:38" x14ac:dyDescent="0.25">
      <c r="A1802" t="s">
        <v>211</v>
      </c>
      <c r="B1802" t="s">
        <v>496</v>
      </c>
      <c r="C1802" t="s">
        <v>40</v>
      </c>
      <c r="D1802" s="1">
        <v>43405</v>
      </c>
      <c r="E1802" s="1">
        <v>43769</v>
      </c>
      <c r="F1802" t="s">
        <v>41</v>
      </c>
      <c r="G1802">
        <v>1</v>
      </c>
      <c r="H1802" t="s">
        <v>42</v>
      </c>
      <c r="I1802" t="s">
        <v>43</v>
      </c>
      <c r="J1802" t="s">
        <v>41</v>
      </c>
      <c r="K1802" t="s">
        <v>44</v>
      </c>
      <c r="L1802">
        <v>7424.84</v>
      </c>
      <c r="M1802" s="1">
        <v>43405</v>
      </c>
      <c r="N1802" t="s">
        <v>45</v>
      </c>
      <c r="O1802" t="s">
        <v>44</v>
      </c>
      <c r="P1802" t="s">
        <v>47</v>
      </c>
      <c r="Q1802" s="1">
        <v>43852</v>
      </c>
      <c r="R1802" t="s">
        <v>48</v>
      </c>
      <c r="S1802" t="s">
        <v>64</v>
      </c>
      <c r="T1802" t="s">
        <v>65</v>
      </c>
      <c r="U1802" t="s">
        <v>42</v>
      </c>
      <c r="V1802">
        <v>0</v>
      </c>
      <c r="W1802">
        <v>100000</v>
      </c>
      <c r="X1802" s="1">
        <v>43921</v>
      </c>
      <c r="Y1802" t="s">
        <v>51</v>
      </c>
      <c r="Z1802" t="s">
        <v>43</v>
      </c>
      <c r="AA1802" t="s">
        <v>41</v>
      </c>
      <c r="AB1802" t="s">
        <v>52</v>
      </c>
      <c r="AC1802" t="s">
        <v>53</v>
      </c>
      <c r="AF1802" t="s">
        <v>58</v>
      </c>
      <c r="AG1802" s="1">
        <v>43837</v>
      </c>
      <c r="AH1802" t="s">
        <v>42</v>
      </c>
      <c r="AI1802" t="s">
        <v>55</v>
      </c>
      <c r="AJ1802">
        <v>12788092</v>
      </c>
      <c r="AK1802">
        <v>250000</v>
      </c>
      <c r="AL1802">
        <v>1500000</v>
      </c>
    </row>
    <row r="1803" spans="1:38" x14ac:dyDescent="0.25">
      <c r="A1803" t="s">
        <v>211</v>
      </c>
      <c r="B1803" t="s">
        <v>496</v>
      </c>
      <c r="C1803" t="s">
        <v>40</v>
      </c>
      <c r="D1803" s="1">
        <v>43405</v>
      </c>
      <c r="E1803" s="1">
        <v>43769</v>
      </c>
      <c r="F1803" t="s">
        <v>41</v>
      </c>
      <c r="G1803">
        <v>1</v>
      </c>
      <c r="H1803" t="s">
        <v>42</v>
      </c>
      <c r="I1803" t="s">
        <v>43</v>
      </c>
      <c r="J1803" t="s">
        <v>41</v>
      </c>
      <c r="K1803" t="s">
        <v>44</v>
      </c>
      <c r="L1803">
        <v>7424.84</v>
      </c>
      <c r="M1803" s="1">
        <v>43405</v>
      </c>
      <c r="N1803" t="s">
        <v>45</v>
      </c>
      <c r="O1803" t="s">
        <v>44</v>
      </c>
      <c r="P1803" t="s">
        <v>47</v>
      </c>
      <c r="Q1803" s="1">
        <v>43852</v>
      </c>
      <c r="R1803" t="s">
        <v>48</v>
      </c>
      <c r="S1803" t="s">
        <v>64</v>
      </c>
      <c r="T1803" t="s">
        <v>65</v>
      </c>
      <c r="U1803" t="s">
        <v>42</v>
      </c>
      <c r="V1803">
        <v>0</v>
      </c>
      <c r="W1803">
        <v>100000</v>
      </c>
      <c r="X1803" s="1">
        <v>43921</v>
      </c>
      <c r="Y1803" t="s">
        <v>51</v>
      </c>
      <c r="Z1803" t="s">
        <v>43</v>
      </c>
      <c r="AA1803" t="s">
        <v>41</v>
      </c>
      <c r="AB1803" t="s">
        <v>52</v>
      </c>
      <c r="AC1803" t="s">
        <v>53</v>
      </c>
      <c r="AF1803" t="s">
        <v>59</v>
      </c>
      <c r="AG1803" s="1">
        <v>43838</v>
      </c>
      <c r="AH1803" t="s">
        <v>42</v>
      </c>
      <c r="AI1803" t="s">
        <v>55</v>
      </c>
      <c r="AJ1803">
        <v>12788092</v>
      </c>
      <c r="AK1803">
        <v>250000</v>
      </c>
      <c r="AL1803">
        <v>1500000</v>
      </c>
    </row>
    <row r="1804" spans="1:38" x14ac:dyDescent="0.25">
      <c r="A1804" t="s">
        <v>213</v>
      </c>
      <c r="B1804">
        <v>22214171</v>
      </c>
      <c r="C1804" t="s">
        <v>71</v>
      </c>
      <c r="D1804" s="1">
        <v>43040</v>
      </c>
      <c r="E1804" s="1">
        <v>43404</v>
      </c>
      <c r="F1804" t="s">
        <v>41</v>
      </c>
      <c r="G1804">
        <v>1</v>
      </c>
      <c r="H1804" t="s">
        <v>42</v>
      </c>
      <c r="I1804" t="s">
        <v>43</v>
      </c>
      <c r="J1804" t="s">
        <v>41</v>
      </c>
      <c r="K1804" t="s">
        <v>44</v>
      </c>
      <c r="L1804">
        <v>55687.5</v>
      </c>
      <c r="M1804" s="1">
        <v>43040</v>
      </c>
      <c r="N1804" t="s">
        <v>45</v>
      </c>
      <c r="O1804" t="s">
        <v>361</v>
      </c>
      <c r="P1804" t="s">
        <v>47</v>
      </c>
      <c r="Q1804" s="1">
        <v>43852</v>
      </c>
      <c r="R1804" t="s">
        <v>48</v>
      </c>
      <c r="S1804" t="s">
        <v>49</v>
      </c>
      <c r="T1804" t="s">
        <v>50</v>
      </c>
      <c r="U1804" t="s">
        <v>42</v>
      </c>
      <c r="V1804">
        <v>0</v>
      </c>
      <c r="W1804">
        <v>100000</v>
      </c>
      <c r="X1804" s="1">
        <v>44012</v>
      </c>
      <c r="Y1804" t="s">
        <v>51</v>
      </c>
      <c r="Z1804" t="s">
        <v>43</v>
      </c>
      <c r="AA1804" t="s">
        <v>41</v>
      </c>
      <c r="AB1804" t="s">
        <v>52</v>
      </c>
      <c r="AC1804" t="s">
        <v>53</v>
      </c>
      <c r="AF1804" t="s">
        <v>54</v>
      </c>
      <c r="AG1804" s="1">
        <v>43832</v>
      </c>
      <c r="AH1804" t="s">
        <v>42</v>
      </c>
      <c r="AI1804" t="s">
        <v>55</v>
      </c>
      <c r="AJ1804">
        <v>12788092</v>
      </c>
      <c r="AK1804">
        <v>250000</v>
      </c>
      <c r="AL1804">
        <v>1500000</v>
      </c>
    </row>
    <row r="1805" spans="1:38" x14ac:dyDescent="0.25">
      <c r="A1805" t="s">
        <v>213</v>
      </c>
      <c r="B1805">
        <v>22214171</v>
      </c>
      <c r="C1805" t="s">
        <v>71</v>
      </c>
      <c r="D1805" s="1">
        <v>43040</v>
      </c>
      <c r="E1805" s="1">
        <v>43404</v>
      </c>
      <c r="F1805" t="s">
        <v>41</v>
      </c>
      <c r="G1805">
        <v>1</v>
      </c>
      <c r="H1805" t="s">
        <v>42</v>
      </c>
      <c r="I1805" t="s">
        <v>43</v>
      </c>
      <c r="J1805" t="s">
        <v>41</v>
      </c>
      <c r="K1805" t="s">
        <v>44</v>
      </c>
      <c r="L1805">
        <v>55687.5</v>
      </c>
      <c r="M1805" s="1">
        <v>43040</v>
      </c>
      <c r="N1805" t="s">
        <v>45</v>
      </c>
      <c r="O1805" t="s">
        <v>361</v>
      </c>
      <c r="P1805" t="s">
        <v>47</v>
      </c>
      <c r="Q1805" s="1">
        <v>43852</v>
      </c>
      <c r="R1805" t="s">
        <v>48</v>
      </c>
      <c r="S1805" t="s">
        <v>49</v>
      </c>
      <c r="T1805" t="s">
        <v>50</v>
      </c>
      <c r="U1805" t="s">
        <v>42</v>
      </c>
      <c r="V1805">
        <v>0</v>
      </c>
      <c r="W1805">
        <v>100000</v>
      </c>
      <c r="X1805" s="1">
        <v>44012</v>
      </c>
      <c r="Y1805" t="s">
        <v>51</v>
      </c>
      <c r="Z1805" t="s">
        <v>43</v>
      </c>
      <c r="AA1805" t="s">
        <v>41</v>
      </c>
      <c r="AB1805" t="s">
        <v>52</v>
      </c>
      <c r="AC1805" t="s">
        <v>53</v>
      </c>
      <c r="AF1805" t="s">
        <v>56</v>
      </c>
      <c r="AG1805" s="1">
        <v>43833</v>
      </c>
      <c r="AH1805" t="s">
        <v>42</v>
      </c>
      <c r="AI1805" t="s">
        <v>55</v>
      </c>
      <c r="AJ1805">
        <v>12788092</v>
      </c>
      <c r="AK1805">
        <v>250000</v>
      </c>
      <c r="AL1805">
        <v>1500000</v>
      </c>
    </row>
    <row r="1806" spans="1:38" x14ac:dyDescent="0.25">
      <c r="A1806" t="s">
        <v>213</v>
      </c>
      <c r="B1806">
        <v>22214171</v>
      </c>
      <c r="C1806" t="s">
        <v>71</v>
      </c>
      <c r="D1806" s="1">
        <v>43040</v>
      </c>
      <c r="E1806" s="1">
        <v>43404</v>
      </c>
      <c r="F1806" t="s">
        <v>41</v>
      </c>
      <c r="G1806">
        <v>1</v>
      </c>
      <c r="H1806" t="s">
        <v>42</v>
      </c>
      <c r="I1806" t="s">
        <v>43</v>
      </c>
      <c r="J1806" t="s">
        <v>41</v>
      </c>
      <c r="K1806" t="s">
        <v>44</v>
      </c>
      <c r="L1806">
        <v>55687.5</v>
      </c>
      <c r="M1806" s="1">
        <v>43040</v>
      </c>
      <c r="N1806" t="s">
        <v>45</v>
      </c>
      <c r="O1806" t="s">
        <v>361</v>
      </c>
      <c r="P1806" t="s">
        <v>47</v>
      </c>
      <c r="Q1806" s="1">
        <v>43852</v>
      </c>
      <c r="R1806" t="s">
        <v>48</v>
      </c>
      <c r="S1806" t="s">
        <v>49</v>
      </c>
      <c r="T1806" t="s">
        <v>50</v>
      </c>
      <c r="U1806" t="s">
        <v>42</v>
      </c>
      <c r="V1806">
        <v>0</v>
      </c>
      <c r="W1806">
        <v>100000</v>
      </c>
      <c r="X1806" s="1">
        <v>44012</v>
      </c>
      <c r="Y1806" t="s">
        <v>51</v>
      </c>
      <c r="Z1806" t="s">
        <v>43</v>
      </c>
      <c r="AA1806" t="s">
        <v>41</v>
      </c>
      <c r="AB1806" t="s">
        <v>52</v>
      </c>
      <c r="AC1806" t="s">
        <v>53</v>
      </c>
      <c r="AF1806" t="s">
        <v>57</v>
      </c>
      <c r="AG1806" s="1">
        <v>43836</v>
      </c>
      <c r="AH1806" t="s">
        <v>42</v>
      </c>
      <c r="AI1806" t="s">
        <v>55</v>
      </c>
      <c r="AJ1806">
        <v>12788092</v>
      </c>
      <c r="AK1806">
        <v>250000</v>
      </c>
      <c r="AL1806">
        <v>1500000</v>
      </c>
    </row>
    <row r="1807" spans="1:38" x14ac:dyDescent="0.25">
      <c r="A1807" t="s">
        <v>213</v>
      </c>
      <c r="B1807">
        <v>22214171</v>
      </c>
      <c r="C1807" t="s">
        <v>71</v>
      </c>
      <c r="D1807" s="1">
        <v>43040</v>
      </c>
      <c r="E1807" s="1">
        <v>43404</v>
      </c>
      <c r="F1807" t="s">
        <v>41</v>
      </c>
      <c r="G1807">
        <v>1</v>
      </c>
      <c r="H1807" t="s">
        <v>42</v>
      </c>
      <c r="I1807" t="s">
        <v>43</v>
      </c>
      <c r="J1807" t="s">
        <v>41</v>
      </c>
      <c r="K1807" t="s">
        <v>44</v>
      </c>
      <c r="L1807">
        <v>55687.5</v>
      </c>
      <c r="M1807" s="1">
        <v>43040</v>
      </c>
      <c r="N1807" t="s">
        <v>45</v>
      </c>
      <c r="O1807" t="s">
        <v>361</v>
      </c>
      <c r="P1807" t="s">
        <v>47</v>
      </c>
      <c r="Q1807" s="1">
        <v>43852</v>
      </c>
      <c r="R1807" t="s">
        <v>48</v>
      </c>
      <c r="S1807" t="s">
        <v>49</v>
      </c>
      <c r="T1807" t="s">
        <v>50</v>
      </c>
      <c r="U1807" t="s">
        <v>42</v>
      </c>
      <c r="V1807">
        <v>0</v>
      </c>
      <c r="W1807">
        <v>100000</v>
      </c>
      <c r="X1807" s="1">
        <v>44012</v>
      </c>
      <c r="Y1807" t="s">
        <v>51</v>
      </c>
      <c r="Z1807" t="s">
        <v>43</v>
      </c>
      <c r="AA1807" t="s">
        <v>41</v>
      </c>
      <c r="AB1807" t="s">
        <v>52</v>
      </c>
      <c r="AC1807" t="s">
        <v>53</v>
      </c>
      <c r="AF1807" t="s">
        <v>58</v>
      </c>
      <c r="AG1807" s="1">
        <v>43837</v>
      </c>
      <c r="AH1807" t="s">
        <v>42</v>
      </c>
      <c r="AI1807" t="s">
        <v>55</v>
      </c>
      <c r="AJ1807">
        <v>12788092</v>
      </c>
      <c r="AK1807">
        <v>250000</v>
      </c>
      <c r="AL1807">
        <v>1500000</v>
      </c>
    </row>
    <row r="1808" spans="1:38" x14ac:dyDescent="0.25">
      <c r="A1808" t="s">
        <v>213</v>
      </c>
      <c r="B1808">
        <v>22214171</v>
      </c>
      <c r="C1808" t="s">
        <v>71</v>
      </c>
      <c r="D1808" s="1">
        <v>43040</v>
      </c>
      <c r="E1808" s="1">
        <v>43404</v>
      </c>
      <c r="F1808" t="s">
        <v>41</v>
      </c>
      <c r="G1808">
        <v>1</v>
      </c>
      <c r="H1808" t="s">
        <v>42</v>
      </c>
      <c r="I1808" t="s">
        <v>43</v>
      </c>
      <c r="J1808" t="s">
        <v>41</v>
      </c>
      <c r="K1808" t="s">
        <v>44</v>
      </c>
      <c r="L1808">
        <v>55687.5</v>
      </c>
      <c r="M1808" s="1">
        <v>43040</v>
      </c>
      <c r="N1808" t="s">
        <v>45</v>
      </c>
      <c r="O1808" t="s">
        <v>361</v>
      </c>
      <c r="P1808" t="s">
        <v>47</v>
      </c>
      <c r="Q1808" s="1">
        <v>43852</v>
      </c>
      <c r="R1808" t="s">
        <v>48</v>
      </c>
      <c r="S1808" t="s">
        <v>49</v>
      </c>
      <c r="T1808" t="s">
        <v>50</v>
      </c>
      <c r="U1808" t="s">
        <v>42</v>
      </c>
      <c r="V1808">
        <v>0</v>
      </c>
      <c r="W1808">
        <v>100000</v>
      </c>
      <c r="X1808" s="1">
        <v>44012</v>
      </c>
      <c r="Y1808" t="s">
        <v>51</v>
      </c>
      <c r="Z1808" t="s">
        <v>43</v>
      </c>
      <c r="AA1808" t="s">
        <v>41</v>
      </c>
      <c r="AB1808" t="s">
        <v>52</v>
      </c>
      <c r="AC1808" t="s">
        <v>53</v>
      </c>
      <c r="AF1808" t="s">
        <v>59</v>
      </c>
      <c r="AG1808" s="1">
        <v>43838</v>
      </c>
      <c r="AH1808" t="s">
        <v>42</v>
      </c>
      <c r="AI1808" t="s">
        <v>55</v>
      </c>
      <c r="AJ1808">
        <v>12788092</v>
      </c>
      <c r="AK1808">
        <v>250000</v>
      </c>
      <c r="AL1808">
        <v>1500000</v>
      </c>
    </row>
    <row r="1809" spans="1:38" x14ac:dyDescent="0.25">
      <c r="A1809" t="s">
        <v>213</v>
      </c>
      <c r="B1809">
        <v>22214171</v>
      </c>
      <c r="C1809" t="s">
        <v>71</v>
      </c>
      <c r="D1809" s="1">
        <v>43040</v>
      </c>
      <c r="E1809" s="1">
        <v>43404</v>
      </c>
      <c r="F1809" t="s">
        <v>41</v>
      </c>
      <c r="G1809">
        <v>1</v>
      </c>
      <c r="H1809" t="s">
        <v>42</v>
      </c>
      <c r="I1809" t="s">
        <v>43</v>
      </c>
      <c r="J1809" t="s">
        <v>41</v>
      </c>
      <c r="K1809" t="s">
        <v>44</v>
      </c>
      <c r="L1809">
        <v>55687.5</v>
      </c>
      <c r="M1809" s="1">
        <v>43040</v>
      </c>
      <c r="N1809" t="s">
        <v>45</v>
      </c>
      <c r="O1809" t="s">
        <v>361</v>
      </c>
      <c r="P1809" t="s">
        <v>47</v>
      </c>
      <c r="Q1809" s="1">
        <v>43852</v>
      </c>
      <c r="R1809" t="s">
        <v>48</v>
      </c>
      <c r="S1809" t="s">
        <v>60</v>
      </c>
      <c r="T1809" t="s">
        <v>61</v>
      </c>
      <c r="U1809" t="s">
        <v>42</v>
      </c>
      <c r="V1809">
        <v>0</v>
      </c>
      <c r="W1809">
        <v>100000</v>
      </c>
      <c r="X1809" s="1">
        <v>43921</v>
      </c>
      <c r="Y1809" t="s">
        <v>51</v>
      </c>
      <c r="Z1809" t="s">
        <v>43</v>
      </c>
      <c r="AA1809" t="s">
        <v>41</v>
      </c>
      <c r="AB1809" t="s">
        <v>52</v>
      </c>
      <c r="AC1809" t="s">
        <v>53</v>
      </c>
      <c r="AF1809" t="s">
        <v>54</v>
      </c>
      <c r="AG1809" s="1">
        <v>43832</v>
      </c>
      <c r="AH1809" t="s">
        <v>42</v>
      </c>
      <c r="AI1809" t="s">
        <v>55</v>
      </c>
      <c r="AJ1809">
        <v>12788092</v>
      </c>
      <c r="AK1809">
        <v>250000</v>
      </c>
      <c r="AL1809">
        <v>1500000</v>
      </c>
    </row>
    <row r="1810" spans="1:38" x14ac:dyDescent="0.25">
      <c r="A1810" t="s">
        <v>213</v>
      </c>
      <c r="B1810">
        <v>22214171</v>
      </c>
      <c r="C1810" t="s">
        <v>71</v>
      </c>
      <c r="D1810" s="1">
        <v>43040</v>
      </c>
      <c r="E1810" s="1">
        <v>43404</v>
      </c>
      <c r="F1810" t="s">
        <v>41</v>
      </c>
      <c r="G1810">
        <v>1</v>
      </c>
      <c r="H1810" t="s">
        <v>42</v>
      </c>
      <c r="I1810" t="s">
        <v>43</v>
      </c>
      <c r="J1810" t="s">
        <v>41</v>
      </c>
      <c r="K1810" t="s">
        <v>44</v>
      </c>
      <c r="L1810">
        <v>55687.5</v>
      </c>
      <c r="M1810" s="1">
        <v>43040</v>
      </c>
      <c r="N1810" t="s">
        <v>45</v>
      </c>
      <c r="O1810" t="s">
        <v>361</v>
      </c>
      <c r="P1810" t="s">
        <v>47</v>
      </c>
      <c r="Q1810" s="1">
        <v>43852</v>
      </c>
      <c r="R1810" t="s">
        <v>48</v>
      </c>
      <c r="S1810" t="s">
        <v>60</v>
      </c>
      <c r="T1810" t="s">
        <v>61</v>
      </c>
      <c r="U1810" t="s">
        <v>42</v>
      </c>
      <c r="V1810">
        <v>0</v>
      </c>
      <c r="W1810">
        <v>100000</v>
      </c>
      <c r="X1810" s="1">
        <v>43921</v>
      </c>
      <c r="Y1810" t="s">
        <v>51</v>
      </c>
      <c r="Z1810" t="s">
        <v>43</v>
      </c>
      <c r="AA1810" t="s">
        <v>41</v>
      </c>
      <c r="AB1810" t="s">
        <v>52</v>
      </c>
      <c r="AC1810" t="s">
        <v>53</v>
      </c>
      <c r="AF1810" t="s">
        <v>56</v>
      </c>
      <c r="AG1810" s="1">
        <v>43833</v>
      </c>
      <c r="AH1810" t="s">
        <v>42</v>
      </c>
      <c r="AI1810" t="s">
        <v>55</v>
      </c>
      <c r="AJ1810">
        <v>12788092</v>
      </c>
      <c r="AK1810">
        <v>250000</v>
      </c>
      <c r="AL1810">
        <v>1500000</v>
      </c>
    </row>
    <row r="1811" spans="1:38" x14ac:dyDescent="0.25">
      <c r="A1811" t="s">
        <v>213</v>
      </c>
      <c r="B1811">
        <v>22214171</v>
      </c>
      <c r="C1811" t="s">
        <v>71</v>
      </c>
      <c r="D1811" s="1">
        <v>43040</v>
      </c>
      <c r="E1811" s="1">
        <v>43404</v>
      </c>
      <c r="F1811" t="s">
        <v>41</v>
      </c>
      <c r="G1811">
        <v>1</v>
      </c>
      <c r="H1811" t="s">
        <v>42</v>
      </c>
      <c r="I1811" t="s">
        <v>43</v>
      </c>
      <c r="J1811" t="s">
        <v>41</v>
      </c>
      <c r="K1811" t="s">
        <v>44</v>
      </c>
      <c r="L1811">
        <v>55687.5</v>
      </c>
      <c r="M1811" s="1">
        <v>43040</v>
      </c>
      <c r="N1811" t="s">
        <v>45</v>
      </c>
      <c r="O1811" t="s">
        <v>361</v>
      </c>
      <c r="P1811" t="s">
        <v>47</v>
      </c>
      <c r="Q1811" s="1">
        <v>43852</v>
      </c>
      <c r="R1811" t="s">
        <v>48</v>
      </c>
      <c r="S1811" t="s">
        <v>60</v>
      </c>
      <c r="T1811" t="s">
        <v>61</v>
      </c>
      <c r="U1811" t="s">
        <v>42</v>
      </c>
      <c r="V1811">
        <v>0</v>
      </c>
      <c r="W1811">
        <v>100000</v>
      </c>
      <c r="X1811" s="1">
        <v>43921</v>
      </c>
      <c r="Y1811" t="s">
        <v>51</v>
      </c>
      <c r="Z1811" t="s">
        <v>43</v>
      </c>
      <c r="AA1811" t="s">
        <v>41</v>
      </c>
      <c r="AB1811" t="s">
        <v>52</v>
      </c>
      <c r="AC1811" t="s">
        <v>53</v>
      </c>
      <c r="AF1811" t="s">
        <v>57</v>
      </c>
      <c r="AG1811" s="1">
        <v>43836</v>
      </c>
      <c r="AH1811" t="s">
        <v>42</v>
      </c>
      <c r="AI1811" t="s">
        <v>55</v>
      </c>
      <c r="AJ1811">
        <v>12788092</v>
      </c>
      <c r="AK1811">
        <v>250000</v>
      </c>
      <c r="AL1811">
        <v>1500000</v>
      </c>
    </row>
    <row r="1812" spans="1:38" x14ac:dyDescent="0.25">
      <c r="A1812" t="s">
        <v>213</v>
      </c>
      <c r="B1812">
        <v>22214171</v>
      </c>
      <c r="C1812" t="s">
        <v>71</v>
      </c>
      <c r="D1812" s="1">
        <v>43040</v>
      </c>
      <c r="E1812" s="1">
        <v>43404</v>
      </c>
      <c r="F1812" t="s">
        <v>41</v>
      </c>
      <c r="G1812">
        <v>1</v>
      </c>
      <c r="H1812" t="s">
        <v>42</v>
      </c>
      <c r="I1812" t="s">
        <v>43</v>
      </c>
      <c r="J1812" t="s">
        <v>41</v>
      </c>
      <c r="K1812" t="s">
        <v>44</v>
      </c>
      <c r="L1812">
        <v>55687.5</v>
      </c>
      <c r="M1812" s="1">
        <v>43040</v>
      </c>
      <c r="N1812" t="s">
        <v>45</v>
      </c>
      <c r="O1812" t="s">
        <v>361</v>
      </c>
      <c r="P1812" t="s">
        <v>47</v>
      </c>
      <c r="Q1812" s="1">
        <v>43852</v>
      </c>
      <c r="R1812" t="s">
        <v>48</v>
      </c>
      <c r="S1812" t="s">
        <v>60</v>
      </c>
      <c r="T1812" t="s">
        <v>61</v>
      </c>
      <c r="U1812" t="s">
        <v>42</v>
      </c>
      <c r="V1812">
        <v>0</v>
      </c>
      <c r="W1812">
        <v>100000</v>
      </c>
      <c r="X1812" s="1">
        <v>43921</v>
      </c>
      <c r="Y1812" t="s">
        <v>51</v>
      </c>
      <c r="Z1812" t="s">
        <v>43</v>
      </c>
      <c r="AA1812" t="s">
        <v>41</v>
      </c>
      <c r="AB1812" t="s">
        <v>52</v>
      </c>
      <c r="AC1812" t="s">
        <v>53</v>
      </c>
      <c r="AF1812" t="s">
        <v>58</v>
      </c>
      <c r="AG1812" s="1">
        <v>43837</v>
      </c>
      <c r="AH1812" t="s">
        <v>42</v>
      </c>
      <c r="AI1812" t="s">
        <v>55</v>
      </c>
      <c r="AJ1812">
        <v>12788092</v>
      </c>
      <c r="AK1812">
        <v>250000</v>
      </c>
      <c r="AL1812">
        <v>1500000</v>
      </c>
    </row>
    <row r="1813" spans="1:38" x14ac:dyDescent="0.25">
      <c r="A1813" t="s">
        <v>213</v>
      </c>
      <c r="B1813">
        <v>22214171</v>
      </c>
      <c r="C1813" t="s">
        <v>71</v>
      </c>
      <c r="D1813" s="1">
        <v>43040</v>
      </c>
      <c r="E1813" s="1">
        <v>43404</v>
      </c>
      <c r="F1813" t="s">
        <v>41</v>
      </c>
      <c r="G1813">
        <v>1</v>
      </c>
      <c r="H1813" t="s">
        <v>42</v>
      </c>
      <c r="I1813" t="s">
        <v>43</v>
      </c>
      <c r="J1813" t="s">
        <v>41</v>
      </c>
      <c r="K1813" t="s">
        <v>44</v>
      </c>
      <c r="L1813">
        <v>55687.5</v>
      </c>
      <c r="M1813" s="1">
        <v>43040</v>
      </c>
      <c r="N1813" t="s">
        <v>45</v>
      </c>
      <c r="O1813" t="s">
        <v>361</v>
      </c>
      <c r="P1813" t="s">
        <v>47</v>
      </c>
      <c r="Q1813" s="1">
        <v>43852</v>
      </c>
      <c r="R1813" t="s">
        <v>48</v>
      </c>
      <c r="S1813" t="s">
        <v>60</v>
      </c>
      <c r="T1813" t="s">
        <v>61</v>
      </c>
      <c r="U1813" t="s">
        <v>42</v>
      </c>
      <c r="V1813">
        <v>0</v>
      </c>
      <c r="W1813">
        <v>100000</v>
      </c>
      <c r="X1813" s="1">
        <v>43921</v>
      </c>
      <c r="Y1813" t="s">
        <v>51</v>
      </c>
      <c r="Z1813" t="s">
        <v>43</v>
      </c>
      <c r="AA1813" t="s">
        <v>41</v>
      </c>
      <c r="AB1813" t="s">
        <v>52</v>
      </c>
      <c r="AC1813" t="s">
        <v>53</v>
      </c>
      <c r="AF1813" t="s">
        <v>59</v>
      </c>
      <c r="AG1813" s="1">
        <v>43838</v>
      </c>
      <c r="AH1813" t="s">
        <v>42</v>
      </c>
      <c r="AI1813" t="s">
        <v>55</v>
      </c>
      <c r="AJ1813">
        <v>12788092</v>
      </c>
      <c r="AK1813">
        <v>250000</v>
      </c>
      <c r="AL1813">
        <v>1500000</v>
      </c>
    </row>
    <row r="1814" spans="1:38" x14ac:dyDescent="0.25">
      <c r="A1814" t="s">
        <v>213</v>
      </c>
      <c r="B1814">
        <v>22214171</v>
      </c>
      <c r="C1814" t="s">
        <v>71</v>
      </c>
      <c r="D1814" s="1">
        <v>43040</v>
      </c>
      <c r="E1814" s="1">
        <v>43404</v>
      </c>
      <c r="F1814" t="s">
        <v>41</v>
      </c>
      <c r="G1814">
        <v>1</v>
      </c>
      <c r="H1814" t="s">
        <v>42</v>
      </c>
      <c r="I1814" t="s">
        <v>43</v>
      </c>
      <c r="J1814" t="s">
        <v>41</v>
      </c>
      <c r="K1814" t="s">
        <v>44</v>
      </c>
      <c r="L1814">
        <v>55687.5</v>
      </c>
      <c r="M1814" s="1">
        <v>43040</v>
      </c>
      <c r="N1814" t="s">
        <v>45</v>
      </c>
      <c r="O1814" t="s">
        <v>361</v>
      </c>
      <c r="P1814" t="s">
        <v>47</v>
      </c>
      <c r="Q1814" s="1">
        <v>43852</v>
      </c>
      <c r="R1814" t="s">
        <v>48</v>
      </c>
      <c r="S1814" t="s">
        <v>62</v>
      </c>
      <c r="T1814" t="s">
        <v>63</v>
      </c>
      <c r="U1814" t="s">
        <v>42</v>
      </c>
      <c r="V1814">
        <v>0</v>
      </c>
      <c r="W1814">
        <v>100000</v>
      </c>
      <c r="X1814" s="1">
        <v>43982</v>
      </c>
      <c r="Y1814" t="s">
        <v>51</v>
      </c>
      <c r="Z1814" t="s">
        <v>43</v>
      </c>
      <c r="AA1814" t="s">
        <v>41</v>
      </c>
      <c r="AB1814" t="s">
        <v>52</v>
      </c>
      <c r="AC1814" t="s">
        <v>53</v>
      </c>
      <c r="AF1814" t="s">
        <v>54</v>
      </c>
      <c r="AG1814" s="1">
        <v>43832</v>
      </c>
      <c r="AH1814" t="s">
        <v>42</v>
      </c>
      <c r="AI1814" t="s">
        <v>55</v>
      </c>
      <c r="AJ1814">
        <v>12788092</v>
      </c>
      <c r="AK1814">
        <v>250000</v>
      </c>
      <c r="AL1814">
        <v>1500000</v>
      </c>
    </row>
    <row r="1815" spans="1:38" x14ac:dyDescent="0.25">
      <c r="A1815" t="s">
        <v>213</v>
      </c>
      <c r="B1815">
        <v>22214171</v>
      </c>
      <c r="C1815" t="s">
        <v>71</v>
      </c>
      <c r="D1815" s="1">
        <v>43040</v>
      </c>
      <c r="E1815" s="1">
        <v>43404</v>
      </c>
      <c r="F1815" t="s">
        <v>41</v>
      </c>
      <c r="G1815">
        <v>1</v>
      </c>
      <c r="H1815" t="s">
        <v>42</v>
      </c>
      <c r="I1815" t="s">
        <v>43</v>
      </c>
      <c r="J1815" t="s">
        <v>41</v>
      </c>
      <c r="K1815" t="s">
        <v>44</v>
      </c>
      <c r="L1815">
        <v>55687.5</v>
      </c>
      <c r="M1815" s="1">
        <v>43040</v>
      </c>
      <c r="N1815" t="s">
        <v>45</v>
      </c>
      <c r="O1815" t="s">
        <v>361</v>
      </c>
      <c r="P1815" t="s">
        <v>47</v>
      </c>
      <c r="Q1815" s="1">
        <v>43852</v>
      </c>
      <c r="R1815" t="s">
        <v>48</v>
      </c>
      <c r="S1815" t="s">
        <v>62</v>
      </c>
      <c r="T1815" t="s">
        <v>63</v>
      </c>
      <c r="U1815" t="s">
        <v>42</v>
      </c>
      <c r="V1815">
        <v>0</v>
      </c>
      <c r="W1815">
        <v>100000</v>
      </c>
      <c r="X1815" s="1">
        <v>43982</v>
      </c>
      <c r="Y1815" t="s">
        <v>51</v>
      </c>
      <c r="Z1815" t="s">
        <v>43</v>
      </c>
      <c r="AA1815" t="s">
        <v>41</v>
      </c>
      <c r="AB1815" t="s">
        <v>52</v>
      </c>
      <c r="AC1815" t="s">
        <v>53</v>
      </c>
      <c r="AF1815" t="s">
        <v>56</v>
      </c>
      <c r="AG1815" s="1">
        <v>43833</v>
      </c>
      <c r="AH1815" t="s">
        <v>42</v>
      </c>
      <c r="AI1815" t="s">
        <v>55</v>
      </c>
      <c r="AJ1815">
        <v>12788092</v>
      </c>
      <c r="AK1815">
        <v>250000</v>
      </c>
      <c r="AL1815">
        <v>1500000</v>
      </c>
    </row>
    <row r="1816" spans="1:38" x14ac:dyDescent="0.25">
      <c r="A1816" t="s">
        <v>213</v>
      </c>
      <c r="B1816">
        <v>22214171</v>
      </c>
      <c r="C1816" t="s">
        <v>71</v>
      </c>
      <c r="D1816" s="1">
        <v>43040</v>
      </c>
      <c r="E1816" s="1">
        <v>43404</v>
      </c>
      <c r="F1816" t="s">
        <v>41</v>
      </c>
      <c r="G1816">
        <v>1</v>
      </c>
      <c r="H1816" t="s">
        <v>42</v>
      </c>
      <c r="I1816" t="s">
        <v>43</v>
      </c>
      <c r="J1816" t="s">
        <v>41</v>
      </c>
      <c r="K1816" t="s">
        <v>44</v>
      </c>
      <c r="L1816">
        <v>55687.5</v>
      </c>
      <c r="M1816" s="1">
        <v>43040</v>
      </c>
      <c r="N1816" t="s">
        <v>45</v>
      </c>
      <c r="O1816" t="s">
        <v>361</v>
      </c>
      <c r="P1816" t="s">
        <v>47</v>
      </c>
      <c r="Q1816" s="1">
        <v>43852</v>
      </c>
      <c r="R1816" t="s">
        <v>48</v>
      </c>
      <c r="S1816" t="s">
        <v>62</v>
      </c>
      <c r="T1816" t="s">
        <v>63</v>
      </c>
      <c r="U1816" t="s">
        <v>42</v>
      </c>
      <c r="V1816">
        <v>0</v>
      </c>
      <c r="W1816">
        <v>100000</v>
      </c>
      <c r="X1816" s="1">
        <v>43982</v>
      </c>
      <c r="Y1816" t="s">
        <v>51</v>
      </c>
      <c r="Z1816" t="s">
        <v>43</v>
      </c>
      <c r="AA1816" t="s">
        <v>41</v>
      </c>
      <c r="AB1816" t="s">
        <v>52</v>
      </c>
      <c r="AC1816" t="s">
        <v>53</v>
      </c>
      <c r="AF1816" t="s">
        <v>57</v>
      </c>
      <c r="AG1816" s="1">
        <v>43836</v>
      </c>
      <c r="AH1816" t="s">
        <v>42</v>
      </c>
      <c r="AI1816" t="s">
        <v>55</v>
      </c>
      <c r="AJ1816">
        <v>12788092</v>
      </c>
      <c r="AK1816">
        <v>250000</v>
      </c>
      <c r="AL1816">
        <v>1500000</v>
      </c>
    </row>
    <row r="1817" spans="1:38" x14ac:dyDescent="0.25">
      <c r="A1817" t="s">
        <v>213</v>
      </c>
      <c r="B1817">
        <v>22214171</v>
      </c>
      <c r="C1817" t="s">
        <v>71</v>
      </c>
      <c r="D1817" s="1">
        <v>43040</v>
      </c>
      <c r="E1817" s="1">
        <v>43404</v>
      </c>
      <c r="F1817" t="s">
        <v>41</v>
      </c>
      <c r="G1817">
        <v>1</v>
      </c>
      <c r="H1817" t="s">
        <v>42</v>
      </c>
      <c r="I1817" t="s">
        <v>43</v>
      </c>
      <c r="J1817" t="s">
        <v>41</v>
      </c>
      <c r="K1817" t="s">
        <v>44</v>
      </c>
      <c r="L1817">
        <v>55687.5</v>
      </c>
      <c r="M1817" s="1">
        <v>43040</v>
      </c>
      <c r="N1817" t="s">
        <v>45</v>
      </c>
      <c r="O1817" t="s">
        <v>361</v>
      </c>
      <c r="P1817" t="s">
        <v>47</v>
      </c>
      <c r="Q1817" s="1">
        <v>43852</v>
      </c>
      <c r="R1817" t="s">
        <v>48</v>
      </c>
      <c r="S1817" t="s">
        <v>62</v>
      </c>
      <c r="T1817" t="s">
        <v>63</v>
      </c>
      <c r="U1817" t="s">
        <v>42</v>
      </c>
      <c r="V1817">
        <v>0</v>
      </c>
      <c r="W1817">
        <v>100000</v>
      </c>
      <c r="X1817" s="1">
        <v>43982</v>
      </c>
      <c r="Y1817" t="s">
        <v>51</v>
      </c>
      <c r="Z1817" t="s">
        <v>43</v>
      </c>
      <c r="AA1817" t="s">
        <v>41</v>
      </c>
      <c r="AB1817" t="s">
        <v>52</v>
      </c>
      <c r="AC1817" t="s">
        <v>53</v>
      </c>
      <c r="AF1817" t="s">
        <v>58</v>
      </c>
      <c r="AG1817" s="1">
        <v>43837</v>
      </c>
      <c r="AH1817" t="s">
        <v>42</v>
      </c>
      <c r="AI1817" t="s">
        <v>55</v>
      </c>
      <c r="AJ1817">
        <v>12788092</v>
      </c>
      <c r="AK1817">
        <v>250000</v>
      </c>
      <c r="AL1817">
        <v>1500000</v>
      </c>
    </row>
    <row r="1818" spans="1:38" x14ac:dyDescent="0.25">
      <c r="A1818" t="s">
        <v>213</v>
      </c>
      <c r="B1818">
        <v>22214171</v>
      </c>
      <c r="C1818" t="s">
        <v>71</v>
      </c>
      <c r="D1818" s="1">
        <v>43040</v>
      </c>
      <c r="E1818" s="1">
        <v>43404</v>
      </c>
      <c r="F1818" t="s">
        <v>41</v>
      </c>
      <c r="G1818">
        <v>1</v>
      </c>
      <c r="H1818" t="s">
        <v>42</v>
      </c>
      <c r="I1818" t="s">
        <v>43</v>
      </c>
      <c r="J1818" t="s">
        <v>41</v>
      </c>
      <c r="K1818" t="s">
        <v>44</v>
      </c>
      <c r="L1818">
        <v>55687.5</v>
      </c>
      <c r="M1818" s="1">
        <v>43040</v>
      </c>
      <c r="N1818" t="s">
        <v>45</v>
      </c>
      <c r="O1818" t="s">
        <v>361</v>
      </c>
      <c r="P1818" t="s">
        <v>47</v>
      </c>
      <c r="Q1818" s="1">
        <v>43852</v>
      </c>
      <c r="R1818" t="s">
        <v>48</v>
      </c>
      <c r="S1818" t="s">
        <v>62</v>
      </c>
      <c r="T1818" t="s">
        <v>63</v>
      </c>
      <c r="U1818" t="s">
        <v>42</v>
      </c>
      <c r="V1818">
        <v>0</v>
      </c>
      <c r="W1818">
        <v>100000</v>
      </c>
      <c r="X1818" s="1">
        <v>43982</v>
      </c>
      <c r="Y1818" t="s">
        <v>51</v>
      </c>
      <c r="Z1818" t="s">
        <v>43</v>
      </c>
      <c r="AA1818" t="s">
        <v>41</v>
      </c>
      <c r="AB1818" t="s">
        <v>52</v>
      </c>
      <c r="AC1818" t="s">
        <v>53</v>
      </c>
      <c r="AF1818" t="s">
        <v>59</v>
      </c>
      <c r="AG1818" s="1">
        <v>43838</v>
      </c>
      <c r="AH1818" t="s">
        <v>42</v>
      </c>
      <c r="AI1818" t="s">
        <v>55</v>
      </c>
      <c r="AJ1818">
        <v>12788092</v>
      </c>
      <c r="AK1818">
        <v>250000</v>
      </c>
      <c r="AL1818">
        <v>1500000</v>
      </c>
    </row>
    <row r="1819" spans="1:38" x14ac:dyDescent="0.25">
      <c r="A1819" t="s">
        <v>213</v>
      </c>
      <c r="B1819">
        <v>22214171</v>
      </c>
      <c r="C1819" t="s">
        <v>71</v>
      </c>
      <c r="D1819" s="1">
        <v>43040</v>
      </c>
      <c r="E1819" s="1">
        <v>43404</v>
      </c>
      <c r="F1819" t="s">
        <v>41</v>
      </c>
      <c r="G1819">
        <v>1</v>
      </c>
      <c r="H1819" t="s">
        <v>42</v>
      </c>
      <c r="I1819" t="s">
        <v>43</v>
      </c>
      <c r="J1819" t="s">
        <v>41</v>
      </c>
      <c r="K1819" t="s">
        <v>44</v>
      </c>
      <c r="L1819">
        <v>55687.5</v>
      </c>
      <c r="M1819" s="1">
        <v>43040</v>
      </c>
      <c r="N1819" t="s">
        <v>45</v>
      </c>
      <c r="O1819" t="s">
        <v>361</v>
      </c>
      <c r="P1819" t="s">
        <v>47</v>
      </c>
      <c r="Q1819" s="1">
        <v>43852</v>
      </c>
      <c r="R1819" t="s">
        <v>48</v>
      </c>
      <c r="S1819" t="s">
        <v>64</v>
      </c>
      <c r="T1819" t="s">
        <v>65</v>
      </c>
      <c r="U1819" t="s">
        <v>42</v>
      </c>
      <c r="V1819">
        <v>0</v>
      </c>
      <c r="W1819">
        <v>100000</v>
      </c>
      <c r="X1819" s="1">
        <v>43921</v>
      </c>
      <c r="Y1819" t="s">
        <v>51</v>
      </c>
      <c r="Z1819" t="s">
        <v>43</v>
      </c>
      <c r="AA1819" t="s">
        <v>41</v>
      </c>
      <c r="AB1819" t="s">
        <v>52</v>
      </c>
      <c r="AC1819" t="s">
        <v>53</v>
      </c>
      <c r="AF1819" t="s">
        <v>54</v>
      </c>
      <c r="AG1819" s="1">
        <v>43832</v>
      </c>
      <c r="AH1819" t="s">
        <v>42</v>
      </c>
      <c r="AI1819" t="s">
        <v>55</v>
      </c>
      <c r="AJ1819">
        <v>12788092</v>
      </c>
      <c r="AK1819">
        <v>250000</v>
      </c>
      <c r="AL1819">
        <v>1500000</v>
      </c>
    </row>
    <row r="1820" spans="1:38" x14ac:dyDescent="0.25">
      <c r="A1820" t="s">
        <v>213</v>
      </c>
      <c r="B1820">
        <v>22214171</v>
      </c>
      <c r="C1820" t="s">
        <v>71</v>
      </c>
      <c r="D1820" s="1">
        <v>43040</v>
      </c>
      <c r="E1820" s="1">
        <v>43404</v>
      </c>
      <c r="F1820" t="s">
        <v>41</v>
      </c>
      <c r="G1820">
        <v>1</v>
      </c>
      <c r="H1820" t="s">
        <v>42</v>
      </c>
      <c r="I1820" t="s">
        <v>43</v>
      </c>
      <c r="J1820" t="s">
        <v>41</v>
      </c>
      <c r="K1820" t="s">
        <v>44</v>
      </c>
      <c r="L1820">
        <v>55687.5</v>
      </c>
      <c r="M1820" s="1">
        <v>43040</v>
      </c>
      <c r="N1820" t="s">
        <v>45</v>
      </c>
      <c r="O1820" t="s">
        <v>361</v>
      </c>
      <c r="P1820" t="s">
        <v>47</v>
      </c>
      <c r="Q1820" s="1">
        <v>43852</v>
      </c>
      <c r="R1820" t="s">
        <v>48</v>
      </c>
      <c r="S1820" t="s">
        <v>64</v>
      </c>
      <c r="T1820" t="s">
        <v>65</v>
      </c>
      <c r="U1820" t="s">
        <v>42</v>
      </c>
      <c r="V1820">
        <v>0</v>
      </c>
      <c r="W1820">
        <v>100000</v>
      </c>
      <c r="X1820" s="1">
        <v>43921</v>
      </c>
      <c r="Y1820" t="s">
        <v>51</v>
      </c>
      <c r="Z1820" t="s">
        <v>43</v>
      </c>
      <c r="AA1820" t="s">
        <v>41</v>
      </c>
      <c r="AB1820" t="s">
        <v>52</v>
      </c>
      <c r="AC1820" t="s">
        <v>53</v>
      </c>
      <c r="AF1820" t="s">
        <v>56</v>
      </c>
      <c r="AG1820" s="1">
        <v>43833</v>
      </c>
      <c r="AH1820" t="s">
        <v>42</v>
      </c>
      <c r="AI1820" t="s">
        <v>55</v>
      </c>
      <c r="AJ1820">
        <v>12788092</v>
      </c>
      <c r="AK1820">
        <v>250000</v>
      </c>
      <c r="AL1820">
        <v>1500000</v>
      </c>
    </row>
    <row r="1821" spans="1:38" x14ac:dyDescent="0.25">
      <c r="A1821" t="s">
        <v>213</v>
      </c>
      <c r="B1821">
        <v>22214171</v>
      </c>
      <c r="C1821" t="s">
        <v>71</v>
      </c>
      <c r="D1821" s="1">
        <v>43040</v>
      </c>
      <c r="E1821" s="1">
        <v>43404</v>
      </c>
      <c r="F1821" t="s">
        <v>41</v>
      </c>
      <c r="G1821">
        <v>1</v>
      </c>
      <c r="H1821" t="s">
        <v>42</v>
      </c>
      <c r="I1821" t="s">
        <v>43</v>
      </c>
      <c r="J1821" t="s">
        <v>41</v>
      </c>
      <c r="K1821" t="s">
        <v>44</v>
      </c>
      <c r="L1821">
        <v>55687.5</v>
      </c>
      <c r="M1821" s="1">
        <v>43040</v>
      </c>
      <c r="N1821" t="s">
        <v>45</v>
      </c>
      <c r="O1821" t="s">
        <v>361</v>
      </c>
      <c r="P1821" t="s">
        <v>47</v>
      </c>
      <c r="Q1821" s="1">
        <v>43852</v>
      </c>
      <c r="R1821" t="s">
        <v>48</v>
      </c>
      <c r="S1821" t="s">
        <v>64</v>
      </c>
      <c r="T1821" t="s">
        <v>65</v>
      </c>
      <c r="U1821" t="s">
        <v>42</v>
      </c>
      <c r="V1821">
        <v>0</v>
      </c>
      <c r="W1821">
        <v>100000</v>
      </c>
      <c r="X1821" s="1">
        <v>43921</v>
      </c>
      <c r="Y1821" t="s">
        <v>51</v>
      </c>
      <c r="Z1821" t="s">
        <v>43</v>
      </c>
      <c r="AA1821" t="s">
        <v>41</v>
      </c>
      <c r="AB1821" t="s">
        <v>52</v>
      </c>
      <c r="AC1821" t="s">
        <v>53</v>
      </c>
      <c r="AF1821" t="s">
        <v>57</v>
      </c>
      <c r="AG1821" s="1">
        <v>43836</v>
      </c>
      <c r="AH1821" t="s">
        <v>42</v>
      </c>
      <c r="AI1821" t="s">
        <v>55</v>
      </c>
      <c r="AJ1821">
        <v>12788092</v>
      </c>
      <c r="AK1821">
        <v>250000</v>
      </c>
      <c r="AL1821">
        <v>1500000</v>
      </c>
    </row>
    <row r="1822" spans="1:38" x14ac:dyDescent="0.25">
      <c r="A1822" t="s">
        <v>213</v>
      </c>
      <c r="B1822">
        <v>22214171</v>
      </c>
      <c r="C1822" t="s">
        <v>71</v>
      </c>
      <c r="D1822" s="1">
        <v>43040</v>
      </c>
      <c r="E1822" s="1">
        <v>43404</v>
      </c>
      <c r="F1822" t="s">
        <v>41</v>
      </c>
      <c r="G1822">
        <v>1</v>
      </c>
      <c r="H1822" t="s">
        <v>42</v>
      </c>
      <c r="I1822" t="s">
        <v>43</v>
      </c>
      <c r="J1822" t="s">
        <v>41</v>
      </c>
      <c r="K1822" t="s">
        <v>44</v>
      </c>
      <c r="L1822">
        <v>55687.5</v>
      </c>
      <c r="M1822" s="1">
        <v>43040</v>
      </c>
      <c r="N1822" t="s">
        <v>45</v>
      </c>
      <c r="O1822" t="s">
        <v>361</v>
      </c>
      <c r="P1822" t="s">
        <v>47</v>
      </c>
      <c r="Q1822" s="1">
        <v>43852</v>
      </c>
      <c r="R1822" t="s">
        <v>48</v>
      </c>
      <c r="S1822" t="s">
        <v>64</v>
      </c>
      <c r="T1822" t="s">
        <v>65</v>
      </c>
      <c r="U1822" t="s">
        <v>42</v>
      </c>
      <c r="V1822">
        <v>0</v>
      </c>
      <c r="W1822">
        <v>100000</v>
      </c>
      <c r="X1822" s="1">
        <v>43921</v>
      </c>
      <c r="Y1822" t="s">
        <v>51</v>
      </c>
      <c r="Z1822" t="s">
        <v>43</v>
      </c>
      <c r="AA1822" t="s">
        <v>41</v>
      </c>
      <c r="AB1822" t="s">
        <v>52</v>
      </c>
      <c r="AC1822" t="s">
        <v>53</v>
      </c>
      <c r="AF1822" t="s">
        <v>58</v>
      </c>
      <c r="AG1822" s="1">
        <v>43837</v>
      </c>
      <c r="AH1822" t="s">
        <v>42</v>
      </c>
      <c r="AI1822" t="s">
        <v>55</v>
      </c>
      <c r="AJ1822">
        <v>12788092</v>
      </c>
      <c r="AK1822">
        <v>250000</v>
      </c>
      <c r="AL1822">
        <v>1500000</v>
      </c>
    </row>
    <row r="1823" spans="1:38" x14ac:dyDescent="0.25">
      <c r="A1823" t="s">
        <v>213</v>
      </c>
      <c r="B1823">
        <v>22214171</v>
      </c>
      <c r="C1823" t="s">
        <v>71</v>
      </c>
      <c r="D1823" s="1">
        <v>43040</v>
      </c>
      <c r="E1823" s="1">
        <v>43404</v>
      </c>
      <c r="F1823" t="s">
        <v>41</v>
      </c>
      <c r="G1823">
        <v>1</v>
      </c>
      <c r="H1823" t="s">
        <v>42</v>
      </c>
      <c r="I1823" t="s">
        <v>43</v>
      </c>
      <c r="J1823" t="s">
        <v>41</v>
      </c>
      <c r="K1823" t="s">
        <v>44</v>
      </c>
      <c r="L1823">
        <v>55687.5</v>
      </c>
      <c r="M1823" s="1">
        <v>43040</v>
      </c>
      <c r="N1823" t="s">
        <v>45</v>
      </c>
      <c r="O1823" t="s">
        <v>361</v>
      </c>
      <c r="P1823" t="s">
        <v>47</v>
      </c>
      <c r="Q1823" s="1">
        <v>43852</v>
      </c>
      <c r="R1823" t="s">
        <v>48</v>
      </c>
      <c r="S1823" t="s">
        <v>64</v>
      </c>
      <c r="T1823" t="s">
        <v>65</v>
      </c>
      <c r="U1823" t="s">
        <v>42</v>
      </c>
      <c r="V1823">
        <v>0</v>
      </c>
      <c r="W1823">
        <v>100000</v>
      </c>
      <c r="X1823" s="1">
        <v>43921</v>
      </c>
      <c r="Y1823" t="s">
        <v>51</v>
      </c>
      <c r="Z1823" t="s">
        <v>43</v>
      </c>
      <c r="AA1823" t="s">
        <v>41</v>
      </c>
      <c r="AB1823" t="s">
        <v>52</v>
      </c>
      <c r="AC1823" t="s">
        <v>53</v>
      </c>
      <c r="AF1823" t="s">
        <v>59</v>
      </c>
      <c r="AG1823" s="1">
        <v>43838</v>
      </c>
      <c r="AH1823" t="s">
        <v>42</v>
      </c>
      <c r="AI1823" t="s">
        <v>55</v>
      </c>
      <c r="AJ1823">
        <v>12788092</v>
      </c>
      <c r="AK1823">
        <v>250000</v>
      </c>
      <c r="AL1823">
        <v>1500000</v>
      </c>
    </row>
    <row r="1824" spans="1:38" x14ac:dyDescent="0.25">
      <c r="A1824" t="s">
        <v>215</v>
      </c>
      <c r="B1824">
        <v>22341873</v>
      </c>
      <c r="C1824" t="s">
        <v>40</v>
      </c>
      <c r="D1824" s="1">
        <v>43355</v>
      </c>
      <c r="E1824" s="1">
        <v>43719</v>
      </c>
      <c r="F1824" t="s">
        <v>41</v>
      </c>
      <c r="G1824">
        <v>5</v>
      </c>
      <c r="H1824" t="s">
        <v>219</v>
      </c>
      <c r="I1824" t="s">
        <v>43</v>
      </c>
      <c r="J1824" t="s">
        <v>41</v>
      </c>
      <c r="K1824" t="s">
        <v>44</v>
      </c>
      <c r="L1824">
        <v>8745.18</v>
      </c>
      <c r="M1824" s="1">
        <v>43355</v>
      </c>
      <c r="N1824" t="s">
        <v>45</v>
      </c>
      <c r="O1824" t="s">
        <v>46</v>
      </c>
      <c r="P1824" t="s">
        <v>47</v>
      </c>
      <c r="Q1824" s="1">
        <v>43852</v>
      </c>
      <c r="R1824" t="s">
        <v>48</v>
      </c>
    </row>
    <row r="1825" spans="1:33" x14ac:dyDescent="0.25">
      <c r="A1825" t="s">
        <v>217</v>
      </c>
      <c r="B1825" t="s">
        <v>497</v>
      </c>
      <c r="C1825" t="s">
        <v>40</v>
      </c>
      <c r="D1825" s="1">
        <v>43511</v>
      </c>
      <c r="E1825" s="1">
        <v>43875</v>
      </c>
      <c r="F1825" t="s">
        <v>498</v>
      </c>
      <c r="G1825">
        <v>9</v>
      </c>
      <c r="H1825" t="s">
        <v>121</v>
      </c>
      <c r="I1825" t="s">
        <v>43</v>
      </c>
      <c r="J1825" t="s">
        <v>498</v>
      </c>
      <c r="K1825" t="s">
        <v>127</v>
      </c>
      <c r="L1825">
        <v>10578.39</v>
      </c>
      <c r="M1825" s="1">
        <v>43511</v>
      </c>
      <c r="N1825" t="s">
        <v>45</v>
      </c>
      <c r="O1825" t="s">
        <v>46</v>
      </c>
      <c r="P1825" t="s">
        <v>47</v>
      </c>
      <c r="Q1825" s="1">
        <v>43852</v>
      </c>
      <c r="R1825" t="s">
        <v>48</v>
      </c>
    </row>
    <row r="1826" spans="1:33" x14ac:dyDescent="0.25">
      <c r="A1826" t="s">
        <v>220</v>
      </c>
      <c r="B1826" t="s">
        <v>499</v>
      </c>
      <c r="C1826" t="s">
        <v>40</v>
      </c>
      <c r="D1826" s="1">
        <v>43709</v>
      </c>
      <c r="E1826" s="1">
        <v>44074</v>
      </c>
      <c r="F1826" t="s">
        <v>72</v>
      </c>
      <c r="G1826">
        <v>1</v>
      </c>
      <c r="H1826" t="s">
        <v>42</v>
      </c>
      <c r="I1826" t="s">
        <v>43</v>
      </c>
      <c r="J1826" t="s">
        <v>115</v>
      </c>
      <c r="K1826" t="s">
        <v>44</v>
      </c>
      <c r="L1826">
        <v>10279.51</v>
      </c>
      <c r="M1826" s="1">
        <v>43709</v>
      </c>
      <c r="N1826" t="s">
        <v>45</v>
      </c>
      <c r="O1826" t="s">
        <v>44</v>
      </c>
      <c r="P1826" t="s">
        <v>47</v>
      </c>
      <c r="Q1826" s="1">
        <v>43852</v>
      </c>
      <c r="R1826" t="s">
        <v>48</v>
      </c>
    </row>
    <row r="1827" spans="1:33" x14ac:dyDescent="0.25">
      <c r="A1827" t="s">
        <v>221</v>
      </c>
      <c r="B1827" s="2">
        <v>3.10304E+17</v>
      </c>
      <c r="C1827" t="s">
        <v>71</v>
      </c>
      <c r="D1827" s="1">
        <v>43344</v>
      </c>
      <c r="E1827" s="1">
        <v>43708</v>
      </c>
      <c r="F1827" t="s">
        <v>72</v>
      </c>
      <c r="G1827">
        <v>1</v>
      </c>
      <c r="H1827" t="s">
        <v>42</v>
      </c>
      <c r="I1827" t="s">
        <v>43</v>
      </c>
      <c r="J1827" t="s">
        <v>115</v>
      </c>
      <c r="K1827" t="s">
        <v>44</v>
      </c>
      <c r="L1827">
        <v>610.77</v>
      </c>
      <c r="M1827" s="1">
        <v>43344</v>
      </c>
      <c r="N1827" t="s">
        <v>45</v>
      </c>
      <c r="O1827" t="s">
        <v>46</v>
      </c>
      <c r="P1827" t="s">
        <v>47</v>
      </c>
      <c r="Q1827" s="1">
        <v>43852</v>
      </c>
      <c r="R1827" t="s">
        <v>48</v>
      </c>
    </row>
    <row r="1828" spans="1:33" x14ac:dyDescent="0.25">
      <c r="A1828" t="s">
        <v>224</v>
      </c>
      <c r="B1828">
        <v>301004265</v>
      </c>
      <c r="C1828" t="s">
        <v>71</v>
      </c>
      <c r="D1828" s="1">
        <v>43168</v>
      </c>
      <c r="E1828" s="1">
        <v>43532</v>
      </c>
      <c r="F1828" t="s">
        <v>77</v>
      </c>
      <c r="G1828">
        <v>12</v>
      </c>
      <c r="H1828" t="s">
        <v>155</v>
      </c>
      <c r="I1828" t="s">
        <v>43</v>
      </c>
      <c r="J1828" t="s">
        <v>126</v>
      </c>
      <c r="K1828" t="s">
        <v>44</v>
      </c>
      <c r="L1828">
        <v>25000</v>
      </c>
      <c r="M1828" s="1">
        <v>43168</v>
      </c>
      <c r="N1828" t="s">
        <v>45</v>
      </c>
      <c r="O1828" t="s">
        <v>46</v>
      </c>
      <c r="P1828" t="s">
        <v>47</v>
      </c>
      <c r="Q1828" s="1">
        <v>43852</v>
      </c>
      <c r="R1828" t="s">
        <v>48</v>
      </c>
      <c r="S1828" t="s">
        <v>156</v>
      </c>
      <c r="T1828" t="s">
        <v>157</v>
      </c>
      <c r="U1828" t="s">
        <v>155</v>
      </c>
      <c r="V1828">
        <v>500000</v>
      </c>
      <c r="W1828">
        <v>75000</v>
      </c>
      <c r="X1828" s="1">
        <v>43982</v>
      </c>
      <c r="Y1828" t="s">
        <v>51</v>
      </c>
      <c r="Z1828" t="s">
        <v>43</v>
      </c>
      <c r="AA1828" t="s">
        <v>77</v>
      </c>
      <c r="AB1828" t="s">
        <v>158</v>
      </c>
      <c r="AC1828" t="s">
        <v>159</v>
      </c>
      <c r="AF1828" t="s">
        <v>160</v>
      </c>
      <c r="AG1828" s="1">
        <v>43851</v>
      </c>
    </row>
    <row r="1829" spans="1:33" x14ac:dyDescent="0.25">
      <c r="A1829" t="s">
        <v>224</v>
      </c>
      <c r="B1829">
        <v>301004265</v>
      </c>
      <c r="C1829" t="s">
        <v>71</v>
      </c>
      <c r="D1829" s="1">
        <v>43168</v>
      </c>
      <c r="E1829" s="1">
        <v>43532</v>
      </c>
      <c r="F1829" t="s">
        <v>77</v>
      </c>
      <c r="G1829">
        <v>12</v>
      </c>
      <c r="H1829" t="s">
        <v>155</v>
      </c>
      <c r="I1829" t="s">
        <v>43</v>
      </c>
      <c r="J1829" t="s">
        <v>126</v>
      </c>
      <c r="K1829" t="s">
        <v>44</v>
      </c>
      <c r="L1829">
        <v>25000</v>
      </c>
      <c r="M1829" s="1">
        <v>43168</v>
      </c>
      <c r="N1829" t="s">
        <v>45</v>
      </c>
      <c r="O1829" t="s">
        <v>46</v>
      </c>
      <c r="P1829" t="s">
        <v>47</v>
      </c>
      <c r="Q1829" s="1">
        <v>43852</v>
      </c>
      <c r="R1829" t="s">
        <v>48</v>
      </c>
      <c r="S1829" t="s">
        <v>156</v>
      </c>
      <c r="T1829" t="s">
        <v>157</v>
      </c>
      <c r="U1829" t="s">
        <v>155</v>
      </c>
      <c r="V1829">
        <v>500000</v>
      </c>
      <c r="W1829">
        <v>75000</v>
      </c>
      <c r="X1829" s="1">
        <v>43982</v>
      </c>
      <c r="Y1829" t="s">
        <v>51</v>
      </c>
      <c r="Z1829" t="s">
        <v>43</v>
      </c>
      <c r="AA1829" t="s">
        <v>77</v>
      </c>
      <c r="AB1829" t="s">
        <v>158</v>
      </c>
      <c r="AC1829" t="s">
        <v>159</v>
      </c>
      <c r="AF1829" t="s">
        <v>161</v>
      </c>
      <c r="AG1829" s="1">
        <v>43851</v>
      </c>
    </row>
    <row r="1830" spans="1:33" x14ac:dyDescent="0.25">
      <c r="A1830" t="s">
        <v>224</v>
      </c>
      <c r="B1830">
        <v>301004265</v>
      </c>
      <c r="C1830" t="s">
        <v>71</v>
      </c>
      <c r="D1830" s="1">
        <v>43168</v>
      </c>
      <c r="E1830" s="1">
        <v>43532</v>
      </c>
      <c r="F1830" t="s">
        <v>77</v>
      </c>
      <c r="G1830">
        <v>12</v>
      </c>
      <c r="H1830" t="s">
        <v>155</v>
      </c>
      <c r="I1830" t="s">
        <v>43</v>
      </c>
      <c r="J1830" t="s">
        <v>126</v>
      </c>
      <c r="K1830" t="s">
        <v>44</v>
      </c>
      <c r="L1830">
        <v>25000</v>
      </c>
      <c r="M1830" s="1">
        <v>43168</v>
      </c>
      <c r="N1830" t="s">
        <v>45</v>
      </c>
      <c r="O1830" t="s">
        <v>46</v>
      </c>
      <c r="P1830" t="s">
        <v>47</v>
      </c>
      <c r="Q1830" s="1">
        <v>43852</v>
      </c>
      <c r="R1830" t="s">
        <v>48</v>
      </c>
      <c r="S1830" t="s">
        <v>156</v>
      </c>
      <c r="T1830" t="s">
        <v>157</v>
      </c>
      <c r="U1830" t="s">
        <v>155</v>
      </c>
      <c r="V1830">
        <v>500000</v>
      </c>
      <c r="W1830">
        <v>75000</v>
      </c>
      <c r="X1830" s="1">
        <v>43982</v>
      </c>
      <c r="Y1830" t="s">
        <v>51</v>
      </c>
      <c r="Z1830" t="s">
        <v>43</v>
      </c>
      <c r="AA1830" t="s">
        <v>77</v>
      </c>
      <c r="AB1830" t="s">
        <v>158</v>
      </c>
      <c r="AC1830" t="s">
        <v>159</v>
      </c>
      <c r="AF1830" t="s">
        <v>162</v>
      </c>
      <c r="AG1830" s="1">
        <v>43851</v>
      </c>
    </row>
    <row r="1831" spans="1:33" x14ac:dyDescent="0.25">
      <c r="A1831" t="s">
        <v>224</v>
      </c>
      <c r="B1831">
        <v>301004265</v>
      </c>
      <c r="C1831" t="s">
        <v>71</v>
      </c>
      <c r="D1831" s="1">
        <v>43168</v>
      </c>
      <c r="E1831" s="1">
        <v>43532</v>
      </c>
      <c r="F1831" t="s">
        <v>77</v>
      </c>
      <c r="G1831">
        <v>12</v>
      </c>
      <c r="H1831" t="s">
        <v>155</v>
      </c>
      <c r="I1831" t="s">
        <v>43</v>
      </c>
      <c r="J1831" t="s">
        <v>126</v>
      </c>
      <c r="K1831" t="s">
        <v>44</v>
      </c>
      <c r="L1831">
        <v>25000</v>
      </c>
      <c r="M1831" s="1">
        <v>43168</v>
      </c>
      <c r="N1831" t="s">
        <v>45</v>
      </c>
      <c r="O1831" t="s">
        <v>46</v>
      </c>
      <c r="P1831" t="s">
        <v>47</v>
      </c>
      <c r="Q1831" s="1">
        <v>43852</v>
      </c>
      <c r="R1831" t="s">
        <v>48</v>
      </c>
      <c r="S1831" t="s">
        <v>156</v>
      </c>
      <c r="T1831" t="s">
        <v>157</v>
      </c>
      <c r="U1831" t="s">
        <v>155</v>
      </c>
      <c r="V1831">
        <v>500000</v>
      </c>
      <c r="W1831">
        <v>75000</v>
      </c>
      <c r="X1831" s="1">
        <v>43982</v>
      </c>
      <c r="Y1831" t="s">
        <v>51</v>
      </c>
      <c r="Z1831" t="s">
        <v>43</v>
      </c>
      <c r="AA1831" t="s">
        <v>77</v>
      </c>
      <c r="AB1831" t="s">
        <v>158</v>
      </c>
      <c r="AC1831" t="s">
        <v>159</v>
      </c>
      <c r="AF1831" t="s">
        <v>163</v>
      </c>
      <c r="AG1831" s="1">
        <v>43852</v>
      </c>
    </row>
    <row r="1832" spans="1:33" x14ac:dyDescent="0.25">
      <c r="A1832" t="s">
        <v>224</v>
      </c>
      <c r="B1832">
        <v>301004265</v>
      </c>
      <c r="C1832" t="s">
        <v>71</v>
      </c>
      <c r="D1832" s="1">
        <v>43168</v>
      </c>
      <c r="E1832" s="1">
        <v>43532</v>
      </c>
      <c r="F1832" t="s">
        <v>77</v>
      </c>
      <c r="G1832">
        <v>12</v>
      </c>
      <c r="H1832" t="s">
        <v>155</v>
      </c>
      <c r="I1832" t="s">
        <v>43</v>
      </c>
      <c r="J1832" t="s">
        <v>126</v>
      </c>
      <c r="K1832" t="s">
        <v>44</v>
      </c>
      <c r="L1832">
        <v>25000</v>
      </c>
      <c r="M1832" s="1">
        <v>43168</v>
      </c>
      <c r="N1832" t="s">
        <v>45</v>
      </c>
      <c r="O1832" t="s">
        <v>46</v>
      </c>
      <c r="P1832" t="s">
        <v>47</v>
      </c>
      <c r="Q1832" s="1">
        <v>43852</v>
      </c>
      <c r="R1832" t="s">
        <v>48</v>
      </c>
      <c r="S1832" t="s">
        <v>164</v>
      </c>
      <c r="T1832" t="s">
        <v>165</v>
      </c>
      <c r="U1832" t="s">
        <v>155</v>
      </c>
      <c r="V1832">
        <v>0</v>
      </c>
      <c r="W1832">
        <v>50000</v>
      </c>
      <c r="X1832" s="1">
        <v>43921</v>
      </c>
      <c r="Y1832" t="s">
        <v>51</v>
      </c>
      <c r="Z1832" t="s">
        <v>43</v>
      </c>
      <c r="AA1832" t="s">
        <v>77</v>
      </c>
      <c r="AB1832" t="s">
        <v>158</v>
      </c>
      <c r="AC1832" t="s">
        <v>166</v>
      </c>
      <c r="AF1832" t="s">
        <v>160</v>
      </c>
      <c r="AG1832" s="1">
        <v>43851</v>
      </c>
    </row>
    <row r="1833" spans="1:33" x14ac:dyDescent="0.25">
      <c r="A1833" t="s">
        <v>224</v>
      </c>
      <c r="B1833">
        <v>301004265</v>
      </c>
      <c r="C1833" t="s">
        <v>71</v>
      </c>
      <c r="D1833" s="1">
        <v>43168</v>
      </c>
      <c r="E1833" s="1">
        <v>43532</v>
      </c>
      <c r="F1833" t="s">
        <v>77</v>
      </c>
      <c r="G1833">
        <v>12</v>
      </c>
      <c r="H1833" t="s">
        <v>155</v>
      </c>
      <c r="I1833" t="s">
        <v>43</v>
      </c>
      <c r="J1833" t="s">
        <v>126</v>
      </c>
      <c r="K1833" t="s">
        <v>44</v>
      </c>
      <c r="L1833">
        <v>25000</v>
      </c>
      <c r="M1833" s="1">
        <v>43168</v>
      </c>
      <c r="N1833" t="s">
        <v>45</v>
      </c>
      <c r="O1833" t="s">
        <v>46</v>
      </c>
      <c r="P1833" t="s">
        <v>47</v>
      </c>
      <c r="Q1833" s="1">
        <v>43852</v>
      </c>
      <c r="R1833" t="s">
        <v>48</v>
      </c>
      <c r="S1833" t="s">
        <v>164</v>
      </c>
      <c r="T1833" t="s">
        <v>165</v>
      </c>
      <c r="U1833" t="s">
        <v>155</v>
      </c>
      <c r="V1833">
        <v>0</v>
      </c>
      <c r="W1833">
        <v>50000</v>
      </c>
      <c r="X1833" s="1">
        <v>43921</v>
      </c>
      <c r="Y1833" t="s">
        <v>51</v>
      </c>
      <c r="Z1833" t="s">
        <v>43</v>
      </c>
      <c r="AA1833" t="s">
        <v>77</v>
      </c>
      <c r="AB1833" t="s">
        <v>158</v>
      </c>
      <c r="AC1833" t="s">
        <v>166</v>
      </c>
      <c r="AF1833" t="s">
        <v>161</v>
      </c>
      <c r="AG1833" s="1">
        <v>43851</v>
      </c>
    </row>
    <row r="1834" spans="1:33" x14ac:dyDescent="0.25">
      <c r="A1834" t="s">
        <v>224</v>
      </c>
      <c r="B1834">
        <v>301004265</v>
      </c>
      <c r="C1834" t="s">
        <v>71</v>
      </c>
      <c r="D1834" s="1">
        <v>43168</v>
      </c>
      <c r="E1834" s="1">
        <v>43532</v>
      </c>
      <c r="F1834" t="s">
        <v>77</v>
      </c>
      <c r="G1834">
        <v>12</v>
      </c>
      <c r="H1834" t="s">
        <v>155</v>
      </c>
      <c r="I1834" t="s">
        <v>43</v>
      </c>
      <c r="J1834" t="s">
        <v>126</v>
      </c>
      <c r="K1834" t="s">
        <v>44</v>
      </c>
      <c r="L1834">
        <v>25000</v>
      </c>
      <c r="M1834" s="1">
        <v>43168</v>
      </c>
      <c r="N1834" t="s">
        <v>45</v>
      </c>
      <c r="O1834" t="s">
        <v>46</v>
      </c>
      <c r="P1834" t="s">
        <v>47</v>
      </c>
      <c r="Q1834" s="1">
        <v>43852</v>
      </c>
      <c r="R1834" t="s">
        <v>48</v>
      </c>
      <c r="S1834" t="s">
        <v>164</v>
      </c>
      <c r="T1834" t="s">
        <v>165</v>
      </c>
      <c r="U1834" t="s">
        <v>155</v>
      </c>
      <c r="V1834">
        <v>0</v>
      </c>
      <c r="W1834">
        <v>50000</v>
      </c>
      <c r="X1834" s="1">
        <v>43921</v>
      </c>
      <c r="Y1834" t="s">
        <v>51</v>
      </c>
      <c r="Z1834" t="s">
        <v>43</v>
      </c>
      <c r="AA1834" t="s">
        <v>77</v>
      </c>
      <c r="AB1834" t="s">
        <v>158</v>
      </c>
      <c r="AC1834" t="s">
        <v>166</v>
      </c>
      <c r="AF1834" t="s">
        <v>162</v>
      </c>
      <c r="AG1834" s="1">
        <v>43851</v>
      </c>
    </row>
    <row r="1835" spans="1:33" x14ac:dyDescent="0.25">
      <c r="A1835" t="s">
        <v>224</v>
      </c>
      <c r="B1835">
        <v>301004265</v>
      </c>
      <c r="C1835" t="s">
        <v>71</v>
      </c>
      <c r="D1835" s="1">
        <v>43168</v>
      </c>
      <c r="E1835" s="1">
        <v>43532</v>
      </c>
      <c r="F1835" t="s">
        <v>77</v>
      </c>
      <c r="G1835">
        <v>12</v>
      </c>
      <c r="H1835" t="s">
        <v>155</v>
      </c>
      <c r="I1835" t="s">
        <v>43</v>
      </c>
      <c r="J1835" t="s">
        <v>126</v>
      </c>
      <c r="K1835" t="s">
        <v>44</v>
      </c>
      <c r="L1835">
        <v>25000</v>
      </c>
      <c r="M1835" s="1">
        <v>43168</v>
      </c>
      <c r="N1835" t="s">
        <v>45</v>
      </c>
      <c r="O1835" t="s">
        <v>46</v>
      </c>
      <c r="P1835" t="s">
        <v>47</v>
      </c>
      <c r="Q1835" s="1">
        <v>43852</v>
      </c>
      <c r="R1835" t="s">
        <v>48</v>
      </c>
      <c r="S1835" t="s">
        <v>164</v>
      </c>
      <c r="T1835" t="s">
        <v>165</v>
      </c>
      <c r="U1835" t="s">
        <v>155</v>
      </c>
      <c r="V1835">
        <v>0</v>
      </c>
      <c r="W1835">
        <v>50000</v>
      </c>
      <c r="X1835" s="1">
        <v>43921</v>
      </c>
      <c r="Y1835" t="s">
        <v>51</v>
      </c>
      <c r="Z1835" t="s">
        <v>43</v>
      </c>
      <c r="AA1835" t="s">
        <v>77</v>
      </c>
      <c r="AB1835" t="s">
        <v>158</v>
      </c>
      <c r="AC1835" t="s">
        <v>166</v>
      </c>
      <c r="AF1835" t="s">
        <v>163</v>
      </c>
      <c r="AG1835" s="1">
        <v>43852</v>
      </c>
    </row>
    <row r="1836" spans="1:33" x14ac:dyDescent="0.25">
      <c r="A1836" t="s">
        <v>226</v>
      </c>
      <c r="B1836" t="s">
        <v>500</v>
      </c>
      <c r="C1836" t="s">
        <v>40</v>
      </c>
      <c r="D1836" s="1">
        <v>43533</v>
      </c>
      <c r="E1836" s="1">
        <v>43898</v>
      </c>
      <c r="F1836" t="s">
        <v>77</v>
      </c>
      <c r="G1836">
        <v>3</v>
      </c>
      <c r="H1836" t="s">
        <v>125</v>
      </c>
      <c r="I1836" t="s">
        <v>43</v>
      </c>
      <c r="J1836" t="s">
        <v>126</v>
      </c>
      <c r="K1836" t="s">
        <v>44</v>
      </c>
      <c r="L1836">
        <v>23750</v>
      </c>
      <c r="M1836" s="1">
        <v>43533</v>
      </c>
      <c r="N1836" t="s">
        <v>45</v>
      </c>
      <c r="O1836" t="s">
        <v>44</v>
      </c>
      <c r="P1836" t="s">
        <v>47</v>
      </c>
      <c r="Q1836" s="1">
        <v>43852</v>
      </c>
      <c r="R1836" t="s">
        <v>48</v>
      </c>
    </row>
    <row r="1837" spans="1:33" x14ac:dyDescent="0.25">
      <c r="A1837" t="s">
        <v>228</v>
      </c>
      <c r="B1837" s="2">
        <v>195269000000</v>
      </c>
      <c r="C1837" t="s">
        <v>71</v>
      </c>
      <c r="D1837" s="1">
        <v>43414</v>
      </c>
      <c r="E1837" s="1">
        <v>43778</v>
      </c>
      <c r="F1837" t="s">
        <v>84</v>
      </c>
      <c r="G1837">
        <v>13</v>
      </c>
      <c r="H1837" t="s">
        <v>316</v>
      </c>
      <c r="I1837" t="s">
        <v>43</v>
      </c>
      <c r="J1837" t="s">
        <v>86</v>
      </c>
      <c r="K1837" t="s">
        <v>127</v>
      </c>
      <c r="L1837">
        <v>0</v>
      </c>
      <c r="M1837" s="1">
        <v>43414</v>
      </c>
      <c r="N1837" t="s">
        <v>45</v>
      </c>
      <c r="O1837" t="s">
        <v>46</v>
      </c>
      <c r="P1837" t="s">
        <v>47</v>
      </c>
      <c r="Q1837" s="1">
        <v>43852</v>
      </c>
      <c r="R1837" t="s">
        <v>48</v>
      </c>
    </row>
    <row r="1838" spans="1:33" x14ac:dyDescent="0.25">
      <c r="A1838" t="s">
        <v>229</v>
      </c>
      <c r="B1838" s="2">
        <v>2.4122E+18</v>
      </c>
      <c r="C1838" t="s">
        <v>71</v>
      </c>
      <c r="D1838" s="1">
        <v>43112</v>
      </c>
      <c r="E1838" s="1">
        <v>43476</v>
      </c>
      <c r="F1838" t="s">
        <v>41</v>
      </c>
      <c r="G1838">
        <v>13</v>
      </c>
      <c r="H1838" t="s">
        <v>316</v>
      </c>
      <c r="I1838" t="s">
        <v>43</v>
      </c>
      <c r="J1838" t="s">
        <v>41</v>
      </c>
      <c r="K1838" t="s">
        <v>127</v>
      </c>
      <c r="L1838">
        <v>10395</v>
      </c>
      <c r="M1838" s="1">
        <v>43112</v>
      </c>
      <c r="N1838" t="s">
        <v>45</v>
      </c>
      <c r="O1838" t="s">
        <v>106</v>
      </c>
      <c r="P1838" t="s">
        <v>47</v>
      </c>
      <c r="Q1838" s="1">
        <v>43852</v>
      </c>
      <c r="R1838" t="s">
        <v>48</v>
      </c>
    </row>
    <row r="1839" spans="1:33" x14ac:dyDescent="0.25">
      <c r="A1839" t="s">
        <v>231</v>
      </c>
      <c r="B1839" s="2">
        <v>2.4122E+18</v>
      </c>
      <c r="C1839" t="s">
        <v>71</v>
      </c>
      <c r="D1839" s="1">
        <v>43112</v>
      </c>
      <c r="E1839" s="1">
        <v>43476</v>
      </c>
      <c r="F1839" t="s">
        <v>41</v>
      </c>
      <c r="G1839">
        <v>13</v>
      </c>
      <c r="H1839" t="s">
        <v>316</v>
      </c>
      <c r="I1839" t="s">
        <v>43</v>
      </c>
      <c r="J1839" t="s">
        <v>41</v>
      </c>
      <c r="K1839" t="s">
        <v>127</v>
      </c>
      <c r="L1839">
        <v>0</v>
      </c>
      <c r="M1839" s="1">
        <v>43191</v>
      </c>
      <c r="N1839" t="s">
        <v>108</v>
      </c>
      <c r="O1839" t="s">
        <v>106</v>
      </c>
      <c r="P1839" t="s">
        <v>47</v>
      </c>
      <c r="Q1839" s="1">
        <v>43852</v>
      </c>
      <c r="R1839" t="s">
        <v>48</v>
      </c>
    </row>
    <row r="1840" spans="1:33" x14ac:dyDescent="0.25">
      <c r="A1840" t="s">
        <v>236</v>
      </c>
      <c r="B1840" t="s">
        <v>501</v>
      </c>
      <c r="C1840" t="s">
        <v>71</v>
      </c>
      <c r="D1840" s="1">
        <v>43477</v>
      </c>
      <c r="E1840" s="1">
        <v>43841</v>
      </c>
      <c r="F1840" t="s">
        <v>41</v>
      </c>
      <c r="G1840">
        <v>13</v>
      </c>
      <c r="H1840" t="s">
        <v>316</v>
      </c>
      <c r="I1840" t="s">
        <v>43</v>
      </c>
      <c r="J1840" t="s">
        <v>41</v>
      </c>
      <c r="K1840" t="s">
        <v>127</v>
      </c>
      <c r="L1840">
        <v>15592.5</v>
      </c>
      <c r="M1840" s="1">
        <v>43477</v>
      </c>
      <c r="N1840" t="s">
        <v>45</v>
      </c>
      <c r="O1840" t="s">
        <v>44</v>
      </c>
      <c r="P1840" t="s">
        <v>47</v>
      </c>
      <c r="Q1840" s="1">
        <v>43852</v>
      </c>
      <c r="R1840" t="s">
        <v>48</v>
      </c>
    </row>
    <row r="1841" spans="1:38" x14ac:dyDescent="0.25">
      <c r="A1841" t="s">
        <v>238</v>
      </c>
      <c r="B1841" s="2">
        <v>2.4122E+18</v>
      </c>
      <c r="C1841" t="s">
        <v>40</v>
      </c>
      <c r="D1841" s="1">
        <v>43842</v>
      </c>
      <c r="E1841" s="1">
        <v>44207</v>
      </c>
      <c r="F1841" t="s">
        <v>41</v>
      </c>
      <c r="G1841">
        <v>13</v>
      </c>
      <c r="H1841" t="s">
        <v>316</v>
      </c>
      <c r="I1841" t="s">
        <v>43</v>
      </c>
      <c r="J1841" t="s">
        <v>41</v>
      </c>
      <c r="K1841" t="s">
        <v>127</v>
      </c>
      <c r="L1841">
        <v>11310.75</v>
      </c>
      <c r="M1841" s="1">
        <v>43842</v>
      </c>
      <c r="N1841" t="s">
        <v>45</v>
      </c>
      <c r="O1841" t="s">
        <v>44</v>
      </c>
      <c r="P1841" t="s">
        <v>47</v>
      </c>
      <c r="Q1841" s="1">
        <v>43852</v>
      </c>
      <c r="R1841" t="s">
        <v>48</v>
      </c>
    </row>
    <row r="1842" spans="1:38" x14ac:dyDescent="0.25">
      <c r="A1842" t="s">
        <v>240</v>
      </c>
      <c r="B1842" t="s">
        <v>502</v>
      </c>
      <c r="C1842" t="s">
        <v>40</v>
      </c>
      <c r="D1842" s="1">
        <v>43779</v>
      </c>
      <c r="E1842" s="1">
        <v>44144</v>
      </c>
      <c r="F1842" t="s">
        <v>84</v>
      </c>
      <c r="G1842">
        <v>13</v>
      </c>
      <c r="H1842" t="s">
        <v>316</v>
      </c>
      <c r="I1842" t="s">
        <v>43</v>
      </c>
      <c r="J1842" t="s">
        <v>86</v>
      </c>
      <c r="K1842" t="s">
        <v>44</v>
      </c>
      <c r="L1842">
        <v>48928.73</v>
      </c>
      <c r="M1842" s="1">
        <v>43779</v>
      </c>
      <c r="N1842" t="s">
        <v>45</v>
      </c>
      <c r="O1842" t="s">
        <v>44</v>
      </c>
      <c r="P1842" t="s">
        <v>47</v>
      </c>
      <c r="Q1842" s="1">
        <v>43852</v>
      </c>
      <c r="R1842" t="s">
        <v>48</v>
      </c>
    </row>
    <row r="1843" spans="1:38" x14ac:dyDescent="0.25">
      <c r="A1843" t="s">
        <v>242</v>
      </c>
      <c r="B1843">
        <v>41050127</v>
      </c>
      <c r="C1843" t="s">
        <v>40</v>
      </c>
      <c r="D1843" s="1">
        <v>43794</v>
      </c>
      <c r="E1843" s="1">
        <v>44159</v>
      </c>
      <c r="F1843" t="s">
        <v>77</v>
      </c>
      <c r="G1843">
        <v>13</v>
      </c>
      <c r="H1843" t="s">
        <v>316</v>
      </c>
      <c r="I1843" t="s">
        <v>43</v>
      </c>
      <c r="J1843" t="s">
        <v>77</v>
      </c>
      <c r="K1843" t="s">
        <v>44</v>
      </c>
      <c r="L1843">
        <v>18975</v>
      </c>
      <c r="M1843" s="1">
        <v>43794</v>
      </c>
      <c r="N1843" t="s">
        <v>45</v>
      </c>
      <c r="O1843" t="s">
        <v>46</v>
      </c>
      <c r="P1843" t="s">
        <v>47</v>
      </c>
      <c r="Q1843" s="1">
        <v>43852</v>
      </c>
      <c r="R1843" t="s">
        <v>48</v>
      </c>
    </row>
    <row r="1844" spans="1:38" x14ac:dyDescent="0.25">
      <c r="A1844" t="s">
        <v>244</v>
      </c>
      <c r="B1844">
        <v>43169018</v>
      </c>
      <c r="C1844" t="s">
        <v>71</v>
      </c>
      <c r="D1844" s="1">
        <v>43292</v>
      </c>
      <c r="E1844" s="1">
        <v>43656</v>
      </c>
      <c r="F1844" t="s">
        <v>76</v>
      </c>
      <c r="G1844">
        <v>13</v>
      </c>
      <c r="H1844" t="s">
        <v>316</v>
      </c>
      <c r="I1844" t="s">
        <v>43</v>
      </c>
      <c r="J1844" t="s">
        <v>77</v>
      </c>
      <c r="K1844" t="s">
        <v>127</v>
      </c>
      <c r="L1844">
        <v>16170</v>
      </c>
      <c r="M1844" s="1">
        <v>43292</v>
      </c>
      <c r="N1844" t="s">
        <v>45</v>
      </c>
      <c r="O1844" t="s">
        <v>361</v>
      </c>
      <c r="P1844" t="s">
        <v>469</v>
      </c>
      <c r="Q1844" s="1">
        <v>43852</v>
      </c>
      <c r="R1844" t="s">
        <v>469</v>
      </c>
    </row>
    <row r="1845" spans="1:38" x14ac:dyDescent="0.25">
      <c r="A1845" t="s">
        <v>246</v>
      </c>
      <c r="B1845">
        <v>54522170</v>
      </c>
      <c r="C1845" t="s">
        <v>40</v>
      </c>
      <c r="D1845" s="1">
        <v>43655</v>
      </c>
      <c r="E1845" s="1">
        <v>44020</v>
      </c>
      <c r="F1845" t="s">
        <v>84</v>
      </c>
      <c r="G1845">
        <v>13</v>
      </c>
      <c r="H1845" t="s">
        <v>316</v>
      </c>
      <c r="I1845" t="s">
        <v>43</v>
      </c>
      <c r="J1845" t="s">
        <v>86</v>
      </c>
      <c r="K1845" t="s">
        <v>127</v>
      </c>
      <c r="L1845">
        <v>9056.48</v>
      </c>
      <c r="M1845" s="1">
        <v>43655</v>
      </c>
      <c r="N1845" t="s">
        <v>45</v>
      </c>
      <c r="O1845" t="s">
        <v>46</v>
      </c>
      <c r="P1845" t="s">
        <v>47</v>
      </c>
      <c r="Q1845" s="1">
        <v>43852</v>
      </c>
      <c r="R1845" t="s">
        <v>48</v>
      </c>
    </row>
    <row r="1846" spans="1:38" x14ac:dyDescent="0.25">
      <c r="A1846" t="s">
        <v>248</v>
      </c>
      <c r="B1846" t="s">
        <v>503</v>
      </c>
      <c r="C1846" t="s">
        <v>71</v>
      </c>
      <c r="D1846" s="1">
        <v>43291</v>
      </c>
      <c r="E1846" s="1">
        <v>43655</v>
      </c>
      <c r="F1846" t="s">
        <v>72</v>
      </c>
      <c r="G1846">
        <v>13</v>
      </c>
      <c r="H1846" t="s">
        <v>316</v>
      </c>
      <c r="I1846" t="s">
        <v>43</v>
      </c>
      <c r="J1846" t="s">
        <v>115</v>
      </c>
      <c r="K1846" t="s">
        <v>127</v>
      </c>
      <c r="L1846">
        <v>18357</v>
      </c>
      <c r="M1846" s="1">
        <v>43291</v>
      </c>
      <c r="N1846" t="s">
        <v>45</v>
      </c>
      <c r="O1846" t="s">
        <v>361</v>
      </c>
      <c r="P1846" t="s">
        <v>47</v>
      </c>
      <c r="Q1846" s="1">
        <v>43852</v>
      </c>
      <c r="R1846" t="s">
        <v>48</v>
      </c>
    </row>
    <row r="1847" spans="1:38" x14ac:dyDescent="0.25">
      <c r="A1847" t="s">
        <v>250</v>
      </c>
      <c r="B1847" t="s">
        <v>504</v>
      </c>
      <c r="C1847" t="s">
        <v>71</v>
      </c>
      <c r="D1847" s="1">
        <v>43291</v>
      </c>
      <c r="E1847" s="1">
        <v>43655</v>
      </c>
      <c r="F1847" t="s">
        <v>72</v>
      </c>
      <c r="G1847">
        <v>13</v>
      </c>
      <c r="H1847" t="s">
        <v>316</v>
      </c>
      <c r="I1847" t="s">
        <v>43</v>
      </c>
      <c r="J1847" t="s">
        <v>115</v>
      </c>
      <c r="K1847" t="s">
        <v>127</v>
      </c>
      <c r="L1847">
        <v>10416.75</v>
      </c>
      <c r="M1847" s="1">
        <v>43291</v>
      </c>
      <c r="N1847" t="s">
        <v>45</v>
      </c>
      <c r="O1847" t="s">
        <v>46</v>
      </c>
      <c r="P1847" t="s">
        <v>47</v>
      </c>
      <c r="Q1847" s="1">
        <v>43852</v>
      </c>
      <c r="R1847" t="s">
        <v>48</v>
      </c>
    </row>
    <row r="1848" spans="1:38" x14ac:dyDescent="0.25">
      <c r="A1848" t="s">
        <v>252</v>
      </c>
      <c r="B1848" t="s">
        <v>505</v>
      </c>
      <c r="C1848" t="s">
        <v>71</v>
      </c>
      <c r="D1848" s="1">
        <v>43291</v>
      </c>
      <c r="E1848" s="1">
        <v>43655</v>
      </c>
      <c r="F1848" t="s">
        <v>76</v>
      </c>
      <c r="G1848">
        <v>13</v>
      </c>
      <c r="H1848" t="s">
        <v>316</v>
      </c>
      <c r="I1848" t="s">
        <v>43</v>
      </c>
      <c r="J1848" t="s">
        <v>115</v>
      </c>
      <c r="K1848" t="s">
        <v>127</v>
      </c>
      <c r="L1848">
        <v>1232</v>
      </c>
      <c r="M1848" s="1">
        <v>43291</v>
      </c>
      <c r="N1848" t="s">
        <v>45</v>
      </c>
      <c r="O1848" t="s">
        <v>46</v>
      </c>
      <c r="P1848" t="s">
        <v>47</v>
      </c>
      <c r="Q1848" s="1">
        <v>43852</v>
      </c>
      <c r="R1848" t="s">
        <v>48</v>
      </c>
    </row>
    <row r="1849" spans="1:38" x14ac:dyDescent="0.25">
      <c r="A1849" t="s">
        <v>254</v>
      </c>
      <c r="B1849" t="s">
        <v>506</v>
      </c>
      <c r="C1849" t="s">
        <v>71</v>
      </c>
      <c r="D1849" s="1">
        <v>43291</v>
      </c>
      <c r="E1849" s="1">
        <v>43655</v>
      </c>
      <c r="F1849" t="s">
        <v>76</v>
      </c>
      <c r="G1849">
        <v>13</v>
      </c>
      <c r="H1849" t="s">
        <v>316</v>
      </c>
      <c r="I1849" t="s">
        <v>43</v>
      </c>
      <c r="J1849" t="s">
        <v>115</v>
      </c>
      <c r="K1849" t="s">
        <v>127</v>
      </c>
      <c r="L1849">
        <v>242.5</v>
      </c>
      <c r="M1849" s="1">
        <v>43291</v>
      </c>
      <c r="N1849" t="s">
        <v>45</v>
      </c>
      <c r="O1849" t="s">
        <v>361</v>
      </c>
      <c r="P1849" t="s">
        <v>469</v>
      </c>
      <c r="Q1849" s="1">
        <v>43852</v>
      </c>
      <c r="R1849" t="s">
        <v>469</v>
      </c>
    </row>
    <row r="1850" spans="1:38" x14ac:dyDescent="0.25">
      <c r="A1850" t="s">
        <v>256</v>
      </c>
      <c r="B1850" t="s">
        <v>507</v>
      </c>
      <c r="C1850" t="s">
        <v>40</v>
      </c>
      <c r="D1850" s="1">
        <v>43474</v>
      </c>
      <c r="E1850" s="1">
        <v>43838</v>
      </c>
      <c r="F1850" t="s">
        <v>76</v>
      </c>
      <c r="G1850">
        <v>13</v>
      </c>
      <c r="H1850" t="s">
        <v>316</v>
      </c>
      <c r="I1850" t="s">
        <v>43</v>
      </c>
      <c r="J1850" t="s">
        <v>115</v>
      </c>
      <c r="K1850" t="s">
        <v>127</v>
      </c>
      <c r="L1850">
        <v>643.75</v>
      </c>
      <c r="M1850" s="1">
        <v>43474</v>
      </c>
      <c r="N1850" t="s">
        <v>45</v>
      </c>
      <c r="O1850" t="s">
        <v>46</v>
      </c>
      <c r="P1850" t="s">
        <v>47</v>
      </c>
      <c r="Q1850" s="1">
        <v>43852</v>
      </c>
      <c r="R1850" t="s">
        <v>48</v>
      </c>
    </row>
    <row r="1851" spans="1:38" x14ac:dyDescent="0.25">
      <c r="A1851" t="s">
        <v>258</v>
      </c>
      <c r="B1851" t="s">
        <v>508</v>
      </c>
      <c r="C1851" t="s">
        <v>40</v>
      </c>
      <c r="D1851" s="1">
        <v>43601</v>
      </c>
      <c r="E1851" s="1">
        <v>43966</v>
      </c>
      <c r="F1851" t="s">
        <v>72</v>
      </c>
      <c r="G1851">
        <v>13</v>
      </c>
      <c r="H1851" t="s">
        <v>316</v>
      </c>
      <c r="I1851" t="s">
        <v>43</v>
      </c>
      <c r="J1851" t="s">
        <v>115</v>
      </c>
      <c r="K1851" t="s">
        <v>127</v>
      </c>
      <c r="L1851">
        <v>4595.75</v>
      </c>
      <c r="M1851" s="1">
        <v>43601</v>
      </c>
      <c r="N1851" t="s">
        <v>45</v>
      </c>
      <c r="O1851" t="s">
        <v>46</v>
      </c>
      <c r="P1851" t="s">
        <v>47</v>
      </c>
      <c r="Q1851" s="1">
        <v>43852</v>
      </c>
      <c r="R1851" t="s">
        <v>48</v>
      </c>
    </row>
    <row r="1852" spans="1:38" x14ac:dyDescent="0.25">
      <c r="A1852" t="s">
        <v>260</v>
      </c>
      <c r="B1852" t="s">
        <v>509</v>
      </c>
      <c r="C1852" t="s">
        <v>40</v>
      </c>
      <c r="D1852" s="1">
        <v>43657</v>
      </c>
      <c r="E1852" s="1">
        <v>44022</v>
      </c>
      <c r="F1852" t="s">
        <v>72</v>
      </c>
      <c r="G1852">
        <v>13</v>
      </c>
      <c r="H1852" t="s">
        <v>316</v>
      </c>
      <c r="I1852" t="s">
        <v>43</v>
      </c>
      <c r="J1852" t="s">
        <v>115</v>
      </c>
      <c r="K1852" t="s">
        <v>127</v>
      </c>
      <c r="L1852">
        <v>21905.200000000001</v>
      </c>
      <c r="M1852" s="1">
        <v>43657</v>
      </c>
      <c r="N1852" t="s">
        <v>45</v>
      </c>
      <c r="O1852" t="s">
        <v>44</v>
      </c>
      <c r="P1852" t="s">
        <v>47</v>
      </c>
      <c r="Q1852" s="1">
        <v>43852</v>
      </c>
      <c r="R1852" t="s">
        <v>48</v>
      </c>
    </row>
    <row r="1853" spans="1:38" x14ac:dyDescent="0.25">
      <c r="A1853" t="s">
        <v>262</v>
      </c>
      <c r="B1853" t="s">
        <v>510</v>
      </c>
      <c r="C1853" t="s">
        <v>40</v>
      </c>
      <c r="D1853" s="1">
        <v>43656</v>
      </c>
      <c r="E1853" s="1">
        <v>44021</v>
      </c>
      <c r="F1853" t="s">
        <v>76</v>
      </c>
      <c r="G1853">
        <v>13</v>
      </c>
      <c r="H1853" t="s">
        <v>316</v>
      </c>
      <c r="I1853" t="s">
        <v>43</v>
      </c>
      <c r="J1853" t="s">
        <v>115</v>
      </c>
      <c r="K1853" t="s">
        <v>127</v>
      </c>
      <c r="L1853">
        <v>337.5</v>
      </c>
      <c r="M1853" s="1">
        <v>43656</v>
      </c>
      <c r="N1853" t="s">
        <v>45</v>
      </c>
      <c r="O1853" t="s">
        <v>44</v>
      </c>
      <c r="P1853" t="s">
        <v>47</v>
      </c>
      <c r="Q1853" s="1">
        <v>43852</v>
      </c>
      <c r="R1853" t="s">
        <v>48</v>
      </c>
    </row>
    <row r="1854" spans="1:38" x14ac:dyDescent="0.25">
      <c r="A1854" t="s">
        <v>264</v>
      </c>
      <c r="B1854" t="s">
        <v>511</v>
      </c>
      <c r="C1854" t="s">
        <v>40</v>
      </c>
      <c r="D1854" s="1">
        <v>43462</v>
      </c>
      <c r="E1854" s="1">
        <v>43826</v>
      </c>
      <c r="F1854" t="s">
        <v>41</v>
      </c>
      <c r="G1854">
        <v>1</v>
      </c>
      <c r="H1854" t="s">
        <v>42</v>
      </c>
      <c r="I1854" t="s">
        <v>43</v>
      </c>
      <c r="J1854" t="s">
        <v>41</v>
      </c>
      <c r="K1854" t="s">
        <v>127</v>
      </c>
      <c r="L1854">
        <v>6112.76</v>
      </c>
      <c r="M1854" s="1">
        <v>43462</v>
      </c>
      <c r="N1854" t="s">
        <v>45</v>
      </c>
      <c r="O1854" t="s">
        <v>106</v>
      </c>
      <c r="P1854" t="s">
        <v>47</v>
      </c>
      <c r="Q1854" s="1">
        <v>43852</v>
      </c>
      <c r="R1854" t="s">
        <v>48</v>
      </c>
      <c r="S1854" t="s">
        <v>49</v>
      </c>
      <c r="T1854" t="s">
        <v>50</v>
      </c>
      <c r="U1854" t="s">
        <v>42</v>
      </c>
      <c r="V1854">
        <v>0</v>
      </c>
      <c r="W1854">
        <v>100000</v>
      </c>
      <c r="X1854" s="1">
        <v>44012</v>
      </c>
      <c r="Y1854" t="s">
        <v>51</v>
      </c>
      <c r="Z1854" t="s">
        <v>43</v>
      </c>
      <c r="AA1854" t="s">
        <v>41</v>
      </c>
      <c r="AB1854" t="s">
        <v>52</v>
      </c>
      <c r="AC1854" t="s">
        <v>53</v>
      </c>
      <c r="AF1854" t="s">
        <v>54</v>
      </c>
      <c r="AG1854" s="1">
        <v>43832</v>
      </c>
      <c r="AH1854" t="s">
        <v>42</v>
      </c>
      <c r="AI1854" t="s">
        <v>55</v>
      </c>
      <c r="AJ1854">
        <v>12788092</v>
      </c>
      <c r="AK1854">
        <v>250000</v>
      </c>
      <c r="AL1854">
        <v>1500000</v>
      </c>
    </row>
    <row r="1855" spans="1:38" x14ac:dyDescent="0.25">
      <c r="A1855" t="s">
        <v>264</v>
      </c>
      <c r="B1855" t="s">
        <v>511</v>
      </c>
      <c r="C1855" t="s">
        <v>40</v>
      </c>
      <c r="D1855" s="1">
        <v>43462</v>
      </c>
      <c r="E1855" s="1">
        <v>43826</v>
      </c>
      <c r="F1855" t="s">
        <v>41</v>
      </c>
      <c r="G1855">
        <v>1</v>
      </c>
      <c r="H1855" t="s">
        <v>42</v>
      </c>
      <c r="I1855" t="s">
        <v>43</v>
      </c>
      <c r="J1855" t="s">
        <v>41</v>
      </c>
      <c r="K1855" t="s">
        <v>127</v>
      </c>
      <c r="L1855">
        <v>6112.76</v>
      </c>
      <c r="M1855" s="1">
        <v>43462</v>
      </c>
      <c r="N1855" t="s">
        <v>45</v>
      </c>
      <c r="O1855" t="s">
        <v>106</v>
      </c>
      <c r="P1855" t="s">
        <v>47</v>
      </c>
      <c r="Q1855" s="1">
        <v>43852</v>
      </c>
      <c r="R1855" t="s">
        <v>48</v>
      </c>
      <c r="S1855" t="s">
        <v>49</v>
      </c>
      <c r="T1855" t="s">
        <v>50</v>
      </c>
      <c r="U1855" t="s">
        <v>42</v>
      </c>
      <c r="V1855">
        <v>0</v>
      </c>
      <c r="W1855">
        <v>100000</v>
      </c>
      <c r="X1855" s="1">
        <v>44012</v>
      </c>
      <c r="Y1855" t="s">
        <v>51</v>
      </c>
      <c r="Z1855" t="s">
        <v>43</v>
      </c>
      <c r="AA1855" t="s">
        <v>41</v>
      </c>
      <c r="AB1855" t="s">
        <v>52</v>
      </c>
      <c r="AC1855" t="s">
        <v>53</v>
      </c>
      <c r="AF1855" t="s">
        <v>56</v>
      </c>
      <c r="AG1855" s="1">
        <v>43833</v>
      </c>
      <c r="AH1855" t="s">
        <v>42</v>
      </c>
      <c r="AI1855" t="s">
        <v>55</v>
      </c>
      <c r="AJ1855">
        <v>12788092</v>
      </c>
      <c r="AK1855">
        <v>250000</v>
      </c>
      <c r="AL1855">
        <v>1500000</v>
      </c>
    </row>
    <row r="1856" spans="1:38" x14ac:dyDescent="0.25">
      <c r="A1856" t="s">
        <v>264</v>
      </c>
      <c r="B1856" t="s">
        <v>511</v>
      </c>
      <c r="C1856" t="s">
        <v>40</v>
      </c>
      <c r="D1856" s="1">
        <v>43462</v>
      </c>
      <c r="E1856" s="1">
        <v>43826</v>
      </c>
      <c r="F1856" t="s">
        <v>41</v>
      </c>
      <c r="G1856">
        <v>1</v>
      </c>
      <c r="H1856" t="s">
        <v>42</v>
      </c>
      <c r="I1856" t="s">
        <v>43</v>
      </c>
      <c r="J1856" t="s">
        <v>41</v>
      </c>
      <c r="K1856" t="s">
        <v>127</v>
      </c>
      <c r="L1856">
        <v>6112.76</v>
      </c>
      <c r="M1856" s="1">
        <v>43462</v>
      </c>
      <c r="N1856" t="s">
        <v>45</v>
      </c>
      <c r="O1856" t="s">
        <v>106</v>
      </c>
      <c r="P1856" t="s">
        <v>47</v>
      </c>
      <c r="Q1856" s="1">
        <v>43852</v>
      </c>
      <c r="R1856" t="s">
        <v>48</v>
      </c>
      <c r="S1856" t="s">
        <v>49</v>
      </c>
      <c r="T1856" t="s">
        <v>50</v>
      </c>
      <c r="U1856" t="s">
        <v>42</v>
      </c>
      <c r="V1856">
        <v>0</v>
      </c>
      <c r="W1856">
        <v>100000</v>
      </c>
      <c r="X1856" s="1">
        <v>44012</v>
      </c>
      <c r="Y1856" t="s">
        <v>51</v>
      </c>
      <c r="Z1856" t="s">
        <v>43</v>
      </c>
      <c r="AA1856" t="s">
        <v>41</v>
      </c>
      <c r="AB1856" t="s">
        <v>52</v>
      </c>
      <c r="AC1856" t="s">
        <v>53</v>
      </c>
      <c r="AF1856" t="s">
        <v>57</v>
      </c>
      <c r="AG1856" s="1">
        <v>43836</v>
      </c>
      <c r="AH1856" t="s">
        <v>42</v>
      </c>
      <c r="AI1856" t="s">
        <v>55</v>
      </c>
      <c r="AJ1856">
        <v>12788092</v>
      </c>
      <c r="AK1856">
        <v>250000</v>
      </c>
      <c r="AL1856">
        <v>1500000</v>
      </c>
    </row>
    <row r="1857" spans="1:38" x14ac:dyDescent="0.25">
      <c r="A1857" t="s">
        <v>264</v>
      </c>
      <c r="B1857" t="s">
        <v>511</v>
      </c>
      <c r="C1857" t="s">
        <v>40</v>
      </c>
      <c r="D1857" s="1">
        <v>43462</v>
      </c>
      <c r="E1857" s="1">
        <v>43826</v>
      </c>
      <c r="F1857" t="s">
        <v>41</v>
      </c>
      <c r="G1857">
        <v>1</v>
      </c>
      <c r="H1857" t="s">
        <v>42</v>
      </c>
      <c r="I1857" t="s">
        <v>43</v>
      </c>
      <c r="J1857" t="s">
        <v>41</v>
      </c>
      <c r="K1857" t="s">
        <v>127</v>
      </c>
      <c r="L1857">
        <v>6112.76</v>
      </c>
      <c r="M1857" s="1">
        <v>43462</v>
      </c>
      <c r="N1857" t="s">
        <v>45</v>
      </c>
      <c r="O1857" t="s">
        <v>106</v>
      </c>
      <c r="P1857" t="s">
        <v>47</v>
      </c>
      <c r="Q1857" s="1">
        <v>43852</v>
      </c>
      <c r="R1857" t="s">
        <v>48</v>
      </c>
      <c r="S1857" t="s">
        <v>49</v>
      </c>
      <c r="T1857" t="s">
        <v>50</v>
      </c>
      <c r="U1857" t="s">
        <v>42</v>
      </c>
      <c r="V1857">
        <v>0</v>
      </c>
      <c r="W1857">
        <v>100000</v>
      </c>
      <c r="X1857" s="1">
        <v>44012</v>
      </c>
      <c r="Y1857" t="s">
        <v>51</v>
      </c>
      <c r="Z1857" t="s">
        <v>43</v>
      </c>
      <c r="AA1857" t="s">
        <v>41</v>
      </c>
      <c r="AB1857" t="s">
        <v>52</v>
      </c>
      <c r="AC1857" t="s">
        <v>53</v>
      </c>
      <c r="AF1857" t="s">
        <v>58</v>
      </c>
      <c r="AG1857" s="1">
        <v>43837</v>
      </c>
      <c r="AH1857" t="s">
        <v>42</v>
      </c>
      <c r="AI1857" t="s">
        <v>55</v>
      </c>
      <c r="AJ1857">
        <v>12788092</v>
      </c>
      <c r="AK1857">
        <v>250000</v>
      </c>
      <c r="AL1857">
        <v>1500000</v>
      </c>
    </row>
    <row r="1858" spans="1:38" x14ac:dyDescent="0.25">
      <c r="A1858" t="s">
        <v>264</v>
      </c>
      <c r="B1858" t="s">
        <v>511</v>
      </c>
      <c r="C1858" t="s">
        <v>40</v>
      </c>
      <c r="D1858" s="1">
        <v>43462</v>
      </c>
      <c r="E1858" s="1">
        <v>43826</v>
      </c>
      <c r="F1858" t="s">
        <v>41</v>
      </c>
      <c r="G1858">
        <v>1</v>
      </c>
      <c r="H1858" t="s">
        <v>42</v>
      </c>
      <c r="I1858" t="s">
        <v>43</v>
      </c>
      <c r="J1858" t="s">
        <v>41</v>
      </c>
      <c r="K1858" t="s">
        <v>127</v>
      </c>
      <c r="L1858">
        <v>6112.76</v>
      </c>
      <c r="M1858" s="1">
        <v>43462</v>
      </c>
      <c r="N1858" t="s">
        <v>45</v>
      </c>
      <c r="O1858" t="s">
        <v>106</v>
      </c>
      <c r="P1858" t="s">
        <v>47</v>
      </c>
      <c r="Q1858" s="1">
        <v>43852</v>
      </c>
      <c r="R1858" t="s">
        <v>48</v>
      </c>
      <c r="S1858" t="s">
        <v>49</v>
      </c>
      <c r="T1858" t="s">
        <v>50</v>
      </c>
      <c r="U1858" t="s">
        <v>42</v>
      </c>
      <c r="V1858">
        <v>0</v>
      </c>
      <c r="W1858">
        <v>100000</v>
      </c>
      <c r="X1858" s="1">
        <v>44012</v>
      </c>
      <c r="Y1858" t="s">
        <v>51</v>
      </c>
      <c r="Z1858" t="s">
        <v>43</v>
      </c>
      <c r="AA1858" t="s">
        <v>41</v>
      </c>
      <c r="AB1858" t="s">
        <v>52</v>
      </c>
      <c r="AC1858" t="s">
        <v>53</v>
      </c>
      <c r="AF1858" t="s">
        <v>59</v>
      </c>
      <c r="AG1858" s="1">
        <v>43838</v>
      </c>
      <c r="AH1858" t="s">
        <v>42</v>
      </c>
      <c r="AI1858" t="s">
        <v>55</v>
      </c>
      <c r="AJ1858">
        <v>12788092</v>
      </c>
      <c r="AK1858">
        <v>250000</v>
      </c>
      <c r="AL1858">
        <v>1500000</v>
      </c>
    </row>
    <row r="1859" spans="1:38" x14ac:dyDescent="0.25">
      <c r="A1859" t="s">
        <v>264</v>
      </c>
      <c r="B1859" t="s">
        <v>511</v>
      </c>
      <c r="C1859" t="s">
        <v>40</v>
      </c>
      <c r="D1859" s="1">
        <v>43462</v>
      </c>
      <c r="E1859" s="1">
        <v>43826</v>
      </c>
      <c r="F1859" t="s">
        <v>41</v>
      </c>
      <c r="G1859">
        <v>1</v>
      </c>
      <c r="H1859" t="s">
        <v>42</v>
      </c>
      <c r="I1859" t="s">
        <v>43</v>
      </c>
      <c r="J1859" t="s">
        <v>41</v>
      </c>
      <c r="K1859" t="s">
        <v>127</v>
      </c>
      <c r="L1859">
        <v>6112.76</v>
      </c>
      <c r="M1859" s="1">
        <v>43462</v>
      </c>
      <c r="N1859" t="s">
        <v>45</v>
      </c>
      <c r="O1859" t="s">
        <v>106</v>
      </c>
      <c r="P1859" t="s">
        <v>47</v>
      </c>
      <c r="Q1859" s="1">
        <v>43852</v>
      </c>
      <c r="R1859" t="s">
        <v>48</v>
      </c>
      <c r="S1859" t="s">
        <v>60</v>
      </c>
      <c r="T1859" t="s">
        <v>61</v>
      </c>
      <c r="U1859" t="s">
        <v>42</v>
      </c>
      <c r="V1859">
        <v>0</v>
      </c>
      <c r="W1859">
        <v>100000</v>
      </c>
      <c r="X1859" s="1">
        <v>43921</v>
      </c>
      <c r="Y1859" t="s">
        <v>51</v>
      </c>
      <c r="Z1859" t="s">
        <v>43</v>
      </c>
      <c r="AA1859" t="s">
        <v>41</v>
      </c>
      <c r="AB1859" t="s">
        <v>52</v>
      </c>
      <c r="AC1859" t="s">
        <v>53</v>
      </c>
      <c r="AF1859" t="s">
        <v>54</v>
      </c>
      <c r="AG1859" s="1">
        <v>43832</v>
      </c>
      <c r="AH1859" t="s">
        <v>42</v>
      </c>
      <c r="AI1859" t="s">
        <v>55</v>
      </c>
      <c r="AJ1859">
        <v>12788092</v>
      </c>
      <c r="AK1859">
        <v>250000</v>
      </c>
      <c r="AL1859">
        <v>1500000</v>
      </c>
    </row>
    <row r="1860" spans="1:38" x14ac:dyDescent="0.25">
      <c r="A1860" t="s">
        <v>264</v>
      </c>
      <c r="B1860" t="s">
        <v>511</v>
      </c>
      <c r="C1860" t="s">
        <v>40</v>
      </c>
      <c r="D1860" s="1">
        <v>43462</v>
      </c>
      <c r="E1860" s="1">
        <v>43826</v>
      </c>
      <c r="F1860" t="s">
        <v>41</v>
      </c>
      <c r="G1860">
        <v>1</v>
      </c>
      <c r="H1860" t="s">
        <v>42</v>
      </c>
      <c r="I1860" t="s">
        <v>43</v>
      </c>
      <c r="J1860" t="s">
        <v>41</v>
      </c>
      <c r="K1860" t="s">
        <v>127</v>
      </c>
      <c r="L1860">
        <v>6112.76</v>
      </c>
      <c r="M1860" s="1">
        <v>43462</v>
      </c>
      <c r="N1860" t="s">
        <v>45</v>
      </c>
      <c r="O1860" t="s">
        <v>106</v>
      </c>
      <c r="P1860" t="s">
        <v>47</v>
      </c>
      <c r="Q1860" s="1">
        <v>43852</v>
      </c>
      <c r="R1860" t="s">
        <v>48</v>
      </c>
      <c r="S1860" t="s">
        <v>60</v>
      </c>
      <c r="T1860" t="s">
        <v>61</v>
      </c>
      <c r="U1860" t="s">
        <v>42</v>
      </c>
      <c r="V1860">
        <v>0</v>
      </c>
      <c r="W1860">
        <v>100000</v>
      </c>
      <c r="X1860" s="1">
        <v>43921</v>
      </c>
      <c r="Y1860" t="s">
        <v>51</v>
      </c>
      <c r="Z1860" t="s">
        <v>43</v>
      </c>
      <c r="AA1860" t="s">
        <v>41</v>
      </c>
      <c r="AB1860" t="s">
        <v>52</v>
      </c>
      <c r="AC1860" t="s">
        <v>53</v>
      </c>
      <c r="AF1860" t="s">
        <v>56</v>
      </c>
      <c r="AG1860" s="1">
        <v>43833</v>
      </c>
      <c r="AH1860" t="s">
        <v>42</v>
      </c>
      <c r="AI1860" t="s">
        <v>55</v>
      </c>
      <c r="AJ1860">
        <v>12788092</v>
      </c>
      <c r="AK1860">
        <v>250000</v>
      </c>
      <c r="AL1860">
        <v>1500000</v>
      </c>
    </row>
    <row r="1861" spans="1:38" x14ac:dyDescent="0.25">
      <c r="A1861" t="s">
        <v>264</v>
      </c>
      <c r="B1861" t="s">
        <v>511</v>
      </c>
      <c r="C1861" t="s">
        <v>40</v>
      </c>
      <c r="D1861" s="1">
        <v>43462</v>
      </c>
      <c r="E1861" s="1">
        <v>43826</v>
      </c>
      <c r="F1861" t="s">
        <v>41</v>
      </c>
      <c r="G1861">
        <v>1</v>
      </c>
      <c r="H1861" t="s">
        <v>42</v>
      </c>
      <c r="I1861" t="s">
        <v>43</v>
      </c>
      <c r="J1861" t="s">
        <v>41</v>
      </c>
      <c r="K1861" t="s">
        <v>127</v>
      </c>
      <c r="L1861">
        <v>6112.76</v>
      </c>
      <c r="M1861" s="1">
        <v>43462</v>
      </c>
      <c r="N1861" t="s">
        <v>45</v>
      </c>
      <c r="O1861" t="s">
        <v>106</v>
      </c>
      <c r="P1861" t="s">
        <v>47</v>
      </c>
      <c r="Q1861" s="1">
        <v>43852</v>
      </c>
      <c r="R1861" t="s">
        <v>48</v>
      </c>
      <c r="S1861" t="s">
        <v>60</v>
      </c>
      <c r="T1861" t="s">
        <v>61</v>
      </c>
      <c r="U1861" t="s">
        <v>42</v>
      </c>
      <c r="V1861">
        <v>0</v>
      </c>
      <c r="W1861">
        <v>100000</v>
      </c>
      <c r="X1861" s="1">
        <v>43921</v>
      </c>
      <c r="Y1861" t="s">
        <v>51</v>
      </c>
      <c r="Z1861" t="s">
        <v>43</v>
      </c>
      <c r="AA1861" t="s">
        <v>41</v>
      </c>
      <c r="AB1861" t="s">
        <v>52</v>
      </c>
      <c r="AC1861" t="s">
        <v>53</v>
      </c>
      <c r="AF1861" t="s">
        <v>57</v>
      </c>
      <c r="AG1861" s="1">
        <v>43836</v>
      </c>
      <c r="AH1861" t="s">
        <v>42</v>
      </c>
      <c r="AI1861" t="s">
        <v>55</v>
      </c>
      <c r="AJ1861">
        <v>12788092</v>
      </c>
      <c r="AK1861">
        <v>250000</v>
      </c>
      <c r="AL1861">
        <v>1500000</v>
      </c>
    </row>
    <row r="1862" spans="1:38" x14ac:dyDescent="0.25">
      <c r="A1862" t="s">
        <v>264</v>
      </c>
      <c r="B1862" t="s">
        <v>511</v>
      </c>
      <c r="C1862" t="s">
        <v>40</v>
      </c>
      <c r="D1862" s="1">
        <v>43462</v>
      </c>
      <c r="E1862" s="1">
        <v>43826</v>
      </c>
      <c r="F1862" t="s">
        <v>41</v>
      </c>
      <c r="G1862">
        <v>1</v>
      </c>
      <c r="H1862" t="s">
        <v>42</v>
      </c>
      <c r="I1862" t="s">
        <v>43</v>
      </c>
      <c r="J1862" t="s">
        <v>41</v>
      </c>
      <c r="K1862" t="s">
        <v>127</v>
      </c>
      <c r="L1862">
        <v>6112.76</v>
      </c>
      <c r="M1862" s="1">
        <v>43462</v>
      </c>
      <c r="N1862" t="s">
        <v>45</v>
      </c>
      <c r="O1862" t="s">
        <v>106</v>
      </c>
      <c r="P1862" t="s">
        <v>47</v>
      </c>
      <c r="Q1862" s="1">
        <v>43852</v>
      </c>
      <c r="R1862" t="s">
        <v>48</v>
      </c>
      <c r="S1862" t="s">
        <v>60</v>
      </c>
      <c r="T1862" t="s">
        <v>61</v>
      </c>
      <c r="U1862" t="s">
        <v>42</v>
      </c>
      <c r="V1862">
        <v>0</v>
      </c>
      <c r="W1862">
        <v>100000</v>
      </c>
      <c r="X1862" s="1">
        <v>43921</v>
      </c>
      <c r="Y1862" t="s">
        <v>51</v>
      </c>
      <c r="Z1862" t="s">
        <v>43</v>
      </c>
      <c r="AA1862" t="s">
        <v>41</v>
      </c>
      <c r="AB1862" t="s">
        <v>52</v>
      </c>
      <c r="AC1862" t="s">
        <v>53</v>
      </c>
      <c r="AF1862" t="s">
        <v>58</v>
      </c>
      <c r="AG1862" s="1">
        <v>43837</v>
      </c>
      <c r="AH1862" t="s">
        <v>42</v>
      </c>
      <c r="AI1862" t="s">
        <v>55</v>
      </c>
      <c r="AJ1862">
        <v>12788092</v>
      </c>
      <c r="AK1862">
        <v>250000</v>
      </c>
      <c r="AL1862">
        <v>1500000</v>
      </c>
    </row>
    <row r="1863" spans="1:38" x14ac:dyDescent="0.25">
      <c r="A1863" t="s">
        <v>264</v>
      </c>
      <c r="B1863" t="s">
        <v>511</v>
      </c>
      <c r="C1863" t="s">
        <v>40</v>
      </c>
      <c r="D1863" s="1">
        <v>43462</v>
      </c>
      <c r="E1863" s="1">
        <v>43826</v>
      </c>
      <c r="F1863" t="s">
        <v>41</v>
      </c>
      <c r="G1863">
        <v>1</v>
      </c>
      <c r="H1863" t="s">
        <v>42</v>
      </c>
      <c r="I1863" t="s">
        <v>43</v>
      </c>
      <c r="J1863" t="s">
        <v>41</v>
      </c>
      <c r="K1863" t="s">
        <v>127</v>
      </c>
      <c r="L1863">
        <v>6112.76</v>
      </c>
      <c r="M1863" s="1">
        <v>43462</v>
      </c>
      <c r="N1863" t="s">
        <v>45</v>
      </c>
      <c r="O1863" t="s">
        <v>106</v>
      </c>
      <c r="P1863" t="s">
        <v>47</v>
      </c>
      <c r="Q1863" s="1">
        <v>43852</v>
      </c>
      <c r="R1863" t="s">
        <v>48</v>
      </c>
      <c r="S1863" t="s">
        <v>60</v>
      </c>
      <c r="T1863" t="s">
        <v>61</v>
      </c>
      <c r="U1863" t="s">
        <v>42</v>
      </c>
      <c r="V1863">
        <v>0</v>
      </c>
      <c r="W1863">
        <v>100000</v>
      </c>
      <c r="X1863" s="1">
        <v>43921</v>
      </c>
      <c r="Y1863" t="s">
        <v>51</v>
      </c>
      <c r="Z1863" t="s">
        <v>43</v>
      </c>
      <c r="AA1863" t="s">
        <v>41</v>
      </c>
      <c r="AB1863" t="s">
        <v>52</v>
      </c>
      <c r="AC1863" t="s">
        <v>53</v>
      </c>
      <c r="AF1863" t="s">
        <v>59</v>
      </c>
      <c r="AG1863" s="1">
        <v>43838</v>
      </c>
      <c r="AH1863" t="s">
        <v>42</v>
      </c>
      <c r="AI1863" t="s">
        <v>55</v>
      </c>
      <c r="AJ1863">
        <v>12788092</v>
      </c>
      <c r="AK1863">
        <v>250000</v>
      </c>
      <c r="AL1863">
        <v>1500000</v>
      </c>
    </row>
    <row r="1864" spans="1:38" x14ac:dyDescent="0.25">
      <c r="A1864" t="s">
        <v>264</v>
      </c>
      <c r="B1864" t="s">
        <v>511</v>
      </c>
      <c r="C1864" t="s">
        <v>40</v>
      </c>
      <c r="D1864" s="1">
        <v>43462</v>
      </c>
      <c r="E1864" s="1">
        <v>43826</v>
      </c>
      <c r="F1864" t="s">
        <v>41</v>
      </c>
      <c r="G1864">
        <v>1</v>
      </c>
      <c r="H1864" t="s">
        <v>42</v>
      </c>
      <c r="I1864" t="s">
        <v>43</v>
      </c>
      <c r="J1864" t="s">
        <v>41</v>
      </c>
      <c r="K1864" t="s">
        <v>127</v>
      </c>
      <c r="L1864">
        <v>6112.76</v>
      </c>
      <c r="M1864" s="1">
        <v>43462</v>
      </c>
      <c r="N1864" t="s">
        <v>45</v>
      </c>
      <c r="O1864" t="s">
        <v>106</v>
      </c>
      <c r="P1864" t="s">
        <v>47</v>
      </c>
      <c r="Q1864" s="1">
        <v>43852</v>
      </c>
      <c r="R1864" t="s">
        <v>48</v>
      </c>
      <c r="S1864" t="s">
        <v>62</v>
      </c>
      <c r="T1864" t="s">
        <v>63</v>
      </c>
      <c r="U1864" t="s">
        <v>42</v>
      </c>
      <c r="V1864">
        <v>0</v>
      </c>
      <c r="W1864">
        <v>100000</v>
      </c>
      <c r="X1864" s="1">
        <v>43982</v>
      </c>
      <c r="Y1864" t="s">
        <v>51</v>
      </c>
      <c r="Z1864" t="s">
        <v>43</v>
      </c>
      <c r="AA1864" t="s">
        <v>41</v>
      </c>
      <c r="AB1864" t="s">
        <v>52</v>
      </c>
      <c r="AC1864" t="s">
        <v>53</v>
      </c>
      <c r="AF1864" t="s">
        <v>54</v>
      </c>
      <c r="AG1864" s="1">
        <v>43832</v>
      </c>
      <c r="AH1864" t="s">
        <v>42</v>
      </c>
      <c r="AI1864" t="s">
        <v>55</v>
      </c>
      <c r="AJ1864">
        <v>12788092</v>
      </c>
      <c r="AK1864">
        <v>250000</v>
      </c>
      <c r="AL1864">
        <v>1500000</v>
      </c>
    </row>
    <row r="1865" spans="1:38" x14ac:dyDescent="0.25">
      <c r="A1865" t="s">
        <v>264</v>
      </c>
      <c r="B1865" t="s">
        <v>511</v>
      </c>
      <c r="C1865" t="s">
        <v>40</v>
      </c>
      <c r="D1865" s="1">
        <v>43462</v>
      </c>
      <c r="E1865" s="1">
        <v>43826</v>
      </c>
      <c r="F1865" t="s">
        <v>41</v>
      </c>
      <c r="G1865">
        <v>1</v>
      </c>
      <c r="H1865" t="s">
        <v>42</v>
      </c>
      <c r="I1865" t="s">
        <v>43</v>
      </c>
      <c r="J1865" t="s">
        <v>41</v>
      </c>
      <c r="K1865" t="s">
        <v>127</v>
      </c>
      <c r="L1865">
        <v>6112.76</v>
      </c>
      <c r="M1865" s="1">
        <v>43462</v>
      </c>
      <c r="N1865" t="s">
        <v>45</v>
      </c>
      <c r="O1865" t="s">
        <v>106</v>
      </c>
      <c r="P1865" t="s">
        <v>47</v>
      </c>
      <c r="Q1865" s="1">
        <v>43852</v>
      </c>
      <c r="R1865" t="s">
        <v>48</v>
      </c>
      <c r="S1865" t="s">
        <v>62</v>
      </c>
      <c r="T1865" t="s">
        <v>63</v>
      </c>
      <c r="U1865" t="s">
        <v>42</v>
      </c>
      <c r="V1865">
        <v>0</v>
      </c>
      <c r="W1865">
        <v>100000</v>
      </c>
      <c r="X1865" s="1">
        <v>43982</v>
      </c>
      <c r="Y1865" t="s">
        <v>51</v>
      </c>
      <c r="Z1865" t="s">
        <v>43</v>
      </c>
      <c r="AA1865" t="s">
        <v>41</v>
      </c>
      <c r="AB1865" t="s">
        <v>52</v>
      </c>
      <c r="AC1865" t="s">
        <v>53</v>
      </c>
      <c r="AF1865" t="s">
        <v>56</v>
      </c>
      <c r="AG1865" s="1">
        <v>43833</v>
      </c>
      <c r="AH1865" t="s">
        <v>42</v>
      </c>
      <c r="AI1865" t="s">
        <v>55</v>
      </c>
      <c r="AJ1865">
        <v>12788092</v>
      </c>
      <c r="AK1865">
        <v>250000</v>
      </c>
      <c r="AL1865">
        <v>1500000</v>
      </c>
    </row>
    <row r="1866" spans="1:38" x14ac:dyDescent="0.25">
      <c r="A1866" t="s">
        <v>264</v>
      </c>
      <c r="B1866" t="s">
        <v>511</v>
      </c>
      <c r="C1866" t="s">
        <v>40</v>
      </c>
      <c r="D1866" s="1">
        <v>43462</v>
      </c>
      <c r="E1866" s="1">
        <v>43826</v>
      </c>
      <c r="F1866" t="s">
        <v>41</v>
      </c>
      <c r="G1866">
        <v>1</v>
      </c>
      <c r="H1866" t="s">
        <v>42</v>
      </c>
      <c r="I1866" t="s">
        <v>43</v>
      </c>
      <c r="J1866" t="s">
        <v>41</v>
      </c>
      <c r="K1866" t="s">
        <v>127</v>
      </c>
      <c r="L1866">
        <v>6112.76</v>
      </c>
      <c r="M1866" s="1">
        <v>43462</v>
      </c>
      <c r="N1866" t="s">
        <v>45</v>
      </c>
      <c r="O1866" t="s">
        <v>106</v>
      </c>
      <c r="P1866" t="s">
        <v>47</v>
      </c>
      <c r="Q1866" s="1">
        <v>43852</v>
      </c>
      <c r="R1866" t="s">
        <v>48</v>
      </c>
      <c r="S1866" t="s">
        <v>62</v>
      </c>
      <c r="T1866" t="s">
        <v>63</v>
      </c>
      <c r="U1866" t="s">
        <v>42</v>
      </c>
      <c r="V1866">
        <v>0</v>
      </c>
      <c r="W1866">
        <v>100000</v>
      </c>
      <c r="X1866" s="1">
        <v>43982</v>
      </c>
      <c r="Y1866" t="s">
        <v>51</v>
      </c>
      <c r="Z1866" t="s">
        <v>43</v>
      </c>
      <c r="AA1866" t="s">
        <v>41</v>
      </c>
      <c r="AB1866" t="s">
        <v>52</v>
      </c>
      <c r="AC1866" t="s">
        <v>53</v>
      </c>
      <c r="AF1866" t="s">
        <v>57</v>
      </c>
      <c r="AG1866" s="1">
        <v>43836</v>
      </c>
      <c r="AH1866" t="s">
        <v>42</v>
      </c>
      <c r="AI1866" t="s">
        <v>55</v>
      </c>
      <c r="AJ1866">
        <v>12788092</v>
      </c>
      <c r="AK1866">
        <v>250000</v>
      </c>
      <c r="AL1866">
        <v>1500000</v>
      </c>
    </row>
    <row r="1867" spans="1:38" x14ac:dyDescent="0.25">
      <c r="A1867" t="s">
        <v>264</v>
      </c>
      <c r="B1867" t="s">
        <v>511</v>
      </c>
      <c r="C1867" t="s">
        <v>40</v>
      </c>
      <c r="D1867" s="1">
        <v>43462</v>
      </c>
      <c r="E1867" s="1">
        <v>43826</v>
      </c>
      <c r="F1867" t="s">
        <v>41</v>
      </c>
      <c r="G1867">
        <v>1</v>
      </c>
      <c r="H1867" t="s">
        <v>42</v>
      </c>
      <c r="I1867" t="s">
        <v>43</v>
      </c>
      <c r="J1867" t="s">
        <v>41</v>
      </c>
      <c r="K1867" t="s">
        <v>127</v>
      </c>
      <c r="L1867">
        <v>6112.76</v>
      </c>
      <c r="M1867" s="1">
        <v>43462</v>
      </c>
      <c r="N1867" t="s">
        <v>45</v>
      </c>
      <c r="O1867" t="s">
        <v>106</v>
      </c>
      <c r="P1867" t="s">
        <v>47</v>
      </c>
      <c r="Q1867" s="1">
        <v>43852</v>
      </c>
      <c r="R1867" t="s">
        <v>48</v>
      </c>
      <c r="S1867" t="s">
        <v>62</v>
      </c>
      <c r="T1867" t="s">
        <v>63</v>
      </c>
      <c r="U1867" t="s">
        <v>42</v>
      </c>
      <c r="V1867">
        <v>0</v>
      </c>
      <c r="W1867">
        <v>100000</v>
      </c>
      <c r="X1867" s="1">
        <v>43982</v>
      </c>
      <c r="Y1867" t="s">
        <v>51</v>
      </c>
      <c r="Z1867" t="s">
        <v>43</v>
      </c>
      <c r="AA1867" t="s">
        <v>41</v>
      </c>
      <c r="AB1867" t="s">
        <v>52</v>
      </c>
      <c r="AC1867" t="s">
        <v>53</v>
      </c>
      <c r="AF1867" t="s">
        <v>58</v>
      </c>
      <c r="AG1867" s="1">
        <v>43837</v>
      </c>
      <c r="AH1867" t="s">
        <v>42</v>
      </c>
      <c r="AI1867" t="s">
        <v>55</v>
      </c>
      <c r="AJ1867">
        <v>12788092</v>
      </c>
      <c r="AK1867">
        <v>250000</v>
      </c>
      <c r="AL1867">
        <v>1500000</v>
      </c>
    </row>
    <row r="1868" spans="1:38" x14ac:dyDescent="0.25">
      <c r="A1868" t="s">
        <v>264</v>
      </c>
      <c r="B1868" t="s">
        <v>511</v>
      </c>
      <c r="C1868" t="s">
        <v>40</v>
      </c>
      <c r="D1868" s="1">
        <v>43462</v>
      </c>
      <c r="E1868" s="1">
        <v>43826</v>
      </c>
      <c r="F1868" t="s">
        <v>41</v>
      </c>
      <c r="G1868">
        <v>1</v>
      </c>
      <c r="H1868" t="s">
        <v>42</v>
      </c>
      <c r="I1868" t="s">
        <v>43</v>
      </c>
      <c r="J1868" t="s">
        <v>41</v>
      </c>
      <c r="K1868" t="s">
        <v>127</v>
      </c>
      <c r="L1868">
        <v>6112.76</v>
      </c>
      <c r="M1868" s="1">
        <v>43462</v>
      </c>
      <c r="N1868" t="s">
        <v>45</v>
      </c>
      <c r="O1868" t="s">
        <v>106</v>
      </c>
      <c r="P1868" t="s">
        <v>47</v>
      </c>
      <c r="Q1868" s="1">
        <v>43852</v>
      </c>
      <c r="R1868" t="s">
        <v>48</v>
      </c>
      <c r="S1868" t="s">
        <v>62</v>
      </c>
      <c r="T1868" t="s">
        <v>63</v>
      </c>
      <c r="U1868" t="s">
        <v>42</v>
      </c>
      <c r="V1868">
        <v>0</v>
      </c>
      <c r="W1868">
        <v>100000</v>
      </c>
      <c r="X1868" s="1">
        <v>43982</v>
      </c>
      <c r="Y1868" t="s">
        <v>51</v>
      </c>
      <c r="Z1868" t="s">
        <v>43</v>
      </c>
      <c r="AA1868" t="s">
        <v>41</v>
      </c>
      <c r="AB1868" t="s">
        <v>52</v>
      </c>
      <c r="AC1868" t="s">
        <v>53</v>
      </c>
      <c r="AF1868" t="s">
        <v>59</v>
      </c>
      <c r="AG1868" s="1">
        <v>43838</v>
      </c>
      <c r="AH1868" t="s">
        <v>42</v>
      </c>
      <c r="AI1868" t="s">
        <v>55</v>
      </c>
      <c r="AJ1868">
        <v>12788092</v>
      </c>
      <c r="AK1868">
        <v>250000</v>
      </c>
      <c r="AL1868">
        <v>1500000</v>
      </c>
    </row>
    <row r="1869" spans="1:38" x14ac:dyDescent="0.25">
      <c r="A1869" t="s">
        <v>264</v>
      </c>
      <c r="B1869" t="s">
        <v>511</v>
      </c>
      <c r="C1869" t="s">
        <v>40</v>
      </c>
      <c r="D1869" s="1">
        <v>43462</v>
      </c>
      <c r="E1869" s="1">
        <v>43826</v>
      </c>
      <c r="F1869" t="s">
        <v>41</v>
      </c>
      <c r="G1869">
        <v>1</v>
      </c>
      <c r="H1869" t="s">
        <v>42</v>
      </c>
      <c r="I1869" t="s">
        <v>43</v>
      </c>
      <c r="J1869" t="s">
        <v>41</v>
      </c>
      <c r="K1869" t="s">
        <v>127</v>
      </c>
      <c r="L1869">
        <v>6112.76</v>
      </c>
      <c r="M1869" s="1">
        <v>43462</v>
      </c>
      <c r="N1869" t="s">
        <v>45</v>
      </c>
      <c r="O1869" t="s">
        <v>106</v>
      </c>
      <c r="P1869" t="s">
        <v>47</v>
      </c>
      <c r="Q1869" s="1">
        <v>43852</v>
      </c>
      <c r="R1869" t="s">
        <v>48</v>
      </c>
      <c r="S1869" t="s">
        <v>64</v>
      </c>
      <c r="T1869" t="s">
        <v>65</v>
      </c>
      <c r="U1869" t="s">
        <v>42</v>
      </c>
      <c r="V1869">
        <v>0</v>
      </c>
      <c r="W1869">
        <v>100000</v>
      </c>
      <c r="X1869" s="1">
        <v>43921</v>
      </c>
      <c r="Y1869" t="s">
        <v>51</v>
      </c>
      <c r="Z1869" t="s">
        <v>43</v>
      </c>
      <c r="AA1869" t="s">
        <v>41</v>
      </c>
      <c r="AB1869" t="s">
        <v>52</v>
      </c>
      <c r="AC1869" t="s">
        <v>53</v>
      </c>
      <c r="AF1869" t="s">
        <v>54</v>
      </c>
      <c r="AG1869" s="1">
        <v>43832</v>
      </c>
      <c r="AH1869" t="s">
        <v>42</v>
      </c>
      <c r="AI1869" t="s">
        <v>55</v>
      </c>
      <c r="AJ1869">
        <v>12788092</v>
      </c>
      <c r="AK1869">
        <v>250000</v>
      </c>
      <c r="AL1869">
        <v>1500000</v>
      </c>
    </row>
    <row r="1870" spans="1:38" x14ac:dyDescent="0.25">
      <c r="A1870" t="s">
        <v>264</v>
      </c>
      <c r="B1870" t="s">
        <v>511</v>
      </c>
      <c r="C1870" t="s">
        <v>40</v>
      </c>
      <c r="D1870" s="1">
        <v>43462</v>
      </c>
      <c r="E1870" s="1">
        <v>43826</v>
      </c>
      <c r="F1870" t="s">
        <v>41</v>
      </c>
      <c r="G1870">
        <v>1</v>
      </c>
      <c r="H1870" t="s">
        <v>42</v>
      </c>
      <c r="I1870" t="s">
        <v>43</v>
      </c>
      <c r="J1870" t="s">
        <v>41</v>
      </c>
      <c r="K1870" t="s">
        <v>127</v>
      </c>
      <c r="L1870">
        <v>6112.76</v>
      </c>
      <c r="M1870" s="1">
        <v>43462</v>
      </c>
      <c r="N1870" t="s">
        <v>45</v>
      </c>
      <c r="O1870" t="s">
        <v>106</v>
      </c>
      <c r="P1870" t="s">
        <v>47</v>
      </c>
      <c r="Q1870" s="1">
        <v>43852</v>
      </c>
      <c r="R1870" t="s">
        <v>48</v>
      </c>
      <c r="S1870" t="s">
        <v>64</v>
      </c>
      <c r="T1870" t="s">
        <v>65</v>
      </c>
      <c r="U1870" t="s">
        <v>42</v>
      </c>
      <c r="V1870">
        <v>0</v>
      </c>
      <c r="W1870">
        <v>100000</v>
      </c>
      <c r="X1870" s="1">
        <v>43921</v>
      </c>
      <c r="Y1870" t="s">
        <v>51</v>
      </c>
      <c r="Z1870" t="s">
        <v>43</v>
      </c>
      <c r="AA1870" t="s">
        <v>41</v>
      </c>
      <c r="AB1870" t="s">
        <v>52</v>
      </c>
      <c r="AC1870" t="s">
        <v>53</v>
      </c>
      <c r="AF1870" t="s">
        <v>56</v>
      </c>
      <c r="AG1870" s="1">
        <v>43833</v>
      </c>
      <c r="AH1870" t="s">
        <v>42</v>
      </c>
      <c r="AI1870" t="s">
        <v>55</v>
      </c>
      <c r="AJ1870">
        <v>12788092</v>
      </c>
      <c r="AK1870">
        <v>250000</v>
      </c>
      <c r="AL1870">
        <v>1500000</v>
      </c>
    </row>
    <row r="1871" spans="1:38" x14ac:dyDescent="0.25">
      <c r="A1871" t="s">
        <v>264</v>
      </c>
      <c r="B1871" t="s">
        <v>511</v>
      </c>
      <c r="C1871" t="s">
        <v>40</v>
      </c>
      <c r="D1871" s="1">
        <v>43462</v>
      </c>
      <c r="E1871" s="1">
        <v>43826</v>
      </c>
      <c r="F1871" t="s">
        <v>41</v>
      </c>
      <c r="G1871">
        <v>1</v>
      </c>
      <c r="H1871" t="s">
        <v>42</v>
      </c>
      <c r="I1871" t="s">
        <v>43</v>
      </c>
      <c r="J1871" t="s">
        <v>41</v>
      </c>
      <c r="K1871" t="s">
        <v>127</v>
      </c>
      <c r="L1871">
        <v>6112.76</v>
      </c>
      <c r="M1871" s="1">
        <v>43462</v>
      </c>
      <c r="N1871" t="s">
        <v>45</v>
      </c>
      <c r="O1871" t="s">
        <v>106</v>
      </c>
      <c r="P1871" t="s">
        <v>47</v>
      </c>
      <c r="Q1871" s="1">
        <v>43852</v>
      </c>
      <c r="R1871" t="s">
        <v>48</v>
      </c>
      <c r="S1871" t="s">
        <v>64</v>
      </c>
      <c r="T1871" t="s">
        <v>65</v>
      </c>
      <c r="U1871" t="s">
        <v>42</v>
      </c>
      <c r="V1871">
        <v>0</v>
      </c>
      <c r="W1871">
        <v>100000</v>
      </c>
      <c r="X1871" s="1">
        <v>43921</v>
      </c>
      <c r="Y1871" t="s">
        <v>51</v>
      </c>
      <c r="Z1871" t="s">
        <v>43</v>
      </c>
      <c r="AA1871" t="s">
        <v>41</v>
      </c>
      <c r="AB1871" t="s">
        <v>52</v>
      </c>
      <c r="AC1871" t="s">
        <v>53</v>
      </c>
      <c r="AF1871" t="s">
        <v>57</v>
      </c>
      <c r="AG1871" s="1">
        <v>43836</v>
      </c>
      <c r="AH1871" t="s">
        <v>42</v>
      </c>
      <c r="AI1871" t="s">
        <v>55</v>
      </c>
      <c r="AJ1871">
        <v>12788092</v>
      </c>
      <c r="AK1871">
        <v>250000</v>
      </c>
      <c r="AL1871">
        <v>1500000</v>
      </c>
    </row>
    <row r="1872" spans="1:38" x14ac:dyDescent="0.25">
      <c r="A1872" t="s">
        <v>264</v>
      </c>
      <c r="B1872" t="s">
        <v>511</v>
      </c>
      <c r="C1872" t="s">
        <v>40</v>
      </c>
      <c r="D1872" s="1">
        <v>43462</v>
      </c>
      <c r="E1872" s="1">
        <v>43826</v>
      </c>
      <c r="F1872" t="s">
        <v>41</v>
      </c>
      <c r="G1872">
        <v>1</v>
      </c>
      <c r="H1872" t="s">
        <v>42</v>
      </c>
      <c r="I1872" t="s">
        <v>43</v>
      </c>
      <c r="J1872" t="s">
        <v>41</v>
      </c>
      <c r="K1872" t="s">
        <v>127</v>
      </c>
      <c r="L1872">
        <v>6112.76</v>
      </c>
      <c r="M1872" s="1">
        <v>43462</v>
      </c>
      <c r="N1872" t="s">
        <v>45</v>
      </c>
      <c r="O1872" t="s">
        <v>106</v>
      </c>
      <c r="P1872" t="s">
        <v>47</v>
      </c>
      <c r="Q1872" s="1">
        <v>43852</v>
      </c>
      <c r="R1872" t="s">
        <v>48</v>
      </c>
      <c r="S1872" t="s">
        <v>64</v>
      </c>
      <c r="T1872" t="s">
        <v>65</v>
      </c>
      <c r="U1872" t="s">
        <v>42</v>
      </c>
      <c r="V1872">
        <v>0</v>
      </c>
      <c r="W1872">
        <v>100000</v>
      </c>
      <c r="X1872" s="1">
        <v>43921</v>
      </c>
      <c r="Y1872" t="s">
        <v>51</v>
      </c>
      <c r="Z1872" t="s">
        <v>43</v>
      </c>
      <c r="AA1872" t="s">
        <v>41</v>
      </c>
      <c r="AB1872" t="s">
        <v>52</v>
      </c>
      <c r="AC1872" t="s">
        <v>53</v>
      </c>
      <c r="AF1872" t="s">
        <v>58</v>
      </c>
      <c r="AG1872" s="1">
        <v>43837</v>
      </c>
      <c r="AH1872" t="s">
        <v>42</v>
      </c>
      <c r="AI1872" t="s">
        <v>55</v>
      </c>
      <c r="AJ1872">
        <v>12788092</v>
      </c>
      <c r="AK1872">
        <v>250000</v>
      </c>
      <c r="AL1872">
        <v>1500000</v>
      </c>
    </row>
    <row r="1873" spans="1:38" x14ac:dyDescent="0.25">
      <c r="A1873" t="s">
        <v>264</v>
      </c>
      <c r="B1873" t="s">
        <v>511</v>
      </c>
      <c r="C1873" t="s">
        <v>40</v>
      </c>
      <c r="D1873" s="1">
        <v>43462</v>
      </c>
      <c r="E1873" s="1">
        <v>43826</v>
      </c>
      <c r="F1873" t="s">
        <v>41</v>
      </c>
      <c r="G1873">
        <v>1</v>
      </c>
      <c r="H1873" t="s">
        <v>42</v>
      </c>
      <c r="I1873" t="s">
        <v>43</v>
      </c>
      <c r="J1873" t="s">
        <v>41</v>
      </c>
      <c r="K1873" t="s">
        <v>127</v>
      </c>
      <c r="L1873">
        <v>6112.76</v>
      </c>
      <c r="M1873" s="1">
        <v>43462</v>
      </c>
      <c r="N1873" t="s">
        <v>45</v>
      </c>
      <c r="O1873" t="s">
        <v>106</v>
      </c>
      <c r="P1873" t="s">
        <v>47</v>
      </c>
      <c r="Q1873" s="1">
        <v>43852</v>
      </c>
      <c r="R1873" t="s">
        <v>48</v>
      </c>
      <c r="S1873" t="s">
        <v>64</v>
      </c>
      <c r="T1873" t="s">
        <v>65</v>
      </c>
      <c r="U1873" t="s">
        <v>42</v>
      </c>
      <c r="V1873">
        <v>0</v>
      </c>
      <c r="W1873">
        <v>100000</v>
      </c>
      <c r="X1873" s="1">
        <v>43921</v>
      </c>
      <c r="Y1873" t="s">
        <v>51</v>
      </c>
      <c r="Z1873" t="s">
        <v>43</v>
      </c>
      <c r="AA1873" t="s">
        <v>41</v>
      </c>
      <c r="AB1873" t="s">
        <v>52</v>
      </c>
      <c r="AC1873" t="s">
        <v>53</v>
      </c>
      <c r="AF1873" t="s">
        <v>59</v>
      </c>
      <c r="AG1873" s="1">
        <v>43838</v>
      </c>
      <c r="AH1873" t="s">
        <v>42</v>
      </c>
      <c r="AI1873" t="s">
        <v>55</v>
      </c>
      <c r="AJ1873">
        <v>12788092</v>
      </c>
      <c r="AK1873">
        <v>250000</v>
      </c>
      <c r="AL1873">
        <v>1500000</v>
      </c>
    </row>
    <row r="1874" spans="1:38" x14ac:dyDescent="0.25">
      <c r="A1874" t="s">
        <v>265</v>
      </c>
      <c r="B1874" t="s">
        <v>511</v>
      </c>
      <c r="C1874" t="s">
        <v>40</v>
      </c>
      <c r="D1874" s="1">
        <v>43462</v>
      </c>
      <c r="E1874" s="1">
        <v>43826</v>
      </c>
      <c r="F1874" t="s">
        <v>41</v>
      </c>
      <c r="G1874">
        <v>1</v>
      </c>
      <c r="H1874" t="s">
        <v>42</v>
      </c>
      <c r="I1874" t="s">
        <v>43</v>
      </c>
      <c r="J1874" t="s">
        <v>41</v>
      </c>
      <c r="K1874" t="s">
        <v>127</v>
      </c>
      <c r="L1874">
        <v>0</v>
      </c>
      <c r="M1874" s="1">
        <v>43191</v>
      </c>
      <c r="N1874" t="s">
        <v>108</v>
      </c>
      <c r="O1874" t="s">
        <v>106</v>
      </c>
      <c r="P1874" t="s">
        <v>47</v>
      </c>
      <c r="Q1874" s="1">
        <v>43852</v>
      </c>
      <c r="R1874" t="s">
        <v>48</v>
      </c>
      <c r="S1874" t="s">
        <v>49</v>
      </c>
      <c r="T1874" t="s">
        <v>50</v>
      </c>
      <c r="U1874" t="s">
        <v>42</v>
      </c>
      <c r="V1874">
        <v>0</v>
      </c>
      <c r="W1874">
        <v>100000</v>
      </c>
      <c r="X1874" s="1">
        <v>44012</v>
      </c>
      <c r="Y1874" t="s">
        <v>51</v>
      </c>
      <c r="Z1874" t="s">
        <v>43</v>
      </c>
      <c r="AA1874" t="s">
        <v>41</v>
      </c>
      <c r="AB1874" t="s">
        <v>52</v>
      </c>
      <c r="AC1874" t="s">
        <v>53</v>
      </c>
      <c r="AF1874" t="s">
        <v>54</v>
      </c>
      <c r="AG1874" s="1">
        <v>43832</v>
      </c>
      <c r="AH1874" t="s">
        <v>42</v>
      </c>
      <c r="AI1874" t="s">
        <v>55</v>
      </c>
      <c r="AJ1874">
        <v>12788092</v>
      </c>
      <c r="AK1874">
        <v>250000</v>
      </c>
      <c r="AL1874">
        <v>1500000</v>
      </c>
    </row>
    <row r="1875" spans="1:38" x14ac:dyDescent="0.25">
      <c r="A1875" t="s">
        <v>265</v>
      </c>
      <c r="B1875" t="s">
        <v>511</v>
      </c>
      <c r="C1875" t="s">
        <v>40</v>
      </c>
      <c r="D1875" s="1">
        <v>43462</v>
      </c>
      <c r="E1875" s="1">
        <v>43826</v>
      </c>
      <c r="F1875" t="s">
        <v>41</v>
      </c>
      <c r="G1875">
        <v>1</v>
      </c>
      <c r="H1875" t="s">
        <v>42</v>
      </c>
      <c r="I1875" t="s">
        <v>43</v>
      </c>
      <c r="J1875" t="s">
        <v>41</v>
      </c>
      <c r="K1875" t="s">
        <v>127</v>
      </c>
      <c r="L1875">
        <v>0</v>
      </c>
      <c r="M1875" s="1">
        <v>43191</v>
      </c>
      <c r="N1875" t="s">
        <v>108</v>
      </c>
      <c r="O1875" t="s">
        <v>106</v>
      </c>
      <c r="P1875" t="s">
        <v>47</v>
      </c>
      <c r="Q1875" s="1">
        <v>43852</v>
      </c>
      <c r="R1875" t="s">
        <v>48</v>
      </c>
      <c r="S1875" t="s">
        <v>49</v>
      </c>
      <c r="T1875" t="s">
        <v>50</v>
      </c>
      <c r="U1875" t="s">
        <v>42</v>
      </c>
      <c r="V1875">
        <v>0</v>
      </c>
      <c r="W1875">
        <v>100000</v>
      </c>
      <c r="X1875" s="1">
        <v>44012</v>
      </c>
      <c r="Y1875" t="s">
        <v>51</v>
      </c>
      <c r="Z1875" t="s">
        <v>43</v>
      </c>
      <c r="AA1875" t="s">
        <v>41</v>
      </c>
      <c r="AB1875" t="s">
        <v>52</v>
      </c>
      <c r="AC1875" t="s">
        <v>53</v>
      </c>
      <c r="AF1875" t="s">
        <v>56</v>
      </c>
      <c r="AG1875" s="1">
        <v>43833</v>
      </c>
      <c r="AH1875" t="s">
        <v>42</v>
      </c>
      <c r="AI1875" t="s">
        <v>55</v>
      </c>
      <c r="AJ1875">
        <v>12788092</v>
      </c>
      <c r="AK1875">
        <v>250000</v>
      </c>
      <c r="AL1875">
        <v>1500000</v>
      </c>
    </row>
    <row r="1876" spans="1:38" x14ac:dyDescent="0.25">
      <c r="A1876" t="s">
        <v>265</v>
      </c>
      <c r="B1876" t="s">
        <v>511</v>
      </c>
      <c r="C1876" t="s">
        <v>40</v>
      </c>
      <c r="D1876" s="1">
        <v>43462</v>
      </c>
      <c r="E1876" s="1">
        <v>43826</v>
      </c>
      <c r="F1876" t="s">
        <v>41</v>
      </c>
      <c r="G1876">
        <v>1</v>
      </c>
      <c r="H1876" t="s">
        <v>42</v>
      </c>
      <c r="I1876" t="s">
        <v>43</v>
      </c>
      <c r="J1876" t="s">
        <v>41</v>
      </c>
      <c r="K1876" t="s">
        <v>127</v>
      </c>
      <c r="L1876">
        <v>0</v>
      </c>
      <c r="M1876" s="1">
        <v>43191</v>
      </c>
      <c r="N1876" t="s">
        <v>108</v>
      </c>
      <c r="O1876" t="s">
        <v>106</v>
      </c>
      <c r="P1876" t="s">
        <v>47</v>
      </c>
      <c r="Q1876" s="1">
        <v>43852</v>
      </c>
      <c r="R1876" t="s">
        <v>48</v>
      </c>
      <c r="S1876" t="s">
        <v>49</v>
      </c>
      <c r="T1876" t="s">
        <v>50</v>
      </c>
      <c r="U1876" t="s">
        <v>42</v>
      </c>
      <c r="V1876">
        <v>0</v>
      </c>
      <c r="W1876">
        <v>100000</v>
      </c>
      <c r="X1876" s="1">
        <v>44012</v>
      </c>
      <c r="Y1876" t="s">
        <v>51</v>
      </c>
      <c r="Z1876" t="s">
        <v>43</v>
      </c>
      <c r="AA1876" t="s">
        <v>41</v>
      </c>
      <c r="AB1876" t="s">
        <v>52</v>
      </c>
      <c r="AC1876" t="s">
        <v>53</v>
      </c>
      <c r="AF1876" t="s">
        <v>57</v>
      </c>
      <c r="AG1876" s="1">
        <v>43836</v>
      </c>
      <c r="AH1876" t="s">
        <v>42</v>
      </c>
      <c r="AI1876" t="s">
        <v>55</v>
      </c>
      <c r="AJ1876">
        <v>12788092</v>
      </c>
      <c r="AK1876">
        <v>250000</v>
      </c>
      <c r="AL1876">
        <v>1500000</v>
      </c>
    </row>
    <row r="1877" spans="1:38" x14ac:dyDescent="0.25">
      <c r="A1877" t="s">
        <v>265</v>
      </c>
      <c r="B1877" t="s">
        <v>511</v>
      </c>
      <c r="C1877" t="s">
        <v>40</v>
      </c>
      <c r="D1877" s="1">
        <v>43462</v>
      </c>
      <c r="E1877" s="1">
        <v>43826</v>
      </c>
      <c r="F1877" t="s">
        <v>41</v>
      </c>
      <c r="G1877">
        <v>1</v>
      </c>
      <c r="H1877" t="s">
        <v>42</v>
      </c>
      <c r="I1877" t="s">
        <v>43</v>
      </c>
      <c r="J1877" t="s">
        <v>41</v>
      </c>
      <c r="K1877" t="s">
        <v>127</v>
      </c>
      <c r="L1877">
        <v>0</v>
      </c>
      <c r="M1877" s="1">
        <v>43191</v>
      </c>
      <c r="N1877" t="s">
        <v>108</v>
      </c>
      <c r="O1877" t="s">
        <v>106</v>
      </c>
      <c r="P1877" t="s">
        <v>47</v>
      </c>
      <c r="Q1877" s="1">
        <v>43852</v>
      </c>
      <c r="R1877" t="s">
        <v>48</v>
      </c>
      <c r="S1877" t="s">
        <v>49</v>
      </c>
      <c r="T1877" t="s">
        <v>50</v>
      </c>
      <c r="U1877" t="s">
        <v>42</v>
      </c>
      <c r="V1877">
        <v>0</v>
      </c>
      <c r="W1877">
        <v>100000</v>
      </c>
      <c r="X1877" s="1">
        <v>44012</v>
      </c>
      <c r="Y1877" t="s">
        <v>51</v>
      </c>
      <c r="Z1877" t="s">
        <v>43</v>
      </c>
      <c r="AA1877" t="s">
        <v>41</v>
      </c>
      <c r="AB1877" t="s">
        <v>52</v>
      </c>
      <c r="AC1877" t="s">
        <v>53</v>
      </c>
      <c r="AF1877" t="s">
        <v>58</v>
      </c>
      <c r="AG1877" s="1">
        <v>43837</v>
      </c>
      <c r="AH1877" t="s">
        <v>42</v>
      </c>
      <c r="AI1877" t="s">
        <v>55</v>
      </c>
      <c r="AJ1877">
        <v>12788092</v>
      </c>
      <c r="AK1877">
        <v>250000</v>
      </c>
      <c r="AL1877">
        <v>1500000</v>
      </c>
    </row>
    <row r="1878" spans="1:38" x14ac:dyDescent="0.25">
      <c r="A1878" t="s">
        <v>265</v>
      </c>
      <c r="B1878" t="s">
        <v>511</v>
      </c>
      <c r="C1878" t="s">
        <v>40</v>
      </c>
      <c r="D1878" s="1">
        <v>43462</v>
      </c>
      <c r="E1878" s="1">
        <v>43826</v>
      </c>
      <c r="F1878" t="s">
        <v>41</v>
      </c>
      <c r="G1878">
        <v>1</v>
      </c>
      <c r="H1878" t="s">
        <v>42</v>
      </c>
      <c r="I1878" t="s">
        <v>43</v>
      </c>
      <c r="J1878" t="s">
        <v>41</v>
      </c>
      <c r="K1878" t="s">
        <v>127</v>
      </c>
      <c r="L1878">
        <v>0</v>
      </c>
      <c r="M1878" s="1">
        <v>43191</v>
      </c>
      <c r="N1878" t="s">
        <v>108</v>
      </c>
      <c r="O1878" t="s">
        <v>106</v>
      </c>
      <c r="P1878" t="s">
        <v>47</v>
      </c>
      <c r="Q1878" s="1">
        <v>43852</v>
      </c>
      <c r="R1878" t="s">
        <v>48</v>
      </c>
      <c r="S1878" t="s">
        <v>49</v>
      </c>
      <c r="T1878" t="s">
        <v>50</v>
      </c>
      <c r="U1878" t="s">
        <v>42</v>
      </c>
      <c r="V1878">
        <v>0</v>
      </c>
      <c r="W1878">
        <v>100000</v>
      </c>
      <c r="X1878" s="1">
        <v>44012</v>
      </c>
      <c r="Y1878" t="s">
        <v>51</v>
      </c>
      <c r="Z1878" t="s">
        <v>43</v>
      </c>
      <c r="AA1878" t="s">
        <v>41</v>
      </c>
      <c r="AB1878" t="s">
        <v>52</v>
      </c>
      <c r="AC1878" t="s">
        <v>53</v>
      </c>
      <c r="AF1878" t="s">
        <v>59</v>
      </c>
      <c r="AG1878" s="1">
        <v>43838</v>
      </c>
      <c r="AH1878" t="s">
        <v>42</v>
      </c>
      <c r="AI1878" t="s">
        <v>55</v>
      </c>
      <c r="AJ1878">
        <v>12788092</v>
      </c>
      <c r="AK1878">
        <v>250000</v>
      </c>
      <c r="AL1878">
        <v>1500000</v>
      </c>
    </row>
    <row r="1879" spans="1:38" x14ac:dyDescent="0.25">
      <c r="A1879" t="s">
        <v>265</v>
      </c>
      <c r="B1879" t="s">
        <v>511</v>
      </c>
      <c r="C1879" t="s">
        <v>40</v>
      </c>
      <c r="D1879" s="1">
        <v>43462</v>
      </c>
      <c r="E1879" s="1">
        <v>43826</v>
      </c>
      <c r="F1879" t="s">
        <v>41</v>
      </c>
      <c r="G1879">
        <v>1</v>
      </c>
      <c r="H1879" t="s">
        <v>42</v>
      </c>
      <c r="I1879" t="s">
        <v>43</v>
      </c>
      <c r="J1879" t="s">
        <v>41</v>
      </c>
      <c r="K1879" t="s">
        <v>127</v>
      </c>
      <c r="L1879">
        <v>0</v>
      </c>
      <c r="M1879" s="1">
        <v>43191</v>
      </c>
      <c r="N1879" t="s">
        <v>108</v>
      </c>
      <c r="O1879" t="s">
        <v>106</v>
      </c>
      <c r="P1879" t="s">
        <v>47</v>
      </c>
      <c r="Q1879" s="1">
        <v>43852</v>
      </c>
      <c r="R1879" t="s">
        <v>48</v>
      </c>
      <c r="S1879" t="s">
        <v>60</v>
      </c>
      <c r="T1879" t="s">
        <v>61</v>
      </c>
      <c r="U1879" t="s">
        <v>42</v>
      </c>
      <c r="V1879">
        <v>0</v>
      </c>
      <c r="W1879">
        <v>100000</v>
      </c>
      <c r="X1879" s="1">
        <v>43921</v>
      </c>
      <c r="Y1879" t="s">
        <v>51</v>
      </c>
      <c r="Z1879" t="s">
        <v>43</v>
      </c>
      <c r="AA1879" t="s">
        <v>41</v>
      </c>
      <c r="AB1879" t="s">
        <v>52</v>
      </c>
      <c r="AC1879" t="s">
        <v>53</v>
      </c>
      <c r="AF1879" t="s">
        <v>54</v>
      </c>
      <c r="AG1879" s="1">
        <v>43832</v>
      </c>
      <c r="AH1879" t="s">
        <v>42</v>
      </c>
      <c r="AI1879" t="s">
        <v>55</v>
      </c>
      <c r="AJ1879">
        <v>12788092</v>
      </c>
      <c r="AK1879">
        <v>250000</v>
      </c>
      <c r="AL1879">
        <v>1500000</v>
      </c>
    </row>
    <row r="1880" spans="1:38" x14ac:dyDescent="0.25">
      <c r="A1880" t="s">
        <v>265</v>
      </c>
      <c r="B1880" t="s">
        <v>511</v>
      </c>
      <c r="C1880" t="s">
        <v>40</v>
      </c>
      <c r="D1880" s="1">
        <v>43462</v>
      </c>
      <c r="E1880" s="1">
        <v>43826</v>
      </c>
      <c r="F1880" t="s">
        <v>41</v>
      </c>
      <c r="G1880">
        <v>1</v>
      </c>
      <c r="H1880" t="s">
        <v>42</v>
      </c>
      <c r="I1880" t="s">
        <v>43</v>
      </c>
      <c r="J1880" t="s">
        <v>41</v>
      </c>
      <c r="K1880" t="s">
        <v>127</v>
      </c>
      <c r="L1880">
        <v>0</v>
      </c>
      <c r="M1880" s="1">
        <v>43191</v>
      </c>
      <c r="N1880" t="s">
        <v>108</v>
      </c>
      <c r="O1880" t="s">
        <v>106</v>
      </c>
      <c r="P1880" t="s">
        <v>47</v>
      </c>
      <c r="Q1880" s="1">
        <v>43852</v>
      </c>
      <c r="R1880" t="s">
        <v>48</v>
      </c>
      <c r="S1880" t="s">
        <v>60</v>
      </c>
      <c r="T1880" t="s">
        <v>61</v>
      </c>
      <c r="U1880" t="s">
        <v>42</v>
      </c>
      <c r="V1880">
        <v>0</v>
      </c>
      <c r="W1880">
        <v>100000</v>
      </c>
      <c r="X1880" s="1">
        <v>43921</v>
      </c>
      <c r="Y1880" t="s">
        <v>51</v>
      </c>
      <c r="Z1880" t="s">
        <v>43</v>
      </c>
      <c r="AA1880" t="s">
        <v>41</v>
      </c>
      <c r="AB1880" t="s">
        <v>52</v>
      </c>
      <c r="AC1880" t="s">
        <v>53</v>
      </c>
      <c r="AF1880" t="s">
        <v>56</v>
      </c>
      <c r="AG1880" s="1">
        <v>43833</v>
      </c>
      <c r="AH1880" t="s">
        <v>42</v>
      </c>
      <c r="AI1880" t="s">
        <v>55</v>
      </c>
      <c r="AJ1880">
        <v>12788092</v>
      </c>
      <c r="AK1880">
        <v>250000</v>
      </c>
      <c r="AL1880">
        <v>1500000</v>
      </c>
    </row>
    <row r="1881" spans="1:38" x14ac:dyDescent="0.25">
      <c r="A1881" t="s">
        <v>265</v>
      </c>
      <c r="B1881" t="s">
        <v>511</v>
      </c>
      <c r="C1881" t="s">
        <v>40</v>
      </c>
      <c r="D1881" s="1">
        <v>43462</v>
      </c>
      <c r="E1881" s="1">
        <v>43826</v>
      </c>
      <c r="F1881" t="s">
        <v>41</v>
      </c>
      <c r="G1881">
        <v>1</v>
      </c>
      <c r="H1881" t="s">
        <v>42</v>
      </c>
      <c r="I1881" t="s">
        <v>43</v>
      </c>
      <c r="J1881" t="s">
        <v>41</v>
      </c>
      <c r="K1881" t="s">
        <v>127</v>
      </c>
      <c r="L1881">
        <v>0</v>
      </c>
      <c r="M1881" s="1">
        <v>43191</v>
      </c>
      <c r="N1881" t="s">
        <v>108</v>
      </c>
      <c r="O1881" t="s">
        <v>106</v>
      </c>
      <c r="P1881" t="s">
        <v>47</v>
      </c>
      <c r="Q1881" s="1">
        <v>43852</v>
      </c>
      <c r="R1881" t="s">
        <v>48</v>
      </c>
      <c r="S1881" t="s">
        <v>60</v>
      </c>
      <c r="T1881" t="s">
        <v>61</v>
      </c>
      <c r="U1881" t="s">
        <v>42</v>
      </c>
      <c r="V1881">
        <v>0</v>
      </c>
      <c r="W1881">
        <v>100000</v>
      </c>
      <c r="X1881" s="1">
        <v>43921</v>
      </c>
      <c r="Y1881" t="s">
        <v>51</v>
      </c>
      <c r="Z1881" t="s">
        <v>43</v>
      </c>
      <c r="AA1881" t="s">
        <v>41</v>
      </c>
      <c r="AB1881" t="s">
        <v>52</v>
      </c>
      <c r="AC1881" t="s">
        <v>53</v>
      </c>
      <c r="AF1881" t="s">
        <v>57</v>
      </c>
      <c r="AG1881" s="1">
        <v>43836</v>
      </c>
      <c r="AH1881" t="s">
        <v>42</v>
      </c>
      <c r="AI1881" t="s">
        <v>55</v>
      </c>
      <c r="AJ1881">
        <v>12788092</v>
      </c>
      <c r="AK1881">
        <v>250000</v>
      </c>
      <c r="AL1881">
        <v>1500000</v>
      </c>
    </row>
    <row r="1882" spans="1:38" x14ac:dyDescent="0.25">
      <c r="A1882" t="s">
        <v>265</v>
      </c>
      <c r="B1882" t="s">
        <v>511</v>
      </c>
      <c r="C1882" t="s">
        <v>40</v>
      </c>
      <c r="D1882" s="1">
        <v>43462</v>
      </c>
      <c r="E1882" s="1">
        <v>43826</v>
      </c>
      <c r="F1882" t="s">
        <v>41</v>
      </c>
      <c r="G1882">
        <v>1</v>
      </c>
      <c r="H1882" t="s">
        <v>42</v>
      </c>
      <c r="I1882" t="s">
        <v>43</v>
      </c>
      <c r="J1882" t="s">
        <v>41</v>
      </c>
      <c r="K1882" t="s">
        <v>127</v>
      </c>
      <c r="L1882">
        <v>0</v>
      </c>
      <c r="M1882" s="1">
        <v>43191</v>
      </c>
      <c r="N1882" t="s">
        <v>108</v>
      </c>
      <c r="O1882" t="s">
        <v>106</v>
      </c>
      <c r="P1882" t="s">
        <v>47</v>
      </c>
      <c r="Q1882" s="1">
        <v>43852</v>
      </c>
      <c r="R1882" t="s">
        <v>48</v>
      </c>
      <c r="S1882" t="s">
        <v>60</v>
      </c>
      <c r="T1882" t="s">
        <v>61</v>
      </c>
      <c r="U1882" t="s">
        <v>42</v>
      </c>
      <c r="V1882">
        <v>0</v>
      </c>
      <c r="W1882">
        <v>100000</v>
      </c>
      <c r="X1882" s="1">
        <v>43921</v>
      </c>
      <c r="Y1882" t="s">
        <v>51</v>
      </c>
      <c r="Z1882" t="s">
        <v>43</v>
      </c>
      <c r="AA1882" t="s">
        <v>41</v>
      </c>
      <c r="AB1882" t="s">
        <v>52</v>
      </c>
      <c r="AC1882" t="s">
        <v>53</v>
      </c>
      <c r="AF1882" t="s">
        <v>58</v>
      </c>
      <c r="AG1882" s="1">
        <v>43837</v>
      </c>
      <c r="AH1882" t="s">
        <v>42</v>
      </c>
      <c r="AI1882" t="s">
        <v>55</v>
      </c>
      <c r="AJ1882">
        <v>12788092</v>
      </c>
      <c r="AK1882">
        <v>250000</v>
      </c>
      <c r="AL1882">
        <v>1500000</v>
      </c>
    </row>
    <row r="1883" spans="1:38" x14ac:dyDescent="0.25">
      <c r="A1883" t="s">
        <v>265</v>
      </c>
      <c r="B1883" t="s">
        <v>511</v>
      </c>
      <c r="C1883" t="s">
        <v>40</v>
      </c>
      <c r="D1883" s="1">
        <v>43462</v>
      </c>
      <c r="E1883" s="1">
        <v>43826</v>
      </c>
      <c r="F1883" t="s">
        <v>41</v>
      </c>
      <c r="G1883">
        <v>1</v>
      </c>
      <c r="H1883" t="s">
        <v>42</v>
      </c>
      <c r="I1883" t="s">
        <v>43</v>
      </c>
      <c r="J1883" t="s">
        <v>41</v>
      </c>
      <c r="K1883" t="s">
        <v>127</v>
      </c>
      <c r="L1883">
        <v>0</v>
      </c>
      <c r="M1883" s="1">
        <v>43191</v>
      </c>
      <c r="N1883" t="s">
        <v>108</v>
      </c>
      <c r="O1883" t="s">
        <v>106</v>
      </c>
      <c r="P1883" t="s">
        <v>47</v>
      </c>
      <c r="Q1883" s="1">
        <v>43852</v>
      </c>
      <c r="R1883" t="s">
        <v>48</v>
      </c>
      <c r="S1883" t="s">
        <v>60</v>
      </c>
      <c r="T1883" t="s">
        <v>61</v>
      </c>
      <c r="U1883" t="s">
        <v>42</v>
      </c>
      <c r="V1883">
        <v>0</v>
      </c>
      <c r="W1883">
        <v>100000</v>
      </c>
      <c r="X1883" s="1">
        <v>43921</v>
      </c>
      <c r="Y1883" t="s">
        <v>51</v>
      </c>
      <c r="Z1883" t="s">
        <v>43</v>
      </c>
      <c r="AA1883" t="s">
        <v>41</v>
      </c>
      <c r="AB1883" t="s">
        <v>52</v>
      </c>
      <c r="AC1883" t="s">
        <v>53</v>
      </c>
      <c r="AF1883" t="s">
        <v>59</v>
      </c>
      <c r="AG1883" s="1">
        <v>43838</v>
      </c>
      <c r="AH1883" t="s">
        <v>42</v>
      </c>
      <c r="AI1883" t="s">
        <v>55</v>
      </c>
      <c r="AJ1883">
        <v>12788092</v>
      </c>
      <c r="AK1883">
        <v>250000</v>
      </c>
      <c r="AL1883">
        <v>1500000</v>
      </c>
    </row>
    <row r="1884" spans="1:38" x14ac:dyDescent="0.25">
      <c r="A1884" t="s">
        <v>265</v>
      </c>
      <c r="B1884" t="s">
        <v>511</v>
      </c>
      <c r="C1884" t="s">
        <v>40</v>
      </c>
      <c r="D1884" s="1">
        <v>43462</v>
      </c>
      <c r="E1884" s="1">
        <v>43826</v>
      </c>
      <c r="F1884" t="s">
        <v>41</v>
      </c>
      <c r="G1884">
        <v>1</v>
      </c>
      <c r="H1884" t="s">
        <v>42</v>
      </c>
      <c r="I1884" t="s">
        <v>43</v>
      </c>
      <c r="J1884" t="s">
        <v>41</v>
      </c>
      <c r="K1884" t="s">
        <v>127</v>
      </c>
      <c r="L1884">
        <v>0</v>
      </c>
      <c r="M1884" s="1">
        <v>43191</v>
      </c>
      <c r="N1884" t="s">
        <v>108</v>
      </c>
      <c r="O1884" t="s">
        <v>106</v>
      </c>
      <c r="P1884" t="s">
        <v>47</v>
      </c>
      <c r="Q1884" s="1">
        <v>43852</v>
      </c>
      <c r="R1884" t="s">
        <v>48</v>
      </c>
      <c r="S1884" t="s">
        <v>62</v>
      </c>
      <c r="T1884" t="s">
        <v>63</v>
      </c>
      <c r="U1884" t="s">
        <v>42</v>
      </c>
      <c r="V1884">
        <v>0</v>
      </c>
      <c r="W1884">
        <v>100000</v>
      </c>
      <c r="X1884" s="1">
        <v>43982</v>
      </c>
      <c r="Y1884" t="s">
        <v>51</v>
      </c>
      <c r="Z1884" t="s">
        <v>43</v>
      </c>
      <c r="AA1884" t="s">
        <v>41</v>
      </c>
      <c r="AB1884" t="s">
        <v>52</v>
      </c>
      <c r="AC1884" t="s">
        <v>53</v>
      </c>
      <c r="AF1884" t="s">
        <v>54</v>
      </c>
      <c r="AG1884" s="1">
        <v>43832</v>
      </c>
      <c r="AH1884" t="s">
        <v>42</v>
      </c>
      <c r="AI1884" t="s">
        <v>55</v>
      </c>
      <c r="AJ1884">
        <v>12788092</v>
      </c>
      <c r="AK1884">
        <v>250000</v>
      </c>
      <c r="AL1884">
        <v>1500000</v>
      </c>
    </row>
    <row r="1885" spans="1:38" x14ac:dyDescent="0.25">
      <c r="A1885" t="s">
        <v>265</v>
      </c>
      <c r="B1885" t="s">
        <v>511</v>
      </c>
      <c r="C1885" t="s">
        <v>40</v>
      </c>
      <c r="D1885" s="1">
        <v>43462</v>
      </c>
      <c r="E1885" s="1">
        <v>43826</v>
      </c>
      <c r="F1885" t="s">
        <v>41</v>
      </c>
      <c r="G1885">
        <v>1</v>
      </c>
      <c r="H1885" t="s">
        <v>42</v>
      </c>
      <c r="I1885" t="s">
        <v>43</v>
      </c>
      <c r="J1885" t="s">
        <v>41</v>
      </c>
      <c r="K1885" t="s">
        <v>127</v>
      </c>
      <c r="L1885">
        <v>0</v>
      </c>
      <c r="M1885" s="1">
        <v>43191</v>
      </c>
      <c r="N1885" t="s">
        <v>108</v>
      </c>
      <c r="O1885" t="s">
        <v>106</v>
      </c>
      <c r="P1885" t="s">
        <v>47</v>
      </c>
      <c r="Q1885" s="1">
        <v>43852</v>
      </c>
      <c r="R1885" t="s">
        <v>48</v>
      </c>
      <c r="S1885" t="s">
        <v>62</v>
      </c>
      <c r="T1885" t="s">
        <v>63</v>
      </c>
      <c r="U1885" t="s">
        <v>42</v>
      </c>
      <c r="V1885">
        <v>0</v>
      </c>
      <c r="W1885">
        <v>100000</v>
      </c>
      <c r="X1885" s="1">
        <v>43982</v>
      </c>
      <c r="Y1885" t="s">
        <v>51</v>
      </c>
      <c r="Z1885" t="s">
        <v>43</v>
      </c>
      <c r="AA1885" t="s">
        <v>41</v>
      </c>
      <c r="AB1885" t="s">
        <v>52</v>
      </c>
      <c r="AC1885" t="s">
        <v>53</v>
      </c>
      <c r="AF1885" t="s">
        <v>56</v>
      </c>
      <c r="AG1885" s="1">
        <v>43833</v>
      </c>
      <c r="AH1885" t="s">
        <v>42</v>
      </c>
      <c r="AI1885" t="s">
        <v>55</v>
      </c>
      <c r="AJ1885">
        <v>12788092</v>
      </c>
      <c r="AK1885">
        <v>250000</v>
      </c>
      <c r="AL1885">
        <v>1500000</v>
      </c>
    </row>
    <row r="1886" spans="1:38" x14ac:dyDescent="0.25">
      <c r="A1886" t="s">
        <v>265</v>
      </c>
      <c r="B1886" t="s">
        <v>511</v>
      </c>
      <c r="C1886" t="s">
        <v>40</v>
      </c>
      <c r="D1886" s="1">
        <v>43462</v>
      </c>
      <c r="E1886" s="1">
        <v>43826</v>
      </c>
      <c r="F1886" t="s">
        <v>41</v>
      </c>
      <c r="G1886">
        <v>1</v>
      </c>
      <c r="H1886" t="s">
        <v>42</v>
      </c>
      <c r="I1886" t="s">
        <v>43</v>
      </c>
      <c r="J1886" t="s">
        <v>41</v>
      </c>
      <c r="K1886" t="s">
        <v>127</v>
      </c>
      <c r="L1886">
        <v>0</v>
      </c>
      <c r="M1886" s="1">
        <v>43191</v>
      </c>
      <c r="N1886" t="s">
        <v>108</v>
      </c>
      <c r="O1886" t="s">
        <v>106</v>
      </c>
      <c r="P1886" t="s">
        <v>47</v>
      </c>
      <c r="Q1886" s="1">
        <v>43852</v>
      </c>
      <c r="R1886" t="s">
        <v>48</v>
      </c>
      <c r="S1886" t="s">
        <v>62</v>
      </c>
      <c r="T1886" t="s">
        <v>63</v>
      </c>
      <c r="U1886" t="s">
        <v>42</v>
      </c>
      <c r="V1886">
        <v>0</v>
      </c>
      <c r="W1886">
        <v>100000</v>
      </c>
      <c r="X1886" s="1">
        <v>43982</v>
      </c>
      <c r="Y1886" t="s">
        <v>51</v>
      </c>
      <c r="Z1886" t="s">
        <v>43</v>
      </c>
      <c r="AA1886" t="s">
        <v>41</v>
      </c>
      <c r="AB1886" t="s">
        <v>52</v>
      </c>
      <c r="AC1886" t="s">
        <v>53</v>
      </c>
      <c r="AF1886" t="s">
        <v>57</v>
      </c>
      <c r="AG1886" s="1">
        <v>43836</v>
      </c>
      <c r="AH1886" t="s">
        <v>42</v>
      </c>
      <c r="AI1886" t="s">
        <v>55</v>
      </c>
      <c r="AJ1886">
        <v>12788092</v>
      </c>
      <c r="AK1886">
        <v>250000</v>
      </c>
      <c r="AL1886">
        <v>1500000</v>
      </c>
    </row>
    <row r="1887" spans="1:38" x14ac:dyDescent="0.25">
      <c r="A1887" t="s">
        <v>265</v>
      </c>
      <c r="B1887" t="s">
        <v>511</v>
      </c>
      <c r="C1887" t="s">
        <v>40</v>
      </c>
      <c r="D1887" s="1">
        <v>43462</v>
      </c>
      <c r="E1887" s="1">
        <v>43826</v>
      </c>
      <c r="F1887" t="s">
        <v>41</v>
      </c>
      <c r="G1887">
        <v>1</v>
      </c>
      <c r="H1887" t="s">
        <v>42</v>
      </c>
      <c r="I1887" t="s">
        <v>43</v>
      </c>
      <c r="J1887" t="s">
        <v>41</v>
      </c>
      <c r="K1887" t="s">
        <v>127</v>
      </c>
      <c r="L1887">
        <v>0</v>
      </c>
      <c r="M1887" s="1">
        <v>43191</v>
      </c>
      <c r="N1887" t="s">
        <v>108</v>
      </c>
      <c r="O1887" t="s">
        <v>106</v>
      </c>
      <c r="P1887" t="s">
        <v>47</v>
      </c>
      <c r="Q1887" s="1">
        <v>43852</v>
      </c>
      <c r="R1887" t="s">
        <v>48</v>
      </c>
      <c r="S1887" t="s">
        <v>62</v>
      </c>
      <c r="T1887" t="s">
        <v>63</v>
      </c>
      <c r="U1887" t="s">
        <v>42</v>
      </c>
      <c r="V1887">
        <v>0</v>
      </c>
      <c r="W1887">
        <v>100000</v>
      </c>
      <c r="X1887" s="1">
        <v>43982</v>
      </c>
      <c r="Y1887" t="s">
        <v>51</v>
      </c>
      <c r="Z1887" t="s">
        <v>43</v>
      </c>
      <c r="AA1887" t="s">
        <v>41</v>
      </c>
      <c r="AB1887" t="s">
        <v>52</v>
      </c>
      <c r="AC1887" t="s">
        <v>53</v>
      </c>
      <c r="AF1887" t="s">
        <v>58</v>
      </c>
      <c r="AG1887" s="1">
        <v>43837</v>
      </c>
      <c r="AH1887" t="s">
        <v>42</v>
      </c>
      <c r="AI1887" t="s">
        <v>55</v>
      </c>
      <c r="AJ1887">
        <v>12788092</v>
      </c>
      <c r="AK1887">
        <v>250000</v>
      </c>
      <c r="AL1887">
        <v>1500000</v>
      </c>
    </row>
    <row r="1888" spans="1:38" x14ac:dyDescent="0.25">
      <c r="A1888" t="s">
        <v>265</v>
      </c>
      <c r="B1888" t="s">
        <v>511</v>
      </c>
      <c r="C1888" t="s">
        <v>40</v>
      </c>
      <c r="D1888" s="1">
        <v>43462</v>
      </c>
      <c r="E1888" s="1">
        <v>43826</v>
      </c>
      <c r="F1888" t="s">
        <v>41</v>
      </c>
      <c r="G1888">
        <v>1</v>
      </c>
      <c r="H1888" t="s">
        <v>42</v>
      </c>
      <c r="I1888" t="s">
        <v>43</v>
      </c>
      <c r="J1888" t="s">
        <v>41</v>
      </c>
      <c r="K1888" t="s">
        <v>127</v>
      </c>
      <c r="L1888">
        <v>0</v>
      </c>
      <c r="M1888" s="1">
        <v>43191</v>
      </c>
      <c r="N1888" t="s">
        <v>108</v>
      </c>
      <c r="O1888" t="s">
        <v>106</v>
      </c>
      <c r="P1888" t="s">
        <v>47</v>
      </c>
      <c r="Q1888" s="1">
        <v>43852</v>
      </c>
      <c r="R1888" t="s">
        <v>48</v>
      </c>
      <c r="S1888" t="s">
        <v>62</v>
      </c>
      <c r="T1888" t="s">
        <v>63</v>
      </c>
      <c r="U1888" t="s">
        <v>42</v>
      </c>
      <c r="V1888">
        <v>0</v>
      </c>
      <c r="W1888">
        <v>100000</v>
      </c>
      <c r="X1888" s="1">
        <v>43982</v>
      </c>
      <c r="Y1888" t="s">
        <v>51</v>
      </c>
      <c r="Z1888" t="s">
        <v>43</v>
      </c>
      <c r="AA1888" t="s">
        <v>41</v>
      </c>
      <c r="AB1888" t="s">
        <v>52</v>
      </c>
      <c r="AC1888" t="s">
        <v>53</v>
      </c>
      <c r="AF1888" t="s">
        <v>59</v>
      </c>
      <c r="AG1888" s="1">
        <v>43838</v>
      </c>
      <c r="AH1888" t="s">
        <v>42</v>
      </c>
      <c r="AI1888" t="s">
        <v>55</v>
      </c>
      <c r="AJ1888">
        <v>12788092</v>
      </c>
      <c r="AK1888">
        <v>250000</v>
      </c>
      <c r="AL1888">
        <v>1500000</v>
      </c>
    </row>
    <row r="1889" spans="1:38" x14ac:dyDescent="0.25">
      <c r="A1889" t="s">
        <v>265</v>
      </c>
      <c r="B1889" t="s">
        <v>511</v>
      </c>
      <c r="C1889" t="s">
        <v>40</v>
      </c>
      <c r="D1889" s="1">
        <v>43462</v>
      </c>
      <c r="E1889" s="1">
        <v>43826</v>
      </c>
      <c r="F1889" t="s">
        <v>41</v>
      </c>
      <c r="G1889">
        <v>1</v>
      </c>
      <c r="H1889" t="s">
        <v>42</v>
      </c>
      <c r="I1889" t="s">
        <v>43</v>
      </c>
      <c r="J1889" t="s">
        <v>41</v>
      </c>
      <c r="K1889" t="s">
        <v>127</v>
      </c>
      <c r="L1889">
        <v>0</v>
      </c>
      <c r="M1889" s="1">
        <v>43191</v>
      </c>
      <c r="N1889" t="s">
        <v>108</v>
      </c>
      <c r="O1889" t="s">
        <v>106</v>
      </c>
      <c r="P1889" t="s">
        <v>47</v>
      </c>
      <c r="Q1889" s="1">
        <v>43852</v>
      </c>
      <c r="R1889" t="s">
        <v>48</v>
      </c>
      <c r="S1889" t="s">
        <v>64</v>
      </c>
      <c r="T1889" t="s">
        <v>65</v>
      </c>
      <c r="U1889" t="s">
        <v>42</v>
      </c>
      <c r="V1889">
        <v>0</v>
      </c>
      <c r="W1889">
        <v>100000</v>
      </c>
      <c r="X1889" s="1">
        <v>43921</v>
      </c>
      <c r="Y1889" t="s">
        <v>51</v>
      </c>
      <c r="Z1889" t="s">
        <v>43</v>
      </c>
      <c r="AA1889" t="s">
        <v>41</v>
      </c>
      <c r="AB1889" t="s">
        <v>52</v>
      </c>
      <c r="AC1889" t="s">
        <v>53</v>
      </c>
      <c r="AF1889" t="s">
        <v>54</v>
      </c>
      <c r="AG1889" s="1">
        <v>43832</v>
      </c>
      <c r="AH1889" t="s">
        <v>42</v>
      </c>
      <c r="AI1889" t="s">
        <v>55</v>
      </c>
      <c r="AJ1889">
        <v>12788092</v>
      </c>
      <c r="AK1889">
        <v>250000</v>
      </c>
      <c r="AL1889">
        <v>1500000</v>
      </c>
    </row>
    <row r="1890" spans="1:38" x14ac:dyDescent="0.25">
      <c r="A1890" t="s">
        <v>265</v>
      </c>
      <c r="B1890" t="s">
        <v>511</v>
      </c>
      <c r="C1890" t="s">
        <v>40</v>
      </c>
      <c r="D1890" s="1">
        <v>43462</v>
      </c>
      <c r="E1890" s="1">
        <v>43826</v>
      </c>
      <c r="F1890" t="s">
        <v>41</v>
      </c>
      <c r="G1890">
        <v>1</v>
      </c>
      <c r="H1890" t="s">
        <v>42</v>
      </c>
      <c r="I1890" t="s">
        <v>43</v>
      </c>
      <c r="J1890" t="s">
        <v>41</v>
      </c>
      <c r="K1890" t="s">
        <v>127</v>
      </c>
      <c r="L1890">
        <v>0</v>
      </c>
      <c r="M1890" s="1">
        <v>43191</v>
      </c>
      <c r="N1890" t="s">
        <v>108</v>
      </c>
      <c r="O1890" t="s">
        <v>106</v>
      </c>
      <c r="P1890" t="s">
        <v>47</v>
      </c>
      <c r="Q1890" s="1">
        <v>43852</v>
      </c>
      <c r="R1890" t="s">
        <v>48</v>
      </c>
      <c r="S1890" t="s">
        <v>64</v>
      </c>
      <c r="T1890" t="s">
        <v>65</v>
      </c>
      <c r="U1890" t="s">
        <v>42</v>
      </c>
      <c r="V1890">
        <v>0</v>
      </c>
      <c r="W1890">
        <v>100000</v>
      </c>
      <c r="X1890" s="1">
        <v>43921</v>
      </c>
      <c r="Y1890" t="s">
        <v>51</v>
      </c>
      <c r="Z1890" t="s">
        <v>43</v>
      </c>
      <c r="AA1890" t="s">
        <v>41</v>
      </c>
      <c r="AB1890" t="s">
        <v>52</v>
      </c>
      <c r="AC1890" t="s">
        <v>53</v>
      </c>
      <c r="AF1890" t="s">
        <v>56</v>
      </c>
      <c r="AG1890" s="1">
        <v>43833</v>
      </c>
      <c r="AH1890" t="s">
        <v>42</v>
      </c>
      <c r="AI1890" t="s">
        <v>55</v>
      </c>
      <c r="AJ1890">
        <v>12788092</v>
      </c>
      <c r="AK1890">
        <v>250000</v>
      </c>
      <c r="AL1890">
        <v>1500000</v>
      </c>
    </row>
    <row r="1891" spans="1:38" x14ac:dyDescent="0.25">
      <c r="A1891" t="s">
        <v>265</v>
      </c>
      <c r="B1891" t="s">
        <v>511</v>
      </c>
      <c r="C1891" t="s">
        <v>40</v>
      </c>
      <c r="D1891" s="1">
        <v>43462</v>
      </c>
      <c r="E1891" s="1">
        <v>43826</v>
      </c>
      <c r="F1891" t="s">
        <v>41</v>
      </c>
      <c r="G1891">
        <v>1</v>
      </c>
      <c r="H1891" t="s">
        <v>42</v>
      </c>
      <c r="I1891" t="s">
        <v>43</v>
      </c>
      <c r="J1891" t="s">
        <v>41</v>
      </c>
      <c r="K1891" t="s">
        <v>127</v>
      </c>
      <c r="L1891">
        <v>0</v>
      </c>
      <c r="M1891" s="1">
        <v>43191</v>
      </c>
      <c r="N1891" t="s">
        <v>108</v>
      </c>
      <c r="O1891" t="s">
        <v>106</v>
      </c>
      <c r="P1891" t="s">
        <v>47</v>
      </c>
      <c r="Q1891" s="1">
        <v>43852</v>
      </c>
      <c r="R1891" t="s">
        <v>48</v>
      </c>
      <c r="S1891" t="s">
        <v>64</v>
      </c>
      <c r="T1891" t="s">
        <v>65</v>
      </c>
      <c r="U1891" t="s">
        <v>42</v>
      </c>
      <c r="V1891">
        <v>0</v>
      </c>
      <c r="W1891">
        <v>100000</v>
      </c>
      <c r="X1891" s="1">
        <v>43921</v>
      </c>
      <c r="Y1891" t="s">
        <v>51</v>
      </c>
      <c r="Z1891" t="s">
        <v>43</v>
      </c>
      <c r="AA1891" t="s">
        <v>41</v>
      </c>
      <c r="AB1891" t="s">
        <v>52</v>
      </c>
      <c r="AC1891" t="s">
        <v>53</v>
      </c>
      <c r="AF1891" t="s">
        <v>57</v>
      </c>
      <c r="AG1891" s="1">
        <v>43836</v>
      </c>
      <c r="AH1891" t="s">
        <v>42</v>
      </c>
      <c r="AI1891" t="s">
        <v>55</v>
      </c>
      <c r="AJ1891">
        <v>12788092</v>
      </c>
      <c r="AK1891">
        <v>250000</v>
      </c>
      <c r="AL1891">
        <v>1500000</v>
      </c>
    </row>
    <row r="1892" spans="1:38" x14ac:dyDescent="0.25">
      <c r="A1892" t="s">
        <v>265</v>
      </c>
      <c r="B1892" t="s">
        <v>511</v>
      </c>
      <c r="C1892" t="s">
        <v>40</v>
      </c>
      <c r="D1892" s="1">
        <v>43462</v>
      </c>
      <c r="E1892" s="1">
        <v>43826</v>
      </c>
      <c r="F1892" t="s">
        <v>41</v>
      </c>
      <c r="G1892">
        <v>1</v>
      </c>
      <c r="H1892" t="s">
        <v>42</v>
      </c>
      <c r="I1892" t="s">
        <v>43</v>
      </c>
      <c r="J1892" t="s">
        <v>41</v>
      </c>
      <c r="K1892" t="s">
        <v>127</v>
      </c>
      <c r="L1892">
        <v>0</v>
      </c>
      <c r="M1892" s="1">
        <v>43191</v>
      </c>
      <c r="N1892" t="s">
        <v>108</v>
      </c>
      <c r="O1892" t="s">
        <v>106</v>
      </c>
      <c r="P1892" t="s">
        <v>47</v>
      </c>
      <c r="Q1892" s="1">
        <v>43852</v>
      </c>
      <c r="R1892" t="s">
        <v>48</v>
      </c>
      <c r="S1892" t="s">
        <v>64</v>
      </c>
      <c r="T1892" t="s">
        <v>65</v>
      </c>
      <c r="U1892" t="s">
        <v>42</v>
      </c>
      <c r="V1892">
        <v>0</v>
      </c>
      <c r="W1892">
        <v>100000</v>
      </c>
      <c r="X1892" s="1">
        <v>43921</v>
      </c>
      <c r="Y1892" t="s">
        <v>51</v>
      </c>
      <c r="Z1892" t="s">
        <v>43</v>
      </c>
      <c r="AA1892" t="s">
        <v>41</v>
      </c>
      <c r="AB1892" t="s">
        <v>52</v>
      </c>
      <c r="AC1892" t="s">
        <v>53</v>
      </c>
      <c r="AF1892" t="s">
        <v>58</v>
      </c>
      <c r="AG1892" s="1">
        <v>43837</v>
      </c>
      <c r="AH1892" t="s">
        <v>42</v>
      </c>
      <c r="AI1892" t="s">
        <v>55</v>
      </c>
      <c r="AJ1892">
        <v>12788092</v>
      </c>
      <c r="AK1892">
        <v>250000</v>
      </c>
      <c r="AL1892">
        <v>1500000</v>
      </c>
    </row>
    <row r="1893" spans="1:38" x14ac:dyDescent="0.25">
      <c r="A1893" t="s">
        <v>265</v>
      </c>
      <c r="B1893" t="s">
        <v>511</v>
      </c>
      <c r="C1893" t="s">
        <v>40</v>
      </c>
      <c r="D1893" s="1">
        <v>43462</v>
      </c>
      <c r="E1893" s="1">
        <v>43826</v>
      </c>
      <c r="F1893" t="s">
        <v>41</v>
      </c>
      <c r="G1893">
        <v>1</v>
      </c>
      <c r="H1893" t="s">
        <v>42</v>
      </c>
      <c r="I1893" t="s">
        <v>43</v>
      </c>
      <c r="J1893" t="s">
        <v>41</v>
      </c>
      <c r="K1893" t="s">
        <v>127</v>
      </c>
      <c r="L1893">
        <v>0</v>
      </c>
      <c r="M1893" s="1">
        <v>43191</v>
      </c>
      <c r="N1893" t="s">
        <v>108</v>
      </c>
      <c r="O1893" t="s">
        <v>106</v>
      </c>
      <c r="P1893" t="s">
        <v>47</v>
      </c>
      <c r="Q1893" s="1">
        <v>43852</v>
      </c>
      <c r="R1893" t="s">
        <v>48</v>
      </c>
      <c r="S1893" t="s">
        <v>64</v>
      </c>
      <c r="T1893" t="s">
        <v>65</v>
      </c>
      <c r="U1893" t="s">
        <v>42</v>
      </c>
      <c r="V1893">
        <v>0</v>
      </c>
      <c r="W1893">
        <v>100000</v>
      </c>
      <c r="X1893" s="1">
        <v>43921</v>
      </c>
      <c r="Y1893" t="s">
        <v>51</v>
      </c>
      <c r="Z1893" t="s">
        <v>43</v>
      </c>
      <c r="AA1893" t="s">
        <v>41</v>
      </c>
      <c r="AB1893" t="s">
        <v>52</v>
      </c>
      <c r="AC1893" t="s">
        <v>53</v>
      </c>
      <c r="AF1893" t="s">
        <v>59</v>
      </c>
      <c r="AG1893" s="1">
        <v>43838</v>
      </c>
      <c r="AH1893" t="s">
        <v>42</v>
      </c>
      <c r="AI1893" t="s">
        <v>55</v>
      </c>
      <c r="AJ1893">
        <v>12788092</v>
      </c>
      <c r="AK1893">
        <v>250000</v>
      </c>
      <c r="AL1893">
        <v>1500000</v>
      </c>
    </row>
    <row r="1894" spans="1:38" x14ac:dyDescent="0.25">
      <c r="A1894" t="s">
        <v>273</v>
      </c>
      <c r="B1894" t="s">
        <v>512</v>
      </c>
      <c r="C1894" t="s">
        <v>40</v>
      </c>
      <c r="D1894" s="1">
        <v>43440</v>
      </c>
      <c r="E1894" s="1">
        <v>43804</v>
      </c>
      <c r="F1894" t="s">
        <v>41</v>
      </c>
      <c r="G1894">
        <v>1</v>
      </c>
      <c r="H1894" t="s">
        <v>42</v>
      </c>
      <c r="I1894" t="s">
        <v>43</v>
      </c>
      <c r="J1894" t="s">
        <v>41</v>
      </c>
      <c r="K1894" t="s">
        <v>127</v>
      </c>
      <c r="L1894">
        <v>10725</v>
      </c>
      <c r="M1894" s="1">
        <v>43440</v>
      </c>
      <c r="N1894" t="s">
        <v>45</v>
      </c>
      <c r="O1894" t="s">
        <v>46</v>
      </c>
      <c r="P1894" t="s">
        <v>47</v>
      </c>
      <c r="Q1894" s="1">
        <v>43852</v>
      </c>
      <c r="R1894" t="s">
        <v>48</v>
      </c>
      <c r="S1894" t="s">
        <v>49</v>
      </c>
      <c r="T1894" t="s">
        <v>50</v>
      </c>
      <c r="U1894" t="s">
        <v>42</v>
      </c>
      <c r="V1894">
        <v>0</v>
      </c>
      <c r="W1894">
        <v>100000</v>
      </c>
      <c r="X1894" s="1">
        <v>44012</v>
      </c>
      <c r="Y1894" t="s">
        <v>51</v>
      </c>
      <c r="Z1894" t="s">
        <v>43</v>
      </c>
      <c r="AA1894" t="s">
        <v>41</v>
      </c>
      <c r="AB1894" t="s">
        <v>52</v>
      </c>
      <c r="AC1894" t="s">
        <v>53</v>
      </c>
      <c r="AF1894" t="s">
        <v>54</v>
      </c>
      <c r="AG1894" s="1">
        <v>43832</v>
      </c>
      <c r="AH1894" t="s">
        <v>42</v>
      </c>
      <c r="AI1894" t="s">
        <v>55</v>
      </c>
      <c r="AJ1894">
        <v>12788092</v>
      </c>
      <c r="AK1894">
        <v>250000</v>
      </c>
      <c r="AL1894">
        <v>1500000</v>
      </c>
    </row>
    <row r="1895" spans="1:38" x14ac:dyDescent="0.25">
      <c r="A1895" t="s">
        <v>273</v>
      </c>
      <c r="B1895" t="s">
        <v>512</v>
      </c>
      <c r="C1895" t="s">
        <v>40</v>
      </c>
      <c r="D1895" s="1">
        <v>43440</v>
      </c>
      <c r="E1895" s="1">
        <v>43804</v>
      </c>
      <c r="F1895" t="s">
        <v>41</v>
      </c>
      <c r="G1895">
        <v>1</v>
      </c>
      <c r="H1895" t="s">
        <v>42</v>
      </c>
      <c r="I1895" t="s">
        <v>43</v>
      </c>
      <c r="J1895" t="s">
        <v>41</v>
      </c>
      <c r="K1895" t="s">
        <v>127</v>
      </c>
      <c r="L1895">
        <v>10725</v>
      </c>
      <c r="M1895" s="1">
        <v>43440</v>
      </c>
      <c r="N1895" t="s">
        <v>45</v>
      </c>
      <c r="O1895" t="s">
        <v>46</v>
      </c>
      <c r="P1895" t="s">
        <v>47</v>
      </c>
      <c r="Q1895" s="1">
        <v>43852</v>
      </c>
      <c r="R1895" t="s">
        <v>48</v>
      </c>
      <c r="S1895" t="s">
        <v>49</v>
      </c>
      <c r="T1895" t="s">
        <v>50</v>
      </c>
      <c r="U1895" t="s">
        <v>42</v>
      </c>
      <c r="V1895">
        <v>0</v>
      </c>
      <c r="W1895">
        <v>100000</v>
      </c>
      <c r="X1895" s="1">
        <v>44012</v>
      </c>
      <c r="Y1895" t="s">
        <v>51</v>
      </c>
      <c r="Z1895" t="s">
        <v>43</v>
      </c>
      <c r="AA1895" t="s">
        <v>41</v>
      </c>
      <c r="AB1895" t="s">
        <v>52</v>
      </c>
      <c r="AC1895" t="s">
        <v>53</v>
      </c>
      <c r="AF1895" t="s">
        <v>56</v>
      </c>
      <c r="AG1895" s="1">
        <v>43833</v>
      </c>
      <c r="AH1895" t="s">
        <v>42</v>
      </c>
      <c r="AI1895" t="s">
        <v>55</v>
      </c>
      <c r="AJ1895">
        <v>12788092</v>
      </c>
      <c r="AK1895">
        <v>250000</v>
      </c>
      <c r="AL1895">
        <v>1500000</v>
      </c>
    </row>
    <row r="1896" spans="1:38" x14ac:dyDescent="0.25">
      <c r="A1896" t="s">
        <v>273</v>
      </c>
      <c r="B1896" t="s">
        <v>512</v>
      </c>
      <c r="C1896" t="s">
        <v>40</v>
      </c>
      <c r="D1896" s="1">
        <v>43440</v>
      </c>
      <c r="E1896" s="1">
        <v>43804</v>
      </c>
      <c r="F1896" t="s">
        <v>41</v>
      </c>
      <c r="G1896">
        <v>1</v>
      </c>
      <c r="H1896" t="s">
        <v>42</v>
      </c>
      <c r="I1896" t="s">
        <v>43</v>
      </c>
      <c r="J1896" t="s">
        <v>41</v>
      </c>
      <c r="K1896" t="s">
        <v>127</v>
      </c>
      <c r="L1896">
        <v>10725</v>
      </c>
      <c r="M1896" s="1">
        <v>43440</v>
      </c>
      <c r="N1896" t="s">
        <v>45</v>
      </c>
      <c r="O1896" t="s">
        <v>46</v>
      </c>
      <c r="P1896" t="s">
        <v>47</v>
      </c>
      <c r="Q1896" s="1">
        <v>43852</v>
      </c>
      <c r="R1896" t="s">
        <v>48</v>
      </c>
      <c r="S1896" t="s">
        <v>49</v>
      </c>
      <c r="T1896" t="s">
        <v>50</v>
      </c>
      <c r="U1896" t="s">
        <v>42</v>
      </c>
      <c r="V1896">
        <v>0</v>
      </c>
      <c r="W1896">
        <v>100000</v>
      </c>
      <c r="X1896" s="1">
        <v>44012</v>
      </c>
      <c r="Y1896" t="s">
        <v>51</v>
      </c>
      <c r="Z1896" t="s">
        <v>43</v>
      </c>
      <c r="AA1896" t="s">
        <v>41</v>
      </c>
      <c r="AB1896" t="s">
        <v>52</v>
      </c>
      <c r="AC1896" t="s">
        <v>53</v>
      </c>
      <c r="AF1896" t="s">
        <v>57</v>
      </c>
      <c r="AG1896" s="1">
        <v>43836</v>
      </c>
      <c r="AH1896" t="s">
        <v>42</v>
      </c>
      <c r="AI1896" t="s">
        <v>55</v>
      </c>
      <c r="AJ1896">
        <v>12788092</v>
      </c>
      <c r="AK1896">
        <v>250000</v>
      </c>
      <c r="AL1896">
        <v>1500000</v>
      </c>
    </row>
    <row r="1897" spans="1:38" x14ac:dyDescent="0.25">
      <c r="A1897" t="s">
        <v>273</v>
      </c>
      <c r="B1897" t="s">
        <v>512</v>
      </c>
      <c r="C1897" t="s">
        <v>40</v>
      </c>
      <c r="D1897" s="1">
        <v>43440</v>
      </c>
      <c r="E1897" s="1">
        <v>43804</v>
      </c>
      <c r="F1897" t="s">
        <v>41</v>
      </c>
      <c r="G1897">
        <v>1</v>
      </c>
      <c r="H1897" t="s">
        <v>42</v>
      </c>
      <c r="I1897" t="s">
        <v>43</v>
      </c>
      <c r="J1897" t="s">
        <v>41</v>
      </c>
      <c r="K1897" t="s">
        <v>127</v>
      </c>
      <c r="L1897">
        <v>10725</v>
      </c>
      <c r="M1897" s="1">
        <v>43440</v>
      </c>
      <c r="N1897" t="s">
        <v>45</v>
      </c>
      <c r="O1897" t="s">
        <v>46</v>
      </c>
      <c r="P1897" t="s">
        <v>47</v>
      </c>
      <c r="Q1897" s="1">
        <v>43852</v>
      </c>
      <c r="R1897" t="s">
        <v>48</v>
      </c>
      <c r="S1897" t="s">
        <v>49</v>
      </c>
      <c r="T1897" t="s">
        <v>50</v>
      </c>
      <c r="U1897" t="s">
        <v>42</v>
      </c>
      <c r="V1897">
        <v>0</v>
      </c>
      <c r="W1897">
        <v>100000</v>
      </c>
      <c r="X1897" s="1">
        <v>44012</v>
      </c>
      <c r="Y1897" t="s">
        <v>51</v>
      </c>
      <c r="Z1897" t="s">
        <v>43</v>
      </c>
      <c r="AA1897" t="s">
        <v>41</v>
      </c>
      <c r="AB1897" t="s">
        <v>52</v>
      </c>
      <c r="AC1897" t="s">
        <v>53</v>
      </c>
      <c r="AF1897" t="s">
        <v>58</v>
      </c>
      <c r="AG1897" s="1">
        <v>43837</v>
      </c>
      <c r="AH1897" t="s">
        <v>42</v>
      </c>
      <c r="AI1897" t="s">
        <v>55</v>
      </c>
      <c r="AJ1897">
        <v>12788092</v>
      </c>
      <c r="AK1897">
        <v>250000</v>
      </c>
      <c r="AL1897">
        <v>1500000</v>
      </c>
    </row>
    <row r="1898" spans="1:38" x14ac:dyDescent="0.25">
      <c r="A1898" t="s">
        <v>273</v>
      </c>
      <c r="B1898" t="s">
        <v>512</v>
      </c>
      <c r="C1898" t="s">
        <v>40</v>
      </c>
      <c r="D1898" s="1">
        <v>43440</v>
      </c>
      <c r="E1898" s="1">
        <v>43804</v>
      </c>
      <c r="F1898" t="s">
        <v>41</v>
      </c>
      <c r="G1898">
        <v>1</v>
      </c>
      <c r="H1898" t="s">
        <v>42</v>
      </c>
      <c r="I1898" t="s">
        <v>43</v>
      </c>
      <c r="J1898" t="s">
        <v>41</v>
      </c>
      <c r="K1898" t="s">
        <v>127</v>
      </c>
      <c r="L1898">
        <v>10725</v>
      </c>
      <c r="M1898" s="1">
        <v>43440</v>
      </c>
      <c r="N1898" t="s">
        <v>45</v>
      </c>
      <c r="O1898" t="s">
        <v>46</v>
      </c>
      <c r="P1898" t="s">
        <v>47</v>
      </c>
      <c r="Q1898" s="1">
        <v>43852</v>
      </c>
      <c r="R1898" t="s">
        <v>48</v>
      </c>
      <c r="S1898" t="s">
        <v>49</v>
      </c>
      <c r="T1898" t="s">
        <v>50</v>
      </c>
      <c r="U1898" t="s">
        <v>42</v>
      </c>
      <c r="V1898">
        <v>0</v>
      </c>
      <c r="W1898">
        <v>100000</v>
      </c>
      <c r="X1898" s="1">
        <v>44012</v>
      </c>
      <c r="Y1898" t="s">
        <v>51</v>
      </c>
      <c r="Z1898" t="s">
        <v>43</v>
      </c>
      <c r="AA1898" t="s">
        <v>41</v>
      </c>
      <c r="AB1898" t="s">
        <v>52</v>
      </c>
      <c r="AC1898" t="s">
        <v>53</v>
      </c>
      <c r="AF1898" t="s">
        <v>59</v>
      </c>
      <c r="AG1898" s="1">
        <v>43838</v>
      </c>
      <c r="AH1898" t="s">
        <v>42</v>
      </c>
      <c r="AI1898" t="s">
        <v>55</v>
      </c>
      <c r="AJ1898">
        <v>12788092</v>
      </c>
      <c r="AK1898">
        <v>250000</v>
      </c>
      <c r="AL1898">
        <v>1500000</v>
      </c>
    </row>
    <row r="1899" spans="1:38" x14ac:dyDescent="0.25">
      <c r="A1899" t="s">
        <v>273</v>
      </c>
      <c r="B1899" t="s">
        <v>512</v>
      </c>
      <c r="C1899" t="s">
        <v>40</v>
      </c>
      <c r="D1899" s="1">
        <v>43440</v>
      </c>
      <c r="E1899" s="1">
        <v>43804</v>
      </c>
      <c r="F1899" t="s">
        <v>41</v>
      </c>
      <c r="G1899">
        <v>1</v>
      </c>
      <c r="H1899" t="s">
        <v>42</v>
      </c>
      <c r="I1899" t="s">
        <v>43</v>
      </c>
      <c r="J1899" t="s">
        <v>41</v>
      </c>
      <c r="K1899" t="s">
        <v>127</v>
      </c>
      <c r="L1899">
        <v>10725</v>
      </c>
      <c r="M1899" s="1">
        <v>43440</v>
      </c>
      <c r="N1899" t="s">
        <v>45</v>
      </c>
      <c r="O1899" t="s">
        <v>46</v>
      </c>
      <c r="P1899" t="s">
        <v>47</v>
      </c>
      <c r="Q1899" s="1">
        <v>43852</v>
      </c>
      <c r="R1899" t="s">
        <v>48</v>
      </c>
      <c r="S1899" t="s">
        <v>60</v>
      </c>
      <c r="T1899" t="s">
        <v>61</v>
      </c>
      <c r="U1899" t="s">
        <v>42</v>
      </c>
      <c r="V1899">
        <v>0</v>
      </c>
      <c r="W1899">
        <v>100000</v>
      </c>
      <c r="X1899" s="1">
        <v>43921</v>
      </c>
      <c r="Y1899" t="s">
        <v>51</v>
      </c>
      <c r="Z1899" t="s">
        <v>43</v>
      </c>
      <c r="AA1899" t="s">
        <v>41</v>
      </c>
      <c r="AB1899" t="s">
        <v>52</v>
      </c>
      <c r="AC1899" t="s">
        <v>53</v>
      </c>
      <c r="AF1899" t="s">
        <v>54</v>
      </c>
      <c r="AG1899" s="1">
        <v>43832</v>
      </c>
      <c r="AH1899" t="s">
        <v>42</v>
      </c>
      <c r="AI1899" t="s">
        <v>55</v>
      </c>
      <c r="AJ1899">
        <v>12788092</v>
      </c>
      <c r="AK1899">
        <v>250000</v>
      </c>
      <c r="AL1899">
        <v>1500000</v>
      </c>
    </row>
    <row r="1900" spans="1:38" x14ac:dyDescent="0.25">
      <c r="A1900" t="s">
        <v>273</v>
      </c>
      <c r="B1900" t="s">
        <v>512</v>
      </c>
      <c r="C1900" t="s">
        <v>40</v>
      </c>
      <c r="D1900" s="1">
        <v>43440</v>
      </c>
      <c r="E1900" s="1">
        <v>43804</v>
      </c>
      <c r="F1900" t="s">
        <v>41</v>
      </c>
      <c r="G1900">
        <v>1</v>
      </c>
      <c r="H1900" t="s">
        <v>42</v>
      </c>
      <c r="I1900" t="s">
        <v>43</v>
      </c>
      <c r="J1900" t="s">
        <v>41</v>
      </c>
      <c r="K1900" t="s">
        <v>127</v>
      </c>
      <c r="L1900">
        <v>10725</v>
      </c>
      <c r="M1900" s="1">
        <v>43440</v>
      </c>
      <c r="N1900" t="s">
        <v>45</v>
      </c>
      <c r="O1900" t="s">
        <v>46</v>
      </c>
      <c r="P1900" t="s">
        <v>47</v>
      </c>
      <c r="Q1900" s="1">
        <v>43852</v>
      </c>
      <c r="R1900" t="s">
        <v>48</v>
      </c>
      <c r="S1900" t="s">
        <v>60</v>
      </c>
      <c r="T1900" t="s">
        <v>61</v>
      </c>
      <c r="U1900" t="s">
        <v>42</v>
      </c>
      <c r="V1900">
        <v>0</v>
      </c>
      <c r="W1900">
        <v>100000</v>
      </c>
      <c r="X1900" s="1">
        <v>43921</v>
      </c>
      <c r="Y1900" t="s">
        <v>51</v>
      </c>
      <c r="Z1900" t="s">
        <v>43</v>
      </c>
      <c r="AA1900" t="s">
        <v>41</v>
      </c>
      <c r="AB1900" t="s">
        <v>52</v>
      </c>
      <c r="AC1900" t="s">
        <v>53</v>
      </c>
      <c r="AF1900" t="s">
        <v>56</v>
      </c>
      <c r="AG1900" s="1">
        <v>43833</v>
      </c>
      <c r="AH1900" t="s">
        <v>42</v>
      </c>
      <c r="AI1900" t="s">
        <v>55</v>
      </c>
      <c r="AJ1900">
        <v>12788092</v>
      </c>
      <c r="AK1900">
        <v>250000</v>
      </c>
      <c r="AL1900">
        <v>1500000</v>
      </c>
    </row>
    <row r="1901" spans="1:38" x14ac:dyDescent="0.25">
      <c r="A1901" t="s">
        <v>273</v>
      </c>
      <c r="B1901" t="s">
        <v>512</v>
      </c>
      <c r="C1901" t="s">
        <v>40</v>
      </c>
      <c r="D1901" s="1">
        <v>43440</v>
      </c>
      <c r="E1901" s="1">
        <v>43804</v>
      </c>
      <c r="F1901" t="s">
        <v>41</v>
      </c>
      <c r="G1901">
        <v>1</v>
      </c>
      <c r="H1901" t="s">
        <v>42</v>
      </c>
      <c r="I1901" t="s">
        <v>43</v>
      </c>
      <c r="J1901" t="s">
        <v>41</v>
      </c>
      <c r="K1901" t="s">
        <v>127</v>
      </c>
      <c r="L1901">
        <v>10725</v>
      </c>
      <c r="M1901" s="1">
        <v>43440</v>
      </c>
      <c r="N1901" t="s">
        <v>45</v>
      </c>
      <c r="O1901" t="s">
        <v>46</v>
      </c>
      <c r="P1901" t="s">
        <v>47</v>
      </c>
      <c r="Q1901" s="1">
        <v>43852</v>
      </c>
      <c r="R1901" t="s">
        <v>48</v>
      </c>
      <c r="S1901" t="s">
        <v>60</v>
      </c>
      <c r="T1901" t="s">
        <v>61</v>
      </c>
      <c r="U1901" t="s">
        <v>42</v>
      </c>
      <c r="V1901">
        <v>0</v>
      </c>
      <c r="W1901">
        <v>100000</v>
      </c>
      <c r="X1901" s="1">
        <v>43921</v>
      </c>
      <c r="Y1901" t="s">
        <v>51</v>
      </c>
      <c r="Z1901" t="s">
        <v>43</v>
      </c>
      <c r="AA1901" t="s">
        <v>41</v>
      </c>
      <c r="AB1901" t="s">
        <v>52</v>
      </c>
      <c r="AC1901" t="s">
        <v>53</v>
      </c>
      <c r="AF1901" t="s">
        <v>57</v>
      </c>
      <c r="AG1901" s="1">
        <v>43836</v>
      </c>
      <c r="AH1901" t="s">
        <v>42</v>
      </c>
      <c r="AI1901" t="s">
        <v>55</v>
      </c>
      <c r="AJ1901">
        <v>12788092</v>
      </c>
      <c r="AK1901">
        <v>250000</v>
      </c>
      <c r="AL1901">
        <v>1500000</v>
      </c>
    </row>
    <row r="1902" spans="1:38" x14ac:dyDescent="0.25">
      <c r="A1902" t="s">
        <v>273</v>
      </c>
      <c r="B1902" t="s">
        <v>512</v>
      </c>
      <c r="C1902" t="s">
        <v>40</v>
      </c>
      <c r="D1902" s="1">
        <v>43440</v>
      </c>
      <c r="E1902" s="1">
        <v>43804</v>
      </c>
      <c r="F1902" t="s">
        <v>41</v>
      </c>
      <c r="G1902">
        <v>1</v>
      </c>
      <c r="H1902" t="s">
        <v>42</v>
      </c>
      <c r="I1902" t="s">
        <v>43</v>
      </c>
      <c r="J1902" t="s">
        <v>41</v>
      </c>
      <c r="K1902" t="s">
        <v>127</v>
      </c>
      <c r="L1902">
        <v>10725</v>
      </c>
      <c r="M1902" s="1">
        <v>43440</v>
      </c>
      <c r="N1902" t="s">
        <v>45</v>
      </c>
      <c r="O1902" t="s">
        <v>46</v>
      </c>
      <c r="P1902" t="s">
        <v>47</v>
      </c>
      <c r="Q1902" s="1">
        <v>43852</v>
      </c>
      <c r="R1902" t="s">
        <v>48</v>
      </c>
      <c r="S1902" t="s">
        <v>60</v>
      </c>
      <c r="T1902" t="s">
        <v>61</v>
      </c>
      <c r="U1902" t="s">
        <v>42</v>
      </c>
      <c r="V1902">
        <v>0</v>
      </c>
      <c r="W1902">
        <v>100000</v>
      </c>
      <c r="X1902" s="1">
        <v>43921</v>
      </c>
      <c r="Y1902" t="s">
        <v>51</v>
      </c>
      <c r="Z1902" t="s">
        <v>43</v>
      </c>
      <c r="AA1902" t="s">
        <v>41</v>
      </c>
      <c r="AB1902" t="s">
        <v>52</v>
      </c>
      <c r="AC1902" t="s">
        <v>53</v>
      </c>
      <c r="AF1902" t="s">
        <v>58</v>
      </c>
      <c r="AG1902" s="1">
        <v>43837</v>
      </c>
      <c r="AH1902" t="s">
        <v>42</v>
      </c>
      <c r="AI1902" t="s">
        <v>55</v>
      </c>
      <c r="AJ1902">
        <v>12788092</v>
      </c>
      <c r="AK1902">
        <v>250000</v>
      </c>
      <c r="AL1902">
        <v>1500000</v>
      </c>
    </row>
    <row r="1903" spans="1:38" x14ac:dyDescent="0.25">
      <c r="A1903" t="s">
        <v>273</v>
      </c>
      <c r="B1903" t="s">
        <v>512</v>
      </c>
      <c r="C1903" t="s">
        <v>40</v>
      </c>
      <c r="D1903" s="1">
        <v>43440</v>
      </c>
      <c r="E1903" s="1">
        <v>43804</v>
      </c>
      <c r="F1903" t="s">
        <v>41</v>
      </c>
      <c r="G1903">
        <v>1</v>
      </c>
      <c r="H1903" t="s">
        <v>42</v>
      </c>
      <c r="I1903" t="s">
        <v>43</v>
      </c>
      <c r="J1903" t="s">
        <v>41</v>
      </c>
      <c r="K1903" t="s">
        <v>127</v>
      </c>
      <c r="L1903">
        <v>10725</v>
      </c>
      <c r="M1903" s="1">
        <v>43440</v>
      </c>
      <c r="N1903" t="s">
        <v>45</v>
      </c>
      <c r="O1903" t="s">
        <v>46</v>
      </c>
      <c r="P1903" t="s">
        <v>47</v>
      </c>
      <c r="Q1903" s="1">
        <v>43852</v>
      </c>
      <c r="R1903" t="s">
        <v>48</v>
      </c>
      <c r="S1903" t="s">
        <v>60</v>
      </c>
      <c r="T1903" t="s">
        <v>61</v>
      </c>
      <c r="U1903" t="s">
        <v>42</v>
      </c>
      <c r="V1903">
        <v>0</v>
      </c>
      <c r="W1903">
        <v>100000</v>
      </c>
      <c r="X1903" s="1">
        <v>43921</v>
      </c>
      <c r="Y1903" t="s">
        <v>51</v>
      </c>
      <c r="Z1903" t="s">
        <v>43</v>
      </c>
      <c r="AA1903" t="s">
        <v>41</v>
      </c>
      <c r="AB1903" t="s">
        <v>52</v>
      </c>
      <c r="AC1903" t="s">
        <v>53</v>
      </c>
      <c r="AF1903" t="s">
        <v>59</v>
      </c>
      <c r="AG1903" s="1">
        <v>43838</v>
      </c>
      <c r="AH1903" t="s">
        <v>42</v>
      </c>
      <c r="AI1903" t="s">
        <v>55</v>
      </c>
      <c r="AJ1903">
        <v>12788092</v>
      </c>
      <c r="AK1903">
        <v>250000</v>
      </c>
      <c r="AL1903">
        <v>1500000</v>
      </c>
    </row>
    <row r="1904" spans="1:38" x14ac:dyDescent="0.25">
      <c r="A1904" t="s">
        <v>273</v>
      </c>
      <c r="B1904" t="s">
        <v>512</v>
      </c>
      <c r="C1904" t="s">
        <v>40</v>
      </c>
      <c r="D1904" s="1">
        <v>43440</v>
      </c>
      <c r="E1904" s="1">
        <v>43804</v>
      </c>
      <c r="F1904" t="s">
        <v>41</v>
      </c>
      <c r="G1904">
        <v>1</v>
      </c>
      <c r="H1904" t="s">
        <v>42</v>
      </c>
      <c r="I1904" t="s">
        <v>43</v>
      </c>
      <c r="J1904" t="s">
        <v>41</v>
      </c>
      <c r="K1904" t="s">
        <v>127</v>
      </c>
      <c r="L1904">
        <v>10725</v>
      </c>
      <c r="M1904" s="1">
        <v>43440</v>
      </c>
      <c r="N1904" t="s">
        <v>45</v>
      </c>
      <c r="O1904" t="s">
        <v>46</v>
      </c>
      <c r="P1904" t="s">
        <v>47</v>
      </c>
      <c r="Q1904" s="1">
        <v>43852</v>
      </c>
      <c r="R1904" t="s">
        <v>48</v>
      </c>
      <c r="S1904" t="s">
        <v>62</v>
      </c>
      <c r="T1904" t="s">
        <v>63</v>
      </c>
      <c r="U1904" t="s">
        <v>42</v>
      </c>
      <c r="V1904">
        <v>0</v>
      </c>
      <c r="W1904">
        <v>100000</v>
      </c>
      <c r="X1904" s="1">
        <v>43982</v>
      </c>
      <c r="Y1904" t="s">
        <v>51</v>
      </c>
      <c r="Z1904" t="s">
        <v>43</v>
      </c>
      <c r="AA1904" t="s">
        <v>41</v>
      </c>
      <c r="AB1904" t="s">
        <v>52</v>
      </c>
      <c r="AC1904" t="s">
        <v>53</v>
      </c>
      <c r="AF1904" t="s">
        <v>54</v>
      </c>
      <c r="AG1904" s="1">
        <v>43832</v>
      </c>
      <c r="AH1904" t="s">
        <v>42</v>
      </c>
      <c r="AI1904" t="s">
        <v>55</v>
      </c>
      <c r="AJ1904">
        <v>12788092</v>
      </c>
      <c r="AK1904">
        <v>250000</v>
      </c>
      <c r="AL1904">
        <v>1500000</v>
      </c>
    </row>
    <row r="1905" spans="1:38" x14ac:dyDescent="0.25">
      <c r="A1905" t="s">
        <v>273</v>
      </c>
      <c r="B1905" t="s">
        <v>512</v>
      </c>
      <c r="C1905" t="s">
        <v>40</v>
      </c>
      <c r="D1905" s="1">
        <v>43440</v>
      </c>
      <c r="E1905" s="1">
        <v>43804</v>
      </c>
      <c r="F1905" t="s">
        <v>41</v>
      </c>
      <c r="G1905">
        <v>1</v>
      </c>
      <c r="H1905" t="s">
        <v>42</v>
      </c>
      <c r="I1905" t="s">
        <v>43</v>
      </c>
      <c r="J1905" t="s">
        <v>41</v>
      </c>
      <c r="K1905" t="s">
        <v>127</v>
      </c>
      <c r="L1905">
        <v>10725</v>
      </c>
      <c r="M1905" s="1">
        <v>43440</v>
      </c>
      <c r="N1905" t="s">
        <v>45</v>
      </c>
      <c r="O1905" t="s">
        <v>46</v>
      </c>
      <c r="P1905" t="s">
        <v>47</v>
      </c>
      <c r="Q1905" s="1">
        <v>43852</v>
      </c>
      <c r="R1905" t="s">
        <v>48</v>
      </c>
      <c r="S1905" t="s">
        <v>62</v>
      </c>
      <c r="T1905" t="s">
        <v>63</v>
      </c>
      <c r="U1905" t="s">
        <v>42</v>
      </c>
      <c r="V1905">
        <v>0</v>
      </c>
      <c r="W1905">
        <v>100000</v>
      </c>
      <c r="X1905" s="1">
        <v>43982</v>
      </c>
      <c r="Y1905" t="s">
        <v>51</v>
      </c>
      <c r="Z1905" t="s">
        <v>43</v>
      </c>
      <c r="AA1905" t="s">
        <v>41</v>
      </c>
      <c r="AB1905" t="s">
        <v>52</v>
      </c>
      <c r="AC1905" t="s">
        <v>53</v>
      </c>
      <c r="AF1905" t="s">
        <v>56</v>
      </c>
      <c r="AG1905" s="1">
        <v>43833</v>
      </c>
      <c r="AH1905" t="s">
        <v>42</v>
      </c>
      <c r="AI1905" t="s">
        <v>55</v>
      </c>
      <c r="AJ1905">
        <v>12788092</v>
      </c>
      <c r="AK1905">
        <v>250000</v>
      </c>
      <c r="AL1905">
        <v>1500000</v>
      </c>
    </row>
    <row r="1906" spans="1:38" x14ac:dyDescent="0.25">
      <c r="A1906" t="s">
        <v>273</v>
      </c>
      <c r="B1906" t="s">
        <v>512</v>
      </c>
      <c r="C1906" t="s">
        <v>40</v>
      </c>
      <c r="D1906" s="1">
        <v>43440</v>
      </c>
      <c r="E1906" s="1">
        <v>43804</v>
      </c>
      <c r="F1906" t="s">
        <v>41</v>
      </c>
      <c r="G1906">
        <v>1</v>
      </c>
      <c r="H1906" t="s">
        <v>42</v>
      </c>
      <c r="I1906" t="s">
        <v>43</v>
      </c>
      <c r="J1906" t="s">
        <v>41</v>
      </c>
      <c r="K1906" t="s">
        <v>127</v>
      </c>
      <c r="L1906">
        <v>10725</v>
      </c>
      <c r="M1906" s="1">
        <v>43440</v>
      </c>
      <c r="N1906" t="s">
        <v>45</v>
      </c>
      <c r="O1906" t="s">
        <v>46</v>
      </c>
      <c r="P1906" t="s">
        <v>47</v>
      </c>
      <c r="Q1906" s="1">
        <v>43852</v>
      </c>
      <c r="R1906" t="s">
        <v>48</v>
      </c>
      <c r="S1906" t="s">
        <v>62</v>
      </c>
      <c r="T1906" t="s">
        <v>63</v>
      </c>
      <c r="U1906" t="s">
        <v>42</v>
      </c>
      <c r="V1906">
        <v>0</v>
      </c>
      <c r="W1906">
        <v>100000</v>
      </c>
      <c r="X1906" s="1">
        <v>43982</v>
      </c>
      <c r="Y1906" t="s">
        <v>51</v>
      </c>
      <c r="Z1906" t="s">
        <v>43</v>
      </c>
      <c r="AA1906" t="s">
        <v>41</v>
      </c>
      <c r="AB1906" t="s">
        <v>52</v>
      </c>
      <c r="AC1906" t="s">
        <v>53</v>
      </c>
      <c r="AF1906" t="s">
        <v>57</v>
      </c>
      <c r="AG1906" s="1">
        <v>43836</v>
      </c>
      <c r="AH1906" t="s">
        <v>42</v>
      </c>
      <c r="AI1906" t="s">
        <v>55</v>
      </c>
      <c r="AJ1906">
        <v>12788092</v>
      </c>
      <c r="AK1906">
        <v>250000</v>
      </c>
      <c r="AL1906">
        <v>1500000</v>
      </c>
    </row>
    <row r="1907" spans="1:38" x14ac:dyDescent="0.25">
      <c r="A1907" t="s">
        <v>273</v>
      </c>
      <c r="B1907" t="s">
        <v>512</v>
      </c>
      <c r="C1907" t="s">
        <v>40</v>
      </c>
      <c r="D1907" s="1">
        <v>43440</v>
      </c>
      <c r="E1907" s="1">
        <v>43804</v>
      </c>
      <c r="F1907" t="s">
        <v>41</v>
      </c>
      <c r="G1907">
        <v>1</v>
      </c>
      <c r="H1907" t="s">
        <v>42</v>
      </c>
      <c r="I1907" t="s">
        <v>43</v>
      </c>
      <c r="J1907" t="s">
        <v>41</v>
      </c>
      <c r="K1907" t="s">
        <v>127</v>
      </c>
      <c r="L1907">
        <v>10725</v>
      </c>
      <c r="M1907" s="1">
        <v>43440</v>
      </c>
      <c r="N1907" t="s">
        <v>45</v>
      </c>
      <c r="O1907" t="s">
        <v>46</v>
      </c>
      <c r="P1907" t="s">
        <v>47</v>
      </c>
      <c r="Q1907" s="1">
        <v>43852</v>
      </c>
      <c r="R1907" t="s">
        <v>48</v>
      </c>
      <c r="S1907" t="s">
        <v>62</v>
      </c>
      <c r="T1907" t="s">
        <v>63</v>
      </c>
      <c r="U1907" t="s">
        <v>42</v>
      </c>
      <c r="V1907">
        <v>0</v>
      </c>
      <c r="W1907">
        <v>100000</v>
      </c>
      <c r="X1907" s="1">
        <v>43982</v>
      </c>
      <c r="Y1907" t="s">
        <v>51</v>
      </c>
      <c r="Z1907" t="s">
        <v>43</v>
      </c>
      <c r="AA1907" t="s">
        <v>41</v>
      </c>
      <c r="AB1907" t="s">
        <v>52</v>
      </c>
      <c r="AC1907" t="s">
        <v>53</v>
      </c>
      <c r="AF1907" t="s">
        <v>58</v>
      </c>
      <c r="AG1907" s="1">
        <v>43837</v>
      </c>
      <c r="AH1907" t="s">
        <v>42</v>
      </c>
      <c r="AI1907" t="s">
        <v>55</v>
      </c>
      <c r="AJ1907">
        <v>12788092</v>
      </c>
      <c r="AK1907">
        <v>250000</v>
      </c>
      <c r="AL1907">
        <v>1500000</v>
      </c>
    </row>
    <row r="1908" spans="1:38" x14ac:dyDescent="0.25">
      <c r="A1908" t="s">
        <v>273</v>
      </c>
      <c r="B1908" t="s">
        <v>512</v>
      </c>
      <c r="C1908" t="s">
        <v>40</v>
      </c>
      <c r="D1908" s="1">
        <v>43440</v>
      </c>
      <c r="E1908" s="1">
        <v>43804</v>
      </c>
      <c r="F1908" t="s">
        <v>41</v>
      </c>
      <c r="G1908">
        <v>1</v>
      </c>
      <c r="H1908" t="s">
        <v>42</v>
      </c>
      <c r="I1908" t="s">
        <v>43</v>
      </c>
      <c r="J1908" t="s">
        <v>41</v>
      </c>
      <c r="K1908" t="s">
        <v>127</v>
      </c>
      <c r="L1908">
        <v>10725</v>
      </c>
      <c r="M1908" s="1">
        <v>43440</v>
      </c>
      <c r="N1908" t="s">
        <v>45</v>
      </c>
      <c r="O1908" t="s">
        <v>46</v>
      </c>
      <c r="P1908" t="s">
        <v>47</v>
      </c>
      <c r="Q1908" s="1">
        <v>43852</v>
      </c>
      <c r="R1908" t="s">
        <v>48</v>
      </c>
      <c r="S1908" t="s">
        <v>62</v>
      </c>
      <c r="T1908" t="s">
        <v>63</v>
      </c>
      <c r="U1908" t="s">
        <v>42</v>
      </c>
      <c r="V1908">
        <v>0</v>
      </c>
      <c r="W1908">
        <v>100000</v>
      </c>
      <c r="X1908" s="1">
        <v>43982</v>
      </c>
      <c r="Y1908" t="s">
        <v>51</v>
      </c>
      <c r="Z1908" t="s">
        <v>43</v>
      </c>
      <c r="AA1908" t="s">
        <v>41</v>
      </c>
      <c r="AB1908" t="s">
        <v>52</v>
      </c>
      <c r="AC1908" t="s">
        <v>53</v>
      </c>
      <c r="AF1908" t="s">
        <v>59</v>
      </c>
      <c r="AG1908" s="1">
        <v>43838</v>
      </c>
      <c r="AH1908" t="s">
        <v>42</v>
      </c>
      <c r="AI1908" t="s">
        <v>55</v>
      </c>
      <c r="AJ1908">
        <v>12788092</v>
      </c>
      <c r="AK1908">
        <v>250000</v>
      </c>
      <c r="AL1908">
        <v>1500000</v>
      </c>
    </row>
    <row r="1909" spans="1:38" x14ac:dyDescent="0.25">
      <c r="A1909" t="s">
        <v>273</v>
      </c>
      <c r="B1909" t="s">
        <v>512</v>
      </c>
      <c r="C1909" t="s">
        <v>40</v>
      </c>
      <c r="D1909" s="1">
        <v>43440</v>
      </c>
      <c r="E1909" s="1">
        <v>43804</v>
      </c>
      <c r="F1909" t="s">
        <v>41</v>
      </c>
      <c r="G1909">
        <v>1</v>
      </c>
      <c r="H1909" t="s">
        <v>42</v>
      </c>
      <c r="I1909" t="s">
        <v>43</v>
      </c>
      <c r="J1909" t="s">
        <v>41</v>
      </c>
      <c r="K1909" t="s">
        <v>127</v>
      </c>
      <c r="L1909">
        <v>10725</v>
      </c>
      <c r="M1909" s="1">
        <v>43440</v>
      </c>
      <c r="N1909" t="s">
        <v>45</v>
      </c>
      <c r="O1909" t="s">
        <v>46</v>
      </c>
      <c r="P1909" t="s">
        <v>47</v>
      </c>
      <c r="Q1909" s="1">
        <v>43852</v>
      </c>
      <c r="R1909" t="s">
        <v>48</v>
      </c>
      <c r="S1909" t="s">
        <v>64</v>
      </c>
      <c r="T1909" t="s">
        <v>65</v>
      </c>
      <c r="U1909" t="s">
        <v>42</v>
      </c>
      <c r="V1909">
        <v>0</v>
      </c>
      <c r="W1909">
        <v>100000</v>
      </c>
      <c r="X1909" s="1">
        <v>43921</v>
      </c>
      <c r="Y1909" t="s">
        <v>51</v>
      </c>
      <c r="Z1909" t="s">
        <v>43</v>
      </c>
      <c r="AA1909" t="s">
        <v>41</v>
      </c>
      <c r="AB1909" t="s">
        <v>52</v>
      </c>
      <c r="AC1909" t="s">
        <v>53</v>
      </c>
      <c r="AF1909" t="s">
        <v>54</v>
      </c>
      <c r="AG1909" s="1">
        <v>43832</v>
      </c>
      <c r="AH1909" t="s">
        <v>42</v>
      </c>
      <c r="AI1909" t="s">
        <v>55</v>
      </c>
      <c r="AJ1909">
        <v>12788092</v>
      </c>
      <c r="AK1909">
        <v>250000</v>
      </c>
      <c r="AL1909">
        <v>1500000</v>
      </c>
    </row>
    <row r="1910" spans="1:38" x14ac:dyDescent="0.25">
      <c r="A1910" t="s">
        <v>273</v>
      </c>
      <c r="B1910" t="s">
        <v>512</v>
      </c>
      <c r="C1910" t="s">
        <v>40</v>
      </c>
      <c r="D1910" s="1">
        <v>43440</v>
      </c>
      <c r="E1910" s="1">
        <v>43804</v>
      </c>
      <c r="F1910" t="s">
        <v>41</v>
      </c>
      <c r="G1910">
        <v>1</v>
      </c>
      <c r="H1910" t="s">
        <v>42</v>
      </c>
      <c r="I1910" t="s">
        <v>43</v>
      </c>
      <c r="J1910" t="s">
        <v>41</v>
      </c>
      <c r="K1910" t="s">
        <v>127</v>
      </c>
      <c r="L1910">
        <v>10725</v>
      </c>
      <c r="M1910" s="1">
        <v>43440</v>
      </c>
      <c r="N1910" t="s">
        <v>45</v>
      </c>
      <c r="O1910" t="s">
        <v>46</v>
      </c>
      <c r="P1910" t="s">
        <v>47</v>
      </c>
      <c r="Q1910" s="1">
        <v>43852</v>
      </c>
      <c r="R1910" t="s">
        <v>48</v>
      </c>
      <c r="S1910" t="s">
        <v>64</v>
      </c>
      <c r="T1910" t="s">
        <v>65</v>
      </c>
      <c r="U1910" t="s">
        <v>42</v>
      </c>
      <c r="V1910">
        <v>0</v>
      </c>
      <c r="W1910">
        <v>100000</v>
      </c>
      <c r="X1910" s="1">
        <v>43921</v>
      </c>
      <c r="Y1910" t="s">
        <v>51</v>
      </c>
      <c r="Z1910" t="s">
        <v>43</v>
      </c>
      <c r="AA1910" t="s">
        <v>41</v>
      </c>
      <c r="AB1910" t="s">
        <v>52</v>
      </c>
      <c r="AC1910" t="s">
        <v>53</v>
      </c>
      <c r="AF1910" t="s">
        <v>56</v>
      </c>
      <c r="AG1910" s="1">
        <v>43833</v>
      </c>
      <c r="AH1910" t="s">
        <v>42</v>
      </c>
      <c r="AI1910" t="s">
        <v>55</v>
      </c>
      <c r="AJ1910">
        <v>12788092</v>
      </c>
      <c r="AK1910">
        <v>250000</v>
      </c>
      <c r="AL1910">
        <v>1500000</v>
      </c>
    </row>
    <row r="1911" spans="1:38" x14ac:dyDescent="0.25">
      <c r="A1911" t="s">
        <v>273</v>
      </c>
      <c r="B1911" t="s">
        <v>512</v>
      </c>
      <c r="C1911" t="s">
        <v>40</v>
      </c>
      <c r="D1911" s="1">
        <v>43440</v>
      </c>
      <c r="E1911" s="1">
        <v>43804</v>
      </c>
      <c r="F1911" t="s">
        <v>41</v>
      </c>
      <c r="G1911">
        <v>1</v>
      </c>
      <c r="H1911" t="s">
        <v>42</v>
      </c>
      <c r="I1911" t="s">
        <v>43</v>
      </c>
      <c r="J1911" t="s">
        <v>41</v>
      </c>
      <c r="K1911" t="s">
        <v>127</v>
      </c>
      <c r="L1911">
        <v>10725</v>
      </c>
      <c r="M1911" s="1">
        <v>43440</v>
      </c>
      <c r="N1911" t="s">
        <v>45</v>
      </c>
      <c r="O1911" t="s">
        <v>46</v>
      </c>
      <c r="P1911" t="s">
        <v>47</v>
      </c>
      <c r="Q1911" s="1">
        <v>43852</v>
      </c>
      <c r="R1911" t="s">
        <v>48</v>
      </c>
      <c r="S1911" t="s">
        <v>64</v>
      </c>
      <c r="T1911" t="s">
        <v>65</v>
      </c>
      <c r="U1911" t="s">
        <v>42</v>
      </c>
      <c r="V1911">
        <v>0</v>
      </c>
      <c r="W1911">
        <v>100000</v>
      </c>
      <c r="X1911" s="1">
        <v>43921</v>
      </c>
      <c r="Y1911" t="s">
        <v>51</v>
      </c>
      <c r="Z1911" t="s">
        <v>43</v>
      </c>
      <c r="AA1911" t="s">
        <v>41</v>
      </c>
      <c r="AB1911" t="s">
        <v>52</v>
      </c>
      <c r="AC1911" t="s">
        <v>53</v>
      </c>
      <c r="AF1911" t="s">
        <v>57</v>
      </c>
      <c r="AG1911" s="1">
        <v>43836</v>
      </c>
      <c r="AH1911" t="s">
        <v>42</v>
      </c>
      <c r="AI1911" t="s">
        <v>55</v>
      </c>
      <c r="AJ1911">
        <v>12788092</v>
      </c>
      <c r="AK1911">
        <v>250000</v>
      </c>
      <c r="AL1911">
        <v>1500000</v>
      </c>
    </row>
    <row r="1912" spans="1:38" x14ac:dyDescent="0.25">
      <c r="A1912" t="s">
        <v>273</v>
      </c>
      <c r="B1912" t="s">
        <v>512</v>
      </c>
      <c r="C1912" t="s">
        <v>40</v>
      </c>
      <c r="D1912" s="1">
        <v>43440</v>
      </c>
      <c r="E1912" s="1">
        <v>43804</v>
      </c>
      <c r="F1912" t="s">
        <v>41</v>
      </c>
      <c r="G1912">
        <v>1</v>
      </c>
      <c r="H1912" t="s">
        <v>42</v>
      </c>
      <c r="I1912" t="s">
        <v>43</v>
      </c>
      <c r="J1912" t="s">
        <v>41</v>
      </c>
      <c r="K1912" t="s">
        <v>127</v>
      </c>
      <c r="L1912">
        <v>10725</v>
      </c>
      <c r="M1912" s="1">
        <v>43440</v>
      </c>
      <c r="N1912" t="s">
        <v>45</v>
      </c>
      <c r="O1912" t="s">
        <v>46</v>
      </c>
      <c r="P1912" t="s">
        <v>47</v>
      </c>
      <c r="Q1912" s="1">
        <v>43852</v>
      </c>
      <c r="R1912" t="s">
        <v>48</v>
      </c>
      <c r="S1912" t="s">
        <v>64</v>
      </c>
      <c r="T1912" t="s">
        <v>65</v>
      </c>
      <c r="U1912" t="s">
        <v>42</v>
      </c>
      <c r="V1912">
        <v>0</v>
      </c>
      <c r="W1912">
        <v>100000</v>
      </c>
      <c r="X1912" s="1">
        <v>43921</v>
      </c>
      <c r="Y1912" t="s">
        <v>51</v>
      </c>
      <c r="Z1912" t="s">
        <v>43</v>
      </c>
      <c r="AA1912" t="s">
        <v>41</v>
      </c>
      <c r="AB1912" t="s">
        <v>52</v>
      </c>
      <c r="AC1912" t="s">
        <v>53</v>
      </c>
      <c r="AF1912" t="s">
        <v>58</v>
      </c>
      <c r="AG1912" s="1">
        <v>43837</v>
      </c>
      <c r="AH1912" t="s">
        <v>42</v>
      </c>
      <c r="AI1912" t="s">
        <v>55</v>
      </c>
      <c r="AJ1912">
        <v>12788092</v>
      </c>
      <c r="AK1912">
        <v>250000</v>
      </c>
      <c r="AL1912">
        <v>1500000</v>
      </c>
    </row>
    <row r="1913" spans="1:38" x14ac:dyDescent="0.25">
      <c r="A1913" t="s">
        <v>273</v>
      </c>
      <c r="B1913" t="s">
        <v>512</v>
      </c>
      <c r="C1913" t="s">
        <v>40</v>
      </c>
      <c r="D1913" s="1">
        <v>43440</v>
      </c>
      <c r="E1913" s="1">
        <v>43804</v>
      </c>
      <c r="F1913" t="s">
        <v>41</v>
      </c>
      <c r="G1913">
        <v>1</v>
      </c>
      <c r="H1913" t="s">
        <v>42</v>
      </c>
      <c r="I1913" t="s">
        <v>43</v>
      </c>
      <c r="J1913" t="s">
        <v>41</v>
      </c>
      <c r="K1913" t="s">
        <v>127</v>
      </c>
      <c r="L1913">
        <v>10725</v>
      </c>
      <c r="M1913" s="1">
        <v>43440</v>
      </c>
      <c r="N1913" t="s">
        <v>45</v>
      </c>
      <c r="O1913" t="s">
        <v>46</v>
      </c>
      <c r="P1913" t="s">
        <v>47</v>
      </c>
      <c r="Q1913" s="1">
        <v>43852</v>
      </c>
      <c r="R1913" t="s">
        <v>48</v>
      </c>
      <c r="S1913" t="s">
        <v>64</v>
      </c>
      <c r="T1913" t="s">
        <v>65</v>
      </c>
      <c r="U1913" t="s">
        <v>42</v>
      </c>
      <c r="V1913">
        <v>0</v>
      </c>
      <c r="W1913">
        <v>100000</v>
      </c>
      <c r="X1913" s="1">
        <v>43921</v>
      </c>
      <c r="Y1913" t="s">
        <v>51</v>
      </c>
      <c r="Z1913" t="s">
        <v>43</v>
      </c>
      <c r="AA1913" t="s">
        <v>41</v>
      </c>
      <c r="AB1913" t="s">
        <v>52</v>
      </c>
      <c r="AC1913" t="s">
        <v>53</v>
      </c>
      <c r="AF1913" t="s">
        <v>59</v>
      </c>
      <c r="AG1913" s="1">
        <v>43838</v>
      </c>
      <c r="AH1913" t="s">
        <v>42</v>
      </c>
      <c r="AI1913" t="s">
        <v>55</v>
      </c>
      <c r="AJ1913">
        <v>12788092</v>
      </c>
      <c r="AK1913">
        <v>250000</v>
      </c>
      <c r="AL1913">
        <v>1500000</v>
      </c>
    </row>
    <row r="1914" spans="1:38" x14ac:dyDescent="0.25">
      <c r="A1914" t="s">
        <v>274</v>
      </c>
      <c r="B1914">
        <v>2280014070</v>
      </c>
      <c r="C1914" t="s">
        <v>40</v>
      </c>
      <c r="D1914" s="1">
        <v>43533</v>
      </c>
      <c r="E1914" s="1">
        <v>43898</v>
      </c>
      <c r="F1914" t="s">
        <v>77</v>
      </c>
      <c r="G1914">
        <v>2</v>
      </c>
      <c r="H1914" t="s">
        <v>67</v>
      </c>
      <c r="I1914" t="s">
        <v>43</v>
      </c>
      <c r="J1914" t="s">
        <v>77</v>
      </c>
      <c r="K1914" t="s">
        <v>127</v>
      </c>
      <c r="L1914">
        <v>27530.38</v>
      </c>
      <c r="M1914" s="1">
        <v>43533</v>
      </c>
      <c r="N1914" t="s">
        <v>45</v>
      </c>
      <c r="O1914" t="s">
        <v>46</v>
      </c>
      <c r="P1914" t="s">
        <v>47</v>
      </c>
      <c r="Q1914" s="1">
        <v>43852</v>
      </c>
      <c r="R1914" t="s">
        <v>48</v>
      </c>
    </row>
    <row r="1915" spans="1:38" x14ac:dyDescent="0.25">
      <c r="A1915" t="s">
        <v>275</v>
      </c>
      <c r="B1915" s="2">
        <v>3.10304E+17</v>
      </c>
      <c r="C1915" t="s">
        <v>71</v>
      </c>
      <c r="D1915" s="1">
        <v>43191</v>
      </c>
      <c r="E1915" s="1">
        <v>43555</v>
      </c>
      <c r="F1915" t="s">
        <v>76</v>
      </c>
      <c r="G1915">
        <v>1</v>
      </c>
      <c r="H1915" t="s">
        <v>42</v>
      </c>
      <c r="I1915" t="s">
        <v>43</v>
      </c>
      <c r="J1915" t="s">
        <v>115</v>
      </c>
      <c r="K1915" t="s">
        <v>127</v>
      </c>
      <c r="L1915">
        <v>106033.91</v>
      </c>
      <c r="M1915" s="1">
        <v>43191</v>
      </c>
      <c r="N1915" t="s">
        <v>45</v>
      </c>
      <c r="O1915" t="s">
        <v>361</v>
      </c>
      <c r="P1915" t="s">
        <v>513</v>
      </c>
      <c r="Q1915" s="1">
        <v>43852</v>
      </c>
      <c r="R1915" t="s">
        <v>513</v>
      </c>
      <c r="S1915" t="s">
        <v>78</v>
      </c>
      <c r="T1915" t="s">
        <v>79</v>
      </c>
      <c r="U1915" t="s">
        <v>42</v>
      </c>
      <c r="V1915">
        <v>1200000</v>
      </c>
      <c r="W1915">
        <v>100000</v>
      </c>
      <c r="X1915" s="1">
        <v>43921</v>
      </c>
      <c r="Y1915" t="s">
        <v>51</v>
      </c>
      <c r="Z1915" t="s">
        <v>43</v>
      </c>
      <c r="AA1915" t="s">
        <v>80</v>
      </c>
      <c r="AB1915" t="s">
        <v>76</v>
      </c>
      <c r="AC1915" t="s">
        <v>81</v>
      </c>
      <c r="AF1915" t="s">
        <v>54</v>
      </c>
      <c r="AG1915" s="1">
        <v>43832</v>
      </c>
      <c r="AH1915" t="s">
        <v>42</v>
      </c>
      <c r="AI1915" t="s">
        <v>55</v>
      </c>
      <c r="AJ1915">
        <v>12788092</v>
      </c>
      <c r="AK1915">
        <v>250000</v>
      </c>
      <c r="AL1915">
        <v>1500000</v>
      </c>
    </row>
    <row r="1916" spans="1:38" x14ac:dyDescent="0.25">
      <c r="A1916" t="s">
        <v>275</v>
      </c>
      <c r="B1916" s="2">
        <v>3.10304E+17</v>
      </c>
      <c r="C1916" t="s">
        <v>71</v>
      </c>
      <c r="D1916" s="1">
        <v>43191</v>
      </c>
      <c r="E1916" s="1">
        <v>43555</v>
      </c>
      <c r="F1916" t="s">
        <v>76</v>
      </c>
      <c r="G1916">
        <v>1</v>
      </c>
      <c r="H1916" t="s">
        <v>42</v>
      </c>
      <c r="I1916" t="s">
        <v>43</v>
      </c>
      <c r="J1916" t="s">
        <v>115</v>
      </c>
      <c r="K1916" t="s">
        <v>127</v>
      </c>
      <c r="L1916">
        <v>106033.91</v>
      </c>
      <c r="M1916" s="1">
        <v>43191</v>
      </c>
      <c r="N1916" t="s">
        <v>45</v>
      </c>
      <c r="O1916" t="s">
        <v>361</v>
      </c>
      <c r="P1916" t="s">
        <v>513</v>
      </c>
      <c r="Q1916" s="1">
        <v>43852</v>
      </c>
      <c r="R1916" t="s">
        <v>513</v>
      </c>
      <c r="S1916" t="s">
        <v>78</v>
      </c>
      <c r="T1916" t="s">
        <v>79</v>
      </c>
      <c r="U1916" t="s">
        <v>42</v>
      </c>
      <c r="V1916">
        <v>1200000</v>
      </c>
      <c r="W1916">
        <v>100000</v>
      </c>
      <c r="X1916" s="1">
        <v>43921</v>
      </c>
      <c r="Y1916" t="s">
        <v>51</v>
      </c>
      <c r="Z1916" t="s">
        <v>43</v>
      </c>
      <c r="AA1916" t="s">
        <v>80</v>
      </c>
      <c r="AB1916" t="s">
        <v>76</v>
      </c>
      <c r="AC1916" t="s">
        <v>81</v>
      </c>
      <c r="AF1916" t="s">
        <v>56</v>
      </c>
      <c r="AG1916" s="1">
        <v>43833</v>
      </c>
      <c r="AH1916" t="s">
        <v>42</v>
      </c>
      <c r="AI1916" t="s">
        <v>55</v>
      </c>
      <c r="AJ1916">
        <v>12788092</v>
      </c>
      <c r="AK1916">
        <v>250000</v>
      </c>
      <c r="AL1916">
        <v>1500000</v>
      </c>
    </row>
    <row r="1917" spans="1:38" x14ac:dyDescent="0.25">
      <c r="A1917" t="s">
        <v>275</v>
      </c>
      <c r="B1917" s="2">
        <v>3.10304E+17</v>
      </c>
      <c r="C1917" t="s">
        <v>71</v>
      </c>
      <c r="D1917" s="1">
        <v>43191</v>
      </c>
      <c r="E1917" s="1">
        <v>43555</v>
      </c>
      <c r="F1917" t="s">
        <v>76</v>
      </c>
      <c r="G1917">
        <v>1</v>
      </c>
      <c r="H1917" t="s">
        <v>42</v>
      </c>
      <c r="I1917" t="s">
        <v>43</v>
      </c>
      <c r="J1917" t="s">
        <v>115</v>
      </c>
      <c r="K1917" t="s">
        <v>127</v>
      </c>
      <c r="L1917">
        <v>106033.91</v>
      </c>
      <c r="M1917" s="1">
        <v>43191</v>
      </c>
      <c r="N1917" t="s">
        <v>45</v>
      </c>
      <c r="O1917" t="s">
        <v>361</v>
      </c>
      <c r="P1917" t="s">
        <v>513</v>
      </c>
      <c r="Q1917" s="1">
        <v>43852</v>
      </c>
      <c r="R1917" t="s">
        <v>513</v>
      </c>
      <c r="S1917" t="s">
        <v>78</v>
      </c>
      <c r="T1917" t="s">
        <v>79</v>
      </c>
      <c r="U1917" t="s">
        <v>42</v>
      </c>
      <c r="V1917">
        <v>1200000</v>
      </c>
      <c r="W1917">
        <v>100000</v>
      </c>
      <c r="X1917" s="1">
        <v>43921</v>
      </c>
      <c r="Y1917" t="s">
        <v>51</v>
      </c>
      <c r="Z1917" t="s">
        <v>43</v>
      </c>
      <c r="AA1917" t="s">
        <v>80</v>
      </c>
      <c r="AB1917" t="s">
        <v>76</v>
      </c>
      <c r="AC1917" t="s">
        <v>81</v>
      </c>
      <c r="AF1917" t="s">
        <v>57</v>
      </c>
      <c r="AG1917" s="1">
        <v>43836</v>
      </c>
      <c r="AH1917" t="s">
        <v>42</v>
      </c>
      <c r="AI1917" t="s">
        <v>55</v>
      </c>
      <c r="AJ1917">
        <v>12788092</v>
      </c>
      <c r="AK1917">
        <v>250000</v>
      </c>
      <c r="AL1917">
        <v>1500000</v>
      </c>
    </row>
    <row r="1918" spans="1:38" x14ac:dyDescent="0.25">
      <c r="A1918" t="s">
        <v>275</v>
      </c>
      <c r="B1918" s="2">
        <v>3.10304E+17</v>
      </c>
      <c r="C1918" t="s">
        <v>71</v>
      </c>
      <c r="D1918" s="1">
        <v>43191</v>
      </c>
      <c r="E1918" s="1">
        <v>43555</v>
      </c>
      <c r="F1918" t="s">
        <v>76</v>
      </c>
      <c r="G1918">
        <v>1</v>
      </c>
      <c r="H1918" t="s">
        <v>42</v>
      </c>
      <c r="I1918" t="s">
        <v>43</v>
      </c>
      <c r="J1918" t="s">
        <v>115</v>
      </c>
      <c r="K1918" t="s">
        <v>127</v>
      </c>
      <c r="L1918">
        <v>106033.91</v>
      </c>
      <c r="M1918" s="1">
        <v>43191</v>
      </c>
      <c r="N1918" t="s">
        <v>45</v>
      </c>
      <c r="O1918" t="s">
        <v>361</v>
      </c>
      <c r="P1918" t="s">
        <v>513</v>
      </c>
      <c r="Q1918" s="1">
        <v>43852</v>
      </c>
      <c r="R1918" t="s">
        <v>513</v>
      </c>
      <c r="S1918" t="s">
        <v>78</v>
      </c>
      <c r="T1918" t="s">
        <v>79</v>
      </c>
      <c r="U1918" t="s">
        <v>42</v>
      </c>
      <c r="V1918">
        <v>1200000</v>
      </c>
      <c r="W1918">
        <v>100000</v>
      </c>
      <c r="X1918" s="1">
        <v>43921</v>
      </c>
      <c r="Y1918" t="s">
        <v>51</v>
      </c>
      <c r="Z1918" t="s">
        <v>43</v>
      </c>
      <c r="AA1918" t="s">
        <v>80</v>
      </c>
      <c r="AB1918" t="s">
        <v>76</v>
      </c>
      <c r="AC1918" t="s">
        <v>81</v>
      </c>
      <c r="AF1918" t="s">
        <v>58</v>
      </c>
      <c r="AG1918" s="1">
        <v>43837</v>
      </c>
      <c r="AH1918" t="s">
        <v>42</v>
      </c>
      <c r="AI1918" t="s">
        <v>55</v>
      </c>
      <c r="AJ1918">
        <v>12788092</v>
      </c>
      <c r="AK1918">
        <v>250000</v>
      </c>
      <c r="AL1918">
        <v>1500000</v>
      </c>
    </row>
    <row r="1919" spans="1:38" x14ac:dyDescent="0.25">
      <c r="A1919" t="s">
        <v>275</v>
      </c>
      <c r="B1919" s="2">
        <v>3.10304E+17</v>
      </c>
      <c r="C1919" t="s">
        <v>71</v>
      </c>
      <c r="D1919" s="1">
        <v>43191</v>
      </c>
      <c r="E1919" s="1">
        <v>43555</v>
      </c>
      <c r="F1919" t="s">
        <v>76</v>
      </c>
      <c r="G1919">
        <v>1</v>
      </c>
      <c r="H1919" t="s">
        <v>42</v>
      </c>
      <c r="I1919" t="s">
        <v>43</v>
      </c>
      <c r="J1919" t="s">
        <v>115</v>
      </c>
      <c r="K1919" t="s">
        <v>127</v>
      </c>
      <c r="L1919">
        <v>106033.91</v>
      </c>
      <c r="M1919" s="1">
        <v>43191</v>
      </c>
      <c r="N1919" t="s">
        <v>45</v>
      </c>
      <c r="O1919" t="s">
        <v>361</v>
      </c>
      <c r="P1919" t="s">
        <v>513</v>
      </c>
      <c r="Q1919" s="1">
        <v>43852</v>
      </c>
      <c r="R1919" t="s">
        <v>513</v>
      </c>
      <c r="S1919" t="s">
        <v>78</v>
      </c>
      <c r="T1919" t="s">
        <v>79</v>
      </c>
      <c r="U1919" t="s">
        <v>42</v>
      </c>
      <c r="V1919">
        <v>1200000</v>
      </c>
      <c r="W1919">
        <v>100000</v>
      </c>
      <c r="X1919" s="1">
        <v>43921</v>
      </c>
      <c r="Y1919" t="s">
        <v>51</v>
      </c>
      <c r="Z1919" t="s">
        <v>43</v>
      </c>
      <c r="AA1919" t="s">
        <v>80</v>
      </c>
      <c r="AB1919" t="s">
        <v>76</v>
      </c>
      <c r="AC1919" t="s">
        <v>81</v>
      </c>
      <c r="AF1919" t="s">
        <v>59</v>
      </c>
      <c r="AG1919" s="1">
        <v>43838</v>
      </c>
      <c r="AH1919" t="s">
        <v>42</v>
      </c>
      <c r="AI1919" t="s">
        <v>55</v>
      </c>
      <c r="AJ1919">
        <v>12788092</v>
      </c>
      <c r="AK1919">
        <v>250000</v>
      </c>
      <c r="AL1919">
        <v>1500000</v>
      </c>
    </row>
    <row r="1920" spans="1:38" x14ac:dyDescent="0.25">
      <c r="A1920" t="s">
        <v>277</v>
      </c>
      <c r="B1920" s="2">
        <v>3.10304E+17</v>
      </c>
      <c r="C1920" t="s">
        <v>40</v>
      </c>
      <c r="D1920" s="1">
        <v>43473</v>
      </c>
      <c r="E1920" s="1">
        <v>43562</v>
      </c>
      <c r="F1920" t="s">
        <v>72</v>
      </c>
      <c r="G1920">
        <v>2</v>
      </c>
      <c r="H1920" t="s">
        <v>67</v>
      </c>
      <c r="I1920" t="s">
        <v>43</v>
      </c>
      <c r="J1920" t="s">
        <v>122</v>
      </c>
      <c r="K1920" t="s">
        <v>127</v>
      </c>
      <c r="L1920">
        <v>3978.77</v>
      </c>
      <c r="M1920" s="1">
        <v>43473</v>
      </c>
      <c r="N1920" t="s">
        <v>45</v>
      </c>
      <c r="O1920" t="s">
        <v>46</v>
      </c>
      <c r="P1920" t="s">
        <v>47</v>
      </c>
      <c r="Q1920" s="1">
        <v>43852</v>
      </c>
      <c r="R1920" t="s">
        <v>48</v>
      </c>
    </row>
    <row r="1921" spans="1:38" x14ac:dyDescent="0.25">
      <c r="A1921" t="s">
        <v>278</v>
      </c>
      <c r="B1921" s="2">
        <v>3.10304E+17</v>
      </c>
      <c r="C1921" t="s">
        <v>40</v>
      </c>
      <c r="D1921" s="1">
        <v>43484</v>
      </c>
      <c r="E1921" s="1">
        <v>43573</v>
      </c>
      <c r="F1921" t="s">
        <v>72</v>
      </c>
      <c r="G1921">
        <v>2</v>
      </c>
      <c r="H1921" t="s">
        <v>67</v>
      </c>
      <c r="I1921" t="s">
        <v>43</v>
      </c>
      <c r="J1921" t="s">
        <v>122</v>
      </c>
      <c r="K1921" t="s">
        <v>127</v>
      </c>
      <c r="L1921">
        <v>9453.35</v>
      </c>
      <c r="M1921" s="1">
        <v>43484</v>
      </c>
      <c r="N1921" t="s">
        <v>45</v>
      </c>
      <c r="O1921" t="s">
        <v>46</v>
      </c>
      <c r="P1921" t="s">
        <v>47</v>
      </c>
      <c r="Q1921" s="1">
        <v>43852</v>
      </c>
      <c r="R1921" t="s">
        <v>48</v>
      </c>
    </row>
    <row r="1922" spans="1:38" x14ac:dyDescent="0.25">
      <c r="A1922" t="s">
        <v>279</v>
      </c>
      <c r="B1922" s="2">
        <v>3.10304E+17</v>
      </c>
      <c r="C1922" t="s">
        <v>40</v>
      </c>
      <c r="D1922" s="1">
        <v>43522</v>
      </c>
      <c r="E1922" s="1">
        <v>43580</v>
      </c>
      <c r="F1922" t="s">
        <v>72</v>
      </c>
      <c r="G1922">
        <v>2</v>
      </c>
      <c r="H1922" t="s">
        <v>67</v>
      </c>
      <c r="I1922" t="s">
        <v>43</v>
      </c>
      <c r="J1922" t="s">
        <v>122</v>
      </c>
      <c r="K1922" t="s">
        <v>127</v>
      </c>
      <c r="L1922">
        <v>4156.79</v>
      </c>
      <c r="M1922" s="1">
        <v>43522</v>
      </c>
      <c r="N1922" t="s">
        <v>45</v>
      </c>
      <c r="O1922" t="s">
        <v>46</v>
      </c>
      <c r="P1922" t="s">
        <v>47</v>
      </c>
      <c r="Q1922" s="1">
        <v>43852</v>
      </c>
      <c r="R1922" t="s">
        <v>48</v>
      </c>
    </row>
    <row r="1923" spans="1:38" x14ac:dyDescent="0.25">
      <c r="A1923" t="s">
        <v>280</v>
      </c>
      <c r="B1923">
        <v>43187020</v>
      </c>
      <c r="C1923" t="s">
        <v>40</v>
      </c>
      <c r="D1923" s="1">
        <v>43577</v>
      </c>
      <c r="E1923" s="1">
        <v>43942</v>
      </c>
      <c r="F1923" t="s">
        <v>76</v>
      </c>
      <c r="G1923">
        <v>13</v>
      </c>
      <c r="H1923" t="s">
        <v>316</v>
      </c>
      <c r="I1923" t="s">
        <v>43</v>
      </c>
      <c r="J1923" t="s">
        <v>77</v>
      </c>
      <c r="K1923" t="s">
        <v>68</v>
      </c>
      <c r="L1923">
        <v>7451.24</v>
      </c>
      <c r="M1923" s="1">
        <v>43577</v>
      </c>
      <c r="N1923" t="s">
        <v>45</v>
      </c>
      <c r="O1923" t="s">
        <v>46</v>
      </c>
      <c r="P1923" t="s">
        <v>47</v>
      </c>
      <c r="Q1923" s="1">
        <v>43852</v>
      </c>
      <c r="R1923" t="s">
        <v>48</v>
      </c>
    </row>
    <row r="1924" spans="1:38" x14ac:dyDescent="0.25">
      <c r="A1924" t="s">
        <v>282</v>
      </c>
      <c r="B1924" t="s">
        <v>514</v>
      </c>
      <c r="C1924" t="s">
        <v>40</v>
      </c>
      <c r="D1924" s="1">
        <v>43441</v>
      </c>
      <c r="E1924" s="1">
        <v>43805</v>
      </c>
      <c r="F1924" t="s">
        <v>41</v>
      </c>
      <c r="G1924">
        <v>1</v>
      </c>
      <c r="H1924" t="s">
        <v>42</v>
      </c>
      <c r="I1924" t="s">
        <v>43</v>
      </c>
      <c r="J1924" t="s">
        <v>41</v>
      </c>
      <c r="K1924" t="s">
        <v>127</v>
      </c>
      <c r="L1924">
        <v>3630</v>
      </c>
      <c r="M1924" s="1">
        <v>43816</v>
      </c>
      <c r="N1924" t="s">
        <v>45</v>
      </c>
      <c r="O1924" t="s">
        <v>46</v>
      </c>
      <c r="P1924" t="s">
        <v>47</v>
      </c>
      <c r="Q1924" s="1">
        <v>43852</v>
      </c>
      <c r="R1924" t="s">
        <v>48</v>
      </c>
      <c r="S1924" t="s">
        <v>49</v>
      </c>
      <c r="T1924" t="s">
        <v>50</v>
      </c>
      <c r="U1924" t="s">
        <v>42</v>
      </c>
      <c r="V1924">
        <v>0</v>
      </c>
      <c r="W1924">
        <v>100000</v>
      </c>
      <c r="X1924" s="1">
        <v>44012</v>
      </c>
      <c r="Y1924" t="s">
        <v>51</v>
      </c>
      <c r="Z1924" t="s">
        <v>43</v>
      </c>
      <c r="AA1924" t="s">
        <v>41</v>
      </c>
      <c r="AB1924" t="s">
        <v>52</v>
      </c>
      <c r="AC1924" t="s">
        <v>53</v>
      </c>
      <c r="AF1924" t="s">
        <v>54</v>
      </c>
      <c r="AG1924" s="1">
        <v>43832</v>
      </c>
      <c r="AH1924" t="s">
        <v>42</v>
      </c>
      <c r="AI1924" t="s">
        <v>55</v>
      </c>
      <c r="AJ1924">
        <v>12788092</v>
      </c>
      <c r="AK1924">
        <v>250000</v>
      </c>
      <c r="AL1924">
        <v>1500000</v>
      </c>
    </row>
    <row r="1925" spans="1:38" x14ac:dyDescent="0.25">
      <c r="A1925" t="s">
        <v>282</v>
      </c>
      <c r="B1925" t="s">
        <v>514</v>
      </c>
      <c r="C1925" t="s">
        <v>40</v>
      </c>
      <c r="D1925" s="1">
        <v>43441</v>
      </c>
      <c r="E1925" s="1">
        <v>43805</v>
      </c>
      <c r="F1925" t="s">
        <v>41</v>
      </c>
      <c r="G1925">
        <v>1</v>
      </c>
      <c r="H1925" t="s">
        <v>42</v>
      </c>
      <c r="I1925" t="s">
        <v>43</v>
      </c>
      <c r="J1925" t="s">
        <v>41</v>
      </c>
      <c r="K1925" t="s">
        <v>127</v>
      </c>
      <c r="L1925">
        <v>3630</v>
      </c>
      <c r="M1925" s="1">
        <v>43816</v>
      </c>
      <c r="N1925" t="s">
        <v>45</v>
      </c>
      <c r="O1925" t="s">
        <v>46</v>
      </c>
      <c r="P1925" t="s">
        <v>47</v>
      </c>
      <c r="Q1925" s="1">
        <v>43852</v>
      </c>
      <c r="R1925" t="s">
        <v>48</v>
      </c>
      <c r="S1925" t="s">
        <v>49</v>
      </c>
      <c r="T1925" t="s">
        <v>50</v>
      </c>
      <c r="U1925" t="s">
        <v>42</v>
      </c>
      <c r="V1925">
        <v>0</v>
      </c>
      <c r="W1925">
        <v>100000</v>
      </c>
      <c r="X1925" s="1">
        <v>44012</v>
      </c>
      <c r="Y1925" t="s">
        <v>51</v>
      </c>
      <c r="Z1925" t="s">
        <v>43</v>
      </c>
      <c r="AA1925" t="s">
        <v>41</v>
      </c>
      <c r="AB1925" t="s">
        <v>52</v>
      </c>
      <c r="AC1925" t="s">
        <v>53</v>
      </c>
      <c r="AF1925" t="s">
        <v>56</v>
      </c>
      <c r="AG1925" s="1">
        <v>43833</v>
      </c>
      <c r="AH1925" t="s">
        <v>42</v>
      </c>
      <c r="AI1925" t="s">
        <v>55</v>
      </c>
      <c r="AJ1925">
        <v>12788092</v>
      </c>
      <c r="AK1925">
        <v>250000</v>
      </c>
      <c r="AL1925">
        <v>1500000</v>
      </c>
    </row>
    <row r="1926" spans="1:38" x14ac:dyDescent="0.25">
      <c r="A1926" t="s">
        <v>282</v>
      </c>
      <c r="B1926" t="s">
        <v>514</v>
      </c>
      <c r="C1926" t="s">
        <v>40</v>
      </c>
      <c r="D1926" s="1">
        <v>43441</v>
      </c>
      <c r="E1926" s="1">
        <v>43805</v>
      </c>
      <c r="F1926" t="s">
        <v>41</v>
      </c>
      <c r="G1926">
        <v>1</v>
      </c>
      <c r="H1926" t="s">
        <v>42</v>
      </c>
      <c r="I1926" t="s">
        <v>43</v>
      </c>
      <c r="J1926" t="s">
        <v>41</v>
      </c>
      <c r="K1926" t="s">
        <v>127</v>
      </c>
      <c r="L1926">
        <v>3630</v>
      </c>
      <c r="M1926" s="1">
        <v>43816</v>
      </c>
      <c r="N1926" t="s">
        <v>45</v>
      </c>
      <c r="O1926" t="s">
        <v>46</v>
      </c>
      <c r="P1926" t="s">
        <v>47</v>
      </c>
      <c r="Q1926" s="1">
        <v>43852</v>
      </c>
      <c r="R1926" t="s">
        <v>48</v>
      </c>
      <c r="S1926" t="s">
        <v>49</v>
      </c>
      <c r="T1926" t="s">
        <v>50</v>
      </c>
      <c r="U1926" t="s">
        <v>42</v>
      </c>
      <c r="V1926">
        <v>0</v>
      </c>
      <c r="W1926">
        <v>100000</v>
      </c>
      <c r="X1926" s="1">
        <v>44012</v>
      </c>
      <c r="Y1926" t="s">
        <v>51</v>
      </c>
      <c r="Z1926" t="s">
        <v>43</v>
      </c>
      <c r="AA1926" t="s">
        <v>41</v>
      </c>
      <c r="AB1926" t="s">
        <v>52</v>
      </c>
      <c r="AC1926" t="s">
        <v>53</v>
      </c>
      <c r="AF1926" t="s">
        <v>57</v>
      </c>
      <c r="AG1926" s="1">
        <v>43836</v>
      </c>
      <c r="AH1926" t="s">
        <v>42</v>
      </c>
      <c r="AI1926" t="s">
        <v>55</v>
      </c>
      <c r="AJ1926">
        <v>12788092</v>
      </c>
      <c r="AK1926">
        <v>250000</v>
      </c>
      <c r="AL1926">
        <v>1500000</v>
      </c>
    </row>
    <row r="1927" spans="1:38" x14ac:dyDescent="0.25">
      <c r="A1927" t="s">
        <v>282</v>
      </c>
      <c r="B1927" t="s">
        <v>514</v>
      </c>
      <c r="C1927" t="s">
        <v>40</v>
      </c>
      <c r="D1927" s="1">
        <v>43441</v>
      </c>
      <c r="E1927" s="1">
        <v>43805</v>
      </c>
      <c r="F1927" t="s">
        <v>41</v>
      </c>
      <c r="G1927">
        <v>1</v>
      </c>
      <c r="H1927" t="s">
        <v>42</v>
      </c>
      <c r="I1927" t="s">
        <v>43</v>
      </c>
      <c r="J1927" t="s">
        <v>41</v>
      </c>
      <c r="K1927" t="s">
        <v>127</v>
      </c>
      <c r="L1927">
        <v>3630</v>
      </c>
      <c r="M1927" s="1">
        <v>43816</v>
      </c>
      <c r="N1927" t="s">
        <v>45</v>
      </c>
      <c r="O1927" t="s">
        <v>46</v>
      </c>
      <c r="P1927" t="s">
        <v>47</v>
      </c>
      <c r="Q1927" s="1">
        <v>43852</v>
      </c>
      <c r="R1927" t="s">
        <v>48</v>
      </c>
      <c r="S1927" t="s">
        <v>49</v>
      </c>
      <c r="T1927" t="s">
        <v>50</v>
      </c>
      <c r="U1927" t="s">
        <v>42</v>
      </c>
      <c r="V1927">
        <v>0</v>
      </c>
      <c r="W1927">
        <v>100000</v>
      </c>
      <c r="X1927" s="1">
        <v>44012</v>
      </c>
      <c r="Y1927" t="s">
        <v>51</v>
      </c>
      <c r="Z1927" t="s">
        <v>43</v>
      </c>
      <c r="AA1927" t="s">
        <v>41</v>
      </c>
      <c r="AB1927" t="s">
        <v>52</v>
      </c>
      <c r="AC1927" t="s">
        <v>53</v>
      </c>
      <c r="AF1927" t="s">
        <v>58</v>
      </c>
      <c r="AG1927" s="1">
        <v>43837</v>
      </c>
      <c r="AH1927" t="s">
        <v>42</v>
      </c>
      <c r="AI1927" t="s">
        <v>55</v>
      </c>
      <c r="AJ1927">
        <v>12788092</v>
      </c>
      <c r="AK1927">
        <v>250000</v>
      </c>
      <c r="AL1927">
        <v>1500000</v>
      </c>
    </row>
    <row r="1928" spans="1:38" x14ac:dyDescent="0.25">
      <c r="A1928" t="s">
        <v>282</v>
      </c>
      <c r="B1928" t="s">
        <v>514</v>
      </c>
      <c r="C1928" t="s">
        <v>40</v>
      </c>
      <c r="D1928" s="1">
        <v>43441</v>
      </c>
      <c r="E1928" s="1">
        <v>43805</v>
      </c>
      <c r="F1928" t="s">
        <v>41</v>
      </c>
      <c r="G1928">
        <v>1</v>
      </c>
      <c r="H1928" t="s">
        <v>42</v>
      </c>
      <c r="I1928" t="s">
        <v>43</v>
      </c>
      <c r="J1928" t="s">
        <v>41</v>
      </c>
      <c r="K1928" t="s">
        <v>127</v>
      </c>
      <c r="L1928">
        <v>3630</v>
      </c>
      <c r="M1928" s="1">
        <v>43816</v>
      </c>
      <c r="N1928" t="s">
        <v>45</v>
      </c>
      <c r="O1928" t="s">
        <v>46</v>
      </c>
      <c r="P1928" t="s">
        <v>47</v>
      </c>
      <c r="Q1928" s="1">
        <v>43852</v>
      </c>
      <c r="R1928" t="s">
        <v>48</v>
      </c>
      <c r="S1928" t="s">
        <v>49</v>
      </c>
      <c r="T1928" t="s">
        <v>50</v>
      </c>
      <c r="U1928" t="s">
        <v>42</v>
      </c>
      <c r="V1928">
        <v>0</v>
      </c>
      <c r="W1928">
        <v>100000</v>
      </c>
      <c r="X1928" s="1">
        <v>44012</v>
      </c>
      <c r="Y1928" t="s">
        <v>51</v>
      </c>
      <c r="Z1928" t="s">
        <v>43</v>
      </c>
      <c r="AA1928" t="s">
        <v>41</v>
      </c>
      <c r="AB1928" t="s">
        <v>52</v>
      </c>
      <c r="AC1928" t="s">
        <v>53</v>
      </c>
      <c r="AF1928" t="s">
        <v>59</v>
      </c>
      <c r="AG1928" s="1">
        <v>43838</v>
      </c>
      <c r="AH1928" t="s">
        <v>42</v>
      </c>
      <c r="AI1928" t="s">
        <v>55</v>
      </c>
      <c r="AJ1928">
        <v>12788092</v>
      </c>
      <c r="AK1928">
        <v>250000</v>
      </c>
      <c r="AL1928">
        <v>1500000</v>
      </c>
    </row>
    <row r="1929" spans="1:38" x14ac:dyDescent="0.25">
      <c r="A1929" t="s">
        <v>282</v>
      </c>
      <c r="B1929" t="s">
        <v>514</v>
      </c>
      <c r="C1929" t="s">
        <v>40</v>
      </c>
      <c r="D1929" s="1">
        <v>43441</v>
      </c>
      <c r="E1929" s="1">
        <v>43805</v>
      </c>
      <c r="F1929" t="s">
        <v>41</v>
      </c>
      <c r="G1929">
        <v>1</v>
      </c>
      <c r="H1929" t="s">
        <v>42</v>
      </c>
      <c r="I1929" t="s">
        <v>43</v>
      </c>
      <c r="J1929" t="s">
        <v>41</v>
      </c>
      <c r="K1929" t="s">
        <v>127</v>
      </c>
      <c r="L1929">
        <v>3630</v>
      </c>
      <c r="M1929" s="1">
        <v>43816</v>
      </c>
      <c r="N1929" t="s">
        <v>45</v>
      </c>
      <c r="O1929" t="s">
        <v>46</v>
      </c>
      <c r="P1929" t="s">
        <v>47</v>
      </c>
      <c r="Q1929" s="1">
        <v>43852</v>
      </c>
      <c r="R1929" t="s">
        <v>48</v>
      </c>
      <c r="S1929" t="s">
        <v>60</v>
      </c>
      <c r="T1929" t="s">
        <v>61</v>
      </c>
      <c r="U1929" t="s">
        <v>42</v>
      </c>
      <c r="V1929">
        <v>0</v>
      </c>
      <c r="W1929">
        <v>100000</v>
      </c>
      <c r="X1929" s="1">
        <v>43921</v>
      </c>
      <c r="Y1929" t="s">
        <v>51</v>
      </c>
      <c r="Z1929" t="s">
        <v>43</v>
      </c>
      <c r="AA1929" t="s">
        <v>41</v>
      </c>
      <c r="AB1929" t="s">
        <v>52</v>
      </c>
      <c r="AC1929" t="s">
        <v>53</v>
      </c>
      <c r="AF1929" t="s">
        <v>54</v>
      </c>
      <c r="AG1929" s="1">
        <v>43832</v>
      </c>
      <c r="AH1929" t="s">
        <v>42</v>
      </c>
      <c r="AI1929" t="s">
        <v>55</v>
      </c>
      <c r="AJ1929">
        <v>12788092</v>
      </c>
      <c r="AK1929">
        <v>250000</v>
      </c>
      <c r="AL1929">
        <v>1500000</v>
      </c>
    </row>
    <row r="1930" spans="1:38" x14ac:dyDescent="0.25">
      <c r="A1930" t="s">
        <v>282</v>
      </c>
      <c r="B1930" t="s">
        <v>514</v>
      </c>
      <c r="C1930" t="s">
        <v>40</v>
      </c>
      <c r="D1930" s="1">
        <v>43441</v>
      </c>
      <c r="E1930" s="1">
        <v>43805</v>
      </c>
      <c r="F1930" t="s">
        <v>41</v>
      </c>
      <c r="G1930">
        <v>1</v>
      </c>
      <c r="H1930" t="s">
        <v>42</v>
      </c>
      <c r="I1930" t="s">
        <v>43</v>
      </c>
      <c r="J1930" t="s">
        <v>41</v>
      </c>
      <c r="K1930" t="s">
        <v>127</v>
      </c>
      <c r="L1930">
        <v>3630</v>
      </c>
      <c r="M1930" s="1">
        <v>43816</v>
      </c>
      <c r="N1930" t="s">
        <v>45</v>
      </c>
      <c r="O1930" t="s">
        <v>46</v>
      </c>
      <c r="P1930" t="s">
        <v>47</v>
      </c>
      <c r="Q1930" s="1">
        <v>43852</v>
      </c>
      <c r="R1930" t="s">
        <v>48</v>
      </c>
      <c r="S1930" t="s">
        <v>60</v>
      </c>
      <c r="T1930" t="s">
        <v>61</v>
      </c>
      <c r="U1930" t="s">
        <v>42</v>
      </c>
      <c r="V1930">
        <v>0</v>
      </c>
      <c r="W1930">
        <v>100000</v>
      </c>
      <c r="X1930" s="1">
        <v>43921</v>
      </c>
      <c r="Y1930" t="s">
        <v>51</v>
      </c>
      <c r="Z1930" t="s">
        <v>43</v>
      </c>
      <c r="AA1930" t="s">
        <v>41</v>
      </c>
      <c r="AB1930" t="s">
        <v>52</v>
      </c>
      <c r="AC1930" t="s">
        <v>53</v>
      </c>
      <c r="AF1930" t="s">
        <v>56</v>
      </c>
      <c r="AG1930" s="1">
        <v>43833</v>
      </c>
      <c r="AH1930" t="s">
        <v>42</v>
      </c>
      <c r="AI1930" t="s">
        <v>55</v>
      </c>
      <c r="AJ1930">
        <v>12788092</v>
      </c>
      <c r="AK1930">
        <v>250000</v>
      </c>
      <c r="AL1930">
        <v>1500000</v>
      </c>
    </row>
    <row r="1931" spans="1:38" x14ac:dyDescent="0.25">
      <c r="A1931" t="s">
        <v>282</v>
      </c>
      <c r="B1931" t="s">
        <v>514</v>
      </c>
      <c r="C1931" t="s">
        <v>40</v>
      </c>
      <c r="D1931" s="1">
        <v>43441</v>
      </c>
      <c r="E1931" s="1">
        <v>43805</v>
      </c>
      <c r="F1931" t="s">
        <v>41</v>
      </c>
      <c r="G1931">
        <v>1</v>
      </c>
      <c r="H1931" t="s">
        <v>42</v>
      </c>
      <c r="I1931" t="s">
        <v>43</v>
      </c>
      <c r="J1931" t="s">
        <v>41</v>
      </c>
      <c r="K1931" t="s">
        <v>127</v>
      </c>
      <c r="L1931">
        <v>3630</v>
      </c>
      <c r="M1931" s="1">
        <v>43816</v>
      </c>
      <c r="N1931" t="s">
        <v>45</v>
      </c>
      <c r="O1931" t="s">
        <v>46</v>
      </c>
      <c r="P1931" t="s">
        <v>47</v>
      </c>
      <c r="Q1931" s="1">
        <v>43852</v>
      </c>
      <c r="R1931" t="s">
        <v>48</v>
      </c>
      <c r="S1931" t="s">
        <v>60</v>
      </c>
      <c r="T1931" t="s">
        <v>61</v>
      </c>
      <c r="U1931" t="s">
        <v>42</v>
      </c>
      <c r="V1931">
        <v>0</v>
      </c>
      <c r="W1931">
        <v>100000</v>
      </c>
      <c r="X1931" s="1">
        <v>43921</v>
      </c>
      <c r="Y1931" t="s">
        <v>51</v>
      </c>
      <c r="Z1931" t="s">
        <v>43</v>
      </c>
      <c r="AA1931" t="s">
        <v>41</v>
      </c>
      <c r="AB1931" t="s">
        <v>52</v>
      </c>
      <c r="AC1931" t="s">
        <v>53</v>
      </c>
      <c r="AF1931" t="s">
        <v>57</v>
      </c>
      <c r="AG1931" s="1">
        <v>43836</v>
      </c>
      <c r="AH1931" t="s">
        <v>42</v>
      </c>
      <c r="AI1931" t="s">
        <v>55</v>
      </c>
      <c r="AJ1931">
        <v>12788092</v>
      </c>
      <c r="AK1931">
        <v>250000</v>
      </c>
      <c r="AL1931">
        <v>1500000</v>
      </c>
    </row>
    <row r="1932" spans="1:38" x14ac:dyDescent="0.25">
      <c r="A1932" t="s">
        <v>282</v>
      </c>
      <c r="B1932" t="s">
        <v>514</v>
      </c>
      <c r="C1932" t="s">
        <v>40</v>
      </c>
      <c r="D1932" s="1">
        <v>43441</v>
      </c>
      <c r="E1932" s="1">
        <v>43805</v>
      </c>
      <c r="F1932" t="s">
        <v>41</v>
      </c>
      <c r="G1932">
        <v>1</v>
      </c>
      <c r="H1932" t="s">
        <v>42</v>
      </c>
      <c r="I1932" t="s">
        <v>43</v>
      </c>
      <c r="J1932" t="s">
        <v>41</v>
      </c>
      <c r="K1932" t="s">
        <v>127</v>
      </c>
      <c r="L1932">
        <v>3630</v>
      </c>
      <c r="M1932" s="1">
        <v>43816</v>
      </c>
      <c r="N1932" t="s">
        <v>45</v>
      </c>
      <c r="O1932" t="s">
        <v>46</v>
      </c>
      <c r="P1932" t="s">
        <v>47</v>
      </c>
      <c r="Q1932" s="1">
        <v>43852</v>
      </c>
      <c r="R1932" t="s">
        <v>48</v>
      </c>
      <c r="S1932" t="s">
        <v>60</v>
      </c>
      <c r="T1932" t="s">
        <v>61</v>
      </c>
      <c r="U1932" t="s">
        <v>42</v>
      </c>
      <c r="V1932">
        <v>0</v>
      </c>
      <c r="W1932">
        <v>100000</v>
      </c>
      <c r="X1932" s="1">
        <v>43921</v>
      </c>
      <c r="Y1932" t="s">
        <v>51</v>
      </c>
      <c r="Z1932" t="s">
        <v>43</v>
      </c>
      <c r="AA1932" t="s">
        <v>41</v>
      </c>
      <c r="AB1932" t="s">
        <v>52</v>
      </c>
      <c r="AC1932" t="s">
        <v>53</v>
      </c>
      <c r="AF1932" t="s">
        <v>58</v>
      </c>
      <c r="AG1932" s="1">
        <v>43837</v>
      </c>
      <c r="AH1932" t="s">
        <v>42</v>
      </c>
      <c r="AI1932" t="s">
        <v>55</v>
      </c>
      <c r="AJ1932">
        <v>12788092</v>
      </c>
      <c r="AK1932">
        <v>250000</v>
      </c>
      <c r="AL1932">
        <v>1500000</v>
      </c>
    </row>
    <row r="1933" spans="1:38" x14ac:dyDescent="0.25">
      <c r="A1933" t="s">
        <v>282</v>
      </c>
      <c r="B1933" t="s">
        <v>514</v>
      </c>
      <c r="C1933" t="s">
        <v>40</v>
      </c>
      <c r="D1933" s="1">
        <v>43441</v>
      </c>
      <c r="E1933" s="1">
        <v>43805</v>
      </c>
      <c r="F1933" t="s">
        <v>41</v>
      </c>
      <c r="G1933">
        <v>1</v>
      </c>
      <c r="H1933" t="s">
        <v>42</v>
      </c>
      <c r="I1933" t="s">
        <v>43</v>
      </c>
      <c r="J1933" t="s">
        <v>41</v>
      </c>
      <c r="K1933" t="s">
        <v>127</v>
      </c>
      <c r="L1933">
        <v>3630</v>
      </c>
      <c r="M1933" s="1">
        <v>43816</v>
      </c>
      <c r="N1933" t="s">
        <v>45</v>
      </c>
      <c r="O1933" t="s">
        <v>46</v>
      </c>
      <c r="P1933" t="s">
        <v>47</v>
      </c>
      <c r="Q1933" s="1">
        <v>43852</v>
      </c>
      <c r="R1933" t="s">
        <v>48</v>
      </c>
      <c r="S1933" t="s">
        <v>60</v>
      </c>
      <c r="T1933" t="s">
        <v>61</v>
      </c>
      <c r="U1933" t="s">
        <v>42</v>
      </c>
      <c r="V1933">
        <v>0</v>
      </c>
      <c r="W1933">
        <v>100000</v>
      </c>
      <c r="X1933" s="1">
        <v>43921</v>
      </c>
      <c r="Y1933" t="s">
        <v>51</v>
      </c>
      <c r="Z1933" t="s">
        <v>43</v>
      </c>
      <c r="AA1933" t="s">
        <v>41</v>
      </c>
      <c r="AB1933" t="s">
        <v>52</v>
      </c>
      <c r="AC1933" t="s">
        <v>53</v>
      </c>
      <c r="AF1933" t="s">
        <v>59</v>
      </c>
      <c r="AG1933" s="1">
        <v>43838</v>
      </c>
      <c r="AH1933" t="s">
        <v>42</v>
      </c>
      <c r="AI1933" t="s">
        <v>55</v>
      </c>
      <c r="AJ1933">
        <v>12788092</v>
      </c>
      <c r="AK1933">
        <v>250000</v>
      </c>
      <c r="AL1933">
        <v>1500000</v>
      </c>
    </row>
    <row r="1934" spans="1:38" x14ac:dyDescent="0.25">
      <c r="A1934" t="s">
        <v>282</v>
      </c>
      <c r="B1934" t="s">
        <v>514</v>
      </c>
      <c r="C1934" t="s">
        <v>40</v>
      </c>
      <c r="D1934" s="1">
        <v>43441</v>
      </c>
      <c r="E1934" s="1">
        <v>43805</v>
      </c>
      <c r="F1934" t="s">
        <v>41</v>
      </c>
      <c r="G1934">
        <v>1</v>
      </c>
      <c r="H1934" t="s">
        <v>42</v>
      </c>
      <c r="I1934" t="s">
        <v>43</v>
      </c>
      <c r="J1934" t="s">
        <v>41</v>
      </c>
      <c r="K1934" t="s">
        <v>127</v>
      </c>
      <c r="L1934">
        <v>3630</v>
      </c>
      <c r="M1934" s="1">
        <v>43816</v>
      </c>
      <c r="N1934" t="s">
        <v>45</v>
      </c>
      <c r="O1934" t="s">
        <v>46</v>
      </c>
      <c r="P1934" t="s">
        <v>47</v>
      </c>
      <c r="Q1934" s="1">
        <v>43852</v>
      </c>
      <c r="R1934" t="s">
        <v>48</v>
      </c>
      <c r="S1934" t="s">
        <v>62</v>
      </c>
      <c r="T1934" t="s">
        <v>63</v>
      </c>
      <c r="U1934" t="s">
        <v>42</v>
      </c>
      <c r="V1934">
        <v>0</v>
      </c>
      <c r="W1934">
        <v>100000</v>
      </c>
      <c r="X1934" s="1">
        <v>43982</v>
      </c>
      <c r="Y1934" t="s">
        <v>51</v>
      </c>
      <c r="Z1934" t="s">
        <v>43</v>
      </c>
      <c r="AA1934" t="s">
        <v>41</v>
      </c>
      <c r="AB1934" t="s">
        <v>52</v>
      </c>
      <c r="AC1934" t="s">
        <v>53</v>
      </c>
      <c r="AF1934" t="s">
        <v>54</v>
      </c>
      <c r="AG1934" s="1">
        <v>43832</v>
      </c>
      <c r="AH1934" t="s">
        <v>42</v>
      </c>
      <c r="AI1934" t="s">
        <v>55</v>
      </c>
      <c r="AJ1934">
        <v>12788092</v>
      </c>
      <c r="AK1934">
        <v>250000</v>
      </c>
      <c r="AL1934">
        <v>1500000</v>
      </c>
    </row>
    <row r="1935" spans="1:38" x14ac:dyDescent="0.25">
      <c r="A1935" t="s">
        <v>282</v>
      </c>
      <c r="B1935" t="s">
        <v>514</v>
      </c>
      <c r="C1935" t="s">
        <v>40</v>
      </c>
      <c r="D1935" s="1">
        <v>43441</v>
      </c>
      <c r="E1935" s="1">
        <v>43805</v>
      </c>
      <c r="F1935" t="s">
        <v>41</v>
      </c>
      <c r="G1935">
        <v>1</v>
      </c>
      <c r="H1935" t="s">
        <v>42</v>
      </c>
      <c r="I1935" t="s">
        <v>43</v>
      </c>
      <c r="J1935" t="s">
        <v>41</v>
      </c>
      <c r="K1935" t="s">
        <v>127</v>
      </c>
      <c r="L1935">
        <v>3630</v>
      </c>
      <c r="M1935" s="1">
        <v>43816</v>
      </c>
      <c r="N1935" t="s">
        <v>45</v>
      </c>
      <c r="O1935" t="s">
        <v>46</v>
      </c>
      <c r="P1935" t="s">
        <v>47</v>
      </c>
      <c r="Q1935" s="1">
        <v>43852</v>
      </c>
      <c r="R1935" t="s">
        <v>48</v>
      </c>
      <c r="S1935" t="s">
        <v>62</v>
      </c>
      <c r="T1935" t="s">
        <v>63</v>
      </c>
      <c r="U1935" t="s">
        <v>42</v>
      </c>
      <c r="V1935">
        <v>0</v>
      </c>
      <c r="W1935">
        <v>100000</v>
      </c>
      <c r="X1935" s="1">
        <v>43982</v>
      </c>
      <c r="Y1935" t="s">
        <v>51</v>
      </c>
      <c r="Z1935" t="s">
        <v>43</v>
      </c>
      <c r="AA1935" t="s">
        <v>41</v>
      </c>
      <c r="AB1935" t="s">
        <v>52</v>
      </c>
      <c r="AC1935" t="s">
        <v>53</v>
      </c>
      <c r="AF1935" t="s">
        <v>56</v>
      </c>
      <c r="AG1935" s="1">
        <v>43833</v>
      </c>
      <c r="AH1935" t="s">
        <v>42</v>
      </c>
      <c r="AI1935" t="s">
        <v>55</v>
      </c>
      <c r="AJ1935">
        <v>12788092</v>
      </c>
      <c r="AK1935">
        <v>250000</v>
      </c>
      <c r="AL1935">
        <v>1500000</v>
      </c>
    </row>
    <row r="1936" spans="1:38" x14ac:dyDescent="0.25">
      <c r="A1936" t="s">
        <v>282</v>
      </c>
      <c r="B1936" t="s">
        <v>514</v>
      </c>
      <c r="C1936" t="s">
        <v>40</v>
      </c>
      <c r="D1936" s="1">
        <v>43441</v>
      </c>
      <c r="E1936" s="1">
        <v>43805</v>
      </c>
      <c r="F1936" t="s">
        <v>41</v>
      </c>
      <c r="G1936">
        <v>1</v>
      </c>
      <c r="H1936" t="s">
        <v>42</v>
      </c>
      <c r="I1936" t="s">
        <v>43</v>
      </c>
      <c r="J1936" t="s">
        <v>41</v>
      </c>
      <c r="K1936" t="s">
        <v>127</v>
      </c>
      <c r="L1936">
        <v>3630</v>
      </c>
      <c r="M1936" s="1">
        <v>43816</v>
      </c>
      <c r="N1936" t="s">
        <v>45</v>
      </c>
      <c r="O1936" t="s">
        <v>46</v>
      </c>
      <c r="P1936" t="s">
        <v>47</v>
      </c>
      <c r="Q1936" s="1">
        <v>43852</v>
      </c>
      <c r="R1936" t="s">
        <v>48</v>
      </c>
      <c r="S1936" t="s">
        <v>62</v>
      </c>
      <c r="T1936" t="s">
        <v>63</v>
      </c>
      <c r="U1936" t="s">
        <v>42</v>
      </c>
      <c r="V1936">
        <v>0</v>
      </c>
      <c r="W1936">
        <v>100000</v>
      </c>
      <c r="X1936" s="1">
        <v>43982</v>
      </c>
      <c r="Y1936" t="s">
        <v>51</v>
      </c>
      <c r="Z1936" t="s">
        <v>43</v>
      </c>
      <c r="AA1936" t="s">
        <v>41</v>
      </c>
      <c r="AB1936" t="s">
        <v>52</v>
      </c>
      <c r="AC1936" t="s">
        <v>53</v>
      </c>
      <c r="AF1936" t="s">
        <v>57</v>
      </c>
      <c r="AG1936" s="1">
        <v>43836</v>
      </c>
      <c r="AH1936" t="s">
        <v>42</v>
      </c>
      <c r="AI1936" t="s">
        <v>55</v>
      </c>
      <c r="AJ1936">
        <v>12788092</v>
      </c>
      <c r="AK1936">
        <v>250000</v>
      </c>
      <c r="AL1936">
        <v>1500000</v>
      </c>
    </row>
    <row r="1937" spans="1:38" x14ac:dyDescent="0.25">
      <c r="A1937" t="s">
        <v>282</v>
      </c>
      <c r="B1937" t="s">
        <v>514</v>
      </c>
      <c r="C1937" t="s">
        <v>40</v>
      </c>
      <c r="D1937" s="1">
        <v>43441</v>
      </c>
      <c r="E1937" s="1">
        <v>43805</v>
      </c>
      <c r="F1937" t="s">
        <v>41</v>
      </c>
      <c r="G1937">
        <v>1</v>
      </c>
      <c r="H1937" t="s">
        <v>42</v>
      </c>
      <c r="I1937" t="s">
        <v>43</v>
      </c>
      <c r="J1937" t="s">
        <v>41</v>
      </c>
      <c r="K1937" t="s">
        <v>127</v>
      </c>
      <c r="L1937">
        <v>3630</v>
      </c>
      <c r="M1937" s="1">
        <v>43816</v>
      </c>
      <c r="N1937" t="s">
        <v>45</v>
      </c>
      <c r="O1937" t="s">
        <v>46</v>
      </c>
      <c r="P1937" t="s">
        <v>47</v>
      </c>
      <c r="Q1937" s="1">
        <v>43852</v>
      </c>
      <c r="R1937" t="s">
        <v>48</v>
      </c>
      <c r="S1937" t="s">
        <v>62</v>
      </c>
      <c r="T1937" t="s">
        <v>63</v>
      </c>
      <c r="U1937" t="s">
        <v>42</v>
      </c>
      <c r="V1937">
        <v>0</v>
      </c>
      <c r="W1937">
        <v>100000</v>
      </c>
      <c r="X1937" s="1">
        <v>43982</v>
      </c>
      <c r="Y1937" t="s">
        <v>51</v>
      </c>
      <c r="Z1937" t="s">
        <v>43</v>
      </c>
      <c r="AA1937" t="s">
        <v>41</v>
      </c>
      <c r="AB1937" t="s">
        <v>52</v>
      </c>
      <c r="AC1937" t="s">
        <v>53</v>
      </c>
      <c r="AF1937" t="s">
        <v>58</v>
      </c>
      <c r="AG1937" s="1">
        <v>43837</v>
      </c>
      <c r="AH1937" t="s">
        <v>42</v>
      </c>
      <c r="AI1937" t="s">
        <v>55</v>
      </c>
      <c r="AJ1937">
        <v>12788092</v>
      </c>
      <c r="AK1937">
        <v>250000</v>
      </c>
      <c r="AL1937">
        <v>1500000</v>
      </c>
    </row>
    <row r="1938" spans="1:38" x14ac:dyDescent="0.25">
      <c r="A1938" t="s">
        <v>282</v>
      </c>
      <c r="B1938" t="s">
        <v>514</v>
      </c>
      <c r="C1938" t="s">
        <v>40</v>
      </c>
      <c r="D1938" s="1">
        <v>43441</v>
      </c>
      <c r="E1938" s="1">
        <v>43805</v>
      </c>
      <c r="F1938" t="s">
        <v>41</v>
      </c>
      <c r="G1938">
        <v>1</v>
      </c>
      <c r="H1938" t="s">
        <v>42</v>
      </c>
      <c r="I1938" t="s">
        <v>43</v>
      </c>
      <c r="J1938" t="s">
        <v>41</v>
      </c>
      <c r="K1938" t="s">
        <v>127</v>
      </c>
      <c r="L1938">
        <v>3630</v>
      </c>
      <c r="M1938" s="1">
        <v>43816</v>
      </c>
      <c r="N1938" t="s">
        <v>45</v>
      </c>
      <c r="O1938" t="s">
        <v>46</v>
      </c>
      <c r="P1938" t="s">
        <v>47</v>
      </c>
      <c r="Q1938" s="1">
        <v>43852</v>
      </c>
      <c r="R1938" t="s">
        <v>48</v>
      </c>
      <c r="S1938" t="s">
        <v>62</v>
      </c>
      <c r="T1938" t="s">
        <v>63</v>
      </c>
      <c r="U1938" t="s">
        <v>42</v>
      </c>
      <c r="V1938">
        <v>0</v>
      </c>
      <c r="W1938">
        <v>100000</v>
      </c>
      <c r="X1938" s="1">
        <v>43982</v>
      </c>
      <c r="Y1938" t="s">
        <v>51</v>
      </c>
      <c r="Z1938" t="s">
        <v>43</v>
      </c>
      <c r="AA1938" t="s">
        <v>41</v>
      </c>
      <c r="AB1938" t="s">
        <v>52</v>
      </c>
      <c r="AC1938" t="s">
        <v>53</v>
      </c>
      <c r="AF1938" t="s">
        <v>59</v>
      </c>
      <c r="AG1938" s="1">
        <v>43838</v>
      </c>
      <c r="AH1938" t="s">
        <v>42</v>
      </c>
      <c r="AI1938" t="s">
        <v>55</v>
      </c>
      <c r="AJ1938">
        <v>12788092</v>
      </c>
      <c r="AK1938">
        <v>250000</v>
      </c>
      <c r="AL1938">
        <v>1500000</v>
      </c>
    </row>
    <row r="1939" spans="1:38" x14ac:dyDescent="0.25">
      <c r="A1939" t="s">
        <v>282</v>
      </c>
      <c r="B1939" t="s">
        <v>514</v>
      </c>
      <c r="C1939" t="s">
        <v>40</v>
      </c>
      <c r="D1939" s="1">
        <v>43441</v>
      </c>
      <c r="E1939" s="1">
        <v>43805</v>
      </c>
      <c r="F1939" t="s">
        <v>41</v>
      </c>
      <c r="G1939">
        <v>1</v>
      </c>
      <c r="H1939" t="s">
        <v>42</v>
      </c>
      <c r="I1939" t="s">
        <v>43</v>
      </c>
      <c r="J1939" t="s">
        <v>41</v>
      </c>
      <c r="K1939" t="s">
        <v>127</v>
      </c>
      <c r="L1939">
        <v>3630</v>
      </c>
      <c r="M1939" s="1">
        <v>43816</v>
      </c>
      <c r="N1939" t="s">
        <v>45</v>
      </c>
      <c r="O1939" t="s">
        <v>46</v>
      </c>
      <c r="P1939" t="s">
        <v>47</v>
      </c>
      <c r="Q1939" s="1">
        <v>43852</v>
      </c>
      <c r="R1939" t="s">
        <v>48</v>
      </c>
      <c r="S1939" t="s">
        <v>64</v>
      </c>
      <c r="T1939" t="s">
        <v>65</v>
      </c>
      <c r="U1939" t="s">
        <v>42</v>
      </c>
      <c r="V1939">
        <v>0</v>
      </c>
      <c r="W1939">
        <v>100000</v>
      </c>
      <c r="X1939" s="1">
        <v>43921</v>
      </c>
      <c r="Y1939" t="s">
        <v>51</v>
      </c>
      <c r="Z1939" t="s">
        <v>43</v>
      </c>
      <c r="AA1939" t="s">
        <v>41</v>
      </c>
      <c r="AB1939" t="s">
        <v>52</v>
      </c>
      <c r="AC1939" t="s">
        <v>53</v>
      </c>
      <c r="AF1939" t="s">
        <v>54</v>
      </c>
      <c r="AG1939" s="1">
        <v>43832</v>
      </c>
      <c r="AH1939" t="s">
        <v>42</v>
      </c>
      <c r="AI1939" t="s">
        <v>55</v>
      </c>
      <c r="AJ1939">
        <v>12788092</v>
      </c>
      <c r="AK1939">
        <v>250000</v>
      </c>
      <c r="AL1939">
        <v>1500000</v>
      </c>
    </row>
    <row r="1940" spans="1:38" x14ac:dyDescent="0.25">
      <c r="A1940" t="s">
        <v>282</v>
      </c>
      <c r="B1940" t="s">
        <v>514</v>
      </c>
      <c r="C1940" t="s">
        <v>40</v>
      </c>
      <c r="D1940" s="1">
        <v>43441</v>
      </c>
      <c r="E1940" s="1">
        <v>43805</v>
      </c>
      <c r="F1940" t="s">
        <v>41</v>
      </c>
      <c r="G1940">
        <v>1</v>
      </c>
      <c r="H1940" t="s">
        <v>42</v>
      </c>
      <c r="I1940" t="s">
        <v>43</v>
      </c>
      <c r="J1940" t="s">
        <v>41</v>
      </c>
      <c r="K1940" t="s">
        <v>127</v>
      </c>
      <c r="L1940">
        <v>3630</v>
      </c>
      <c r="M1940" s="1">
        <v>43816</v>
      </c>
      <c r="N1940" t="s">
        <v>45</v>
      </c>
      <c r="O1940" t="s">
        <v>46</v>
      </c>
      <c r="P1940" t="s">
        <v>47</v>
      </c>
      <c r="Q1940" s="1">
        <v>43852</v>
      </c>
      <c r="R1940" t="s">
        <v>48</v>
      </c>
      <c r="S1940" t="s">
        <v>64</v>
      </c>
      <c r="T1940" t="s">
        <v>65</v>
      </c>
      <c r="U1940" t="s">
        <v>42</v>
      </c>
      <c r="V1940">
        <v>0</v>
      </c>
      <c r="W1940">
        <v>100000</v>
      </c>
      <c r="X1940" s="1">
        <v>43921</v>
      </c>
      <c r="Y1940" t="s">
        <v>51</v>
      </c>
      <c r="Z1940" t="s">
        <v>43</v>
      </c>
      <c r="AA1940" t="s">
        <v>41</v>
      </c>
      <c r="AB1940" t="s">
        <v>52</v>
      </c>
      <c r="AC1940" t="s">
        <v>53</v>
      </c>
      <c r="AF1940" t="s">
        <v>56</v>
      </c>
      <c r="AG1940" s="1">
        <v>43833</v>
      </c>
      <c r="AH1940" t="s">
        <v>42</v>
      </c>
      <c r="AI1940" t="s">
        <v>55</v>
      </c>
      <c r="AJ1940">
        <v>12788092</v>
      </c>
      <c r="AK1940">
        <v>250000</v>
      </c>
      <c r="AL1940">
        <v>1500000</v>
      </c>
    </row>
    <row r="1941" spans="1:38" x14ac:dyDescent="0.25">
      <c r="A1941" t="s">
        <v>282</v>
      </c>
      <c r="B1941" t="s">
        <v>514</v>
      </c>
      <c r="C1941" t="s">
        <v>40</v>
      </c>
      <c r="D1941" s="1">
        <v>43441</v>
      </c>
      <c r="E1941" s="1">
        <v>43805</v>
      </c>
      <c r="F1941" t="s">
        <v>41</v>
      </c>
      <c r="G1941">
        <v>1</v>
      </c>
      <c r="H1941" t="s">
        <v>42</v>
      </c>
      <c r="I1941" t="s">
        <v>43</v>
      </c>
      <c r="J1941" t="s">
        <v>41</v>
      </c>
      <c r="K1941" t="s">
        <v>127</v>
      </c>
      <c r="L1941">
        <v>3630</v>
      </c>
      <c r="M1941" s="1">
        <v>43816</v>
      </c>
      <c r="N1941" t="s">
        <v>45</v>
      </c>
      <c r="O1941" t="s">
        <v>46</v>
      </c>
      <c r="P1941" t="s">
        <v>47</v>
      </c>
      <c r="Q1941" s="1">
        <v>43852</v>
      </c>
      <c r="R1941" t="s">
        <v>48</v>
      </c>
      <c r="S1941" t="s">
        <v>64</v>
      </c>
      <c r="T1941" t="s">
        <v>65</v>
      </c>
      <c r="U1941" t="s">
        <v>42</v>
      </c>
      <c r="V1941">
        <v>0</v>
      </c>
      <c r="W1941">
        <v>100000</v>
      </c>
      <c r="X1941" s="1">
        <v>43921</v>
      </c>
      <c r="Y1941" t="s">
        <v>51</v>
      </c>
      <c r="Z1941" t="s">
        <v>43</v>
      </c>
      <c r="AA1941" t="s">
        <v>41</v>
      </c>
      <c r="AB1941" t="s">
        <v>52</v>
      </c>
      <c r="AC1941" t="s">
        <v>53</v>
      </c>
      <c r="AF1941" t="s">
        <v>57</v>
      </c>
      <c r="AG1941" s="1">
        <v>43836</v>
      </c>
      <c r="AH1941" t="s">
        <v>42</v>
      </c>
      <c r="AI1941" t="s">
        <v>55</v>
      </c>
      <c r="AJ1941">
        <v>12788092</v>
      </c>
      <c r="AK1941">
        <v>250000</v>
      </c>
      <c r="AL1941">
        <v>1500000</v>
      </c>
    </row>
    <row r="1942" spans="1:38" x14ac:dyDescent="0.25">
      <c r="A1942" t="s">
        <v>282</v>
      </c>
      <c r="B1942" t="s">
        <v>514</v>
      </c>
      <c r="C1942" t="s">
        <v>40</v>
      </c>
      <c r="D1942" s="1">
        <v>43441</v>
      </c>
      <c r="E1942" s="1">
        <v>43805</v>
      </c>
      <c r="F1942" t="s">
        <v>41</v>
      </c>
      <c r="G1942">
        <v>1</v>
      </c>
      <c r="H1942" t="s">
        <v>42</v>
      </c>
      <c r="I1942" t="s">
        <v>43</v>
      </c>
      <c r="J1942" t="s">
        <v>41</v>
      </c>
      <c r="K1942" t="s">
        <v>127</v>
      </c>
      <c r="L1942">
        <v>3630</v>
      </c>
      <c r="M1942" s="1">
        <v>43816</v>
      </c>
      <c r="N1942" t="s">
        <v>45</v>
      </c>
      <c r="O1942" t="s">
        <v>46</v>
      </c>
      <c r="P1942" t="s">
        <v>47</v>
      </c>
      <c r="Q1942" s="1">
        <v>43852</v>
      </c>
      <c r="R1942" t="s">
        <v>48</v>
      </c>
      <c r="S1942" t="s">
        <v>64</v>
      </c>
      <c r="T1942" t="s">
        <v>65</v>
      </c>
      <c r="U1942" t="s">
        <v>42</v>
      </c>
      <c r="V1942">
        <v>0</v>
      </c>
      <c r="W1942">
        <v>100000</v>
      </c>
      <c r="X1942" s="1">
        <v>43921</v>
      </c>
      <c r="Y1942" t="s">
        <v>51</v>
      </c>
      <c r="Z1942" t="s">
        <v>43</v>
      </c>
      <c r="AA1942" t="s">
        <v>41</v>
      </c>
      <c r="AB1942" t="s">
        <v>52</v>
      </c>
      <c r="AC1942" t="s">
        <v>53</v>
      </c>
      <c r="AF1942" t="s">
        <v>58</v>
      </c>
      <c r="AG1942" s="1">
        <v>43837</v>
      </c>
      <c r="AH1942" t="s">
        <v>42</v>
      </c>
      <c r="AI1942" t="s">
        <v>55</v>
      </c>
      <c r="AJ1942">
        <v>12788092</v>
      </c>
      <c r="AK1942">
        <v>250000</v>
      </c>
      <c r="AL1942">
        <v>1500000</v>
      </c>
    </row>
    <row r="1943" spans="1:38" x14ac:dyDescent="0.25">
      <c r="A1943" t="s">
        <v>282</v>
      </c>
      <c r="B1943" t="s">
        <v>514</v>
      </c>
      <c r="C1943" t="s">
        <v>40</v>
      </c>
      <c r="D1943" s="1">
        <v>43441</v>
      </c>
      <c r="E1943" s="1">
        <v>43805</v>
      </c>
      <c r="F1943" t="s">
        <v>41</v>
      </c>
      <c r="G1943">
        <v>1</v>
      </c>
      <c r="H1943" t="s">
        <v>42</v>
      </c>
      <c r="I1943" t="s">
        <v>43</v>
      </c>
      <c r="J1943" t="s">
        <v>41</v>
      </c>
      <c r="K1943" t="s">
        <v>127</v>
      </c>
      <c r="L1943">
        <v>3630</v>
      </c>
      <c r="M1943" s="1">
        <v>43816</v>
      </c>
      <c r="N1943" t="s">
        <v>45</v>
      </c>
      <c r="O1943" t="s">
        <v>46</v>
      </c>
      <c r="P1943" t="s">
        <v>47</v>
      </c>
      <c r="Q1943" s="1">
        <v>43852</v>
      </c>
      <c r="R1943" t="s">
        <v>48</v>
      </c>
      <c r="S1943" t="s">
        <v>64</v>
      </c>
      <c r="T1943" t="s">
        <v>65</v>
      </c>
      <c r="U1943" t="s">
        <v>42</v>
      </c>
      <c r="V1943">
        <v>0</v>
      </c>
      <c r="W1943">
        <v>100000</v>
      </c>
      <c r="X1943" s="1">
        <v>43921</v>
      </c>
      <c r="Y1943" t="s">
        <v>51</v>
      </c>
      <c r="Z1943" t="s">
        <v>43</v>
      </c>
      <c r="AA1943" t="s">
        <v>41</v>
      </c>
      <c r="AB1943" t="s">
        <v>52</v>
      </c>
      <c r="AC1943" t="s">
        <v>53</v>
      </c>
      <c r="AF1943" t="s">
        <v>59</v>
      </c>
      <c r="AG1943" s="1">
        <v>43838</v>
      </c>
      <c r="AH1943" t="s">
        <v>42</v>
      </c>
      <c r="AI1943" t="s">
        <v>55</v>
      </c>
      <c r="AJ1943">
        <v>12788092</v>
      </c>
      <c r="AK1943">
        <v>250000</v>
      </c>
      <c r="AL1943">
        <v>1500000</v>
      </c>
    </row>
    <row r="1944" spans="1:38" x14ac:dyDescent="0.25">
      <c r="A1944" t="s">
        <v>284</v>
      </c>
      <c r="B1944" t="s">
        <v>176</v>
      </c>
      <c r="C1944" t="s">
        <v>40</v>
      </c>
      <c r="D1944" s="1">
        <v>43354</v>
      </c>
      <c r="E1944" s="1">
        <v>43718</v>
      </c>
      <c r="F1944" t="s">
        <v>41</v>
      </c>
      <c r="G1944">
        <v>1</v>
      </c>
      <c r="H1944" t="s">
        <v>42</v>
      </c>
      <c r="I1944" t="s">
        <v>43</v>
      </c>
      <c r="J1944" t="s">
        <v>41</v>
      </c>
      <c r="K1944" t="s">
        <v>44</v>
      </c>
      <c r="L1944">
        <v>1072.5</v>
      </c>
      <c r="M1944" s="1">
        <v>43719</v>
      </c>
      <c r="N1944" t="s">
        <v>45</v>
      </c>
      <c r="O1944" t="s">
        <v>46</v>
      </c>
      <c r="P1944" t="s">
        <v>47</v>
      </c>
      <c r="Q1944" s="1">
        <v>43852</v>
      </c>
      <c r="R1944" t="s">
        <v>48</v>
      </c>
      <c r="S1944" t="s">
        <v>49</v>
      </c>
      <c r="T1944" t="s">
        <v>50</v>
      </c>
      <c r="U1944" t="s">
        <v>42</v>
      </c>
      <c r="V1944">
        <v>0</v>
      </c>
      <c r="W1944">
        <v>100000</v>
      </c>
      <c r="X1944" s="1">
        <v>44012</v>
      </c>
      <c r="Y1944" t="s">
        <v>51</v>
      </c>
      <c r="Z1944" t="s">
        <v>43</v>
      </c>
      <c r="AA1944" t="s">
        <v>41</v>
      </c>
      <c r="AB1944" t="s">
        <v>52</v>
      </c>
      <c r="AC1944" t="s">
        <v>53</v>
      </c>
      <c r="AF1944" t="s">
        <v>54</v>
      </c>
      <c r="AG1944" s="1">
        <v>43832</v>
      </c>
      <c r="AH1944" t="s">
        <v>42</v>
      </c>
      <c r="AI1944" t="s">
        <v>55</v>
      </c>
      <c r="AJ1944">
        <v>12788092</v>
      </c>
      <c r="AK1944">
        <v>250000</v>
      </c>
      <c r="AL1944">
        <v>1500000</v>
      </c>
    </row>
    <row r="1945" spans="1:38" x14ac:dyDescent="0.25">
      <c r="A1945" t="s">
        <v>284</v>
      </c>
      <c r="B1945" t="s">
        <v>176</v>
      </c>
      <c r="C1945" t="s">
        <v>40</v>
      </c>
      <c r="D1945" s="1">
        <v>43354</v>
      </c>
      <c r="E1945" s="1">
        <v>43718</v>
      </c>
      <c r="F1945" t="s">
        <v>41</v>
      </c>
      <c r="G1945">
        <v>1</v>
      </c>
      <c r="H1945" t="s">
        <v>42</v>
      </c>
      <c r="I1945" t="s">
        <v>43</v>
      </c>
      <c r="J1945" t="s">
        <v>41</v>
      </c>
      <c r="K1945" t="s">
        <v>44</v>
      </c>
      <c r="L1945">
        <v>1072.5</v>
      </c>
      <c r="M1945" s="1">
        <v>43719</v>
      </c>
      <c r="N1945" t="s">
        <v>45</v>
      </c>
      <c r="O1945" t="s">
        <v>46</v>
      </c>
      <c r="P1945" t="s">
        <v>47</v>
      </c>
      <c r="Q1945" s="1">
        <v>43852</v>
      </c>
      <c r="R1945" t="s">
        <v>48</v>
      </c>
      <c r="S1945" t="s">
        <v>49</v>
      </c>
      <c r="T1945" t="s">
        <v>50</v>
      </c>
      <c r="U1945" t="s">
        <v>42</v>
      </c>
      <c r="V1945">
        <v>0</v>
      </c>
      <c r="W1945">
        <v>100000</v>
      </c>
      <c r="X1945" s="1">
        <v>44012</v>
      </c>
      <c r="Y1945" t="s">
        <v>51</v>
      </c>
      <c r="Z1945" t="s">
        <v>43</v>
      </c>
      <c r="AA1945" t="s">
        <v>41</v>
      </c>
      <c r="AB1945" t="s">
        <v>52</v>
      </c>
      <c r="AC1945" t="s">
        <v>53</v>
      </c>
      <c r="AF1945" t="s">
        <v>56</v>
      </c>
      <c r="AG1945" s="1">
        <v>43833</v>
      </c>
      <c r="AH1945" t="s">
        <v>42</v>
      </c>
      <c r="AI1945" t="s">
        <v>55</v>
      </c>
      <c r="AJ1945">
        <v>12788092</v>
      </c>
      <c r="AK1945">
        <v>250000</v>
      </c>
      <c r="AL1945">
        <v>1500000</v>
      </c>
    </row>
    <row r="1946" spans="1:38" x14ac:dyDescent="0.25">
      <c r="A1946" t="s">
        <v>284</v>
      </c>
      <c r="B1946" t="s">
        <v>176</v>
      </c>
      <c r="C1946" t="s">
        <v>40</v>
      </c>
      <c r="D1946" s="1">
        <v>43354</v>
      </c>
      <c r="E1946" s="1">
        <v>43718</v>
      </c>
      <c r="F1946" t="s">
        <v>41</v>
      </c>
      <c r="G1946">
        <v>1</v>
      </c>
      <c r="H1946" t="s">
        <v>42</v>
      </c>
      <c r="I1946" t="s">
        <v>43</v>
      </c>
      <c r="J1946" t="s">
        <v>41</v>
      </c>
      <c r="K1946" t="s">
        <v>44</v>
      </c>
      <c r="L1946">
        <v>1072.5</v>
      </c>
      <c r="M1946" s="1">
        <v>43719</v>
      </c>
      <c r="N1946" t="s">
        <v>45</v>
      </c>
      <c r="O1946" t="s">
        <v>46</v>
      </c>
      <c r="P1946" t="s">
        <v>47</v>
      </c>
      <c r="Q1946" s="1">
        <v>43852</v>
      </c>
      <c r="R1946" t="s">
        <v>48</v>
      </c>
      <c r="S1946" t="s">
        <v>49</v>
      </c>
      <c r="T1946" t="s">
        <v>50</v>
      </c>
      <c r="U1946" t="s">
        <v>42</v>
      </c>
      <c r="V1946">
        <v>0</v>
      </c>
      <c r="W1946">
        <v>100000</v>
      </c>
      <c r="X1946" s="1">
        <v>44012</v>
      </c>
      <c r="Y1946" t="s">
        <v>51</v>
      </c>
      <c r="Z1946" t="s">
        <v>43</v>
      </c>
      <c r="AA1946" t="s">
        <v>41</v>
      </c>
      <c r="AB1946" t="s">
        <v>52</v>
      </c>
      <c r="AC1946" t="s">
        <v>53</v>
      </c>
      <c r="AF1946" t="s">
        <v>57</v>
      </c>
      <c r="AG1946" s="1">
        <v>43836</v>
      </c>
      <c r="AH1946" t="s">
        <v>42</v>
      </c>
      <c r="AI1946" t="s">
        <v>55</v>
      </c>
      <c r="AJ1946">
        <v>12788092</v>
      </c>
      <c r="AK1946">
        <v>250000</v>
      </c>
      <c r="AL1946">
        <v>1500000</v>
      </c>
    </row>
    <row r="1947" spans="1:38" x14ac:dyDescent="0.25">
      <c r="A1947" t="s">
        <v>284</v>
      </c>
      <c r="B1947" t="s">
        <v>176</v>
      </c>
      <c r="C1947" t="s">
        <v>40</v>
      </c>
      <c r="D1947" s="1">
        <v>43354</v>
      </c>
      <c r="E1947" s="1">
        <v>43718</v>
      </c>
      <c r="F1947" t="s">
        <v>41</v>
      </c>
      <c r="G1947">
        <v>1</v>
      </c>
      <c r="H1947" t="s">
        <v>42</v>
      </c>
      <c r="I1947" t="s">
        <v>43</v>
      </c>
      <c r="J1947" t="s">
        <v>41</v>
      </c>
      <c r="K1947" t="s">
        <v>44</v>
      </c>
      <c r="L1947">
        <v>1072.5</v>
      </c>
      <c r="M1947" s="1">
        <v>43719</v>
      </c>
      <c r="N1947" t="s">
        <v>45</v>
      </c>
      <c r="O1947" t="s">
        <v>46</v>
      </c>
      <c r="P1947" t="s">
        <v>47</v>
      </c>
      <c r="Q1947" s="1">
        <v>43852</v>
      </c>
      <c r="R1947" t="s">
        <v>48</v>
      </c>
      <c r="S1947" t="s">
        <v>49</v>
      </c>
      <c r="T1947" t="s">
        <v>50</v>
      </c>
      <c r="U1947" t="s">
        <v>42</v>
      </c>
      <c r="V1947">
        <v>0</v>
      </c>
      <c r="W1947">
        <v>100000</v>
      </c>
      <c r="X1947" s="1">
        <v>44012</v>
      </c>
      <c r="Y1947" t="s">
        <v>51</v>
      </c>
      <c r="Z1947" t="s">
        <v>43</v>
      </c>
      <c r="AA1947" t="s">
        <v>41</v>
      </c>
      <c r="AB1947" t="s">
        <v>52</v>
      </c>
      <c r="AC1947" t="s">
        <v>53</v>
      </c>
      <c r="AF1947" t="s">
        <v>58</v>
      </c>
      <c r="AG1947" s="1">
        <v>43837</v>
      </c>
      <c r="AH1947" t="s">
        <v>42</v>
      </c>
      <c r="AI1947" t="s">
        <v>55</v>
      </c>
      <c r="AJ1947">
        <v>12788092</v>
      </c>
      <c r="AK1947">
        <v>250000</v>
      </c>
      <c r="AL1947">
        <v>1500000</v>
      </c>
    </row>
    <row r="1948" spans="1:38" x14ac:dyDescent="0.25">
      <c r="A1948" t="s">
        <v>284</v>
      </c>
      <c r="B1948" t="s">
        <v>176</v>
      </c>
      <c r="C1948" t="s">
        <v>40</v>
      </c>
      <c r="D1948" s="1">
        <v>43354</v>
      </c>
      <c r="E1948" s="1">
        <v>43718</v>
      </c>
      <c r="F1948" t="s">
        <v>41</v>
      </c>
      <c r="G1948">
        <v>1</v>
      </c>
      <c r="H1948" t="s">
        <v>42</v>
      </c>
      <c r="I1948" t="s">
        <v>43</v>
      </c>
      <c r="J1948" t="s">
        <v>41</v>
      </c>
      <c r="K1948" t="s">
        <v>44</v>
      </c>
      <c r="L1948">
        <v>1072.5</v>
      </c>
      <c r="M1948" s="1">
        <v>43719</v>
      </c>
      <c r="N1948" t="s">
        <v>45</v>
      </c>
      <c r="O1948" t="s">
        <v>46</v>
      </c>
      <c r="P1948" t="s">
        <v>47</v>
      </c>
      <c r="Q1948" s="1">
        <v>43852</v>
      </c>
      <c r="R1948" t="s">
        <v>48</v>
      </c>
      <c r="S1948" t="s">
        <v>49</v>
      </c>
      <c r="T1948" t="s">
        <v>50</v>
      </c>
      <c r="U1948" t="s">
        <v>42</v>
      </c>
      <c r="V1948">
        <v>0</v>
      </c>
      <c r="W1948">
        <v>100000</v>
      </c>
      <c r="X1948" s="1">
        <v>44012</v>
      </c>
      <c r="Y1948" t="s">
        <v>51</v>
      </c>
      <c r="Z1948" t="s">
        <v>43</v>
      </c>
      <c r="AA1948" t="s">
        <v>41</v>
      </c>
      <c r="AB1948" t="s">
        <v>52</v>
      </c>
      <c r="AC1948" t="s">
        <v>53</v>
      </c>
      <c r="AF1948" t="s">
        <v>59</v>
      </c>
      <c r="AG1948" s="1">
        <v>43838</v>
      </c>
      <c r="AH1948" t="s">
        <v>42</v>
      </c>
      <c r="AI1948" t="s">
        <v>55</v>
      </c>
      <c r="AJ1948">
        <v>12788092</v>
      </c>
      <c r="AK1948">
        <v>250000</v>
      </c>
      <c r="AL1948">
        <v>1500000</v>
      </c>
    </row>
    <row r="1949" spans="1:38" x14ac:dyDescent="0.25">
      <c r="A1949" t="s">
        <v>284</v>
      </c>
      <c r="B1949" t="s">
        <v>176</v>
      </c>
      <c r="C1949" t="s">
        <v>40</v>
      </c>
      <c r="D1949" s="1">
        <v>43354</v>
      </c>
      <c r="E1949" s="1">
        <v>43718</v>
      </c>
      <c r="F1949" t="s">
        <v>41</v>
      </c>
      <c r="G1949">
        <v>1</v>
      </c>
      <c r="H1949" t="s">
        <v>42</v>
      </c>
      <c r="I1949" t="s">
        <v>43</v>
      </c>
      <c r="J1949" t="s">
        <v>41</v>
      </c>
      <c r="K1949" t="s">
        <v>44</v>
      </c>
      <c r="L1949">
        <v>1072.5</v>
      </c>
      <c r="M1949" s="1">
        <v>43719</v>
      </c>
      <c r="N1949" t="s">
        <v>45</v>
      </c>
      <c r="O1949" t="s">
        <v>46</v>
      </c>
      <c r="P1949" t="s">
        <v>47</v>
      </c>
      <c r="Q1949" s="1">
        <v>43852</v>
      </c>
      <c r="R1949" t="s">
        <v>48</v>
      </c>
      <c r="S1949" t="s">
        <v>60</v>
      </c>
      <c r="T1949" t="s">
        <v>61</v>
      </c>
      <c r="U1949" t="s">
        <v>42</v>
      </c>
      <c r="V1949">
        <v>0</v>
      </c>
      <c r="W1949">
        <v>100000</v>
      </c>
      <c r="X1949" s="1">
        <v>43921</v>
      </c>
      <c r="Y1949" t="s">
        <v>51</v>
      </c>
      <c r="Z1949" t="s">
        <v>43</v>
      </c>
      <c r="AA1949" t="s">
        <v>41</v>
      </c>
      <c r="AB1949" t="s">
        <v>52</v>
      </c>
      <c r="AC1949" t="s">
        <v>53</v>
      </c>
      <c r="AF1949" t="s">
        <v>54</v>
      </c>
      <c r="AG1949" s="1">
        <v>43832</v>
      </c>
      <c r="AH1949" t="s">
        <v>42</v>
      </c>
      <c r="AI1949" t="s">
        <v>55</v>
      </c>
      <c r="AJ1949">
        <v>12788092</v>
      </c>
      <c r="AK1949">
        <v>250000</v>
      </c>
      <c r="AL1949">
        <v>1500000</v>
      </c>
    </row>
    <row r="1950" spans="1:38" x14ac:dyDescent="0.25">
      <c r="A1950" t="s">
        <v>284</v>
      </c>
      <c r="B1950" t="s">
        <v>176</v>
      </c>
      <c r="C1950" t="s">
        <v>40</v>
      </c>
      <c r="D1950" s="1">
        <v>43354</v>
      </c>
      <c r="E1950" s="1">
        <v>43718</v>
      </c>
      <c r="F1950" t="s">
        <v>41</v>
      </c>
      <c r="G1950">
        <v>1</v>
      </c>
      <c r="H1950" t="s">
        <v>42</v>
      </c>
      <c r="I1950" t="s">
        <v>43</v>
      </c>
      <c r="J1950" t="s">
        <v>41</v>
      </c>
      <c r="K1950" t="s">
        <v>44</v>
      </c>
      <c r="L1950">
        <v>1072.5</v>
      </c>
      <c r="M1950" s="1">
        <v>43719</v>
      </c>
      <c r="N1950" t="s">
        <v>45</v>
      </c>
      <c r="O1950" t="s">
        <v>46</v>
      </c>
      <c r="P1950" t="s">
        <v>47</v>
      </c>
      <c r="Q1950" s="1">
        <v>43852</v>
      </c>
      <c r="R1950" t="s">
        <v>48</v>
      </c>
      <c r="S1950" t="s">
        <v>60</v>
      </c>
      <c r="T1950" t="s">
        <v>61</v>
      </c>
      <c r="U1950" t="s">
        <v>42</v>
      </c>
      <c r="V1950">
        <v>0</v>
      </c>
      <c r="W1950">
        <v>100000</v>
      </c>
      <c r="X1950" s="1">
        <v>43921</v>
      </c>
      <c r="Y1950" t="s">
        <v>51</v>
      </c>
      <c r="Z1950" t="s">
        <v>43</v>
      </c>
      <c r="AA1950" t="s">
        <v>41</v>
      </c>
      <c r="AB1950" t="s">
        <v>52</v>
      </c>
      <c r="AC1950" t="s">
        <v>53</v>
      </c>
      <c r="AF1950" t="s">
        <v>56</v>
      </c>
      <c r="AG1950" s="1">
        <v>43833</v>
      </c>
      <c r="AH1950" t="s">
        <v>42</v>
      </c>
      <c r="AI1950" t="s">
        <v>55</v>
      </c>
      <c r="AJ1950">
        <v>12788092</v>
      </c>
      <c r="AK1950">
        <v>250000</v>
      </c>
      <c r="AL1950">
        <v>1500000</v>
      </c>
    </row>
    <row r="1951" spans="1:38" x14ac:dyDescent="0.25">
      <c r="A1951" t="s">
        <v>284</v>
      </c>
      <c r="B1951" t="s">
        <v>176</v>
      </c>
      <c r="C1951" t="s">
        <v>40</v>
      </c>
      <c r="D1951" s="1">
        <v>43354</v>
      </c>
      <c r="E1951" s="1">
        <v>43718</v>
      </c>
      <c r="F1951" t="s">
        <v>41</v>
      </c>
      <c r="G1951">
        <v>1</v>
      </c>
      <c r="H1951" t="s">
        <v>42</v>
      </c>
      <c r="I1951" t="s">
        <v>43</v>
      </c>
      <c r="J1951" t="s">
        <v>41</v>
      </c>
      <c r="K1951" t="s">
        <v>44</v>
      </c>
      <c r="L1951">
        <v>1072.5</v>
      </c>
      <c r="M1951" s="1">
        <v>43719</v>
      </c>
      <c r="N1951" t="s">
        <v>45</v>
      </c>
      <c r="O1951" t="s">
        <v>46</v>
      </c>
      <c r="P1951" t="s">
        <v>47</v>
      </c>
      <c r="Q1951" s="1">
        <v>43852</v>
      </c>
      <c r="R1951" t="s">
        <v>48</v>
      </c>
      <c r="S1951" t="s">
        <v>60</v>
      </c>
      <c r="T1951" t="s">
        <v>61</v>
      </c>
      <c r="U1951" t="s">
        <v>42</v>
      </c>
      <c r="V1951">
        <v>0</v>
      </c>
      <c r="W1951">
        <v>100000</v>
      </c>
      <c r="X1951" s="1">
        <v>43921</v>
      </c>
      <c r="Y1951" t="s">
        <v>51</v>
      </c>
      <c r="Z1951" t="s">
        <v>43</v>
      </c>
      <c r="AA1951" t="s">
        <v>41</v>
      </c>
      <c r="AB1951" t="s">
        <v>52</v>
      </c>
      <c r="AC1951" t="s">
        <v>53</v>
      </c>
      <c r="AF1951" t="s">
        <v>57</v>
      </c>
      <c r="AG1951" s="1">
        <v>43836</v>
      </c>
      <c r="AH1951" t="s">
        <v>42</v>
      </c>
      <c r="AI1951" t="s">
        <v>55</v>
      </c>
      <c r="AJ1951">
        <v>12788092</v>
      </c>
      <c r="AK1951">
        <v>250000</v>
      </c>
      <c r="AL1951">
        <v>1500000</v>
      </c>
    </row>
    <row r="1952" spans="1:38" x14ac:dyDescent="0.25">
      <c r="A1952" t="s">
        <v>284</v>
      </c>
      <c r="B1952" t="s">
        <v>176</v>
      </c>
      <c r="C1952" t="s">
        <v>40</v>
      </c>
      <c r="D1952" s="1">
        <v>43354</v>
      </c>
      <c r="E1952" s="1">
        <v>43718</v>
      </c>
      <c r="F1952" t="s">
        <v>41</v>
      </c>
      <c r="G1952">
        <v>1</v>
      </c>
      <c r="H1952" t="s">
        <v>42</v>
      </c>
      <c r="I1952" t="s">
        <v>43</v>
      </c>
      <c r="J1952" t="s">
        <v>41</v>
      </c>
      <c r="K1952" t="s">
        <v>44</v>
      </c>
      <c r="L1952">
        <v>1072.5</v>
      </c>
      <c r="M1952" s="1">
        <v>43719</v>
      </c>
      <c r="N1952" t="s">
        <v>45</v>
      </c>
      <c r="O1952" t="s">
        <v>46</v>
      </c>
      <c r="P1952" t="s">
        <v>47</v>
      </c>
      <c r="Q1952" s="1">
        <v>43852</v>
      </c>
      <c r="R1952" t="s">
        <v>48</v>
      </c>
      <c r="S1952" t="s">
        <v>60</v>
      </c>
      <c r="T1952" t="s">
        <v>61</v>
      </c>
      <c r="U1952" t="s">
        <v>42</v>
      </c>
      <c r="V1952">
        <v>0</v>
      </c>
      <c r="W1952">
        <v>100000</v>
      </c>
      <c r="X1952" s="1">
        <v>43921</v>
      </c>
      <c r="Y1952" t="s">
        <v>51</v>
      </c>
      <c r="Z1952" t="s">
        <v>43</v>
      </c>
      <c r="AA1952" t="s">
        <v>41</v>
      </c>
      <c r="AB1952" t="s">
        <v>52</v>
      </c>
      <c r="AC1952" t="s">
        <v>53</v>
      </c>
      <c r="AF1952" t="s">
        <v>58</v>
      </c>
      <c r="AG1952" s="1">
        <v>43837</v>
      </c>
      <c r="AH1952" t="s">
        <v>42</v>
      </c>
      <c r="AI1952" t="s">
        <v>55</v>
      </c>
      <c r="AJ1952">
        <v>12788092</v>
      </c>
      <c r="AK1952">
        <v>250000</v>
      </c>
      <c r="AL1952">
        <v>1500000</v>
      </c>
    </row>
    <row r="1953" spans="1:38" x14ac:dyDescent="0.25">
      <c r="A1953" t="s">
        <v>284</v>
      </c>
      <c r="B1953" t="s">
        <v>176</v>
      </c>
      <c r="C1953" t="s">
        <v>40</v>
      </c>
      <c r="D1953" s="1">
        <v>43354</v>
      </c>
      <c r="E1953" s="1">
        <v>43718</v>
      </c>
      <c r="F1953" t="s">
        <v>41</v>
      </c>
      <c r="G1953">
        <v>1</v>
      </c>
      <c r="H1953" t="s">
        <v>42</v>
      </c>
      <c r="I1953" t="s">
        <v>43</v>
      </c>
      <c r="J1953" t="s">
        <v>41</v>
      </c>
      <c r="K1953" t="s">
        <v>44</v>
      </c>
      <c r="L1953">
        <v>1072.5</v>
      </c>
      <c r="M1953" s="1">
        <v>43719</v>
      </c>
      <c r="N1953" t="s">
        <v>45</v>
      </c>
      <c r="O1953" t="s">
        <v>46</v>
      </c>
      <c r="P1953" t="s">
        <v>47</v>
      </c>
      <c r="Q1953" s="1">
        <v>43852</v>
      </c>
      <c r="R1953" t="s">
        <v>48</v>
      </c>
      <c r="S1953" t="s">
        <v>60</v>
      </c>
      <c r="T1953" t="s">
        <v>61</v>
      </c>
      <c r="U1953" t="s">
        <v>42</v>
      </c>
      <c r="V1953">
        <v>0</v>
      </c>
      <c r="W1953">
        <v>100000</v>
      </c>
      <c r="X1953" s="1">
        <v>43921</v>
      </c>
      <c r="Y1953" t="s">
        <v>51</v>
      </c>
      <c r="Z1953" t="s">
        <v>43</v>
      </c>
      <c r="AA1953" t="s">
        <v>41</v>
      </c>
      <c r="AB1953" t="s">
        <v>52</v>
      </c>
      <c r="AC1953" t="s">
        <v>53</v>
      </c>
      <c r="AF1953" t="s">
        <v>59</v>
      </c>
      <c r="AG1953" s="1">
        <v>43838</v>
      </c>
      <c r="AH1953" t="s">
        <v>42</v>
      </c>
      <c r="AI1953" t="s">
        <v>55</v>
      </c>
      <c r="AJ1953">
        <v>12788092</v>
      </c>
      <c r="AK1953">
        <v>250000</v>
      </c>
      <c r="AL1953">
        <v>1500000</v>
      </c>
    </row>
    <row r="1954" spans="1:38" x14ac:dyDescent="0.25">
      <c r="A1954" t="s">
        <v>284</v>
      </c>
      <c r="B1954" t="s">
        <v>176</v>
      </c>
      <c r="C1954" t="s">
        <v>40</v>
      </c>
      <c r="D1954" s="1">
        <v>43354</v>
      </c>
      <c r="E1954" s="1">
        <v>43718</v>
      </c>
      <c r="F1954" t="s">
        <v>41</v>
      </c>
      <c r="G1954">
        <v>1</v>
      </c>
      <c r="H1954" t="s">
        <v>42</v>
      </c>
      <c r="I1954" t="s">
        <v>43</v>
      </c>
      <c r="J1954" t="s">
        <v>41</v>
      </c>
      <c r="K1954" t="s">
        <v>44</v>
      </c>
      <c r="L1954">
        <v>1072.5</v>
      </c>
      <c r="M1954" s="1">
        <v>43719</v>
      </c>
      <c r="N1954" t="s">
        <v>45</v>
      </c>
      <c r="O1954" t="s">
        <v>46</v>
      </c>
      <c r="P1954" t="s">
        <v>47</v>
      </c>
      <c r="Q1954" s="1">
        <v>43852</v>
      </c>
      <c r="R1954" t="s">
        <v>48</v>
      </c>
      <c r="S1954" t="s">
        <v>62</v>
      </c>
      <c r="T1954" t="s">
        <v>63</v>
      </c>
      <c r="U1954" t="s">
        <v>42</v>
      </c>
      <c r="V1954">
        <v>0</v>
      </c>
      <c r="W1954">
        <v>100000</v>
      </c>
      <c r="X1954" s="1">
        <v>43982</v>
      </c>
      <c r="Y1954" t="s">
        <v>51</v>
      </c>
      <c r="Z1954" t="s">
        <v>43</v>
      </c>
      <c r="AA1954" t="s">
        <v>41</v>
      </c>
      <c r="AB1954" t="s">
        <v>52</v>
      </c>
      <c r="AC1954" t="s">
        <v>53</v>
      </c>
      <c r="AF1954" t="s">
        <v>54</v>
      </c>
      <c r="AG1954" s="1">
        <v>43832</v>
      </c>
      <c r="AH1954" t="s">
        <v>42</v>
      </c>
      <c r="AI1954" t="s">
        <v>55</v>
      </c>
      <c r="AJ1954">
        <v>12788092</v>
      </c>
      <c r="AK1954">
        <v>250000</v>
      </c>
      <c r="AL1954">
        <v>1500000</v>
      </c>
    </row>
    <row r="1955" spans="1:38" x14ac:dyDescent="0.25">
      <c r="A1955" t="s">
        <v>284</v>
      </c>
      <c r="B1955" t="s">
        <v>176</v>
      </c>
      <c r="C1955" t="s">
        <v>40</v>
      </c>
      <c r="D1955" s="1">
        <v>43354</v>
      </c>
      <c r="E1955" s="1">
        <v>43718</v>
      </c>
      <c r="F1955" t="s">
        <v>41</v>
      </c>
      <c r="G1955">
        <v>1</v>
      </c>
      <c r="H1955" t="s">
        <v>42</v>
      </c>
      <c r="I1955" t="s">
        <v>43</v>
      </c>
      <c r="J1955" t="s">
        <v>41</v>
      </c>
      <c r="K1955" t="s">
        <v>44</v>
      </c>
      <c r="L1955">
        <v>1072.5</v>
      </c>
      <c r="M1955" s="1">
        <v>43719</v>
      </c>
      <c r="N1955" t="s">
        <v>45</v>
      </c>
      <c r="O1955" t="s">
        <v>46</v>
      </c>
      <c r="P1955" t="s">
        <v>47</v>
      </c>
      <c r="Q1955" s="1">
        <v>43852</v>
      </c>
      <c r="R1955" t="s">
        <v>48</v>
      </c>
      <c r="S1955" t="s">
        <v>62</v>
      </c>
      <c r="T1955" t="s">
        <v>63</v>
      </c>
      <c r="U1955" t="s">
        <v>42</v>
      </c>
      <c r="V1955">
        <v>0</v>
      </c>
      <c r="W1955">
        <v>100000</v>
      </c>
      <c r="X1955" s="1">
        <v>43982</v>
      </c>
      <c r="Y1955" t="s">
        <v>51</v>
      </c>
      <c r="Z1955" t="s">
        <v>43</v>
      </c>
      <c r="AA1955" t="s">
        <v>41</v>
      </c>
      <c r="AB1955" t="s">
        <v>52</v>
      </c>
      <c r="AC1955" t="s">
        <v>53</v>
      </c>
      <c r="AF1955" t="s">
        <v>56</v>
      </c>
      <c r="AG1955" s="1">
        <v>43833</v>
      </c>
      <c r="AH1955" t="s">
        <v>42</v>
      </c>
      <c r="AI1955" t="s">
        <v>55</v>
      </c>
      <c r="AJ1955">
        <v>12788092</v>
      </c>
      <c r="AK1955">
        <v>250000</v>
      </c>
      <c r="AL1955">
        <v>1500000</v>
      </c>
    </row>
    <row r="1956" spans="1:38" x14ac:dyDescent="0.25">
      <c r="A1956" t="s">
        <v>284</v>
      </c>
      <c r="B1956" t="s">
        <v>176</v>
      </c>
      <c r="C1956" t="s">
        <v>40</v>
      </c>
      <c r="D1956" s="1">
        <v>43354</v>
      </c>
      <c r="E1956" s="1">
        <v>43718</v>
      </c>
      <c r="F1956" t="s">
        <v>41</v>
      </c>
      <c r="G1956">
        <v>1</v>
      </c>
      <c r="H1956" t="s">
        <v>42</v>
      </c>
      <c r="I1956" t="s">
        <v>43</v>
      </c>
      <c r="J1956" t="s">
        <v>41</v>
      </c>
      <c r="K1956" t="s">
        <v>44</v>
      </c>
      <c r="L1956">
        <v>1072.5</v>
      </c>
      <c r="M1956" s="1">
        <v>43719</v>
      </c>
      <c r="N1956" t="s">
        <v>45</v>
      </c>
      <c r="O1956" t="s">
        <v>46</v>
      </c>
      <c r="P1956" t="s">
        <v>47</v>
      </c>
      <c r="Q1956" s="1">
        <v>43852</v>
      </c>
      <c r="R1956" t="s">
        <v>48</v>
      </c>
      <c r="S1956" t="s">
        <v>62</v>
      </c>
      <c r="T1956" t="s">
        <v>63</v>
      </c>
      <c r="U1956" t="s">
        <v>42</v>
      </c>
      <c r="V1956">
        <v>0</v>
      </c>
      <c r="W1956">
        <v>100000</v>
      </c>
      <c r="X1956" s="1">
        <v>43982</v>
      </c>
      <c r="Y1956" t="s">
        <v>51</v>
      </c>
      <c r="Z1956" t="s">
        <v>43</v>
      </c>
      <c r="AA1956" t="s">
        <v>41</v>
      </c>
      <c r="AB1956" t="s">
        <v>52</v>
      </c>
      <c r="AC1956" t="s">
        <v>53</v>
      </c>
      <c r="AF1956" t="s">
        <v>57</v>
      </c>
      <c r="AG1956" s="1">
        <v>43836</v>
      </c>
      <c r="AH1956" t="s">
        <v>42</v>
      </c>
      <c r="AI1956" t="s">
        <v>55</v>
      </c>
      <c r="AJ1956">
        <v>12788092</v>
      </c>
      <c r="AK1956">
        <v>250000</v>
      </c>
      <c r="AL1956">
        <v>1500000</v>
      </c>
    </row>
    <row r="1957" spans="1:38" x14ac:dyDescent="0.25">
      <c r="A1957" t="s">
        <v>284</v>
      </c>
      <c r="B1957" t="s">
        <v>176</v>
      </c>
      <c r="C1957" t="s">
        <v>40</v>
      </c>
      <c r="D1957" s="1">
        <v>43354</v>
      </c>
      <c r="E1957" s="1">
        <v>43718</v>
      </c>
      <c r="F1957" t="s">
        <v>41</v>
      </c>
      <c r="G1957">
        <v>1</v>
      </c>
      <c r="H1957" t="s">
        <v>42</v>
      </c>
      <c r="I1957" t="s">
        <v>43</v>
      </c>
      <c r="J1957" t="s">
        <v>41</v>
      </c>
      <c r="K1957" t="s">
        <v>44</v>
      </c>
      <c r="L1957">
        <v>1072.5</v>
      </c>
      <c r="M1957" s="1">
        <v>43719</v>
      </c>
      <c r="N1957" t="s">
        <v>45</v>
      </c>
      <c r="O1957" t="s">
        <v>46</v>
      </c>
      <c r="P1957" t="s">
        <v>47</v>
      </c>
      <c r="Q1957" s="1">
        <v>43852</v>
      </c>
      <c r="R1957" t="s">
        <v>48</v>
      </c>
      <c r="S1957" t="s">
        <v>62</v>
      </c>
      <c r="T1957" t="s">
        <v>63</v>
      </c>
      <c r="U1957" t="s">
        <v>42</v>
      </c>
      <c r="V1957">
        <v>0</v>
      </c>
      <c r="W1957">
        <v>100000</v>
      </c>
      <c r="X1957" s="1">
        <v>43982</v>
      </c>
      <c r="Y1957" t="s">
        <v>51</v>
      </c>
      <c r="Z1957" t="s">
        <v>43</v>
      </c>
      <c r="AA1957" t="s">
        <v>41</v>
      </c>
      <c r="AB1957" t="s">
        <v>52</v>
      </c>
      <c r="AC1957" t="s">
        <v>53</v>
      </c>
      <c r="AF1957" t="s">
        <v>58</v>
      </c>
      <c r="AG1957" s="1">
        <v>43837</v>
      </c>
      <c r="AH1957" t="s">
        <v>42</v>
      </c>
      <c r="AI1957" t="s">
        <v>55</v>
      </c>
      <c r="AJ1957">
        <v>12788092</v>
      </c>
      <c r="AK1957">
        <v>250000</v>
      </c>
      <c r="AL1957">
        <v>1500000</v>
      </c>
    </row>
    <row r="1958" spans="1:38" x14ac:dyDescent="0.25">
      <c r="A1958" t="s">
        <v>284</v>
      </c>
      <c r="B1958" t="s">
        <v>176</v>
      </c>
      <c r="C1958" t="s">
        <v>40</v>
      </c>
      <c r="D1958" s="1">
        <v>43354</v>
      </c>
      <c r="E1958" s="1">
        <v>43718</v>
      </c>
      <c r="F1958" t="s">
        <v>41</v>
      </c>
      <c r="G1958">
        <v>1</v>
      </c>
      <c r="H1958" t="s">
        <v>42</v>
      </c>
      <c r="I1958" t="s">
        <v>43</v>
      </c>
      <c r="J1958" t="s">
        <v>41</v>
      </c>
      <c r="K1958" t="s">
        <v>44</v>
      </c>
      <c r="L1958">
        <v>1072.5</v>
      </c>
      <c r="M1958" s="1">
        <v>43719</v>
      </c>
      <c r="N1958" t="s">
        <v>45</v>
      </c>
      <c r="O1958" t="s">
        <v>46</v>
      </c>
      <c r="P1958" t="s">
        <v>47</v>
      </c>
      <c r="Q1958" s="1">
        <v>43852</v>
      </c>
      <c r="R1958" t="s">
        <v>48</v>
      </c>
      <c r="S1958" t="s">
        <v>62</v>
      </c>
      <c r="T1958" t="s">
        <v>63</v>
      </c>
      <c r="U1958" t="s">
        <v>42</v>
      </c>
      <c r="V1958">
        <v>0</v>
      </c>
      <c r="W1958">
        <v>100000</v>
      </c>
      <c r="X1958" s="1">
        <v>43982</v>
      </c>
      <c r="Y1958" t="s">
        <v>51</v>
      </c>
      <c r="Z1958" t="s">
        <v>43</v>
      </c>
      <c r="AA1958" t="s">
        <v>41</v>
      </c>
      <c r="AB1958" t="s">
        <v>52</v>
      </c>
      <c r="AC1958" t="s">
        <v>53</v>
      </c>
      <c r="AF1958" t="s">
        <v>59</v>
      </c>
      <c r="AG1958" s="1">
        <v>43838</v>
      </c>
      <c r="AH1958" t="s">
        <v>42</v>
      </c>
      <c r="AI1958" t="s">
        <v>55</v>
      </c>
      <c r="AJ1958">
        <v>12788092</v>
      </c>
      <c r="AK1958">
        <v>250000</v>
      </c>
      <c r="AL1958">
        <v>1500000</v>
      </c>
    </row>
    <row r="1959" spans="1:38" x14ac:dyDescent="0.25">
      <c r="A1959" t="s">
        <v>284</v>
      </c>
      <c r="B1959" t="s">
        <v>176</v>
      </c>
      <c r="C1959" t="s">
        <v>40</v>
      </c>
      <c r="D1959" s="1">
        <v>43354</v>
      </c>
      <c r="E1959" s="1">
        <v>43718</v>
      </c>
      <c r="F1959" t="s">
        <v>41</v>
      </c>
      <c r="G1959">
        <v>1</v>
      </c>
      <c r="H1959" t="s">
        <v>42</v>
      </c>
      <c r="I1959" t="s">
        <v>43</v>
      </c>
      <c r="J1959" t="s">
        <v>41</v>
      </c>
      <c r="K1959" t="s">
        <v>44</v>
      </c>
      <c r="L1959">
        <v>1072.5</v>
      </c>
      <c r="M1959" s="1">
        <v>43719</v>
      </c>
      <c r="N1959" t="s">
        <v>45</v>
      </c>
      <c r="O1959" t="s">
        <v>46</v>
      </c>
      <c r="P1959" t="s">
        <v>47</v>
      </c>
      <c r="Q1959" s="1">
        <v>43852</v>
      </c>
      <c r="R1959" t="s">
        <v>48</v>
      </c>
      <c r="S1959" t="s">
        <v>64</v>
      </c>
      <c r="T1959" t="s">
        <v>65</v>
      </c>
      <c r="U1959" t="s">
        <v>42</v>
      </c>
      <c r="V1959">
        <v>0</v>
      </c>
      <c r="W1959">
        <v>100000</v>
      </c>
      <c r="X1959" s="1">
        <v>43921</v>
      </c>
      <c r="Y1959" t="s">
        <v>51</v>
      </c>
      <c r="Z1959" t="s">
        <v>43</v>
      </c>
      <c r="AA1959" t="s">
        <v>41</v>
      </c>
      <c r="AB1959" t="s">
        <v>52</v>
      </c>
      <c r="AC1959" t="s">
        <v>53</v>
      </c>
      <c r="AF1959" t="s">
        <v>54</v>
      </c>
      <c r="AG1959" s="1">
        <v>43832</v>
      </c>
      <c r="AH1959" t="s">
        <v>42</v>
      </c>
      <c r="AI1959" t="s">
        <v>55</v>
      </c>
      <c r="AJ1959">
        <v>12788092</v>
      </c>
      <c r="AK1959">
        <v>250000</v>
      </c>
      <c r="AL1959">
        <v>1500000</v>
      </c>
    </row>
    <row r="1960" spans="1:38" x14ac:dyDescent="0.25">
      <c r="A1960" t="s">
        <v>284</v>
      </c>
      <c r="B1960" t="s">
        <v>176</v>
      </c>
      <c r="C1960" t="s">
        <v>40</v>
      </c>
      <c r="D1960" s="1">
        <v>43354</v>
      </c>
      <c r="E1960" s="1">
        <v>43718</v>
      </c>
      <c r="F1960" t="s">
        <v>41</v>
      </c>
      <c r="G1960">
        <v>1</v>
      </c>
      <c r="H1960" t="s">
        <v>42</v>
      </c>
      <c r="I1960" t="s">
        <v>43</v>
      </c>
      <c r="J1960" t="s">
        <v>41</v>
      </c>
      <c r="K1960" t="s">
        <v>44</v>
      </c>
      <c r="L1960">
        <v>1072.5</v>
      </c>
      <c r="M1960" s="1">
        <v>43719</v>
      </c>
      <c r="N1960" t="s">
        <v>45</v>
      </c>
      <c r="O1960" t="s">
        <v>46</v>
      </c>
      <c r="P1960" t="s">
        <v>47</v>
      </c>
      <c r="Q1960" s="1">
        <v>43852</v>
      </c>
      <c r="R1960" t="s">
        <v>48</v>
      </c>
      <c r="S1960" t="s">
        <v>64</v>
      </c>
      <c r="T1960" t="s">
        <v>65</v>
      </c>
      <c r="U1960" t="s">
        <v>42</v>
      </c>
      <c r="V1960">
        <v>0</v>
      </c>
      <c r="W1960">
        <v>100000</v>
      </c>
      <c r="X1960" s="1">
        <v>43921</v>
      </c>
      <c r="Y1960" t="s">
        <v>51</v>
      </c>
      <c r="Z1960" t="s">
        <v>43</v>
      </c>
      <c r="AA1960" t="s">
        <v>41</v>
      </c>
      <c r="AB1960" t="s">
        <v>52</v>
      </c>
      <c r="AC1960" t="s">
        <v>53</v>
      </c>
      <c r="AF1960" t="s">
        <v>56</v>
      </c>
      <c r="AG1960" s="1">
        <v>43833</v>
      </c>
      <c r="AH1960" t="s">
        <v>42</v>
      </c>
      <c r="AI1960" t="s">
        <v>55</v>
      </c>
      <c r="AJ1960">
        <v>12788092</v>
      </c>
      <c r="AK1960">
        <v>250000</v>
      </c>
      <c r="AL1960">
        <v>1500000</v>
      </c>
    </row>
    <row r="1961" spans="1:38" x14ac:dyDescent="0.25">
      <c r="A1961" t="s">
        <v>284</v>
      </c>
      <c r="B1961" t="s">
        <v>176</v>
      </c>
      <c r="C1961" t="s">
        <v>40</v>
      </c>
      <c r="D1961" s="1">
        <v>43354</v>
      </c>
      <c r="E1961" s="1">
        <v>43718</v>
      </c>
      <c r="F1961" t="s">
        <v>41</v>
      </c>
      <c r="G1961">
        <v>1</v>
      </c>
      <c r="H1961" t="s">
        <v>42</v>
      </c>
      <c r="I1961" t="s">
        <v>43</v>
      </c>
      <c r="J1961" t="s">
        <v>41</v>
      </c>
      <c r="K1961" t="s">
        <v>44</v>
      </c>
      <c r="L1961">
        <v>1072.5</v>
      </c>
      <c r="M1961" s="1">
        <v>43719</v>
      </c>
      <c r="N1961" t="s">
        <v>45</v>
      </c>
      <c r="O1961" t="s">
        <v>46</v>
      </c>
      <c r="P1961" t="s">
        <v>47</v>
      </c>
      <c r="Q1961" s="1">
        <v>43852</v>
      </c>
      <c r="R1961" t="s">
        <v>48</v>
      </c>
      <c r="S1961" t="s">
        <v>64</v>
      </c>
      <c r="T1961" t="s">
        <v>65</v>
      </c>
      <c r="U1961" t="s">
        <v>42</v>
      </c>
      <c r="V1961">
        <v>0</v>
      </c>
      <c r="W1961">
        <v>100000</v>
      </c>
      <c r="X1961" s="1">
        <v>43921</v>
      </c>
      <c r="Y1961" t="s">
        <v>51</v>
      </c>
      <c r="Z1961" t="s">
        <v>43</v>
      </c>
      <c r="AA1961" t="s">
        <v>41</v>
      </c>
      <c r="AB1961" t="s">
        <v>52</v>
      </c>
      <c r="AC1961" t="s">
        <v>53</v>
      </c>
      <c r="AF1961" t="s">
        <v>57</v>
      </c>
      <c r="AG1961" s="1">
        <v>43836</v>
      </c>
      <c r="AH1961" t="s">
        <v>42</v>
      </c>
      <c r="AI1961" t="s">
        <v>55</v>
      </c>
      <c r="AJ1961">
        <v>12788092</v>
      </c>
      <c r="AK1961">
        <v>250000</v>
      </c>
      <c r="AL1961">
        <v>1500000</v>
      </c>
    </row>
    <row r="1962" spans="1:38" x14ac:dyDescent="0.25">
      <c r="A1962" t="s">
        <v>284</v>
      </c>
      <c r="B1962" t="s">
        <v>176</v>
      </c>
      <c r="C1962" t="s">
        <v>40</v>
      </c>
      <c r="D1962" s="1">
        <v>43354</v>
      </c>
      <c r="E1962" s="1">
        <v>43718</v>
      </c>
      <c r="F1962" t="s">
        <v>41</v>
      </c>
      <c r="G1962">
        <v>1</v>
      </c>
      <c r="H1962" t="s">
        <v>42</v>
      </c>
      <c r="I1962" t="s">
        <v>43</v>
      </c>
      <c r="J1962" t="s">
        <v>41</v>
      </c>
      <c r="K1962" t="s">
        <v>44</v>
      </c>
      <c r="L1962">
        <v>1072.5</v>
      </c>
      <c r="M1962" s="1">
        <v>43719</v>
      </c>
      <c r="N1962" t="s">
        <v>45</v>
      </c>
      <c r="O1962" t="s">
        <v>46</v>
      </c>
      <c r="P1962" t="s">
        <v>47</v>
      </c>
      <c r="Q1962" s="1">
        <v>43852</v>
      </c>
      <c r="R1962" t="s">
        <v>48</v>
      </c>
      <c r="S1962" t="s">
        <v>64</v>
      </c>
      <c r="T1962" t="s">
        <v>65</v>
      </c>
      <c r="U1962" t="s">
        <v>42</v>
      </c>
      <c r="V1962">
        <v>0</v>
      </c>
      <c r="W1962">
        <v>100000</v>
      </c>
      <c r="X1962" s="1">
        <v>43921</v>
      </c>
      <c r="Y1962" t="s">
        <v>51</v>
      </c>
      <c r="Z1962" t="s">
        <v>43</v>
      </c>
      <c r="AA1962" t="s">
        <v>41</v>
      </c>
      <c r="AB1962" t="s">
        <v>52</v>
      </c>
      <c r="AC1962" t="s">
        <v>53</v>
      </c>
      <c r="AF1962" t="s">
        <v>58</v>
      </c>
      <c r="AG1962" s="1">
        <v>43837</v>
      </c>
      <c r="AH1962" t="s">
        <v>42</v>
      </c>
      <c r="AI1962" t="s">
        <v>55</v>
      </c>
      <c r="AJ1962">
        <v>12788092</v>
      </c>
      <c r="AK1962">
        <v>250000</v>
      </c>
      <c r="AL1962">
        <v>1500000</v>
      </c>
    </row>
    <row r="1963" spans="1:38" x14ac:dyDescent="0.25">
      <c r="A1963" t="s">
        <v>284</v>
      </c>
      <c r="B1963" t="s">
        <v>176</v>
      </c>
      <c r="C1963" t="s">
        <v>40</v>
      </c>
      <c r="D1963" s="1">
        <v>43354</v>
      </c>
      <c r="E1963" s="1">
        <v>43718</v>
      </c>
      <c r="F1963" t="s">
        <v>41</v>
      </c>
      <c r="G1963">
        <v>1</v>
      </c>
      <c r="H1963" t="s">
        <v>42</v>
      </c>
      <c r="I1963" t="s">
        <v>43</v>
      </c>
      <c r="J1963" t="s">
        <v>41</v>
      </c>
      <c r="K1963" t="s">
        <v>44</v>
      </c>
      <c r="L1963">
        <v>1072.5</v>
      </c>
      <c r="M1963" s="1">
        <v>43719</v>
      </c>
      <c r="N1963" t="s">
        <v>45</v>
      </c>
      <c r="O1963" t="s">
        <v>46</v>
      </c>
      <c r="P1963" t="s">
        <v>47</v>
      </c>
      <c r="Q1963" s="1">
        <v>43852</v>
      </c>
      <c r="R1963" t="s">
        <v>48</v>
      </c>
      <c r="S1963" t="s">
        <v>64</v>
      </c>
      <c r="T1963" t="s">
        <v>65</v>
      </c>
      <c r="U1963" t="s">
        <v>42</v>
      </c>
      <c r="V1963">
        <v>0</v>
      </c>
      <c r="W1963">
        <v>100000</v>
      </c>
      <c r="X1963" s="1">
        <v>43921</v>
      </c>
      <c r="Y1963" t="s">
        <v>51</v>
      </c>
      <c r="Z1963" t="s">
        <v>43</v>
      </c>
      <c r="AA1963" t="s">
        <v>41</v>
      </c>
      <c r="AB1963" t="s">
        <v>52</v>
      </c>
      <c r="AC1963" t="s">
        <v>53</v>
      </c>
      <c r="AF1963" t="s">
        <v>59</v>
      </c>
      <c r="AG1963" s="1">
        <v>43838</v>
      </c>
      <c r="AH1963" t="s">
        <v>42</v>
      </c>
      <c r="AI1963" t="s">
        <v>55</v>
      </c>
      <c r="AJ1963">
        <v>12788092</v>
      </c>
      <c r="AK1963">
        <v>250000</v>
      </c>
      <c r="AL1963">
        <v>1500000</v>
      </c>
    </row>
    <row r="1964" spans="1:38" x14ac:dyDescent="0.25">
      <c r="A1964" t="s">
        <v>296</v>
      </c>
      <c r="B1964" s="2">
        <v>1.112E+19</v>
      </c>
      <c r="C1964" t="s">
        <v>40</v>
      </c>
      <c r="D1964" s="1">
        <v>43468</v>
      </c>
      <c r="E1964" s="1">
        <v>43740</v>
      </c>
      <c r="F1964" t="s">
        <v>306</v>
      </c>
      <c r="G1964">
        <v>3</v>
      </c>
      <c r="H1964" t="s">
        <v>125</v>
      </c>
      <c r="I1964" t="s">
        <v>43</v>
      </c>
      <c r="J1964" t="s">
        <v>126</v>
      </c>
      <c r="K1964" t="s">
        <v>127</v>
      </c>
      <c r="L1964">
        <v>49401.25</v>
      </c>
      <c r="M1964" s="1">
        <v>43468</v>
      </c>
      <c r="N1964" t="s">
        <v>45</v>
      </c>
      <c r="O1964" t="s">
        <v>46</v>
      </c>
      <c r="P1964" t="s">
        <v>47</v>
      </c>
      <c r="Q1964" s="1">
        <v>43852</v>
      </c>
      <c r="R1964" t="s">
        <v>48</v>
      </c>
    </row>
    <row r="1965" spans="1:38" x14ac:dyDescent="0.25">
      <c r="A1965" t="s">
        <v>297</v>
      </c>
      <c r="B1965" s="2">
        <v>1.112E+19</v>
      </c>
      <c r="C1965" t="s">
        <v>40</v>
      </c>
      <c r="D1965" s="1">
        <v>43468</v>
      </c>
      <c r="E1965" s="1">
        <v>43740</v>
      </c>
      <c r="F1965" t="s">
        <v>306</v>
      </c>
      <c r="G1965">
        <v>3</v>
      </c>
      <c r="H1965" t="s">
        <v>125</v>
      </c>
      <c r="I1965" t="s">
        <v>43</v>
      </c>
      <c r="J1965" t="s">
        <v>126</v>
      </c>
      <c r="K1965" t="s">
        <v>127</v>
      </c>
      <c r="L1965">
        <v>49401.25</v>
      </c>
      <c r="M1965" s="1">
        <v>43468</v>
      </c>
      <c r="N1965" t="s">
        <v>45</v>
      </c>
      <c r="O1965" t="s">
        <v>46</v>
      </c>
      <c r="P1965" t="s">
        <v>47</v>
      </c>
      <c r="Q1965" s="1">
        <v>43852</v>
      </c>
      <c r="R1965" t="s">
        <v>48</v>
      </c>
    </row>
    <row r="1966" spans="1:38" x14ac:dyDescent="0.25">
      <c r="A1966" t="s">
        <v>298</v>
      </c>
      <c r="B1966" s="2">
        <v>1.112E+19</v>
      </c>
      <c r="C1966" t="s">
        <v>40</v>
      </c>
      <c r="D1966" s="1">
        <v>43468</v>
      </c>
      <c r="E1966" s="1">
        <v>43740</v>
      </c>
      <c r="F1966" t="s">
        <v>306</v>
      </c>
      <c r="G1966">
        <v>3</v>
      </c>
      <c r="H1966" t="s">
        <v>125</v>
      </c>
      <c r="I1966" t="s">
        <v>43</v>
      </c>
      <c r="J1966" t="s">
        <v>126</v>
      </c>
      <c r="K1966" t="s">
        <v>127</v>
      </c>
      <c r="L1966">
        <v>45000</v>
      </c>
      <c r="M1966" s="1">
        <v>43468</v>
      </c>
      <c r="N1966" t="s">
        <v>45</v>
      </c>
      <c r="O1966" t="s">
        <v>46</v>
      </c>
      <c r="P1966" t="s">
        <v>47</v>
      </c>
      <c r="Q1966" s="1">
        <v>43852</v>
      </c>
      <c r="R1966" t="s">
        <v>48</v>
      </c>
    </row>
    <row r="1967" spans="1:38" x14ac:dyDescent="0.25">
      <c r="A1967" t="s">
        <v>299</v>
      </c>
      <c r="B1967" t="s">
        <v>515</v>
      </c>
      <c r="C1967" t="s">
        <v>71</v>
      </c>
      <c r="D1967" s="1">
        <v>43373</v>
      </c>
      <c r="E1967" s="1">
        <v>43737</v>
      </c>
      <c r="F1967" t="s">
        <v>84</v>
      </c>
      <c r="G1967">
        <v>10</v>
      </c>
      <c r="H1967" t="s">
        <v>85</v>
      </c>
      <c r="I1967" t="s">
        <v>43</v>
      </c>
      <c r="J1967" t="s">
        <v>86</v>
      </c>
      <c r="K1967" t="s">
        <v>44</v>
      </c>
      <c r="L1967">
        <v>54000</v>
      </c>
      <c r="M1967" s="1">
        <v>43373</v>
      </c>
      <c r="N1967" t="s">
        <v>45</v>
      </c>
      <c r="O1967" t="s">
        <v>46</v>
      </c>
      <c r="P1967" t="s">
        <v>47</v>
      </c>
      <c r="Q1967" s="1">
        <v>43852</v>
      </c>
      <c r="R1967" t="s">
        <v>48</v>
      </c>
      <c r="S1967" t="s">
        <v>87</v>
      </c>
      <c r="T1967" t="s">
        <v>88</v>
      </c>
      <c r="U1967" t="s">
        <v>85</v>
      </c>
      <c r="V1967">
        <v>1400000</v>
      </c>
      <c r="W1967">
        <v>100000</v>
      </c>
      <c r="X1967" s="1">
        <v>43808</v>
      </c>
      <c r="Y1967" t="s">
        <v>51</v>
      </c>
      <c r="Z1967" t="s">
        <v>43</v>
      </c>
      <c r="AA1967" t="s">
        <v>86</v>
      </c>
      <c r="AB1967" t="s">
        <v>89</v>
      </c>
      <c r="AC1967" t="s">
        <v>90</v>
      </c>
      <c r="AF1967" t="s">
        <v>91</v>
      </c>
      <c r="AG1967" s="1">
        <v>43852</v>
      </c>
      <c r="AH1967" t="s">
        <v>85</v>
      </c>
      <c r="AI1967" t="s">
        <v>92</v>
      </c>
      <c r="AJ1967">
        <v>19888</v>
      </c>
      <c r="AK1967">
        <v>128777</v>
      </c>
      <c r="AL1967">
        <v>198882</v>
      </c>
    </row>
    <row r="1968" spans="1:38" x14ac:dyDescent="0.25">
      <c r="A1968" t="s">
        <v>299</v>
      </c>
      <c r="B1968" t="s">
        <v>515</v>
      </c>
      <c r="C1968" t="s">
        <v>71</v>
      </c>
      <c r="D1968" s="1">
        <v>43373</v>
      </c>
      <c r="E1968" s="1">
        <v>43737</v>
      </c>
      <c r="F1968" t="s">
        <v>84</v>
      </c>
      <c r="G1968">
        <v>10</v>
      </c>
      <c r="H1968" t="s">
        <v>85</v>
      </c>
      <c r="I1968" t="s">
        <v>43</v>
      </c>
      <c r="J1968" t="s">
        <v>86</v>
      </c>
      <c r="K1968" t="s">
        <v>44</v>
      </c>
      <c r="L1968">
        <v>54000</v>
      </c>
      <c r="M1968" s="1">
        <v>43373</v>
      </c>
      <c r="N1968" t="s">
        <v>45</v>
      </c>
      <c r="O1968" t="s">
        <v>46</v>
      </c>
      <c r="P1968" t="s">
        <v>47</v>
      </c>
      <c r="Q1968" s="1">
        <v>43852</v>
      </c>
      <c r="R1968" t="s">
        <v>48</v>
      </c>
      <c r="S1968" t="s">
        <v>87</v>
      </c>
      <c r="T1968" t="s">
        <v>88</v>
      </c>
      <c r="U1968" t="s">
        <v>85</v>
      </c>
      <c r="V1968">
        <v>1400000</v>
      </c>
      <c r="W1968">
        <v>100000</v>
      </c>
      <c r="X1968" s="1">
        <v>43808</v>
      </c>
      <c r="Y1968" t="s">
        <v>51</v>
      </c>
      <c r="Z1968" t="s">
        <v>43</v>
      </c>
      <c r="AA1968" t="s">
        <v>86</v>
      </c>
      <c r="AB1968" t="s">
        <v>89</v>
      </c>
      <c r="AC1968" t="s">
        <v>90</v>
      </c>
      <c r="AF1968" t="s">
        <v>93</v>
      </c>
      <c r="AG1968" s="1">
        <v>43843</v>
      </c>
      <c r="AH1968" t="s">
        <v>85</v>
      </c>
      <c r="AI1968" t="s">
        <v>92</v>
      </c>
      <c r="AJ1968">
        <v>19888</v>
      </c>
      <c r="AK1968">
        <v>128777</v>
      </c>
      <c r="AL1968">
        <v>198882</v>
      </c>
    </row>
    <row r="1969" spans="1:38" x14ac:dyDescent="0.25">
      <c r="A1969" t="s">
        <v>299</v>
      </c>
      <c r="B1969" t="s">
        <v>515</v>
      </c>
      <c r="C1969" t="s">
        <v>71</v>
      </c>
      <c r="D1969" s="1">
        <v>43373</v>
      </c>
      <c r="E1969" s="1">
        <v>43737</v>
      </c>
      <c r="F1969" t="s">
        <v>84</v>
      </c>
      <c r="G1969">
        <v>10</v>
      </c>
      <c r="H1969" t="s">
        <v>85</v>
      </c>
      <c r="I1969" t="s">
        <v>43</v>
      </c>
      <c r="J1969" t="s">
        <v>86</v>
      </c>
      <c r="K1969" t="s">
        <v>44</v>
      </c>
      <c r="L1969">
        <v>54000</v>
      </c>
      <c r="M1969" s="1">
        <v>43373</v>
      </c>
      <c r="N1969" t="s">
        <v>45</v>
      </c>
      <c r="O1969" t="s">
        <v>46</v>
      </c>
      <c r="P1969" t="s">
        <v>47</v>
      </c>
      <c r="Q1969" s="1">
        <v>43852</v>
      </c>
      <c r="R1969" t="s">
        <v>48</v>
      </c>
      <c r="S1969" t="s">
        <v>94</v>
      </c>
      <c r="T1969" t="s">
        <v>95</v>
      </c>
      <c r="U1969" t="s">
        <v>85</v>
      </c>
      <c r="V1969">
        <v>4500000</v>
      </c>
      <c r="W1969">
        <v>300000</v>
      </c>
      <c r="X1969" s="1">
        <v>43767</v>
      </c>
      <c r="Y1969" t="s">
        <v>51</v>
      </c>
      <c r="Z1969" t="s">
        <v>43</v>
      </c>
      <c r="AA1969" t="s">
        <v>86</v>
      </c>
      <c r="AB1969" t="s">
        <v>89</v>
      </c>
      <c r="AC1969" t="s">
        <v>90</v>
      </c>
      <c r="AF1969" t="s">
        <v>91</v>
      </c>
      <c r="AG1969" s="1">
        <v>43852</v>
      </c>
      <c r="AH1969" t="s">
        <v>85</v>
      </c>
      <c r="AI1969" t="s">
        <v>92</v>
      </c>
      <c r="AJ1969">
        <v>19888</v>
      </c>
      <c r="AK1969">
        <v>128777</v>
      </c>
      <c r="AL1969">
        <v>198882</v>
      </c>
    </row>
    <row r="1970" spans="1:38" x14ac:dyDescent="0.25">
      <c r="A1970" t="s">
        <v>299</v>
      </c>
      <c r="B1970" t="s">
        <v>515</v>
      </c>
      <c r="C1970" t="s">
        <v>71</v>
      </c>
      <c r="D1970" s="1">
        <v>43373</v>
      </c>
      <c r="E1970" s="1">
        <v>43737</v>
      </c>
      <c r="F1970" t="s">
        <v>84</v>
      </c>
      <c r="G1970">
        <v>10</v>
      </c>
      <c r="H1970" t="s">
        <v>85</v>
      </c>
      <c r="I1970" t="s">
        <v>43</v>
      </c>
      <c r="J1970" t="s">
        <v>86</v>
      </c>
      <c r="K1970" t="s">
        <v>44</v>
      </c>
      <c r="L1970">
        <v>54000</v>
      </c>
      <c r="M1970" s="1">
        <v>43373</v>
      </c>
      <c r="N1970" t="s">
        <v>45</v>
      </c>
      <c r="O1970" t="s">
        <v>46</v>
      </c>
      <c r="P1970" t="s">
        <v>47</v>
      </c>
      <c r="Q1970" s="1">
        <v>43852</v>
      </c>
      <c r="R1970" t="s">
        <v>48</v>
      </c>
      <c r="S1970" t="s">
        <v>94</v>
      </c>
      <c r="T1970" t="s">
        <v>95</v>
      </c>
      <c r="U1970" t="s">
        <v>85</v>
      </c>
      <c r="V1970">
        <v>4500000</v>
      </c>
      <c r="W1970">
        <v>300000</v>
      </c>
      <c r="X1970" s="1">
        <v>43767</v>
      </c>
      <c r="Y1970" t="s">
        <v>51</v>
      </c>
      <c r="Z1970" t="s">
        <v>43</v>
      </c>
      <c r="AA1970" t="s">
        <v>86</v>
      </c>
      <c r="AB1970" t="s">
        <v>89</v>
      </c>
      <c r="AC1970" t="s">
        <v>90</v>
      </c>
      <c r="AF1970" t="s">
        <v>93</v>
      </c>
      <c r="AG1970" s="1">
        <v>43843</v>
      </c>
      <c r="AH1970" t="s">
        <v>85</v>
      </c>
      <c r="AI1970" t="s">
        <v>92</v>
      </c>
      <c r="AJ1970">
        <v>19888</v>
      </c>
      <c r="AK1970">
        <v>128777</v>
      </c>
      <c r="AL1970">
        <v>198882</v>
      </c>
    </row>
    <row r="1971" spans="1:38" x14ac:dyDescent="0.25">
      <c r="A1971" t="s">
        <v>299</v>
      </c>
      <c r="B1971" t="s">
        <v>515</v>
      </c>
      <c r="C1971" t="s">
        <v>71</v>
      </c>
      <c r="D1971" s="1">
        <v>43373</v>
      </c>
      <c r="E1971" s="1">
        <v>43737</v>
      </c>
      <c r="F1971" t="s">
        <v>84</v>
      </c>
      <c r="G1971">
        <v>10</v>
      </c>
      <c r="H1971" t="s">
        <v>85</v>
      </c>
      <c r="I1971" t="s">
        <v>43</v>
      </c>
      <c r="J1971" t="s">
        <v>86</v>
      </c>
      <c r="K1971" t="s">
        <v>44</v>
      </c>
      <c r="L1971">
        <v>54000</v>
      </c>
      <c r="M1971" s="1">
        <v>43373</v>
      </c>
      <c r="N1971" t="s">
        <v>45</v>
      </c>
      <c r="O1971" t="s">
        <v>46</v>
      </c>
      <c r="P1971" t="s">
        <v>47</v>
      </c>
      <c r="Q1971" s="1">
        <v>43852</v>
      </c>
      <c r="R1971" t="s">
        <v>48</v>
      </c>
      <c r="S1971" t="s">
        <v>96</v>
      </c>
      <c r="T1971" t="s">
        <v>97</v>
      </c>
      <c r="U1971" t="s">
        <v>85</v>
      </c>
      <c r="V1971">
        <v>600000</v>
      </c>
      <c r="W1971">
        <v>100000</v>
      </c>
      <c r="X1971" s="1">
        <v>43799</v>
      </c>
      <c r="Y1971" t="s">
        <v>51</v>
      </c>
      <c r="Z1971" t="s">
        <v>43</v>
      </c>
      <c r="AA1971" t="s">
        <v>98</v>
      </c>
      <c r="AB1971" t="s">
        <v>89</v>
      </c>
      <c r="AC1971" t="s">
        <v>90</v>
      </c>
      <c r="AF1971" t="s">
        <v>91</v>
      </c>
      <c r="AG1971" s="1">
        <v>43852</v>
      </c>
      <c r="AH1971" t="s">
        <v>85</v>
      </c>
      <c r="AI1971" t="s">
        <v>92</v>
      </c>
      <c r="AJ1971">
        <v>19888</v>
      </c>
      <c r="AK1971">
        <v>128777</v>
      </c>
      <c r="AL1971">
        <v>198882</v>
      </c>
    </row>
    <row r="1972" spans="1:38" x14ac:dyDescent="0.25">
      <c r="A1972" t="s">
        <v>299</v>
      </c>
      <c r="B1972" t="s">
        <v>515</v>
      </c>
      <c r="C1972" t="s">
        <v>71</v>
      </c>
      <c r="D1972" s="1">
        <v>43373</v>
      </c>
      <c r="E1972" s="1">
        <v>43737</v>
      </c>
      <c r="F1972" t="s">
        <v>84</v>
      </c>
      <c r="G1972">
        <v>10</v>
      </c>
      <c r="H1972" t="s">
        <v>85</v>
      </c>
      <c r="I1972" t="s">
        <v>43</v>
      </c>
      <c r="J1972" t="s">
        <v>86</v>
      </c>
      <c r="K1972" t="s">
        <v>44</v>
      </c>
      <c r="L1972">
        <v>54000</v>
      </c>
      <c r="M1972" s="1">
        <v>43373</v>
      </c>
      <c r="N1972" t="s">
        <v>45</v>
      </c>
      <c r="O1972" t="s">
        <v>46</v>
      </c>
      <c r="P1972" t="s">
        <v>47</v>
      </c>
      <c r="Q1972" s="1">
        <v>43852</v>
      </c>
      <c r="R1972" t="s">
        <v>48</v>
      </c>
      <c r="S1972" t="s">
        <v>96</v>
      </c>
      <c r="T1972" t="s">
        <v>97</v>
      </c>
      <c r="U1972" t="s">
        <v>85</v>
      </c>
      <c r="V1972">
        <v>600000</v>
      </c>
      <c r="W1972">
        <v>100000</v>
      </c>
      <c r="X1972" s="1">
        <v>43799</v>
      </c>
      <c r="Y1972" t="s">
        <v>51</v>
      </c>
      <c r="Z1972" t="s">
        <v>43</v>
      </c>
      <c r="AA1972" t="s">
        <v>98</v>
      </c>
      <c r="AB1972" t="s">
        <v>89</v>
      </c>
      <c r="AC1972" t="s">
        <v>90</v>
      </c>
      <c r="AF1972" t="s">
        <v>93</v>
      </c>
      <c r="AG1972" s="1">
        <v>43843</v>
      </c>
      <c r="AH1972" t="s">
        <v>85</v>
      </c>
      <c r="AI1972" t="s">
        <v>92</v>
      </c>
      <c r="AJ1972">
        <v>19888</v>
      </c>
      <c r="AK1972">
        <v>128777</v>
      </c>
      <c r="AL1972">
        <v>198882</v>
      </c>
    </row>
    <row r="1973" spans="1:38" x14ac:dyDescent="0.25">
      <c r="A1973" t="s">
        <v>299</v>
      </c>
      <c r="B1973" t="s">
        <v>515</v>
      </c>
      <c r="C1973" t="s">
        <v>71</v>
      </c>
      <c r="D1973" s="1">
        <v>43373</v>
      </c>
      <c r="E1973" s="1">
        <v>43737</v>
      </c>
      <c r="F1973" t="s">
        <v>84</v>
      </c>
      <c r="G1973">
        <v>10</v>
      </c>
      <c r="H1973" t="s">
        <v>85</v>
      </c>
      <c r="I1973" t="s">
        <v>43</v>
      </c>
      <c r="J1973" t="s">
        <v>86</v>
      </c>
      <c r="K1973" t="s">
        <v>44</v>
      </c>
      <c r="L1973">
        <v>54000</v>
      </c>
      <c r="M1973" s="1">
        <v>43373</v>
      </c>
      <c r="N1973" t="s">
        <v>45</v>
      </c>
      <c r="O1973" t="s">
        <v>46</v>
      </c>
      <c r="P1973" t="s">
        <v>47</v>
      </c>
      <c r="Q1973" s="1">
        <v>43852</v>
      </c>
      <c r="R1973" t="s">
        <v>48</v>
      </c>
      <c r="S1973" t="s">
        <v>99</v>
      </c>
      <c r="T1973" t="s">
        <v>100</v>
      </c>
      <c r="U1973" t="s">
        <v>85</v>
      </c>
      <c r="V1973">
        <v>210000</v>
      </c>
      <c r="W1973">
        <v>35000</v>
      </c>
      <c r="X1973" s="1">
        <v>43799</v>
      </c>
      <c r="Y1973" t="s">
        <v>51</v>
      </c>
      <c r="Z1973" t="s">
        <v>43</v>
      </c>
      <c r="AA1973" t="s">
        <v>98</v>
      </c>
      <c r="AB1973" t="s">
        <v>89</v>
      </c>
      <c r="AC1973" t="s">
        <v>101</v>
      </c>
      <c r="AF1973" t="s">
        <v>91</v>
      </c>
      <c r="AG1973" s="1">
        <v>43852</v>
      </c>
      <c r="AH1973" t="s">
        <v>85</v>
      </c>
      <c r="AI1973" t="s">
        <v>92</v>
      </c>
      <c r="AJ1973">
        <v>19888</v>
      </c>
      <c r="AK1973">
        <v>128777</v>
      </c>
      <c r="AL1973">
        <v>198882</v>
      </c>
    </row>
    <row r="1974" spans="1:38" x14ac:dyDescent="0.25">
      <c r="A1974" t="s">
        <v>299</v>
      </c>
      <c r="B1974" t="s">
        <v>515</v>
      </c>
      <c r="C1974" t="s">
        <v>71</v>
      </c>
      <c r="D1974" s="1">
        <v>43373</v>
      </c>
      <c r="E1974" s="1">
        <v>43737</v>
      </c>
      <c r="F1974" t="s">
        <v>84</v>
      </c>
      <c r="G1974">
        <v>10</v>
      </c>
      <c r="H1974" t="s">
        <v>85</v>
      </c>
      <c r="I1974" t="s">
        <v>43</v>
      </c>
      <c r="J1974" t="s">
        <v>86</v>
      </c>
      <c r="K1974" t="s">
        <v>44</v>
      </c>
      <c r="L1974">
        <v>54000</v>
      </c>
      <c r="M1974" s="1">
        <v>43373</v>
      </c>
      <c r="N1974" t="s">
        <v>45</v>
      </c>
      <c r="O1974" t="s">
        <v>46</v>
      </c>
      <c r="P1974" t="s">
        <v>47</v>
      </c>
      <c r="Q1974" s="1">
        <v>43852</v>
      </c>
      <c r="R1974" t="s">
        <v>48</v>
      </c>
      <c r="S1974" t="s">
        <v>99</v>
      </c>
      <c r="T1974" t="s">
        <v>100</v>
      </c>
      <c r="U1974" t="s">
        <v>85</v>
      </c>
      <c r="V1974">
        <v>210000</v>
      </c>
      <c r="W1974">
        <v>35000</v>
      </c>
      <c r="X1974" s="1">
        <v>43799</v>
      </c>
      <c r="Y1974" t="s">
        <v>51</v>
      </c>
      <c r="Z1974" t="s">
        <v>43</v>
      </c>
      <c r="AA1974" t="s">
        <v>98</v>
      </c>
      <c r="AB1974" t="s">
        <v>89</v>
      </c>
      <c r="AC1974" t="s">
        <v>101</v>
      </c>
      <c r="AF1974" t="s">
        <v>93</v>
      </c>
      <c r="AG1974" s="1">
        <v>43843</v>
      </c>
      <c r="AH1974" t="s">
        <v>85</v>
      </c>
      <c r="AI1974" t="s">
        <v>92</v>
      </c>
      <c r="AJ1974">
        <v>19888</v>
      </c>
      <c r="AK1974">
        <v>128777</v>
      </c>
      <c r="AL1974">
        <v>198882</v>
      </c>
    </row>
    <row r="1975" spans="1:38" x14ac:dyDescent="0.25">
      <c r="A1975" t="s">
        <v>299</v>
      </c>
      <c r="B1975" t="s">
        <v>515</v>
      </c>
      <c r="C1975" t="s">
        <v>71</v>
      </c>
      <c r="D1975" s="1">
        <v>43373</v>
      </c>
      <c r="E1975" s="1">
        <v>43737</v>
      </c>
      <c r="F1975" t="s">
        <v>84</v>
      </c>
      <c r="G1975">
        <v>10</v>
      </c>
      <c r="H1975" t="s">
        <v>85</v>
      </c>
      <c r="I1975" t="s">
        <v>43</v>
      </c>
      <c r="J1975" t="s">
        <v>86</v>
      </c>
      <c r="K1975" t="s">
        <v>44</v>
      </c>
      <c r="L1975">
        <v>54000</v>
      </c>
      <c r="M1975" s="1">
        <v>43373</v>
      </c>
      <c r="N1975" t="s">
        <v>45</v>
      </c>
      <c r="O1975" t="s">
        <v>46</v>
      </c>
      <c r="P1975" t="s">
        <v>47</v>
      </c>
      <c r="Q1975" s="1">
        <v>43852</v>
      </c>
      <c r="R1975" t="s">
        <v>48</v>
      </c>
      <c r="S1975" t="s">
        <v>102</v>
      </c>
      <c r="T1975" t="s">
        <v>103</v>
      </c>
      <c r="U1975" t="s">
        <v>85</v>
      </c>
      <c r="V1975">
        <v>5000000</v>
      </c>
      <c r="W1975">
        <v>250000</v>
      </c>
      <c r="X1975" s="1">
        <v>43799</v>
      </c>
      <c r="Y1975" t="s">
        <v>51</v>
      </c>
      <c r="Z1975" t="s">
        <v>43</v>
      </c>
      <c r="AA1975" t="s">
        <v>86</v>
      </c>
      <c r="AB1975" t="s">
        <v>89</v>
      </c>
      <c r="AC1975" t="s">
        <v>90</v>
      </c>
      <c r="AF1975" t="s">
        <v>91</v>
      </c>
      <c r="AG1975" s="1">
        <v>43852</v>
      </c>
      <c r="AH1975" t="s">
        <v>85</v>
      </c>
      <c r="AI1975" t="s">
        <v>92</v>
      </c>
      <c r="AJ1975">
        <v>19888</v>
      </c>
      <c r="AK1975">
        <v>128777</v>
      </c>
      <c r="AL1975">
        <v>198882</v>
      </c>
    </row>
    <row r="1976" spans="1:38" x14ac:dyDescent="0.25">
      <c r="A1976" t="s">
        <v>299</v>
      </c>
      <c r="B1976" t="s">
        <v>515</v>
      </c>
      <c r="C1976" t="s">
        <v>71</v>
      </c>
      <c r="D1976" s="1">
        <v>43373</v>
      </c>
      <c r="E1976" s="1">
        <v>43737</v>
      </c>
      <c r="F1976" t="s">
        <v>84</v>
      </c>
      <c r="G1976">
        <v>10</v>
      </c>
      <c r="H1976" t="s">
        <v>85</v>
      </c>
      <c r="I1976" t="s">
        <v>43</v>
      </c>
      <c r="J1976" t="s">
        <v>86</v>
      </c>
      <c r="K1976" t="s">
        <v>44</v>
      </c>
      <c r="L1976">
        <v>54000</v>
      </c>
      <c r="M1976" s="1">
        <v>43373</v>
      </c>
      <c r="N1976" t="s">
        <v>45</v>
      </c>
      <c r="O1976" t="s">
        <v>46</v>
      </c>
      <c r="P1976" t="s">
        <v>47</v>
      </c>
      <c r="Q1976" s="1">
        <v>43852</v>
      </c>
      <c r="R1976" t="s">
        <v>48</v>
      </c>
      <c r="S1976" t="s">
        <v>102</v>
      </c>
      <c r="T1976" t="s">
        <v>103</v>
      </c>
      <c r="U1976" t="s">
        <v>85</v>
      </c>
      <c r="V1976">
        <v>5000000</v>
      </c>
      <c r="W1976">
        <v>250000</v>
      </c>
      <c r="X1976" s="1">
        <v>43799</v>
      </c>
      <c r="Y1976" t="s">
        <v>51</v>
      </c>
      <c r="Z1976" t="s">
        <v>43</v>
      </c>
      <c r="AA1976" t="s">
        <v>86</v>
      </c>
      <c r="AB1976" t="s">
        <v>89</v>
      </c>
      <c r="AC1976" t="s">
        <v>90</v>
      </c>
      <c r="AF1976" t="s">
        <v>93</v>
      </c>
      <c r="AG1976" s="1">
        <v>43843</v>
      </c>
      <c r="AH1976" t="s">
        <v>85</v>
      </c>
      <c r="AI1976" t="s">
        <v>92</v>
      </c>
      <c r="AJ1976">
        <v>19888</v>
      </c>
      <c r="AK1976">
        <v>128777</v>
      </c>
      <c r="AL1976">
        <v>198882</v>
      </c>
    </row>
    <row r="1977" spans="1:38" x14ac:dyDescent="0.25">
      <c r="A1977" t="s">
        <v>300</v>
      </c>
      <c r="B1977" t="s">
        <v>516</v>
      </c>
      <c r="C1977" t="s">
        <v>40</v>
      </c>
      <c r="D1977" s="1">
        <v>43448</v>
      </c>
      <c r="E1977" s="1">
        <v>43812</v>
      </c>
      <c r="F1977" t="s">
        <v>41</v>
      </c>
      <c r="G1977">
        <v>12</v>
      </c>
      <c r="H1977" t="s">
        <v>155</v>
      </c>
      <c r="I1977" t="s">
        <v>43</v>
      </c>
      <c r="J1977" t="s">
        <v>126</v>
      </c>
      <c r="K1977" t="s">
        <v>127</v>
      </c>
      <c r="L1977">
        <v>5659.5</v>
      </c>
      <c r="M1977" s="1">
        <v>43448</v>
      </c>
      <c r="N1977" t="s">
        <v>45</v>
      </c>
      <c r="O1977" t="s">
        <v>46</v>
      </c>
      <c r="P1977" t="s">
        <v>47</v>
      </c>
      <c r="Q1977" s="1">
        <v>43852</v>
      </c>
      <c r="R1977" t="s">
        <v>48</v>
      </c>
      <c r="S1977" t="s">
        <v>207</v>
      </c>
      <c r="T1977" t="s">
        <v>208</v>
      </c>
      <c r="U1977" t="s">
        <v>155</v>
      </c>
      <c r="V1977">
        <v>0</v>
      </c>
      <c r="W1977">
        <v>200000</v>
      </c>
      <c r="X1977" s="1">
        <v>43921</v>
      </c>
      <c r="Y1977" t="s">
        <v>51</v>
      </c>
      <c r="Z1977" t="s">
        <v>43</v>
      </c>
      <c r="AA1977" t="s">
        <v>41</v>
      </c>
      <c r="AB1977" t="s">
        <v>52</v>
      </c>
      <c r="AC1977" t="s">
        <v>53</v>
      </c>
      <c r="AF1977" t="s">
        <v>160</v>
      </c>
      <c r="AG1977" s="1">
        <v>43851</v>
      </c>
    </row>
    <row r="1978" spans="1:38" x14ac:dyDescent="0.25">
      <c r="A1978" t="s">
        <v>300</v>
      </c>
      <c r="B1978" t="s">
        <v>516</v>
      </c>
      <c r="C1978" t="s">
        <v>40</v>
      </c>
      <c r="D1978" s="1">
        <v>43448</v>
      </c>
      <c r="E1978" s="1">
        <v>43812</v>
      </c>
      <c r="F1978" t="s">
        <v>41</v>
      </c>
      <c r="G1978">
        <v>12</v>
      </c>
      <c r="H1978" t="s">
        <v>155</v>
      </c>
      <c r="I1978" t="s">
        <v>43</v>
      </c>
      <c r="J1978" t="s">
        <v>126</v>
      </c>
      <c r="K1978" t="s">
        <v>127</v>
      </c>
      <c r="L1978">
        <v>5659.5</v>
      </c>
      <c r="M1978" s="1">
        <v>43448</v>
      </c>
      <c r="N1978" t="s">
        <v>45</v>
      </c>
      <c r="O1978" t="s">
        <v>46</v>
      </c>
      <c r="P1978" t="s">
        <v>47</v>
      </c>
      <c r="Q1978" s="1">
        <v>43852</v>
      </c>
      <c r="R1978" t="s">
        <v>48</v>
      </c>
      <c r="S1978" t="s">
        <v>207</v>
      </c>
      <c r="T1978" t="s">
        <v>208</v>
      </c>
      <c r="U1978" t="s">
        <v>155</v>
      </c>
      <c r="V1978">
        <v>0</v>
      </c>
      <c r="W1978">
        <v>200000</v>
      </c>
      <c r="X1978" s="1">
        <v>43921</v>
      </c>
      <c r="Y1978" t="s">
        <v>51</v>
      </c>
      <c r="Z1978" t="s">
        <v>43</v>
      </c>
      <c r="AA1978" t="s">
        <v>41</v>
      </c>
      <c r="AB1978" t="s">
        <v>52</v>
      </c>
      <c r="AC1978" t="s">
        <v>53</v>
      </c>
      <c r="AF1978" t="s">
        <v>161</v>
      </c>
      <c r="AG1978" s="1">
        <v>43851</v>
      </c>
    </row>
    <row r="1979" spans="1:38" x14ac:dyDescent="0.25">
      <c r="A1979" t="s">
        <v>300</v>
      </c>
      <c r="B1979" t="s">
        <v>516</v>
      </c>
      <c r="C1979" t="s">
        <v>40</v>
      </c>
      <c r="D1979" s="1">
        <v>43448</v>
      </c>
      <c r="E1979" s="1">
        <v>43812</v>
      </c>
      <c r="F1979" t="s">
        <v>41</v>
      </c>
      <c r="G1979">
        <v>12</v>
      </c>
      <c r="H1979" t="s">
        <v>155</v>
      </c>
      <c r="I1979" t="s">
        <v>43</v>
      </c>
      <c r="J1979" t="s">
        <v>126</v>
      </c>
      <c r="K1979" t="s">
        <v>127</v>
      </c>
      <c r="L1979">
        <v>5659.5</v>
      </c>
      <c r="M1979" s="1">
        <v>43448</v>
      </c>
      <c r="N1979" t="s">
        <v>45</v>
      </c>
      <c r="O1979" t="s">
        <v>46</v>
      </c>
      <c r="P1979" t="s">
        <v>47</v>
      </c>
      <c r="Q1979" s="1">
        <v>43852</v>
      </c>
      <c r="R1979" t="s">
        <v>48</v>
      </c>
      <c r="S1979" t="s">
        <v>207</v>
      </c>
      <c r="T1979" t="s">
        <v>208</v>
      </c>
      <c r="U1979" t="s">
        <v>155</v>
      </c>
      <c r="V1979">
        <v>0</v>
      </c>
      <c r="W1979">
        <v>200000</v>
      </c>
      <c r="X1979" s="1">
        <v>43921</v>
      </c>
      <c r="Y1979" t="s">
        <v>51</v>
      </c>
      <c r="Z1979" t="s">
        <v>43</v>
      </c>
      <c r="AA1979" t="s">
        <v>41</v>
      </c>
      <c r="AB1979" t="s">
        <v>52</v>
      </c>
      <c r="AC1979" t="s">
        <v>53</v>
      </c>
      <c r="AF1979" t="s">
        <v>162</v>
      </c>
      <c r="AG1979" s="1">
        <v>43851</v>
      </c>
    </row>
    <row r="1980" spans="1:38" x14ac:dyDescent="0.25">
      <c r="A1980" t="s">
        <v>300</v>
      </c>
      <c r="B1980" t="s">
        <v>516</v>
      </c>
      <c r="C1980" t="s">
        <v>40</v>
      </c>
      <c r="D1980" s="1">
        <v>43448</v>
      </c>
      <c r="E1980" s="1">
        <v>43812</v>
      </c>
      <c r="F1980" t="s">
        <v>41</v>
      </c>
      <c r="G1980">
        <v>12</v>
      </c>
      <c r="H1980" t="s">
        <v>155</v>
      </c>
      <c r="I1980" t="s">
        <v>43</v>
      </c>
      <c r="J1980" t="s">
        <v>126</v>
      </c>
      <c r="K1980" t="s">
        <v>127</v>
      </c>
      <c r="L1980">
        <v>5659.5</v>
      </c>
      <c r="M1980" s="1">
        <v>43448</v>
      </c>
      <c r="N1980" t="s">
        <v>45</v>
      </c>
      <c r="O1980" t="s">
        <v>46</v>
      </c>
      <c r="P1980" t="s">
        <v>47</v>
      </c>
      <c r="Q1980" s="1">
        <v>43852</v>
      </c>
      <c r="R1980" t="s">
        <v>48</v>
      </c>
      <c r="S1980" t="s">
        <v>207</v>
      </c>
      <c r="T1980" t="s">
        <v>208</v>
      </c>
      <c r="U1980" t="s">
        <v>155</v>
      </c>
      <c r="V1980">
        <v>0</v>
      </c>
      <c r="W1980">
        <v>200000</v>
      </c>
      <c r="X1980" s="1">
        <v>43921</v>
      </c>
      <c r="Y1980" t="s">
        <v>51</v>
      </c>
      <c r="Z1980" t="s">
        <v>43</v>
      </c>
      <c r="AA1980" t="s">
        <v>41</v>
      </c>
      <c r="AB1980" t="s">
        <v>52</v>
      </c>
      <c r="AC1980" t="s">
        <v>53</v>
      </c>
      <c r="AF1980" t="s">
        <v>163</v>
      </c>
      <c r="AG1980" s="1">
        <v>43852</v>
      </c>
    </row>
    <row r="1981" spans="1:38" x14ac:dyDescent="0.25">
      <c r="A1981" t="s">
        <v>302</v>
      </c>
      <c r="B1981" s="2">
        <v>3.1142E+18</v>
      </c>
      <c r="C1981" t="s">
        <v>40</v>
      </c>
      <c r="D1981" s="1">
        <v>43566</v>
      </c>
      <c r="E1981" s="1">
        <v>43930</v>
      </c>
      <c r="F1981" t="s">
        <v>76</v>
      </c>
      <c r="G1981">
        <v>3</v>
      </c>
      <c r="H1981" t="s">
        <v>125</v>
      </c>
      <c r="I1981" t="s">
        <v>43</v>
      </c>
      <c r="J1981" t="s">
        <v>126</v>
      </c>
      <c r="K1981" t="s">
        <v>127</v>
      </c>
      <c r="L1981">
        <v>2942.25</v>
      </c>
      <c r="M1981" s="1">
        <v>43566</v>
      </c>
      <c r="N1981" t="s">
        <v>45</v>
      </c>
      <c r="O1981" t="s">
        <v>46</v>
      </c>
      <c r="P1981" t="s">
        <v>47</v>
      </c>
      <c r="Q1981" s="1">
        <v>43852</v>
      </c>
      <c r="R1981" t="s">
        <v>48</v>
      </c>
    </row>
    <row r="1982" spans="1:38" x14ac:dyDescent="0.25">
      <c r="A1982" t="s">
        <v>304</v>
      </c>
      <c r="B1982" t="s">
        <v>517</v>
      </c>
      <c r="C1982" t="s">
        <v>71</v>
      </c>
      <c r="D1982" s="1">
        <v>43397</v>
      </c>
      <c r="E1982" s="1">
        <v>43761</v>
      </c>
      <c r="F1982" t="s">
        <v>76</v>
      </c>
      <c r="G1982">
        <v>3</v>
      </c>
      <c r="H1982" t="s">
        <v>125</v>
      </c>
      <c r="I1982" t="s">
        <v>43</v>
      </c>
      <c r="J1982" t="s">
        <v>126</v>
      </c>
      <c r="K1982" t="s">
        <v>44</v>
      </c>
      <c r="L1982">
        <v>6335.5</v>
      </c>
      <c r="M1982" s="1">
        <v>43761</v>
      </c>
      <c r="N1982" t="s">
        <v>45</v>
      </c>
      <c r="O1982" t="s">
        <v>46</v>
      </c>
      <c r="P1982" t="s">
        <v>47</v>
      </c>
      <c r="Q1982" s="1">
        <v>43852</v>
      </c>
      <c r="R1982" t="s">
        <v>48</v>
      </c>
    </row>
    <row r="1983" spans="1:38" x14ac:dyDescent="0.25">
      <c r="A1983" t="s">
        <v>307</v>
      </c>
      <c r="B1983" t="s">
        <v>518</v>
      </c>
      <c r="C1983" t="s">
        <v>40</v>
      </c>
      <c r="D1983" s="1">
        <v>43764</v>
      </c>
      <c r="E1983" s="1">
        <v>44129</v>
      </c>
      <c r="F1983" t="s">
        <v>76</v>
      </c>
      <c r="G1983">
        <v>3</v>
      </c>
      <c r="H1983" t="s">
        <v>125</v>
      </c>
      <c r="I1983" t="s">
        <v>43</v>
      </c>
      <c r="J1983" t="s">
        <v>126</v>
      </c>
      <c r="K1983" t="s">
        <v>44</v>
      </c>
      <c r="L1983">
        <v>2436.75</v>
      </c>
      <c r="M1983" s="1">
        <v>43764</v>
      </c>
      <c r="N1983" t="s">
        <v>45</v>
      </c>
      <c r="O1983" t="s">
        <v>44</v>
      </c>
      <c r="P1983" t="s">
        <v>47</v>
      </c>
      <c r="Q1983" s="1">
        <v>43852</v>
      </c>
      <c r="R1983" t="s">
        <v>48</v>
      </c>
    </row>
    <row r="1984" spans="1:38" x14ac:dyDescent="0.25">
      <c r="A1984" t="s">
        <v>308</v>
      </c>
      <c r="B1984">
        <v>10619837</v>
      </c>
      <c r="C1984" t="s">
        <v>71</v>
      </c>
      <c r="D1984" s="1">
        <v>43397</v>
      </c>
      <c r="E1984" s="1">
        <v>43761</v>
      </c>
      <c r="F1984" t="s">
        <v>72</v>
      </c>
      <c r="G1984">
        <v>3</v>
      </c>
      <c r="H1984" t="s">
        <v>125</v>
      </c>
      <c r="I1984" t="s">
        <v>43</v>
      </c>
      <c r="J1984" t="s">
        <v>126</v>
      </c>
      <c r="K1984" t="s">
        <v>44</v>
      </c>
      <c r="L1984">
        <v>18321.23</v>
      </c>
      <c r="M1984" s="1">
        <v>43397</v>
      </c>
      <c r="N1984" t="s">
        <v>45</v>
      </c>
      <c r="O1984" t="s">
        <v>46</v>
      </c>
      <c r="P1984" t="s">
        <v>47</v>
      </c>
      <c r="Q1984" s="1">
        <v>43852</v>
      </c>
      <c r="R1984" t="s">
        <v>48</v>
      </c>
      <c r="S1984" t="s">
        <v>266</v>
      </c>
      <c r="T1984" t="s">
        <v>267</v>
      </c>
      <c r="U1984" t="s">
        <v>125</v>
      </c>
      <c r="V1984">
        <v>700000</v>
      </c>
      <c r="W1984">
        <v>100000</v>
      </c>
      <c r="X1984" s="1">
        <v>43830</v>
      </c>
      <c r="Y1984" t="s">
        <v>51</v>
      </c>
      <c r="Z1984" t="s">
        <v>43</v>
      </c>
      <c r="AA1984" t="s">
        <v>115</v>
      </c>
      <c r="AB1984" t="s">
        <v>268</v>
      </c>
      <c r="AC1984" t="s">
        <v>269</v>
      </c>
      <c r="AF1984" t="s">
        <v>134</v>
      </c>
      <c r="AG1984" s="1">
        <v>43843</v>
      </c>
      <c r="AH1984" t="s">
        <v>125</v>
      </c>
      <c r="AI1984" t="s">
        <v>92</v>
      </c>
      <c r="AJ1984">
        <v>1278023</v>
      </c>
      <c r="AK1984">
        <v>12365300</v>
      </c>
      <c r="AL1984">
        <v>12900</v>
      </c>
    </row>
    <row r="1985" spans="1:38" x14ac:dyDescent="0.25">
      <c r="A1985" t="s">
        <v>308</v>
      </c>
      <c r="B1985">
        <v>10619837</v>
      </c>
      <c r="C1985" t="s">
        <v>71</v>
      </c>
      <c r="D1985" s="1">
        <v>43397</v>
      </c>
      <c r="E1985" s="1">
        <v>43761</v>
      </c>
      <c r="F1985" t="s">
        <v>72</v>
      </c>
      <c r="G1985">
        <v>3</v>
      </c>
      <c r="H1985" t="s">
        <v>125</v>
      </c>
      <c r="I1985" t="s">
        <v>43</v>
      </c>
      <c r="J1985" t="s">
        <v>126</v>
      </c>
      <c r="K1985" t="s">
        <v>44</v>
      </c>
      <c r="L1985">
        <v>18321.23</v>
      </c>
      <c r="M1985" s="1">
        <v>43397</v>
      </c>
      <c r="N1985" t="s">
        <v>45</v>
      </c>
      <c r="O1985" t="s">
        <v>46</v>
      </c>
      <c r="P1985" t="s">
        <v>47</v>
      </c>
      <c r="Q1985" s="1">
        <v>43852</v>
      </c>
      <c r="R1985" t="s">
        <v>48</v>
      </c>
      <c r="S1985" t="s">
        <v>266</v>
      </c>
      <c r="T1985" t="s">
        <v>267</v>
      </c>
      <c r="U1985" t="s">
        <v>125</v>
      </c>
      <c r="V1985">
        <v>700000</v>
      </c>
      <c r="W1985">
        <v>100000</v>
      </c>
      <c r="X1985" s="1">
        <v>43830</v>
      </c>
      <c r="Y1985" t="s">
        <v>51</v>
      </c>
      <c r="Z1985" t="s">
        <v>43</v>
      </c>
      <c r="AA1985" t="s">
        <v>115</v>
      </c>
      <c r="AB1985" t="s">
        <v>268</v>
      </c>
      <c r="AC1985" t="s">
        <v>269</v>
      </c>
      <c r="AF1985" t="s">
        <v>135</v>
      </c>
      <c r="AG1985" s="1">
        <v>43843</v>
      </c>
      <c r="AH1985" t="s">
        <v>125</v>
      </c>
      <c r="AI1985" t="s">
        <v>92</v>
      </c>
      <c r="AJ1985">
        <v>1278023</v>
      </c>
      <c r="AK1985">
        <v>12365300</v>
      </c>
      <c r="AL1985">
        <v>12900</v>
      </c>
    </row>
    <row r="1986" spans="1:38" x14ac:dyDescent="0.25">
      <c r="A1986" t="s">
        <v>308</v>
      </c>
      <c r="B1986">
        <v>10619837</v>
      </c>
      <c r="C1986" t="s">
        <v>71</v>
      </c>
      <c r="D1986" s="1">
        <v>43397</v>
      </c>
      <c r="E1986" s="1">
        <v>43761</v>
      </c>
      <c r="F1986" t="s">
        <v>72</v>
      </c>
      <c r="G1986">
        <v>3</v>
      </c>
      <c r="H1986" t="s">
        <v>125</v>
      </c>
      <c r="I1986" t="s">
        <v>43</v>
      </c>
      <c r="J1986" t="s">
        <v>126</v>
      </c>
      <c r="K1986" t="s">
        <v>44</v>
      </c>
      <c r="L1986">
        <v>18321.23</v>
      </c>
      <c r="M1986" s="1">
        <v>43397</v>
      </c>
      <c r="N1986" t="s">
        <v>45</v>
      </c>
      <c r="O1986" t="s">
        <v>46</v>
      </c>
      <c r="P1986" t="s">
        <v>47</v>
      </c>
      <c r="Q1986" s="1">
        <v>43852</v>
      </c>
      <c r="R1986" t="s">
        <v>48</v>
      </c>
      <c r="S1986" t="s">
        <v>266</v>
      </c>
      <c r="T1986" t="s">
        <v>267</v>
      </c>
      <c r="U1986" t="s">
        <v>125</v>
      </c>
      <c r="V1986">
        <v>700000</v>
      </c>
      <c r="W1986">
        <v>100000</v>
      </c>
      <c r="X1986" s="1">
        <v>43830</v>
      </c>
      <c r="Y1986" t="s">
        <v>51</v>
      </c>
      <c r="Z1986" t="s">
        <v>43</v>
      </c>
      <c r="AA1986" t="s">
        <v>115</v>
      </c>
      <c r="AB1986" t="s">
        <v>268</v>
      </c>
      <c r="AC1986" t="s">
        <v>269</v>
      </c>
      <c r="AF1986" t="s">
        <v>136</v>
      </c>
      <c r="AG1986" s="1">
        <v>43839</v>
      </c>
      <c r="AH1986" t="s">
        <v>125</v>
      </c>
      <c r="AI1986" t="s">
        <v>92</v>
      </c>
      <c r="AJ1986">
        <v>1278023</v>
      </c>
      <c r="AK1986">
        <v>12365300</v>
      </c>
      <c r="AL1986">
        <v>12900</v>
      </c>
    </row>
    <row r="1987" spans="1:38" x14ac:dyDescent="0.25">
      <c r="A1987" t="s">
        <v>308</v>
      </c>
      <c r="B1987">
        <v>10619837</v>
      </c>
      <c r="C1987" t="s">
        <v>71</v>
      </c>
      <c r="D1987" s="1">
        <v>43397</v>
      </c>
      <c r="E1987" s="1">
        <v>43761</v>
      </c>
      <c r="F1987" t="s">
        <v>72</v>
      </c>
      <c r="G1987">
        <v>3</v>
      </c>
      <c r="H1987" t="s">
        <v>125</v>
      </c>
      <c r="I1987" t="s">
        <v>43</v>
      </c>
      <c r="J1987" t="s">
        <v>126</v>
      </c>
      <c r="K1987" t="s">
        <v>44</v>
      </c>
      <c r="L1987">
        <v>18321.23</v>
      </c>
      <c r="M1987" s="1">
        <v>43397</v>
      </c>
      <c r="N1987" t="s">
        <v>45</v>
      </c>
      <c r="O1987" t="s">
        <v>46</v>
      </c>
      <c r="P1987" t="s">
        <v>47</v>
      </c>
      <c r="Q1987" s="1">
        <v>43852</v>
      </c>
      <c r="R1987" t="s">
        <v>48</v>
      </c>
      <c r="S1987" t="s">
        <v>266</v>
      </c>
      <c r="T1987" t="s">
        <v>267</v>
      </c>
      <c r="U1987" t="s">
        <v>125</v>
      </c>
      <c r="V1987">
        <v>700000</v>
      </c>
      <c r="W1987">
        <v>100000</v>
      </c>
      <c r="X1987" s="1">
        <v>43830</v>
      </c>
      <c r="Y1987" t="s">
        <v>51</v>
      </c>
      <c r="Z1987" t="s">
        <v>43</v>
      </c>
      <c r="AA1987" t="s">
        <v>115</v>
      </c>
      <c r="AB1987" t="s">
        <v>268</v>
      </c>
      <c r="AC1987" t="s">
        <v>269</v>
      </c>
      <c r="AF1987" t="s">
        <v>137</v>
      </c>
      <c r="AG1987" s="1">
        <v>43840</v>
      </c>
      <c r="AH1987" t="s">
        <v>125</v>
      </c>
      <c r="AI1987" t="s">
        <v>92</v>
      </c>
      <c r="AJ1987">
        <v>1278023</v>
      </c>
      <c r="AK1987">
        <v>12365300</v>
      </c>
      <c r="AL1987">
        <v>12900</v>
      </c>
    </row>
    <row r="1988" spans="1:38" x14ac:dyDescent="0.25">
      <c r="A1988" t="s">
        <v>308</v>
      </c>
      <c r="B1988">
        <v>10619837</v>
      </c>
      <c r="C1988" t="s">
        <v>71</v>
      </c>
      <c r="D1988" s="1">
        <v>43397</v>
      </c>
      <c r="E1988" s="1">
        <v>43761</v>
      </c>
      <c r="F1988" t="s">
        <v>72</v>
      </c>
      <c r="G1988">
        <v>3</v>
      </c>
      <c r="H1988" t="s">
        <v>125</v>
      </c>
      <c r="I1988" t="s">
        <v>43</v>
      </c>
      <c r="J1988" t="s">
        <v>126</v>
      </c>
      <c r="K1988" t="s">
        <v>44</v>
      </c>
      <c r="L1988">
        <v>18321.23</v>
      </c>
      <c r="M1988" s="1">
        <v>43397</v>
      </c>
      <c r="N1988" t="s">
        <v>45</v>
      </c>
      <c r="O1988" t="s">
        <v>46</v>
      </c>
      <c r="P1988" t="s">
        <v>47</v>
      </c>
      <c r="Q1988" s="1">
        <v>43852</v>
      </c>
      <c r="R1988" t="s">
        <v>48</v>
      </c>
      <c r="S1988" t="s">
        <v>72</v>
      </c>
      <c r="T1988" t="s">
        <v>270</v>
      </c>
      <c r="U1988" t="s">
        <v>125</v>
      </c>
      <c r="V1988">
        <v>0</v>
      </c>
      <c r="W1988">
        <v>500000</v>
      </c>
      <c r="X1988" s="1">
        <v>43739</v>
      </c>
      <c r="Y1988" t="s">
        <v>131</v>
      </c>
      <c r="Z1988" t="s">
        <v>43</v>
      </c>
      <c r="AA1988" t="s">
        <v>115</v>
      </c>
      <c r="AB1988" t="s">
        <v>268</v>
      </c>
      <c r="AC1988" t="s">
        <v>269</v>
      </c>
      <c r="AF1988" t="s">
        <v>134</v>
      </c>
      <c r="AG1988" s="1">
        <v>43843</v>
      </c>
      <c r="AH1988" t="s">
        <v>125</v>
      </c>
      <c r="AI1988" t="s">
        <v>92</v>
      </c>
      <c r="AJ1988">
        <v>1278023</v>
      </c>
      <c r="AK1988">
        <v>12365300</v>
      </c>
      <c r="AL1988">
        <v>12900</v>
      </c>
    </row>
    <row r="1989" spans="1:38" x14ac:dyDescent="0.25">
      <c r="A1989" t="s">
        <v>308</v>
      </c>
      <c r="B1989">
        <v>10619837</v>
      </c>
      <c r="C1989" t="s">
        <v>71</v>
      </c>
      <c r="D1989" s="1">
        <v>43397</v>
      </c>
      <c r="E1989" s="1">
        <v>43761</v>
      </c>
      <c r="F1989" t="s">
        <v>72</v>
      </c>
      <c r="G1989">
        <v>3</v>
      </c>
      <c r="H1989" t="s">
        <v>125</v>
      </c>
      <c r="I1989" t="s">
        <v>43</v>
      </c>
      <c r="J1989" t="s">
        <v>126</v>
      </c>
      <c r="K1989" t="s">
        <v>44</v>
      </c>
      <c r="L1989">
        <v>18321.23</v>
      </c>
      <c r="M1989" s="1">
        <v>43397</v>
      </c>
      <c r="N1989" t="s">
        <v>45</v>
      </c>
      <c r="O1989" t="s">
        <v>46</v>
      </c>
      <c r="P1989" t="s">
        <v>47</v>
      </c>
      <c r="Q1989" s="1">
        <v>43852</v>
      </c>
      <c r="R1989" t="s">
        <v>48</v>
      </c>
      <c r="S1989" t="s">
        <v>72</v>
      </c>
      <c r="T1989" t="s">
        <v>270</v>
      </c>
      <c r="U1989" t="s">
        <v>125</v>
      </c>
      <c r="V1989">
        <v>0</v>
      </c>
      <c r="W1989">
        <v>500000</v>
      </c>
      <c r="X1989" s="1">
        <v>43739</v>
      </c>
      <c r="Y1989" t="s">
        <v>131</v>
      </c>
      <c r="Z1989" t="s">
        <v>43</v>
      </c>
      <c r="AA1989" t="s">
        <v>115</v>
      </c>
      <c r="AB1989" t="s">
        <v>268</v>
      </c>
      <c r="AC1989" t="s">
        <v>269</v>
      </c>
      <c r="AF1989" t="s">
        <v>135</v>
      </c>
      <c r="AG1989" s="1">
        <v>43843</v>
      </c>
      <c r="AH1989" t="s">
        <v>125</v>
      </c>
      <c r="AI1989" t="s">
        <v>92</v>
      </c>
      <c r="AJ1989">
        <v>1278023</v>
      </c>
      <c r="AK1989">
        <v>12365300</v>
      </c>
      <c r="AL1989">
        <v>12900</v>
      </c>
    </row>
    <row r="1990" spans="1:38" x14ac:dyDescent="0.25">
      <c r="A1990" t="s">
        <v>308</v>
      </c>
      <c r="B1990">
        <v>10619837</v>
      </c>
      <c r="C1990" t="s">
        <v>71</v>
      </c>
      <c r="D1990" s="1">
        <v>43397</v>
      </c>
      <c r="E1990" s="1">
        <v>43761</v>
      </c>
      <c r="F1990" t="s">
        <v>72</v>
      </c>
      <c r="G1990">
        <v>3</v>
      </c>
      <c r="H1990" t="s">
        <v>125</v>
      </c>
      <c r="I1990" t="s">
        <v>43</v>
      </c>
      <c r="J1990" t="s">
        <v>126</v>
      </c>
      <c r="K1990" t="s">
        <v>44</v>
      </c>
      <c r="L1990">
        <v>18321.23</v>
      </c>
      <c r="M1990" s="1">
        <v>43397</v>
      </c>
      <c r="N1990" t="s">
        <v>45</v>
      </c>
      <c r="O1990" t="s">
        <v>46</v>
      </c>
      <c r="P1990" t="s">
        <v>47</v>
      </c>
      <c r="Q1990" s="1">
        <v>43852</v>
      </c>
      <c r="R1990" t="s">
        <v>48</v>
      </c>
      <c r="S1990" t="s">
        <v>72</v>
      </c>
      <c r="T1990" t="s">
        <v>270</v>
      </c>
      <c r="U1990" t="s">
        <v>125</v>
      </c>
      <c r="V1990">
        <v>0</v>
      </c>
      <c r="W1990">
        <v>500000</v>
      </c>
      <c r="X1990" s="1">
        <v>43739</v>
      </c>
      <c r="Y1990" t="s">
        <v>131</v>
      </c>
      <c r="Z1990" t="s">
        <v>43</v>
      </c>
      <c r="AA1990" t="s">
        <v>115</v>
      </c>
      <c r="AB1990" t="s">
        <v>268</v>
      </c>
      <c r="AC1990" t="s">
        <v>269</v>
      </c>
      <c r="AF1990" t="s">
        <v>136</v>
      </c>
      <c r="AG1990" s="1">
        <v>43839</v>
      </c>
      <c r="AH1990" t="s">
        <v>125</v>
      </c>
      <c r="AI1990" t="s">
        <v>92</v>
      </c>
      <c r="AJ1990">
        <v>1278023</v>
      </c>
      <c r="AK1990">
        <v>12365300</v>
      </c>
      <c r="AL1990">
        <v>12900</v>
      </c>
    </row>
    <row r="1991" spans="1:38" x14ac:dyDescent="0.25">
      <c r="A1991" t="s">
        <v>308</v>
      </c>
      <c r="B1991">
        <v>10619837</v>
      </c>
      <c r="C1991" t="s">
        <v>71</v>
      </c>
      <c r="D1991" s="1">
        <v>43397</v>
      </c>
      <c r="E1991" s="1">
        <v>43761</v>
      </c>
      <c r="F1991" t="s">
        <v>72</v>
      </c>
      <c r="G1991">
        <v>3</v>
      </c>
      <c r="H1991" t="s">
        <v>125</v>
      </c>
      <c r="I1991" t="s">
        <v>43</v>
      </c>
      <c r="J1991" t="s">
        <v>126</v>
      </c>
      <c r="K1991" t="s">
        <v>44</v>
      </c>
      <c r="L1991">
        <v>18321.23</v>
      </c>
      <c r="M1991" s="1">
        <v>43397</v>
      </c>
      <c r="N1991" t="s">
        <v>45</v>
      </c>
      <c r="O1991" t="s">
        <v>46</v>
      </c>
      <c r="P1991" t="s">
        <v>47</v>
      </c>
      <c r="Q1991" s="1">
        <v>43852</v>
      </c>
      <c r="R1991" t="s">
        <v>48</v>
      </c>
      <c r="S1991" t="s">
        <v>72</v>
      </c>
      <c r="T1991" t="s">
        <v>270</v>
      </c>
      <c r="U1991" t="s">
        <v>125</v>
      </c>
      <c r="V1991">
        <v>0</v>
      </c>
      <c r="W1991">
        <v>500000</v>
      </c>
      <c r="X1991" s="1">
        <v>43739</v>
      </c>
      <c r="Y1991" t="s">
        <v>131</v>
      </c>
      <c r="Z1991" t="s">
        <v>43</v>
      </c>
      <c r="AA1991" t="s">
        <v>115</v>
      </c>
      <c r="AB1991" t="s">
        <v>268</v>
      </c>
      <c r="AC1991" t="s">
        <v>269</v>
      </c>
      <c r="AF1991" t="s">
        <v>137</v>
      </c>
      <c r="AG1991" s="1">
        <v>43840</v>
      </c>
      <c r="AH1991" t="s">
        <v>125</v>
      </c>
      <c r="AI1991" t="s">
        <v>92</v>
      </c>
      <c r="AJ1991">
        <v>1278023</v>
      </c>
      <c r="AK1991">
        <v>12365300</v>
      </c>
      <c r="AL1991">
        <v>12900</v>
      </c>
    </row>
    <row r="1992" spans="1:38" x14ac:dyDescent="0.25">
      <c r="A1992" t="s">
        <v>308</v>
      </c>
      <c r="B1992">
        <v>10619837</v>
      </c>
      <c r="C1992" t="s">
        <v>71</v>
      </c>
      <c r="D1992" s="1">
        <v>43397</v>
      </c>
      <c r="E1992" s="1">
        <v>43761</v>
      </c>
      <c r="F1992" t="s">
        <v>72</v>
      </c>
      <c r="G1992">
        <v>3</v>
      </c>
      <c r="H1992" t="s">
        <v>125</v>
      </c>
      <c r="I1992" t="s">
        <v>43</v>
      </c>
      <c r="J1992" t="s">
        <v>126</v>
      </c>
      <c r="K1992" t="s">
        <v>44</v>
      </c>
      <c r="L1992">
        <v>18321.23</v>
      </c>
      <c r="M1992" s="1">
        <v>43397</v>
      </c>
      <c r="N1992" t="s">
        <v>45</v>
      </c>
      <c r="O1992" t="s">
        <v>46</v>
      </c>
      <c r="P1992" t="s">
        <v>47</v>
      </c>
      <c r="Q1992" s="1">
        <v>43852</v>
      </c>
      <c r="R1992" t="s">
        <v>48</v>
      </c>
      <c r="S1992" t="s">
        <v>271</v>
      </c>
      <c r="T1992" t="s">
        <v>272</v>
      </c>
      <c r="U1992" t="s">
        <v>125</v>
      </c>
      <c r="V1992">
        <v>0</v>
      </c>
      <c r="W1992">
        <v>50000</v>
      </c>
      <c r="X1992" s="1">
        <v>43738</v>
      </c>
      <c r="Y1992" t="s">
        <v>140</v>
      </c>
      <c r="Z1992" t="s">
        <v>43</v>
      </c>
      <c r="AA1992" t="s">
        <v>115</v>
      </c>
      <c r="AB1992" t="s">
        <v>268</v>
      </c>
      <c r="AC1992" t="s">
        <v>269</v>
      </c>
      <c r="AF1992" t="s">
        <v>134</v>
      </c>
      <c r="AG1992" s="1">
        <v>43843</v>
      </c>
      <c r="AH1992" t="s">
        <v>125</v>
      </c>
      <c r="AI1992" t="s">
        <v>92</v>
      </c>
      <c r="AJ1992">
        <v>1278023</v>
      </c>
      <c r="AK1992">
        <v>12365300</v>
      </c>
      <c r="AL1992">
        <v>12900</v>
      </c>
    </row>
    <row r="1993" spans="1:38" x14ac:dyDescent="0.25">
      <c r="A1993" t="s">
        <v>308</v>
      </c>
      <c r="B1993">
        <v>10619837</v>
      </c>
      <c r="C1993" t="s">
        <v>71</v>
      </c>
      <c r="D1993" s="1">
        <v>43397</v>
      </c>
      <c r="E1993" s="1">
        <v>43761</v>
      </c>
      <c r="F1993" t="s">
        <v>72</v>
      </c>
      <c r="G1993">
        <v>3</v>
      </c>
      <c r="H1993" t="s">
        <v>125</v>
      </c>
      <c r="I1993" t="s">
        <v>43</v>
      </c>
      <c r="J1993" t="s">
        <v>126</v>
      </c>
      <c r="K1993" t="s">
        <v>44</v>
      </c>
      <c r="L1993">
        <v>18321.23</v>
      </c>
      <c r="M1993" s="1">
        <v>43397</v>
      </c>
      <c r="N1993" t="s">
        <v>45</v>
      </c>
      <c r="O1993" t="s">
        <v>46</v>
      </c>
      <c r="P1993" t="s">
        <v>47</v>
      </c>
      <c r="Q1993" s="1">
        <v>43852</v>
      </c>
      <c r="R1993" t="s">
        <v>48</v>
      </c>
      <c r="S1993" t="s">
        <v>271</v>
      </c>
      <c r="T1993" t="s">
        <v>272</v>
      </c>
      <c r="U1993" t="s">
        <v>125</v>
      </c>
      <c r="V1993">
        <v>0</v>
      </c>
      <c r="W1993">
        <v>50000</v>
      </c>
      <c r="X1993" s="1">
        <v>43738</v>
      </c>
      <c r="Y1993" t="s">
        <v>140</v>
      </c>
      <c r="Z1993" t="s">
        <v>43</v>
      </c>
      <c r="AA1993" t="s">
        <v>115</v>
      </c>
      <c r="AB1993" t="s">
        <v>268</v>
      </c>
      <c r="AC1993" t="s">
        <v>269</v>
      </c>
      <c r="AF1993" t="s">
        <v>135</v>
      </c>
      <c r="AG1993" s="1">
        <v>43843</v>
      </c>
      <c r="AH1993" t="s">
        <v>125</v>
      </c>
      <c r="AI1993" t="s">
        <v>92</v>
      </c>
      <c r="AJ1993">
        <v>1278023</v>
      </c>
      <c r="AK1993">
        <v>12365300</v>
      </c>
      <c r="AL1993">
        <v>12900</v>
      </c>
    </row>
    <row r="1994" spans="1:38" x14ac:dyDescent="0.25">
      <c r="A1994" t="s">
        <v>308</v>
      </c>
      <c r="B1994">
        <v>10619837</v>
      </c>
      <c r="C1994" t="s">
        <v>71</v>
      </c>
      <c r="D1994" s="1">
        <v>43397</v>
      </c>
      <c r="E1994" s="1">
        <v>43761</v>
      </c>
      <c r="F1994" t="s">
        <v>72</v>
      </c>
      <c r="G1994">
        <v>3</v>
      </c>
      <c r="H1994" t="s">
        <v>125</v>
      </c>
      <c r="I1994" t="s">
        <v>43</v>
      </c>
      <c r="J1994" t="s">
        <v>126</v>
      </c>
      <c r="K1994" t="s">
        <v>44</v>
      </c>
      <c r="L1994">
        <v>18321.23</v>
      </c>
      <c r="M1994" s="1">
        <v>43397</v>
      </c>
      <c r="N1994" t="s">
        <v>45</v>
      </c>
      <c r="O1994" t="s">
        <v>46</v>
      </c>
      <c r="P1994" t="s">
        <v>47</v>
      </c>
      <c r="Q1994" s="1">
        <v>43852</v>
      </c>
      <c r="R1994" t="s">
        <v>48</v>
      </c>
      <c r="S1994" t="s">
        <v>271</v>
      </c>
      <c r="T1994" t="s">
        <v>272</v>
      </c>
      <c r="U1994" t="s">
        <v>125</v>
      </c>
      <c r="V1994">
        <v>0</v>
      </c>
      <c r="W1994">
        <v>50000</v>
      </c>
      <c r="X1994" s="1">
        <v>43738</v>
      </c>
      <c r="Y1994" t="s">
        <v>140</v>
      </c>
      <c r="Z1994" t="s">
        <v>43</v>
      </c>
      <c r="AA1994" t="s">
        <v>115</v>
      </c>
      <c r="AB1994" t="s">
        <v>268</v>
      </c>
      <c r="AC1994" t="s">
        <v>269</v>
      </c>
      <c r="AF1994" t="s">
        <v>136</v>
      </c>
      <c r="AG1994" s="1">
        <v>43839</v>
      </c>
      <c r="AH1994" t="s">
        <v>125</v>
      </c>
      <c r="AI1994" t="s">
        <v>92</v>
      </c>
      <c r="AJ1994">
        <v>1278023</v>
      </c>
      <c r="AK1994">
        <v>12365300</v>
      </c>
      <c r="AL1994">
        <v>12900</v>
      </c>
    </row>
    <row r="1995" spans="1:38" x14ac:dyDescent="0.25">
      <c r="A1995" t="s">
        <v>308</v>
      </c>
      <c r="B1995">
        <v>10619837</v>
      </c>
      <c r="C1995" t="s">
        <v>71</v>
      </c>
      <c r="D1995" s="1">
        <v>43397</v>
      </c>
      <c r="E1995" s="1">
        <v>43761</v>
      </c>
      <c r="F1995" t="s">
        <v>72</v>
      </c>
      <c r="G1995">
        <v>3</v>
      </c>
      <c r="H1995" t="s">
        <v>125</v>
      </c>
      <c r="I1995" t="s">
        <v>43</v>
      </c>
      <c r="J1995" t="s">
        <v>126</v>
      </c>
      <c r="K1995" t="s">
        <v>44</v>
      </c>
      <c r="L1995">
        <v>18321.23</v>
      </c>
      <c r="M1995" s="1">
        <v>43397</v>
      </c>
      <c r="N1995" t="s">
        <v>45</v>
      </c>
      <c r="O1995" t="s">
        <v>46</v>
      </c>
      <c r="P1995" t="s">
        <v>47</v>
      </c>
      <c r="Q1995" s="1">
        <v>43852</v>
      </c>
      <c r="R1995" t="s">
        <v>48</v>
      </c>
      <c r="S1995" t="s">
        <v>271</v>
      </c>
      <c r="T1995" t="s">
        <v>272</v>
      </c>
      <c r="U1995" t="s">
        <v>125</v>
      </c>
      <c r="V1995">
        <v>0</v>
      </c>
      <c r="W1995">
        <v>50000</v>
      </c>
      <c r="X1995" s="1">
        <v>43738</v>
      </c>
      <c r="Y1995" t="s">
        <v>140</v>
      </c>
      <c r="Z1995" t="s">
        <v>43</v>
      </c>
      <c r="AA1995" t="s">
        <v>115</v>
      </c>
      <c r="AB1995" t="s">
        <v>268</v>
      </c>
      <c r="AC1995" t="s">
        <v>269</v>
      </c>
      <c r="AF1995" t="s">
        <v>137</v>
      </c>
      <c r="AG1995" s="1">
        <v>43840</v>
      </c>
      <c r="AH1995" t="s">
        <v>125</v>
      </c>
      <c r="AI1995" t="s">
        <v>92</v>
      </c>
      <c r="AJ1995">
        <v>1278023</v>
      </c>
      <c r="AK1995">
        <v>12365300</v>
      </c>
      <c r="AL1995">
        <v>12900</v>
      </c>
    </row>
    <row r="1996" spans="1:38" x14ac:dyDescent="0.25">
      <c r="A1996" t="s">
        <v>309</v>
      </c>
      <c r="B1996" t="s">
        <v>519</v>
      </c>
      <c r="C1996" t="s">
        <v>40</v>
      </c>
      <c r="D1996" s="1">
        <v>43763</v>
      </c>
      <c r="E1996" s="1">
        <v>44128</v>
      </c>
      <c r="F1996" t="s">
        <v>72</v>
      </c>
      <c r="G1996">
        <v>3</v>
      </c>
      <c r="H1996" t="s">
        <v>125</v>
      </c>
      <c r="I1996" t="s">
        <v>43</v>
      </c>
      <c r="J1996" t="s">
        <v>126</v>
      </c>
      <c r="K1996" t="s">
        <v>44</v>
      </c>
      <c r="L1996">
        <v>26967.39</v>
      </c>
      <c r="M1996" s="1">
        <v>43763</v>
      </c>
      <c r="N1996" t="s">
        <v>45</v>
      </c>
      <c r="O1996" t="s">
        <v>44</v>
      </c>
      <c r="P1996" t="s">
        <v>47</v>
      </c>
      <c r="Q1996" s="1">
        <v>43852</v>
      </c>
      <c r="R1996" t="s">
        <v>48</v>
      </c>
      <c r="S1996" t="s">
        <v>266</v>
      </c>
      <c r="T1996" t="s">
        <v>267</v>
      </c>
      <c r="U1996" t="s">
        <v>125</v>
      </c>
      <c r="V1996">
        <v>700000</v>
      </c>
      <c r="W1996">
        <v>100000</v>
      </c>
      <c r="X1996" s="1">
        <v>43830</v>
      </c>
      <c r="Y1996" t="s">
        <v>51</v>
      </c>
      <c r="Z1996" t="s">
        <v>43</v>
      </c>
      <c r="AA1996" t="s">
        <v>115</v>
      </c>
      <c r="AB1996" t="s">
        <v>268</v>
      </c>
      <c r="AC1996" t="s">
        <v>269</v>
      </c>
      <c r="AF1996" t="s">
        <v>134</v>
      </c>
      <c r="AG1996" s="1">
        <v>43843</v>
      </c>
      <c r="AH1996" t="s">
        <v>125</v>
      </c>
      <c r="AI1996" t="s">
        <v>92</v>
      </c>
      <c r="AJ1996">
        <v>1278023</v>
      </c>
      <c r="AK1996">
        <v>12365300</v>
      </c>
      <c r="AL1996">
        <v>12900</v>
      </c>
    </row>
    <row r="1997" spans="1:38" x14ac:dyDescent="0.25">
      <c r="A1997" t="s">
        <v>309</v>
      </c>
      <c r="B1997" t="s">
        <v>519</v>
      </c>
      <c r="C1997" t="s">
        <v>40</v>
      </c>
      <c r="D1997" s="1">
        <v>43763</v>
      </c>
      <c r="E1997" s="1">
        <v>44128</v>
      </c>
      <c r="F1997" t="s">
        <v>72</v>
      </c>
      <c r="G1997">
        <v>3</v>
      </c>
      <c r="H1997" t="s">
        <v>125</v>
      </c>
      <c r="I1997" t="s">
        <v>43</v>
      </c>
      <c r="J1997" t="s">
        <v>126</v>
      </c>
      <c r="K1997" t="s">
        <v>44</v>
      </c>
      <c r="L1997">
        <v>26967.39</v>
      </c>
      <c r="M1997" s="1">
        <v>43763</v>
      </c>
      <c r="N1997" t="s">
        <v>45</v>
      </c>
      <c r="O1997" t="s">
        <v>44</v>
      </c>
      <c r="P1997" t="s">
        <v>47</v>
      </c>
      <c r="Q1997" s="1">
        <v>43852</v>
      </c>
      <c r="R1997" t="s">
        <v>48</v>
      </c>
      <c r="S1997" t="s">
        <v>266</v>
      </c>
      <c r="T1997" t="s">
        <v>267</v>
      </c>
      <c r="U1997" t="s">
        <v>125</v>
      </c>
      <c r="V1997">
        <v>700000</v>
      </c>
      <c r="W1997">
        <v>100000</v>
      </c>
      <c r="X1997" s="1">
        <v>43830</v>
      </c>
      <c r="Y1997" t="s">
        <v>51</v>
      </c>
      <c r="Z1997" t="s">
        <v>43</v>
      </c>
      <c r="AA1997" t="s">
        <v>115</v>
      </c>
      <c r="AB1997" t="s">
        <v>268</v>
      </c>
      <c r="AC1997" t="s">
        <v>269</v>
      </c>
      <c r="AF1997" t="s">
        <v>135</v>
      </c>
      <c r="AG1997" s="1">
        <v>43843</v>
      </c>
      <c r="AH1997" t="s">
        <v>125</v>
      </c>
      <c r="AI1997" t="s">
        <v>92</v>
      </c>
      <c r="AJ1997">
        <v>1278023</v>
      </c>
      <c r="AK1997">
        <v>12365300</v>
      </c>
      <c r="AL1997">
        <v>12900</v>
      </c>
    </row>
    <row r="1998" spans="1:38" x14ac:dyDescent="0.25">
      <c r="A1998" t="s">
        <v>309</v>
      </c>
      <c r="B1998" t="s">
        <v>519</v>
      </c>
      <c r="C1998" t="s">
        <v>40</v>
      </c>
      <c r="D1998" s="1">
        <v>43763</v>
      </c>
      <c r="E1998" s="1">
        <v>44128</v>
      </c>
      <c r="F1998" t="s">
        <v>72</v>
      </c>
      <c r="G1998">
        <v>3</v>
      </c>
      <c r="H1998" t="s">
        <v>125</v>
      </c>
      <c r="I1998" t="s">
        <v>43</v>
      </c>
      <c r="J1998" t="s">
        <v>126</v>
      </c>
      <c r="K1998" t="s">
        <v>44</v>
      </c>
      <c r="L1998">
        <v>26967.39</v>
      </c>
      <c r="M1998" s="1">
        <v>43763</v>
      </c>
      <c r="N1998" t="s">
        <v>45</v>
      </c>
      <c r="O1998" t="s">
        <v>44</v>
      </c>
      <c r="P1998" t="s">
        <v>47</v>
      </c>
      <c r="Q1998" s="1">
        <v>43852</v>
      </c>
      <c r="R1998" t="s">
        <v>48</v>
      </c>
      <c r="S1998" t="s">
        <v>266</v>
      </c>
      <c r="T1998" t="s">
        <v>267</v>
      </c>
      <c r="U1998" t="s">
        <v>125</v>
      </c>
      <c r="V1998">
        <v>700000</v>
      </c>
      <c r="W1998">
        <v>100000</v>
      </c>
      <c r="X1998" s="1">
        <v>43830</v>
      </c>
      <c r="Y1998" t="s">
        <v>51</v>
      </c>
      <c r="Z1998" t="s">
        <v>43</v>
      </c>
      <c r="AA1998" t="s">
        <v>115</v>
      </c>
      <c r="AB1998" t="s">
        <v>268</v>
      </c>
      <c r="AC1998" t="s">
        <v>269</v>
      </c>
      <c r="AF1998" t="s">
        <v>136</v>
      </c>
      <c r="AG1998" s="1">
        <v>43839</v>
      </c>
      <c r="AH1998" t="s">
        <v>125</v>
      </c>
      <c r="AI1998" t="s">
        <v>92</v>
      </c>
      <c r="AJ1998">
        <v>1278023</v>
      </c>
      <c r="AK1998">
        <v>12365300</v>
      </c>
      <c r="AL1998">
        <v>12900</v>
      </c>
    </row>
    <row r="1999" spans="1:38" x14ac:dyDescent="0.25">
      <c r="A1999" t="s">
        <v>309</v>
      </c>
      <c r="B1999" t="s">
        <v>519</v>
      </c>
      <c r="C1999" t="s">
        <v>40</v>
      </c>
      <c r="D1999" s="1">
        <v>43763</v>
      </c>
      <c r="E1999" s="1">
        <v>44128</v>
      </c>
      <c r="F1999" t="s">
        <v>72</v>
      </c>
      <c r="G1999">
        <v>3</v>
      </c>
      <c r="H1999" t="s">
        <v>125</v>
      </c>
      <c r="I1999" t="s">
        <v>43</v>
      </c>
      <c r="J1999" t="s">
        <v>126</v>
      </c>
      <c r="K1999" t="s">
        <v>44</v>
      </c>
      <c r="L1999">
        <v>26967.39</v>
      </c>
      <c r="M1999" s="1">
        <v>43763</v>
      </c>
      <c r="N1999" t="s">
        <v>45</v>
      </c>
      <c r="O1999" t="s">
        <v>44</v>
      </c>
      <c r="P1999" t="s">
        <v>47</v>
      </c>
      <c r="Q1999" s="1">
        <v>43852</v>
      </c>
      <c r="R1999" t="s">
        <v>48</v>
      </c>
      <c r="S1999" t="s">
        <v>266</v>
      </c>
      <c r="T1999" t="s">
        <v>267</v>
      </c>
      <c r="U1999" t="s">
        <v>125</v>
      </c>
      <c r="V1999">
        <v>700000</v>
      </c>
      <c r="W1999">
        <v>100000</v>
      </c>
      <c r="X1999" s="1">
        <v>43830</v>
      </c>
      <c r="Y1999" t="s">
        <v>51</v>
      </c>
      <c r="Z1999" t="s">
        <v>43</v>
      </c>
      <c r="AA1999" t="s">
        <v>115</v>
      </c>
      <c r="AB1999" t="s">
        <v>268</v>
      </c>
      <c r="AC1999" t="s">
        <v>269</v>
      </c>
      <c r="AF1999" t="s">
        <v>137</v>
      </c>
      <c r="AG1999" s="1">
        <v>43840</v>
      </c>
      <c r="AH1999" t="s">
        <v>125</v>
      </c>
      <c r="AI1999" t="s">
        <v>92</v>
      </c>
      <c r="AJ1999">
        <v>1278023</v>
      </c>
      <c r="AK1999">
        <v>12365300</v>
      </c>
      <c r="AL1999">
        <v>12900</v>
      </c>
    </row>
    <row r="2000" spans="1:38" x14ac:dyDescent="0.25">
      <c r="A2000" t="s">
        <v>309</v>
      </c>
      <c r="B2000" t="s">
        <v>519</v>
      </c>
      <c r="C2000" t="s">
        <v>40</v>
      </c>
      <c r="D2000" s="1">
        <v>43763</v>
      </c>
      <c r="E2000" s="1">
        <v>44128</v>
      </c>
      <c r="F2000" t="s">
        <v>72</v>
      </c>
      <c r="G2000">
        <v>3</v>
      </c>
      <c r="H2000" t="s">
        <v>125</v>
      </c>
      <c r="I2000" t="s">
        <v>43</v>
      </c>
      <c r="J2000" t="s">
        <v>126</v>
      </c>
      <c r="K2000" t="s">
        <v>44</v>
      </c>
      <c r="L2000">
        <v>26967.39</v>
      </c>
      <c r="M2000" s="1">
        <v>43763</v>
      </c>
      <c r="N2000" t="s">
        <v>45</v>
      </c>
      <c r="O2000" t="s">
        <v>44</v>
      </c>
      <c r="P2000" t="s">
        <v>47</v>
      </c>
      <c r="Q2000" s="1">
        <v>43852</v>
      </c>
      <c r="R2000" t="s">
        <v>48</v>
      </c>
      <c r="S2000" t="s">
        <v>72</v>
      </c>
      <c r="T2000" t="s">
        <v>270</v>
      </c>
      <c r="U2000" t="s">
        <v>125</v>
      </c>
      <c r="V2000">
        <v>0</v>
      </c>
      <c r="W2000">
        <v>500000</v>
      </c>
      <c r="X2000" s="1">
        <v>43739</v>
      </c>
      <c r="Y2000" t="s">
        <v>131</v>
      </c>
      <c r="Z2000" t="s">
        <v>43</v>
      </c>
      <c r="AA2000" t="s">
        <v>115</v>
      </c>
      <c r="AB2000" t="s">
        <v>268</v>
      </c>
      <c r="AC2000" t="s">
        <v>269</v>
      </c>
      <c r="AF2000" t="s">
        <v>134</v>
      </c>
      <c r="AG2000" s="1">
        <v>43843</v>
      </c>
      <c r="AH2000" t="s">
        <v>125</v>
      </c>
      <c r="AI2000" t="s">
        <v>92</v>
      </c>
      <c r="AJ2000">
        <v>1278023</v>
      </c>
      <c r="AK2000">
        <v>12365300</v>
      </c>
      <c r="AL2000">
        <v>12900</v>
      </c>
    </row>
    <row r="2001" spans="1:38" x14ac:dyDescent="0.25">
      <c r="A2001" t="s">
        <v>309</v>
      </c>
      <c r="B2001" t="s">
        <v>519</v>
      </c>
      <c r="C2001" t="s">
        <v>40</v>
      </c>
      <c r="D2001" s="1">
        <v>43763</v>
      </c>
      <c r="E2001" s="1">
        <v>44128</v>
      </c>
      <c r="F2001" t="s">
        <v>72</v>
      </c>
      <c r="G2001">
        <v>3</v>
      </c>
      <c r="H2001" t="s">
        <v>125</v>
      </c>
      <c r="I2001" t="s">
        <v>43</v>
      </c>
      <c r="J2001" t="s">
        <v>126</v>
      </c>
      <c r="K2001" t="s">
        <v>44</v>
      </c>
      <c r="L2001">
        <v>26967.39</v>
      </c>
      <c r="M2001" s="1">
        <v>43763</v>
      </c>
      <c r="N2001" t="s">
        <v>45</v>
      </c>
      <c r="O2001" t="s">
        <v>44</v>
      </c>
      <c r="P2001" t="s">
        <v>47</v>
      </c>
      <c r="Q2001" s="1">
        <v>43852</v>
      </c>
      <c r="R2001" t="s">
        <v>48</v>
      </c>
      <c r="S2001" t="s">
        <v>72</v>
      </c>
      <c r="T2001" t="s">
        <v>270</v>
      </c>
      <c r="U2001" t="s">
        <v>125</v>
      </c>
      <c r="V2001">
        <v>0</v>
      </c>
      <c r="W2001">
        <v>500000</v>
      </c>
      <c r="X2001" s="1">
        <v>43739</v>
      </c>
      <c r="Y2001" t="s">
        <v>131</v>
      </c>
      <c r="Z2001" t="s">
        <v>43</v>
      </c>
      <c r="AA2001" t="s">
        <v>115</v>
      </c>
      <c r="AB2001" t="s">
        <v>268</v>
      </c>
      <c r="AC2001" t="s">
        <v>269</v>
      </c>
      <c r="AF2001" t="s">
        <v>135</v>
      </c>
      <c r="AG2001" s="1">
        <v>43843</v>
      </c>
      <c r="AH2001" t="s">
        <v>125</v>
      </c>
      <c r="AI2001" t="s">
        <v>92</v>
      </c>
      <c r="AJ2001">
        <v>1278023</v>
      </c>
      <c r="AK2001">
        <v>12365300</v>
      </c>
      <c r="AL2001">
        <v>12900</v>
      </c>
    </row>
    <row r="2002" spans="1:38" x14ac:dyDescent="0.25">
      <c r="A2002" t="s">
        <v>309</v>
      </c>
      <c r="B2002" t="s">
        <v>519</v>
      </c>
      <c r="C2002" t="s">
        <v>40</v>
      </c>
      <c r="D2002" s="1">
        <v>43763</v>
      </c>
      <c r="E2002" s="1">
        <v>44128</v>
      </c>
      <c r="F2002" t="s">
        <v>72</v>
      </c>
      <c r="G2002">
        <v>3</v>
      </c>
      <c r="H2002" t="s">
        <v>125</v>
      </c>
      <c r="I2002" t="s">
        <v>43</v>
      </c>
      <c r="J2002" t="s">
        <v>126</v>
      </c>
      <c r="K2002" t="s">
        <v>44</v>
      </c>
      <c r="L2002">
        <v>26967.39</v>
      </c>
      <c r="M2002" s="1">
        <v>43763</v>
      </c>
      <c r="N2002" t="s">
        <v>45</v>
      </c>
      <c r="O2002" t="s">
        <v>44</v>
      </c>
      <c r="P2002" t="s">
        <v>47</v>
      </c>
      <c r="Q2002" s="1">
        <v>43852</v>
      </c>
      <c r="R2002" t="s">
        <v>48</v>
      </c>
      <c r="S2002" t="s">
        <v>72</v>
      </c>
      <c r="T2002" t="s">
        <v>270</v>
      </c>
      <c r="U2002" t="s">
        <v>125</v>
      </c>
      <c r="V2002">
        <v>0</v>
      </c>
      <c r="W2002">
        <v>500000</v>
      </c>
      <c r="X2002" s="1">
        <v>43739</v>
      </c>
      <c r="Y2002" t="s">
        <v>131</v>
      </c>
      <c r="Z2002" t="s">
        <v>43</v>
      </c>
      <c r="AA2002" t="s">
        <v>115</v>
      </c>
      <c r="AB2002" t="s">
        <v>268</v>
      </c>
      <c r="AC2002" t="s">
        <v>269</v>
      </c>
      <c r="AF2002" t="s">
        <v>136</v>
      </c>
      <c r="AG2002" s="1">
        <v>43839</v>
      </c>
      <c r="AH2002" t="s">
        <v>125</v>
      </c>
      <c r="AI2002" t="s">
        <v>92</v>
      </c>
      <c r="AJ2002">
        <v>1278023</v>
      </c>
      <c r="AK2002">
        <v>12365300</v>
      </c>
      <c r="AL2002">
        <v>12900</v>
      </c>
    </row>
    <row r="2003" spans="1:38" x14ac:dyDescent="0.25">
      <c r="A2003" t="s">
        <v>309</v>
      </c>
      <c r="B2003" t="s">
        <v>519</v>
      </c>
      <c r="C2003" t="s">
        <v>40</v>
      </c>
      <c r="D2003" s="1">
        <v>43763</v>
      </c>
      <c r="E2003" s="1">
        <v>44128</v>
      </c>
      <c r="F2003" t="s">
        <v>72</v>
      </c>
      <c r="G2003">
        <v>3</v>
      </c>
      <c r="H2003" t="s">
        <v>125</v>
      </c>
      <c r="I2003" t="s">
        <v>43</v>
      </c>
      <c r="J2003" t="s">
        <v>126</v>
      </c>
      <c r="K2003" t="s">
        <v>44</v>
      </c>
      <c r="L2003">
        <v>26967.39</v>
      </c>
      <c r="M2003" s="1">
        <v>43763</v>
      </c>
      <c r="N2003" t="s">
        <v>45</v>
      </c>
      <c r="O2003" t="s">
        <v>44</v>
      </c>
      <c r="P2003" t="s">
        <v>47</v>
      </c>
      <c r="Q2003" s="1">
        <v>43852</v>
      </c>
      <c r="R2003" t="s">
        <v>48</v>
      </c>
      <c r="S2003" t="s">
        <v>72</v>
      </c>
      <c r="T2003" t="s">
        <v>270</v>
      </c>
      <c r="U2003" t="s">
        <v>125</v>
      </c>
      <c r="V2003">
        <v>0</v>
      </c>
      <c r="W2003">
        <v>500000</v>
      </c>
      <c r="X2003" s="1">
        <v>43739</v>
      </c>
      <c r="Y2003" t="s">
        <v>131</v>
      </c>
      <c r="Z2003" t="s">
        <v>43</v>
      </c>
      <c r="AA2003" t="s">
        <v>115</v>
      </c>
      <c r="AB2003" t="s">
        <v>268</v>
      </c>
      <c r="AC2003" t="s">
        <v>269</v>
      </c>
      <c r="AF2003" t="s">
        <v>137</v>
      </c>
      <c r="AG2003" s="1">
        <v>43840</v>
      </c>
      <c r="AH2003" t="s">
        <v>125</v>
      </c>
      <c r="AI2003" t="s">
        <v>92</v>
      </c>
      <c r="AJ2003">
        <v>1278023</v>
      </c>
      <c r="AK2003">
        <v>12365300</v>
      </c>
      <c r="AL2003">
        <v>12900</v>
      </c>
    </row>
    <row r="2004" spans="1:38" x14ac:dyDescent="0.25">
      <c r="A2004" t="s">
        <v>309</v>
      </c>
      <c r="B2004" t="s">
        <v>519</v>
      </c>
      <c r="C2004" t="s">
        <v>40</v>
      </c>
      <c r="D2004" s="1">
        <v>43763</v>
      </c>
      <c r="E2004" s="1">
        <v>44128</v>
      </c>
      <c r="F2004" t="s">
        <v>72</v>
      </c>
      <c r="G2004">
        <v>3</v>
      </c>
      <c r="H2004" t="s">
        <v>125</v>
      </c>
      <c r="I2004" t="s">
        <v>43</v>
      </c>
      <c r="J2004" t="s">
        <v>126</v>
      </c>
      <c r="K2004" t="s">
        <v>44</v>
      </c>
      <c r="L2004">
        <v>26967.39</v>
      </c>
      <c r="M2004" s="1">
        <v>43763</v>
      </c>
      <c r="N2004" t="s">
        <v>45</v>
      </c>
      <c r="O2004" t="s">
        <v>44</v>
      </c>
      <c r="P2004" t="s">
        <v>47</v>
      </c>
      <c r="Q2004" s="1">
        <v>43852</v>
      </c>
      <c r="R2004" t="s">
        <v>48</v>
      </c>
      <c r="S2004" t="s">
        <v>271</v>
      </c>
      <c r="T2004" t="s">
        <v>272</v>
      </c>
      <c r="U2004" t="s">
        <v>125</v>
      </c>
      <c r="V2004">
        <v>0</v>
      </c>
      <c r="W2004">
        <v>50000</v>
      </c>
      <c r="X2004" s="1">
        <v>43738</v>
      </c>
      <c r="Y2004" t="s">
        <v>140</v>
      </c>
      <c r="Z2004" t="s">
        <v>43</v>
      </c>
      <c r="AA2004" t="s">
        <v>115</v>
      </c>
      <c r="AB2004" t="s">
        <v>268</v>
      </c>
      <c r="AC2004" t="s">
        <v>269</v>
      </c>
      <c r="AF2004" t="s">
        <v>134</v>
      </c>
      <c r="AG2004" s="1">
        <v>43843</v>
      </c>
      <c r="AH2004" t="s">
        <v>125</v>
      </c>
      <c r="AI2004" t="s">
        <v>92</v>
      </c>
      <c r="AJ2004">
        <v>1278023</v>
      </c>
      <c r="AK2004">
        <v>12365300</v>
      </c>
      <c r="AL2004">
        <v>12900</v>
      </c>
    </row>
    <row r="2005" spans="1:38" x14ac:dyDescent="0.25">
      <c r="A2005" t="s">
        <v>309</v>
      </c>
      <c r="B2005" t="s">
        <v>519</v>
      </c>
      <c r="C2005" t="s">
        <v>40</v>
      </c>
      <c r="D2005" s="1">
        <v>43763</v>
      </c>
      <c r="E2005" s="1">
        <v>44128</v>
      </c>
      <c r="F2005" t="s">
        <v>72</v>
      </c>
      <c r="G2005">
        <v>3</v>
      </c>
      <c r="H2005" t="s">
        <v>125</v>
      </c>
      <c r="I2005" t="s">
        <v>43</v>
      </c>
      <c r="J2005" t="s">
        <v>126</v>
      </c>
      <c r="K2005" t="s">
        <v>44</v>
      </c>
      <c r="L2005">
        <v>26967.39</v>
      </c>
      <c r="M2005" s="1">
        <v>43763</v>
      </c>
      <c r="N2005" t="s">
        <v>45</v>
      </c>
      <c r="O2005" t="s">
        <v>44</v>
      </c>
      <c r="P2005" t="s">
        <v>47</v>
      </c>
      <c r="Q2005" s="1">
        <v>43852</v>
      </c>
      <c r="R2005" t="s">
        <v>48</v>
      </c>
      <c r="S2005" t="s">
        <v>271</v>
      </c>
      <c r="T2005" t="s">
        <v>272</v>
      </c>
      <c r="U2005" t="s">
        <v>125</v>
      </c>
      <c r="V2005">
        <v>0</v>
      </c>
      <c r="W2005">
        <v>50000</v>
      </c>
      <c r="X2005" s="1">
        <v>43738</v>
      </c>
      <c r="Y2005" t="s">
        <v>140</v>
      </c>
      <c r="Z2005" t="s">
        <v>43</v>
      </c>
      <c r="AA2005" t="s">
        <v>115</v>
      </c>
      <c r="AB2005" t="s">
        <v>268</v>
      </c>
      <c r="AC2005" t="s">
        <v>269</v>
      </c>
      <c r="AF2005" t="s">
        <v>135</v>
      </c>
      <c r="AG2005" s="1">
        <v>43843</v>
      </c>
      <c r="AH2005" t="s">
        <v>125</v>
      </c>
      <c r="AI2005" t="s">
        <v>92</v>
      </c>
      <c r="AJ2005">
        <v>1278023</v>
      </c>
      <c r="AK2005">
        <v>12365300</v>
      </c>
      <c r="AL2005">
        <v>12900</v>
      </c>
    </row>
    <row r="2006" spans="1:38" x14ac:dyDescent="0.25">
      <c r="A2006" t="s">
        <v>309</v>
      </c>
      <c r="B2006" t="s">
        <v>519</v>
      </c>
      <c r="C2006" t="s">
        <v>40</v>
      </c>
      <c r="D2006" s="1">
        <v>43763</v>
      </c>
      <c r="E2006" s="1">
        <v>44128</v>
      </c>
      <c r="F2006" t="s">
        <v>72</v>
      </c>
      <c r="G2006">
        <v>3</v>
      </c>
      <c r="H2006" t="s">
        <v>125</v>
      </c>
      <c r="I2006" t="s">
        <v>43</v>
      </c>
      <c r="J2006" t="s">
        <v>126</v>
      </c>
      <c r="K2006" t="s">
        <v>44</v>
      </c>
      <c r="L2006">
        <v>26967.39</v>
      </c>
      <c r="M2006" s="1">
        <v>43763</v>
      </c>
      <c r="N2006" t="s">
        <v>45</v>
      </c>
      <c r="O2006" t="s">
        <v>44</v>
      </c>
      <c r="P2006" t="s">
        <v>47</v>
      </c>
      <c r="Q2006" s="1">
        <v>43852</v>
      </c>
      <c r="R2006" t="s">
        <v>48</v>
      </c>
      <c r="S2006" t="s">
        <v>271</v>
      </c>
      <c r="T2006" t="s">
        <v>272</v>
      </c>
      <c r="U2006" t="s">
        <v>125</v>
      </c>
      <c r="V2006">
        <v>0</v>
      </c>
      <c r="W2006">
        <v>50000</v>
      </c>
      <c r="X2006" s="1">
        <v>43738</v>
      </c>
      <c r="Y2006" t="s">
        <v>140</v>
      </c>
      <c r="Z2006" t="s">
        <v>43</v>
      </c>
      <c r="AA2006" t="s">
        <v>115</v>
      </c>
      <c r="AB2006" t="s">
        <v>268</v>
      </c>
      <c r="AC2006" t="s">
        <v>269</v>
      </c>
      <c r="AF2006" t="s">
        <v>136</v>
      </c>
      <c r="AG2006" s="1">
        <v>43839</v>
      </c>
      <c r="AH2006" t="s">
        <v>125</v>
      </c>
      <c r="AI2006" t="s">
        <v>92</v>
      </c>
      <c r="AJ2006">
        <v>1278023</v>
      </c>
      <c r="AK2006">
        <v>12365300</v>
      </c>
      <c r="AL2006">
        <v>12900</v>
      </c>
    </row>
    <row r="2007" spans="1:38" x14ac:dyDescent="0.25">
      <c r="A2007" t="s">
        <v>309</v>
      </c>
      <c r="B2007" t="s">
        <v>519</v>
      </c>
      <c r="C2007" t="s">
        <v>40</v>
      </c>
      <c r="D2007" s="1">
        <v>43763</v>
      </c>
      <c r="E2007" s="1">
        <v>44128</v>
      </c>
      <c r="F2007" t="s">
        <v>72</v>
      </c>
      <c r="G2007">
        <v>3</v>
      </c>
      <c r="H2007" t="s">
        <v>125</v>
      </c>
      <c r="I2007" t="s">
        <v>43</v>
      </c>
      <c r="J2007" t="s">
        <v>126</v>
      </c>
      <c r="K2007" t="s">
        <v>44</v>
      </c>
      <c r="L2007">
        <v>26967.39</v>
      </c>
      <c r="M2007" s="1">
        <v>43763</v>
      </c>
      <c r="N2007" t="s">
        <v>45</v>
      </c>
      <c r="O2007" t="s">
        <v>44</v>
      </c>
      <c r="P2007" t="s">
        <v>47</v>
      </c>
      <c r="Q2007" s="1">
        <v>43852</v>
      </c>
      <c r="R2007" t="s">
        <v>48</v>
      </c>
      <c r="S2007" t="s">
        <v>271</v>
      </c>
      <c r="T2007" t="s">
        <v>272</v>
      </c>
      <c r="U2007" t="s">
        <v>125</v>
      </c>
      <c r="V2007">
        <v>0</v>
      </c>
      <c r="W2007">
        <v>50000</v>
      </c>
      <c r="X2007" s="1">
        <v>43738</v>
      </c>
      <c r="Y2007" t="s">
        <v>140</v>
      </c>
      <c r="Z2007" t="s">
        <v>43</v>
      </c>
      <c r="AA2007" t="s">
        <v>115</v>
      </c>
      <c r="AB2007" t="s">
        <v>268</v>
      </c>
      <c r="AC2007" t="s">
        <v>269</v>
      </c>
      <c r="AF2007" t="s">
        <v>137</v>
      </c>
      <c r="AG2007" s="1">
        <v>43840</v>
      </c>
      <c r="AH2007" t="s">
        <v>125</v>
      </c>
      <c r="AI2007" t="s">
        <v>92</v>
      </c>
      <c r="AJ2007">
        <v>1278023</v>
      </c>
      <c r="AK2007">
        <v>12365300</v>
      </c>
      <c r="AL2007">
        <v>12900</v>
      </c>
    </row>
    <row r="2008" spans="1:38" x14ac:dyDescent="0.25">
      <c r="A2008" t="s">
        <v>310</v>
      </c>
      <c r="B2008" t="s">
        <v>520</v>
      </c>
      <c r="C2008" t="s">
        <v>40</v>
      </c>
      <c r="D2008" s="1">
        <v>43101</v>
      </c>
      <c r="E2008" s="1">
        <v>43465</v>
      </c>
      <c r="F2008" t="s">
        <v>76</v>
      </c>
      <c r="G2008">
        <v>3</v>
      </c>
      <c r="H2008" t="s">
        <v>125</v>
      </c>
      <c r="I2008" t="s">
        <v>43</v>
      </c>
      <c r="J2008" t="s">
        <v>126</v>
      </c>
      <c r="K2008" t="s">
        <v>44</v>
      </c>
      <c r="L2008">
        <v>159956.76</v>
      </c>
      <c r="M2008" s="1">
        <v>43101</v>
      </c>
      <c r="N2008" t="s">
        <v>45</v>
      </c>
      <c r="O2008" t="s">
        <v>46</v>
      </c>
      <c r="P2008" t="s">
        <v>47</v>
      </c>
      <c r="Q2008" s="1">
        <v>43852</v>
      </c>
      <c r="R2008" t="s">
        <v>48</v>
      </c>
    </row>
    <row r="2009" spans="1:38" x14ac:dyDescent="0.25">
      <c r="A2009" t="s">
        <v>311</v>
      </c>
      <c r="B2009" t="s">
        <v>521</v>
      </c>
      <c r="C2009" t="s">
        <v>40</v>
      </c>
      <c r="D2009" s="1">
        <v>43466</v>
      </c>
      <c r="E2009" s="1">
        <v>43830</v>
      </c>
      <c r="F2009" t="s">
        <v>72</v>
      </c>
      <c r="G2009">
        <v>3</v>
      </c>
      <c r="H2009" t="s">
        <v>125</v>
      </c>
      <c r="I2009" t="s">
        <v>43</v>
      </c>
      <c r="J2009" t="s">
        <v>126</v>
      </c>
      <c r="K2009" t="s">
        <v>44</v>
      </c>
      <c r="L2009">
        <v>0</v>
      </c>
      <c r="M2009" s="1">
        <v>43466</v>
      </c>
      <c r="N2009" t="s">
        <v>45</v>
      </c>
      <c r="O2009" t="s">
        <v>46</v>
      </c>
      <c r="P2009" t="s">
        <v>47</v>
      </c>
      <c r="Q2009" s="1">
        <v>43852</v>
      </c>
      <c r="R2009" t="s">
        <v>48</v>
      </c>
      <c r="S2009" t="s">
        <v>266</v>
      </c>
      <c r="T2009" t="s">
        <v>267</v>
      </c>
      <c r="U2009" t="s">
        <v>125</v>
      </c>
      <c r="V2009">
        <v>700000</v>
      </c>
      <c r="W2009">
        <v>100000</v>
      </c>
      <c r="X2009" s="1">
        <v>43830</v>
      </c>
      <c r="Y2009" t="s">
        <v>51</v>
      </c>
      <c r="Z2009" t="s">
        <v>43</v>
      </c>
      <c r="AA2009" t="s">
        <v>115</v>
      </c>
      <c r="AB2009" t="s">
        <v>268</v>
      </c>
      <c r="AC2009" t="s">
        <v>269</v>
      </c>
      <c r="AF2009" t="s">
        <v>134</v>
      </c>
      <c r="AG2009" s="1">
        <v>43843</v>
      </c>
      <c r="AH2009" t="s">
        <v>125</v>
      </c>
      <c r="AI2009" t="s">
        <v>92</v>
      </c>
      <c r="AJ2009">
        <v>1278023</v>
      </c>
      <c r="AK2009">
        <v>12365300</v>
      </c>
      <c r="AL2009">
        <v>12900</v>
      </c>
    </row>
    <row r="2010" spans="1:38" x14ac:dyDescent="0.25">
      <c r="A2010" t="s">
        <v>311</v>
      </c>
      <c r="B2010" t="s">
        <v>521</v>
      </c>
      <c r="C2010" t="s">
        <v>40</v>
      </c>
      <c r="D2010" s="1">
        <v>43466</v>
      </c>
      <c r="E2010" s="1">
        <v>43830</v>
      </c>
      <c r="F2010" t="s">
        <v>72</v>
      </c>
      <c r="G2010">
        <v>3</v>
      </c>
      <c r="H2010" t="s">
        <v>125</v>
      </c>
      <c r="I2010" t="s">
        <v>43</v>
      </c>
      <c r="J2010" t="s">
        <v>126</v>
      </c>
      <c r="K2010" t="s">
        <v>44</v>
      </c>
      <c r="L2010">
        <v>0</v>
      </c>
      <c r="M2010" s="1">
        <v>43466</v>
      </c>
      <c r="N2010" t="s">
        <v>45</v>
      </c>
      <c r="O2010" t="s">
        <v>46</v>
      </c>
      <c r="P2010" t="s">
        <v>47</v>
      </c>
      <c r="Q2010" s="1">
        <v>43852</v>
      </c>
      <c r="R2010" t="s">
        <v>48</v>
      </c>
      <c r="S2010" t="s">
        <v>266</v>
      </c>
      <c r="T2010" t="s">
        <v>267</v>
      </c>
      <c r="U2010" t="s">
        <v>125</v>
      </c>
      <c r="V2010">
        <v>700000</v>
      </c>
      <c r="W2010">
        <v>100000</v>
      </c>
      <c r="X2010" s="1">
        <v>43830</v>
      </c>
      <c r="Y2010" t="s">
        <v>51</v>
      </c>
      <c r="Z2010" t="s">
        <v>43</v>
      </c>
      <c r="AA2010" t="s">
        <v>115</v>
      </c>
      <c r="AB2010" t="s">
        <v>268</v>
      </c>
      <c r="AC2010" t="s">
        <v>269</v>
      </c>
      <c r="AF2010" t="s">
        <v>135</v>
      </c>
      <c r="AG2010" s="1">
        <v>43843</v>
      </c>
      <c r="AH2010" t="s">
        <v>125</v>
      </c>
      <c r="AI2010" t="s">
        <v>92</v>
      </c>
      <c r="AJ2010">
        <v>1278023</v>
      </c>
      <c r="AK2010">
        <v>12365300</v>
      </c>
      <c r="AL2010">
        <v>12900</v>
      </c>
    </row>
    <row r="2011" spans="1:38" x14ac:dyDescent="0.25">
      <c r="A2011" t="s">
        <v>311</v>
      </c>
      <c r="B2011" t="s">
        <v>521</v>
      </c>
      <c r="C2011" t="s">
        <v>40</v>
      </c>
      <c r="D2011" s="1">
        <v>43466</v>
      </c>
      <c r="E2011" s="1">
        <v>43830</v>
      </c>
      <c r="F2011" t="s">
        <v>72</v>
      </c>
      <c r="G2011">
        <v>3</v>
      </c>
      <c r="H2011" t="s">
        <v>125</v>
      </c>
      <c r="I2011" t="s">
        <v>43</v>
      </c>
      <c r="J2011" t="s">
        <v>126</v>
      </c>
      <c r="K2011" t="s">
        <v>44</v>
      </c>
      <c r="L2011">
        <v>0</v>
      </c>
      <c r="M2011" s="1">
        <v>43466</v>
      </c>
      <c r="N2011" t="s">
        <v>45</v>
      </c>
      <c r="O2011" t="s">
        <v>46</v>
      </c>
      <c r="P2011" t="s">
        <v>47</v>
      </c>
      <c r="Q2011" s="1">
        <v>43852</v>
      </c>
      <c r="R2011" t="s">
        <v>48</v>
      </c>
      <c r="S2011" t="s">
        <v>266</v>
      </c>
      <c r="T2011" t="s">
        <v>267</v>
      </c>
      <c r="U2011" t="s">
        <v>125</v>
      </c>
      <c r="V2011">
        <v>700000</v>
      </c>
      <c r="W2011">
        <v>100000</v>
      </c>
      <c r="X2011" s="1">
        <v>43830</v>
      </c>
      <c r="Y2011" t="s">
        <v>51</v>
      </c>
      <c r="Z2011" t="s">
        <v>43</v>
      </c>
      <c r="AA2011" t="s">
        <v>115</v>
      </c>
      <c r="AB2011" t="s">
        <v>268</v>
      </c>
      <c r="AC2011" t="s">
        <v>269</v>
      </c>
      <c r="AF2011" t="s">
        <v>136</v>
      </c>
      <c r="AG2011" s="1">
        <v>43839</v>
      </c>
      <c r="AH2011" t="s">
        <v>125</v>
      </c>
      <c r="AI2011" t="s">
        <v>92</v>
      </c>
      <c r="AJ2011">
        <v>1278023</v>
      </c>
      <c r="AK2011">
        <v>12365300</v>
      </c>
      <c r="AL2011">
        <v>12900</v>
      </c>
    </row>
    <row r="2012" spans="1:38" x14ac:dyDescent="0.25">
      <c r="A2012" t="s">
        <v>311</v>
      </c>
      <c r="B2012" t="s">
        <v>521</v>
      </c>
      <c r="C2012" t="s">
        <v>40</v>
      </c>
      <c r="D2012" s="1">
        <v>43466</v>
      </c>
      <c r="E2012" s="1">
        <v>43830</v>
      </c>
      <c r="F2012" t="s">
        <v>72</v>
      </c>
      <c r="G2012">
        <v>3</v>
      </c>
      <c r="H2012" t="s">
        <v>125</v>
      </c>
      <c r="I2012" t="s">
        <v>43</v>
      </c>
      <c r="J2012" t="s">
        <v>126</v>
      </c>
      <c r="K2012" t="s">
        <v>44</v>
      </c>
      <c r="L2012">
        <v>0</v>
      </c>
      <c r="M2012" s="1">
        <v>43466</v>
      </c>
      <c r="N2012" t="s">
        <v>45</v>
      </c>
      <c r="O2012" t="s">
        <v>46</v>
      </c>
      <c r="P2012" t="s">
        <v>47</v>
      </c>
      <c r="Q2012" s="1">
        <v>43852</v>
      </c>
      <c r="R2012" t="s">
        <v>48</v>
      </c>
      <c r="S2012" t="s">
        <v>266</v>
      </c>
      <c r="T2012" t="s">
        <v>267</v>
      </c>
      <c r="U2012" t="s">
        <v>125</v>
      </c>
      <c r="V2012">
        <v>700000</v>
      </c>
      <c r="W2012">
        <v>100000</v>
      </c>
      <c r="X2012" s="1">
        <v>43830</v>
      </c>
      <c r="Y2012" t="s">
        <v>51</v>
      </c>
      <c r="Z2012" t="s">
        <v>43</v>
      </c>
      <c r="AA2012" t="s">
        <v>115</v>
      </c>
      <c r="AB2012" t="s">
        <v>268</v>
      </c>
      <c r="AC2012" t="s">
        <v>269</v>
      </c>
      <c r="AF2012" t="s">
        <v>137</v>
      </c>
      <c r="AG2012" s="1">
        <v>43840</v>
      </c>
      <c r="AH2012" t="s">
        <v>125</v>
      </c>
      <c r="AI2012" t="s">
        <v>92</v>
      </c>
      <c r="AJ2012">
        <v>1278023</v>
      </c>
      <c r="AK2012">
        <v>12365300</v>
      </c>
      <c r="AL2012">
        <v>12900</v>
      </c>
    </row>
    <row r="2013" spans="1:38" x14ac:dyDescent="0.25">
      <c r="A2013" t="s">
        <v>311</v>
      </c>
      <c r="B2013" t="s">
        <v>521</v>
      </c>
      <c r="C2013" t="s">
        <v>40</v>
      </c>
      <c r="D2013" s="1">
        <v>43466</v>
      </c>
      <c r="E2013" s="1">
        <v>43830</v>
      </c>
      <c r="F2013" t="s">
        <v>72</v>
      </c>
      <c r="G2013">
        <v>3</v>
      </c>
      <c r="H2013" t="s">
        <v>125</v>
      </c>
      <c r="I2013" t="s">
        <v>43</v>
      </c>
      <c r="J2013" t="s">
        <v>126</v>
      </c>
      <c r="K2013" t="s">
        <v>44</v>
      </c>
      <c r="L2013">
        <v>0</v>
      </c>
      <c r="M2013" s="1">
        <v>43466</v>
      </c>
      <c r="N2013" t="s">
        <v>45</v>
      </c>
      <c r="O2013" t="s">
        <v>46</v>
      </c>
      <c r="P2013" t="s">
        <v>47</v>
      </c>
      <c r="Q2013" s="1">
        <v>43852</v>
      </c>
      <c r="R2013" t="s">
        <v>48</v>
      </c>
      <c r="S2013" t="s">
        <v>72</v>
      </c>
      <c r="T2013" t="s">
        <v>270</v>
      </c>
      <c r="U2013" t="s">
        <v>125</v>
      </c>
      <c r="V2013">
        <v>0</v>
      </c>
      <c r="W2013">
        <v>500000</v>
      </c>
      <c r="X2013" s="1">
        <v>43739</v>
      </c>
      <c r="Y2013" t="s">
        <v>131</v>
      </c>
      <c r="Z2013" t="s">
        <v>43</v>
      </c>
      <c r="AA2013" t="s">
        <v>115</v>
      </c>
      <c r="AB2013" t="s">
        <v>268</v>
      </c>
      <c r="AC2013" t="s">
        <v>269</v>
      </c>
      <c r="AF2013" t="s">
        <v>134</v>
      </c>
      <c r="AG2013" s="1">
        <v>43843</v>
      </c>
      <c r="AH2013" t="s">
        <v>125</v>
      </c>
      <c r="AI2013" t="s">
        <v>92</v>
      </c>
      <c r="AJ2013">
        <v>1278023</v>
      </c>
      <c r="AK2013">
        <v>12365300</v>
      </c>
      <c r="AL2013">
        <v>12900</v>
      </c>
    </row>
    <row r="2014" spans="1:38" x14ac:dyDescent="0.25">
      <c r="A2014" t="s">
        <v>311</v>
      </c>
      <c r="B2014" t="s">
        <v>521</v>
      </c>
      <c r="C2014" t="s">
        <v>40</v>
      </c>
      <c r="D2014" s="1">
        <v>43466</v>
      </c>
      <c r="E2014" s="1">
        <v>43830</v>
      </c>
      <c r="F2014" t="s">
        <v>72</v>
      </c>
      <c r="G2014">
        <v>3</v>
      </c>
      <c r="H2014" t="s">
        <v>125</v>
      </c>
      <c r="I2014" t="s">
        <v>43</v>
      </c>
      <c r="J2014" t="s">
        <v>126</v>
      </c>
      <c r="K2014" t="s">
        <v>44</v>
      </c>
      <c r="L2014">
        <v>0</v>
      </c>
      <c r="M2014" s="1">
        <v>43466</v>
      </c>
      <c r="N2014" t="s">
        <v>45</v>
      </c>
      <c r="O2014" t="s">
        <v>46</v>
      </c>
      <c r="P2014" t="s">
        <v>47</v>
      </c>
      <c r="Q2014" s="1">
        <v>43852</v>
      </c>
      <c r="R2014" t="s">
        <v>48</v>
      </c>
      <c r="S2014" t="s">
        <v>72</v>
      </c>
      <c r="T2014" t="s">
        <v>270</v>
      </c>
      <c r="U2014" t="s">
        <v>125</v>
      </c>
      <c r="V2014">
        <v>0</v>
      </c>
      <c r="W2014">
        <v>500000</v>
      </c>
      <c r="X2014" s="1">
        <v>43739</v>
      </c>
      <c r="Y2014" t="s">
        <v>131</v>
      </c>
      <c r="Z2014" t="s">
        <v>43</v>
      </c>
      <c r="AA2014" t="s">
        <v>115</v>
      </c>
      <c r="AB2014" t="s">
        <v>268</v>
      </c>
      <c r="AC2014" t="s">
        <v>269</v>
      </c>
      <c r="AF2014" t="s">
        <v>135</v>
      </c>
      <c r="AG2014" s="1">
        <v>43843</v>
      </c>
      <c r="AH2014" t="s">
        <v>125</v>
      </c>
      <c r="AI2014" t="s">
        <v>92</v>
      </c>
      <c r="AJ2014">
        <v>1278023</v>
      </c>
      <c r="AK2014">
        <v>12365300</v>
      </c>
      <c r="AL2014">
        <v>12900</v>
      </c>
    </row>
    <row r="2015" spans="1:38" x14ac:dyDescent="0.25">
      <c r="A2015" t="s">
        <v>311</v>
      </c>
      <c r="B2015" t="s">
        <v>521</v>
      </c>
      <c r="C2015" t="s">
        <v>40</v>
      </c>
      <c r="D2015" s="1">
        <v>43466</v>
      </c>
      <c r="E2015" s="1">
        <v>43830</v>
      </c>
      <c r="F2015" t="s">
        <v>72</v>
      </c>
      <c r="G2015">
        <v>3</v>
      </c>
      <c r="H2015" t="s">
        <v>125</v>
      </c>
      <c r="I2015" t="s">
        <v>43</v>
      </c>
      <c r="J2015" t="s">
        <v>126</v>
      </c>
      <c r="K2015" t="s">
        <v>44</v>
      </c>
      <c r="L2015">
        <v>0</v>
      </c>
      <c r="M2015" s="1">
        <v>43466</v>
      </c>
      <c r="N2015" t="s">
        <v>45</v>
      </c>
      <c r="O2015" t="s">
        <v>46</v>
      </c>
      <c r="P2015" t="s">
        <v>47</v>
      </c>
      <c r="Q2015" s="1">
        <v>43852</v>
      </c>
      <c r="R2015" t="s">
        <v>48</v>
      </c>
      <c r="S2015" t="s">
        <v>72</v>
      </c>
      <c r="T2015" t="s">
        <v>270</v>
      </c>
      <c r="U2015" t="s">
        <v>125</v>
      </c>
      <c r="V2015">
        <v>0</v>
      </c>
      <c r="W2015">
        <v>500000</v>
      </c>
      <c r="X2015" s="1">
        <v>43739</v>
      </c>
      <c r="Y2015" t="s">
        <v>131</v>
      </c>
      <c r="Z2015" t="s">
        <v>43</v>
      </c>
      <c r="AA2015" t="s">
        <v>115</v>
      </c>
      <c r="AB2015" t="s">
        <v>268</v>
      </c>
      <c r="AC2015" t="s">
        <v>269</v>
      </c>
      <c r="AF2015" t="s">
        <v>136</v>
      </c>
      <c r="AG2015" s="1">
        <v>43839</v>
      </c>
      <c r="AH2015" t="s">
        <v>125</v>
      </c>
      <c r="AI2015" t="s">
        <v>92</v>
      </c>
      <c r="AJ2015">
        <v>1278023</v>
      </c>
      <c r="AK2015">
        <v>12365300</v>
      </c>
      <c r="AL2015">
        <v>12900</v>
      </c>
    </row>
    <row r="2016" spans="1:38" x14ac:dyDescent="0.25">
      <c r="A2016" t="s">
        <v>311</v>
      </c>
      <c r="B2016" t="s">
        <v>521</v>
      </c>
      <c r="C2016" t="s">
        <v>40</v>
      </c>
      <c r="D2016" s="1">
        <v>43466</v>
      </c>
      <c r="E2016" s="1">
        <v>43830</v>
      </c>
      <c r="F2016" t="s">
        <v>72</v>
      </c>
      <c r="G2016">
        <v>3</v>
      </c>
      <c r="H2016" t="s">
        <v>125</v>
      </c>
      <c r="I2016" t="s">
        <v>43</v>
      </c>
      <c r="J2016" t="s">
        <v>126</v>
      </c>
      <c r="K2016" t="s">
        <v>44</v>
      </c>
      <c r="L2016">
        <v>0</v>
      </c>
      <c r="M2016" s="1">
        <v>43466</v>
      </c>
      <c r="N2016" t="s">
        <v>45</v>
      </c>
      <c r="O2016" t="s">
        <v>46</v>
      </c>
      <c r="P2016" t="s">
        <v>47</v>
      </c>
      <c r="Q2016" s="1">
        <v>43852</v>
      </c>
      <c r="R2016" t="s">
        <v>48</v>
      </c>
      <c r="S2016" t="s">
        <v>72</v>
      </c>
      <c r="T2016" t="s">
        <v>270</v>
      </c>
      <c r="U2016" t="s">
        <v>125</v>
      </c>
      <c r="V2016">
        <v>0</v>
      </c>
      <c r="W2016">
        <v>500000</v>
      </c>
      <c r="X2016" s="1">
        <v>43739</v>
      </c>
      <c r="Y2016" t="s">
        <v>131</v>
      </c>
      <c r="Z2016" t="s">
        <v>43</v>
      </c>
      <c r="AA2016" t="s">
        <v>115</v>
      </c>
      <c r="AB2016" t="s">
        <v>268</v>
      </c>
      <c r="AC2016" t="s">
        <v>269</v>
      </c>
      <c r="AF2016" t="s">
        <v>137</v>
      </c>
      <c r="AG2016" s="1">
        <v>43840</v>
      </c>
      <c r="AH2016" t="s">
        <v>125</v>
      </c>
      <c r="AI2016" t="s">
        <v>92</v>
      </c>
      <c r="AJ2016">
        <v>1278023</v>
      </c>
      <c r="AK2016">
        <v>12365300</v>
      </c>
      <c r="AL2016">
        <v>12900</v>
      </c>
    </row>
    <row r="2017" spans="1:38" x14ac:dyDescent="0.25">
      <c r="A2017" t="s">
        <v>311</v>
      </c>
      <c r="B2017" t="s">
        <v>521</v>
      </c>
      <c r="C2017" t="s">
        <v>40</v>
      </c>
      <c r="D2017" s="1">
        <v>43466</v>
      </c>
      <c r="E2017" s="1">
        <v>43830</v>
      </c>
      <c r="F2017" t="s">
        <v>72</v>
      </c>
      <c r="G2017">
        <v>3</v>
      </c>
      <c r="H2017" t="s">
        <v>125</v>
      </c>
      <c r="I2017" t="s">
        <v>43</v>
      </c>
      <c r="J2017" t="s">
        <v>126</v>
      </c>
      <c r="K2017" t="s">
        <v>44</v>
      </c>
      <c r="L2017">
        <v>0</v>
      </c>
      <c r="M2017" s="1">
        <v>43466</v>
      </c>
      <c r="N2017" t="s">
        <v>45</v>
      </c>
      <c r="O2017" t="s">
        <v>46</v>
      </c>
      <c r="P2017" t="s">
        <v>47</v>
      </c>
      <c r="Q2017" s="1">
        <v>43852</v>
      </c>
      <c r="R2017" t="s">
        <v>48</v>
      </c>
      <c r="S2017" t="s">
        <v>271</v>
      </c>
      <c r="T2017" t="s">
        <v>272</v>
      </c>
      <c r="U2017" t="s">
        <v>125</v>
      </c>
      <c r="V2017">
        <v>0</v>
      </c>
      <c r="W2017">
        <v>50000</v>
      </c>
      <c r="X2017" s="1">
        <v>43738</v>
      </c>
      <c r="Y2017" t="s">
        <v>140</v>
      </c>
      <c r="Z2017" t="s">
        <v>43</v>
      </c>
      <c r="AA2017" t="s">
        <v>115</v>
      </c>
      <c r="AB2017" t="s">
        <v>268</v>
      </c>
      <c r="AC2017" t="s">
        <v>269</v>
      </c>
      <c r="AF2017" t="s">
        <v>134</v>
      </c>
      <c r="AG2017" s="1">
        <v>43843</v>
      </c>
      <c r="AH2017" t="s">
        <v>125</v>
      </c>
      <c r="AI2017" t="s">
        <v>92</v>
      </c>
      <c r="AJ2017">
        <v>1278023</v>
      </c>
      <c r="AK2017">
        <v>12365300</v>
      </c>
      <c r="AL2017">
        <v>12900</v>
      </c>
    </row>
    <row r="2018" spans="1:38" x14ac:dyDescent="0.25">
      <c r="A2018" t="s">
        <v>311</v>
      </c>
      <c r="B2018" t="s">
        <v>521</v>
      </c>
      <c r="C2018" t="s">
        <v>40</v>
      </c>
      <c r="D2018" s="1">
        <v>43466</v>
      </c>
      <c r="E2018" s="1">
        <v>43830</v>
      </c>
      <c r="F2018" t="s">
        <v>72</v>
      </c>
      <c r="G2018">
        <v>3</v>
      </c>
      <c r="H2018" t="s">
        <v>125</v>
      </c>
      <c r="I2018" t="s">
        <v>43</v>
      </c>
      <c r="J2018" t="s">
        <v>126</v>
      </c>
      <c r="K2018" t="s">
        <v>44</v>
      </c>
      <c r="L2018">
        <v>0</v>
      </c>
      <c r="M2018" s="1">
        <v>43466</v>
      </c>
      <c r="N2018" t="s">
        <v>45</v>
      </c>
      <c r="O2018" t="s">
        <v>46</v>
      </c>
      <c r="P2018" t="s">
        <v>47</v>
      </c>
      <c r="Q2018" s="1">
        <v>43852</v>
      </c>
      <c r="R2018" t="s">
        <v>48</v>
      </c>
      <c r="S2018" t="s">
        <v>271</v>
      </c>
      <c r="T2018" t="s">
        <v>272</v>
      </c>
      <c r="U2018" t="s">
        <v>125</v>
      </c>
      <c r="V2018">
        <v>0</v>
      </c>
      <c r="W2018">
        <v>50000</v>
      </c>
      <c r="X2018" s="1">
        <v>43738</v>
      </c>
      <c r="Y2018" t="s">
        <v>140</v>
      </c>
      <c r="Z2018" t="s">
        <v>43</v>
      </c>
      <c r="AA2018" t="s">
        <v>115</v>
      </c>
      <c r="AB2018" t="s">
        <v>268</v>
      </c>
      <c r="AC2018" t="s">
        <v>269</v>
      </c>
      <c r="AF2018" t="s">
        <v>135</v>
      </c>
      <c r="AG2018" s="1">
        <v>43843</v>
      </c>
      <c r="AH2018" t="s">
        <v>125</v>
      </c>
      <c r="AI2018" t="s">
        <v>92</v>
      </c>
      <c r="AJ2018">
        <v>1278023</v>
      </c>
      <c r="AK2018">
        <v>12365300</v>
      </c>
      <c r="AL2018">
        <v>12900</v>
      </c>
    </row>
    <row r="2019" spans="1:38" x14ac:dyDescent="0.25">
      <c r="A2019" t="s">
        <v>311</v>
      </c>
      <c r="B2019" t="s">
        <v>521</v>
      </c>
      <c r="C2019" t="s">
        <v>40</v>
      </c>
      <c r="D2019" s="1">
        <v>43466</v>
      </c>
      <c r="E2019" s="1">
        <v>43830</v>
      </c>
      <c r="F2019" t="s">
        <v>72</v>
      </c>
      <c r="G2019">
        <v>3</v>
      </c>
      <c r="H2019" t="s">
        <v>125</v>
      </c>
      <c r="I2019" t="s">
        <v>43</v>
      </c>
      <c r="J2019" t="s">
        <v>126</v>
      </c>
      <c r="K2019" t="s">
        <v>44</v>
      </c>
      <c r="L2019">
        <v>0</v>
      </c>
      <c r="M2019" s="1">
        <v>43466</v>
      </c>
      <c r="N2019" t="s">
        <v>45</v>
      </c>
      <c r="O2019" t="s">
        <v>46</v>
      </c>
      <c r="P2019" t="s">
        <v>47</v>
      </c>
      <c r="Q2019" s="1">
        <v>43852</v>
      </c>
      <c r="R2019" t="s">
        <v>48</v>
      </c>
      <c r="S2019" t="s">
        <v>271</v>
      </c>
      <c r="T2019" t="s">
        <v>272</v>
      </c>
      <c r="U2019" t="s">
        <v>125</v>
      </c>
      <c r="V2019">
        <v>0</v>
      </c>
      <c r="W2019">
        <v>50000</v>
      </c>
      <c r="X2019" s="1">
        <v>43738</v>
      </c>
      <c r="Y2019" t="s">
        <v>140</v>
      </c>
      <c r="Z2019" t="s">
        <v>43</v>
      </c>
      <c r="AA2019" t="s">
        <v>115</v>
      </c>
      <c r="AB2019" t="s">
        <v>268</v>
      </c>
      <c r="AC2019" t="s">
        <v>269</v>
      </c>
      <c r="AF2019" t="s">
        <v>136</v>
      </c>
      <c r="AG2019" s="1">
        <v>43839</v>
      </c>
      <c r="AH2019" t="s">
        <v>125</v>
      </c>
      <c r="AI2019" t="s">
        <v>92</v>
      </c>
      <c r="AJ2019">
        <v>1278023</v>
      </c>
      <c r="AK2019">
        <v>12365300</v>
      </c>
      <c r="AL2019">
        <v>12900</v>
      </c>
    </row>
    <row r="2020" spans="1:38" x14ac:dyDescent="0.25">
      <c r="A2020" t="s">
        <v>311</v>
      </c>
      <c r="B2020" t="s">
        <v>521</v>
      </c>
      <c r="C2020" t="s">
        <v>40</v>
      </c>
      <c r="D2020" s="1">
        <v>43466</v>
      </c>
      <c r="E2020" s="1">
        <v>43830</v>
      </c>
      <c r="F2020" t="s">
        <v>72</v>
      </c>
      <c r="G2020">
        <v>3</v>
      </c>
      <c r="H2020" t="s">
        <v>125</v>
      </c>
      <c r="I2020" t="s">
        <v>43</v>
      </c>
      <c r="J2020" t="s">
        <v>126</v>
      </c>
      <c r="K2020" t="s">
        <v>44</v>
      </c>
      <c r="L2020">
        <v>0</v>
      </c>
      <c r="M2020" s="1">
        <v>43466</v>
      </c>
      <c r="N2020" t="s">
        <v>45</v>
      </c>
      <c r="O2020" t="s">
        <v>46</v>
      </c>
      <c r="P2020" t="s">
        <v>47</v>
      </c>
      <c r="Q2020" s="1">
        <v>43852</v>
      </c>
      <c r="R2020" t="s">
        <v>48</v>
      </c>
      <c r="S2020" t="s">
        <v>271</v>
      </c>
      <c r="T2020" t="s">
        <v>272</v>
      </c>
      <c r="U2020" t="s">
        <v>125</v>
      </c>
      <c r="V2020">
        <v>0</v>
      </c>
      <c r="W2020">
        <v>50000</v>
      </c>
      <c r="X2020" s="1">
        <v>43738</v>
      </c>
      <c r="Y2020" t="s">
        <v>140</v>
      </c>
      <c r="Z2020" t="s">
        <v>43</v>
      </c>
      <c r="AA2020" t="s">
        <v>115</v>
      </c>
      <c r="AB2020" t="s">
        <v>268</v>
      </c>
      <c r="AC2020" t="s">
        <v>269</v>
      </c>
      <c r="AF2020" t="s">
        <v>137</v>
      </c>
      <c r="AG2020" s="1">
        <v>43840</v>
      </c>
      <c r="AH2020" t="s">
        <v>125</v>
      </c>
      <c r="AI2020" t="s">
        <v>92</v>
      </c>
      <c r="AJ2020">
        <v>1278023</v>
      </c>
      <c r="AK2020">
        <v>12365300</v>
      </c>
      <c r="AL2020">
        <v>12900</v>
      </c>
    </row>
    <row r="2021" spans="1:38" x14ac:dyDescent="0.25">
      <c r="A2021" t="s">
        <v>312</v>
      </c>
      <c r="B2021" s="2">
        <v>1.60262E+17</v>
      </c>
      <c r="C2021" t="s">
        <v>40</v>
      </c>
      <c r="D2021" s="1">
        <v>43251</v>
      </c>
      <c r="E2021" s="1">
        <v>43373</v>
      </c>
      <c r="F2021" t="s">
        <v>306</v>
      </c>
      <c r="G2021">
        <v>3</v>
      </c>
      <c r="H2021" t="s">
        <v>125</v>
      </c>
      <c r="I2021" t="s">
        <v>43</v>
      </c>
      <c r="J2021" t="s">
        <v>126</v>
      </c>
      <c r="K2021" t="s">
        <v>44</v>
      </c>
      <c r="L2021">
        <v>8268.1299999999992</v>
      </c>
      <c r="M2021" s="1">
        <v>43373</v>
      </c>
      <c r="N2021" t="s">
        <v>45</v>
      </c>
      <c r="O2021" t="s">
        <v>46</v>
      </c>
      <c r="P2021" t="s">
        <v>47</v>
      </c>
      <c r="Q2021" s="1">
        <v>43852</v>
      </c>
      <c r="R2021" t="s">
        <v>48</v>
      </c>
    </row>
    <row r="2022" spans="1:38" x14ac:dyDescent="0.25">
      <c r="A2022" t="s">
        <v>522</v>
      </c>
      <c r="B2022" s="2">
        <v>3.1142E+18</v>
      </c>
      <c r="C2022" t="s">
        <v>40</v>
      </c>
      <c r="D2022" s="1">
        <v>43727</v>
      </c>
      <c r="E2022" s="1">
        <v>44092</v>
      </c>
      <c r="F2022" t="s">
        <v>76</v>
      </c>
      <c r="G2022">
        <v>3</v>
      </c>
      <c r="H2022" t="s">
        <v>125</v>
      </c>
      <c r="I2022" t="s">
        <v>43</v>
      </c>
      <c r="J2022" t="s">
        <v>126</v>
      </c>
      <c r="K2022" t="s">
        <v>44</v>
      </c>
      <c r="L2022">
        <v>12500.13</v>
      </c>
      <c r="M2022" s="1">
        <v>43727</v>
      </c>
      <c r="N2022" t="s">
        <v>45</v>
      </c>
      <c r="O2022" t="s">
        <v>44</v>
      </c>
      <c r="P2022" t="s">
        <v>47</v>
      </c>
      <c r="Q2022" s="1">
        <v>43852</v>
      </c>
      <c r="R2022" t="s">
        <v>48</v>
      </c>
    </row>
    <row r="2023" spans="1:38" x14ac:dyDescent="0.25">
      <c r="A2023" t="s">
        <v>522</v>
      </c>
      <c r="B2023" s="2">
        <v>3.1242E+18</v>
      </c>
      <c r="C2023" t="s">
        <v>40</v>
      </c>
      <c r="D2023" s="1">
        <v>43186</v>
      </c>
      <c r="E2023" s="1">
        <v>43550</v>
      </c>
      <c r="F2023" t="s">
        <v>76</v>
      </c>
      <c r="G2023">
        <v>3</v>
      </c>
      <c r="H2023" t="s">
        <v>125</v>
      </c>
      <c r="I2023" t="s">
        <v>43</v>
      </c>
      <c r="J2023" t="s">
        <v>126</v>
      </c>
      <c r="K2023" t="s">
        <v>44</v>
      </c>
      <c r="L2023">
        <v>10584.15</v>
      </c>
      <c r="M2023" s="1">
        <v>43186</v>
      </c>
      <c r="N2023" t="s">
        <v>45</v>
      </c>
      <c r="O2023" t="s">
        <v>46</v>
      </c>
      <c r="P2023" t="s">
        <v>47</v>
      </c>
      <c r="Q2023" s="1">
        <v>43852</v>
      </c>
      <c r="R2023" t="s">
        <v>48</v>
      </c>
    </row>
    <row r="2024" spans="1:38" x14ac:dyDescent="0.25">
      <c r="A2024" t="s">
        <v>522</v>
      </c>
      <c r="B2024" s="2">
        <v>3.1242E+18</v>
      </c>
      <c r="C2024" t="s">
        <v>40</v>
      </c>
      <c r="D2024" s="1">
        <v>43467</v>
      </c>
      <c r="E2024" s="1">
        <v>43830</v>
      </c>
      <c r="F2024" t="s">
        <v>77</v>
      </c>
      <c r="G2024">
        <v>3</v>
      </c>
      <c r="H2024" t="s">
        <v>125</v>
      </c>
      <c r="I2024" t="s">
        <v>43</v>
      </c>
      <c r="J2024" t="s">
        <v>126</v>
      </c>
      <c r="K2024" t="s">
        <v>44</v>
      </c>
      <c r="L2024">
        <v>14393.8</v>
      </c>
      <c r="M2024" s="1">
        <v>43467</v>
      </c>
      <c r="N2024" t="s">
        <v>45</v>
      </c>
      <c r="O2024" t="s">
        <v>46</v>
      </c>
      <c r="P2024" t="s">
        <v>47</v>
      </c>
      <c r="Q2024" s="1">
        <v>43852</v>
      </c>
      <c r="R2024" t="s">
        <v>48</v>
      </c>
    </row>
    <row r="2025" spans="1:38" x14ac:dyDescent="0.25">
      <c r="A2025" t="s">
        <v>522</v>
      </c>
      <c r="B2025" t="s">
        <v>523</v>
      </c>
      <c r="C2025" t="s">
        <v>71</v>
      </c>
      <c r="D2025" s="1">
        <v>43235</v>
      </c>
      <c r="E2025" s="1">
        <v>43599</v>
      </c>
      <c r="F2025" t="s">
        <v>76</v>
      </c>
      <c r="G2025">
        <v>3</v>
      </c>
      <c r="H2025" t="s">
        <v>125</v>
      </c>
      <c r="I2025" t="s">
        <v>43</v>
      </c>
      <c r="J2025" t="s">
        <v>126</v>
      </c>
      <c r="K2025" t="s">
        <v>44</v>
      </c>
      <c r="L2025">
        <v>691.85</v>
      </c>
      <c r="M2025" s="1">
        <v>43235</v>
      </c>
      <c r="N2025" t="s">
        <v>45</v>
      </c>
      <c r="O2025" t="s">
        <v>46</v>
      </c>
      <c r="P2025" t="s">
        <v>47</v>
      </c>
      <c r="Q2025" s="1">
        <v>43852</v>
      </c>
      <c r="R2025" t="s">
        <v>48</v>
      </c>
    </row>
    <row r="2026" spans="1:38" x14ac:dyDescent="0.25">
      <c r="A2026" t="s">
        <v>522</v>
      </c>
      <c r="B2026" t="s">
        <v>524</v>
      </c>
      <c r="C2026" t="s">
        <v>40</v>
      </c>
      <c r="D2026" s="1">
        <v>43600</v>
      </c>
      <c r="E2026" s="1">
        <v>43965</v>
      </c>
      <c r="F2026" t="s">
        <v>76</v>
      </c>
      <c r="G2026">
        <v>3</v>
      </c>
      <c r="H2026" t="s">
        <v>125</v>
      </c>
      <c r="I2026" t="s">
        <v>43</v>
      </c>
      <c r="J2026" t="s">
        <v>126</v>
      </c>
      <c r="K2026" t="s">
        <v>44</v>
      </c>
      <c r="L2026">
        <v>691.85</v>
      </c>
      <c r="M2026" s="1">
        <v>43600</v>
      </c>
      <c r="N2026" t="s">
        <v>45</v>
      </c>
      <c r="O2026" t="s">
        <v>44</v>
      </c>
      <c r="P2026" t="s">
        <v>47</v>
      </c>
      <c r="Q2026" s="1">
        <v>43852</v>
      </c>
      <c r="R2026" t="s">
        <v>48</v>
      </c>
    </row>
    <row r="2027" spans="1:38" x14ac:dyDescent="0.25">
      <c r="A2027" t="s">
        <v>522</v>
      </c>
      <c r="B2027" t="s">
        <v>525</v>
      </c>
      <c r="C2027" t="s">
        <v>40</v>
      </c>
      <c r="D2027" s="1">
        <v>42969</v>
      </c>
      <c r="E2027" s="1">
        <v>43333</v>
      </c>
      <c r="F2027" t="s">
        <v>76</v>
      </c>
      <c r="G2027">
        <v>3</v>
      </c>
      <c r="H2027" t="s">
        <v>125</v>
      </c>
      <c r="I2027" t="s">
        <v>43</v>
      </c>
      <c r="J2027" t="s">
        <v>126</v>
      </c>
      <c r="K2027" t="s">
        <v>44</v>
      </c>
      <c r="L2027">
        <v>10964.79</v>
      </c>
      <c r="M2027" s="1">
        <v>42969</v>
      </c>
      <c r="N2027" t="s">
        <v>45</v>
      </c>
      <c r="O2027" t="s">
        <v>46</v>
      </c>
      <c r="P2027" t="s">
        <v>47</v>
      </c>
      <c r="Q2027" s="1">
        <v>43852</v>
      </c>
      <c r="R2027" t="s">
        <v>48</v>
      </c>
    </row>
    <row r="2028" spans="1:38" x14ac:dyDescent="0.25">
      <c r="A2028" t="s">
        <v>522</v>
      </c>
      <c r="B2028" t="s">
        <v>526</v>
      </c>
      <c r="C2028" t="s">
        <v>71</v>
      </c>
      <c r="D2028" s="1">
        <v>43334</v>
      </c>
      <c r="E2028" s="1">
        <v>43698</v>
      </c>
      <c r="F2028" t="s">
        <v>76</v>
      </c>
      <c r="G2028">
        <v>3</v>
      </c>
      <c r="H2028" t="s">
        <v>125</v>
      </c>
      <c r="I2028" t="s">
        <v>43</v>
      </c>
      <c r="J2028" t="s">
        <v>126</v>
      </c>
      <c r="K2028" t="s">
        <v>44</v>
      </c>
      <c r="L2028">
        <v>13630.7</v>
      </c>
      <c r="M2028" s="1">
        <v>43698</v>
      </c>
      <c r="N2028" t="s">
        <v>45</v>
      </c>
      <c r="O2028" t="s">
        <v>46</v>
      </c>
      <c r="P2028" t="s">
        <v>47</v>
      </c>
      <c r="Q2028" s="1">
        <v>43852</v>
      </c>
      <c r="R2028" t="s">
        <v>48</v>
      </c>
    </row>
    <row r="2029" spans="1:38" x14ac:dyDescent="0.25">
      <c r="A2029" t="s">
        <v>522</v>
      </c>
      <c r="B2029" t="s">
        <v>527</v>
      </c>
      <c r="C2029" t="s">
        <v>40</v>
      </c>
      <c r="D2029" s="1">
        <v>43738</v>
      </c>
      <c r="E2029" s="1">
        <v>44103</v>
      </c>
      <c r="F2029" t="s">
        <v>84</v>
      </c>
      <c r="G2029">
        <v>10</v>
      </c>
      <c r="H2029" t="s">
        <v>85</v>
      </c>
      <c r="I2029" t="s">
        <v>43</v>
      </c>
      <c r="J2029" t="s">
        <v>86</v>
      </c>
      <c r="K2029" t="s">
        <v>44</v>
      </c>
      <c r="L2029">
        <v>123750</v>
      </c>
      <c r="M2029" s="1">
        <v>43738</v>
      </c>
      <c r="N2029" t="s">
        <v>45</v>
      </c>
      <c r="O2029" t="s">
        <v>44</v>
      </c>
      <c r="P2029" t="s">
        <v>47</v>
      </c>
      <c r="Q2029" s="1">
        <v>43852</v>
      </c>
      <c r="R2029" t="s">
        <v>48</v>
      </c>
      <c r="S2029" t="s">
        <v>87</v>
      </c>
      <c r="T2029" t="s">
        <v>88</v>
      </c>
      <c r="U2029" t="s">
        <v>85</v>
      </c>
      <c r="V2029">
        <v>1400000</v>
      </c>
      <c r="W2029">
        <v>100000</v>
      </c>
      <c r="X2029" s="1">
        <v>43808</v>
      </c>
      <c r="Y2029" t="s">
        <v>51</v>
      </c>
      <c r="Z2029" t="s">
        <v>43</v>
      </c>
      <c r="AA2029" t="s">
        <v>86</v>
      </c>
      <c r="AB2029" t="s">
        <v>89</v>
      </c>
      <c r="AC2029" t="s">
        <v>90</v>
      </c>
      <c r="AF2029" t="s">
        <v>91</v>
      </c>
      <c r="AG2029" s="1">
        <v>43852</v>
      </c>
      <c r="AH2029" t="s">
        <v>85</v>
      </c>
      <c r="AI2029" t="s">
        <v>92</v>
      </c>
      <c r="AJ2029">
        <v>19888</v>
      </c>
      <c r="AK2029">
        <v>128777</v>
      </c>
      <c r="AL2029">
        <v>198882</v>
      </c>
    </row>
    <row r="2030" spans="1:38" x14ac:dyDescent="0.25">
      <c r="A2030" t="s">
        <v>522</v>
      </c>
      <c r="B2030" t="s">
        <v>527</v>
      </c>
      <c r="C2030" t="s">
        <v>40</v>
      </c>
      <c r="D2030" s="1">
        <v>43738</v>
      </c>
      <c r="E2030" s="1">
        <v>44103</v>
      </c>
      <c r="F2030" t="s">
        <v>84</v>
      </c>
      <c r="G2030">
        <v>10</v>
      </c>
      <c r="H2030" t="s">
        <v>85</v>
      </c>
      <c r="I2030" t="s">
        <v>43</v>
      </c>
      <c r="J2030" t="s">
        <v>86</v>
      </c>
      <c r="K2030" t="s">
        <v>44</v>
      </c>
      <c r="L2030">
        <v>123750</v>
      </c>
      <c r="M2030" s="1">
        <v>43738</v>
      </c>
      <c r="N2030" t="s">
        <v>45</v>
      </c>
      <c r="O2030" t="s">
        <v>44</v>
      </c>
      <c r="P2030" t="s">
        <v>47</v>
      </c>
      <c r="Q2030" s="1">
        <v>43852</v>
      </c>
      <c r="R2030" t="s">
        <v>48</v>
      </c>
      <c r="S2030" t="s">
        <v>87</v>
      </c>
      <c r="T2030" t="s">
        <v>88</v>
      </c>
      <c r="U2030" t="s">
        <v>85</v>
      </c>
      <c r="V2030">
        <v>1400000</v>
      </c>
      <c r="W2030">
        <v>100000</v>
      </c>
      <c r="X2030" s="1">
        <v>43808</v>
      </c>
      <c r="Y2030" t="s">
        <v>51</v>
      </c>
      <c r="Z2030" t="s">
        <v>43</v>
      </c>
      <c r="AA2030" t="s">
        <v>86</v>
      </c>
      <c r="AB2030" t="s">
        <v>89</v>
      </c>
      <c r="AC2030" t="s">
        <v>90</v>
      </c>
      <c r="AF2030" t="s">
        <v>93</v>
      </c>
      <c r="AG2030" s="1">
        <v>43843</v>
      </c>
      <c r="AH2030" t="s">
        <v>85</v>
      </c>
      <c r="AI2030" t="s">
        <v>92</v>
      </c>
      <c r="AJ2030">
        <v>19888</v>
      </c>
      <c r="AK2030">
        <v>128777</v>
      </c>
      <c r="AL2030">
        <v>198882</v>
      </c>
    </row>
    <row r="2031" spans="1:38" x14ac:dyDescent="0.25">
      <c r="A2031" t="s">
        <v>522</v>
      </c>
      <c r="B2031" t="s">
        <v>527</v>
      </c>
      <c r="C2031" t="s">
        <v>40</v>
      </c>
      <c r="D2031" s="1">
        <v>43738</v>
      </c>
      <c r="E2031" s="1">
        <v>44103</v>
      </c>
      <c r="F2031" t="s">
        <v>84</v>
      </c>
      <c r="G2031">
        <v>10</v>
      </c>
      <c r="H2031" t="s">
        <v>85</v>
      </c>
      <c r="I2031" t="s">
        <v>43</v>
      </c>
      <c r="J2031" t="s">
        <v>86</v>
      </c>
      <c r="K2031" t="s">
        <v>44</v>
      </c>
      <c r="L2031">
        <v>123750</v>
      </c>
      <c r="M2031" s="1">
        <v>43738</v>
      </c>
      <c r="N2031" t="s">
        <v>45</v>
      </c>
      <c r="O2031" t="s">
        <v>44</v>
      </c>
      <c r="P2031" t="s">
        <v>47</v>
      </c>
      <c r="Q2031" s="1">
        <v>43852</v>
      </c>
      <c r="R2031" t="s">
        <v>48</v>
      </c>
      <c r="S2031" t="s">
        <v>94</v>
      </c>
      <c r="T2031" t="s">
        <v>95</v>
      </c>
      <c r="U2031" t="s">
        <v>85</v>
      </c>
      <c r="V2031">
        <v>4500000</v>
      </c>
      <c r="W2031">
        <v>300000</v>
      </c>
      <c r="X2031" s="1">
        <v>43767</v>
      </c>
      <c r="Y2031" t="s">
        <v>51</v>
      </c>
      <c r="Z2031" t="s">
        <v>43</v>
      </c>
      <c r="AA2031" t="s">
        <v>86</v>
      </c>
      <c r="AB2031" t="s">
        <v>89</v>
      </c>
      <c r="AC2031" t="s">
        <v>90</v>
      </c>
      <c r="AF2031" t="s">
        <v>91</v>
      </c>
      <c r="AG2031" s="1">
        <v>43852</v>
      </c>
      <c r="AH2031" t="s">
        <v>85</v>
      </c>
      <c r="AI2031" t="s">
        <v>92</v>
      </c>
      <c r="AJ2031">
        <v>19888</v>
      </c>
      <c r="AK2031">
        <v>128777</v>
      </c>
      <c r="AL2031">
        <v>198882</v>
      </c>
    </row>
    <row r="2032" spans="1:38" x14ac:dyDescent="0.25">
      <c r="A2032" t="s">
        <v>522</v>
      </c>
      <c r="B2032" t="s">
        <v>527</v>
      </c>
      <c r="C2032" t="s">
        <v>40</v>
      </c>
      <c r="D2032" s="1">
        <v>43738</v>
      </c>
      <c r="E2032" s="1">
        <v>44103</v>
      </c>
      <c r="F2032" t="s">
        <v>84</v>
      </c>
      <c r="G2032">
        <v>10</v>
      </c>
      <c r="H2032" t="s">
        <v>85</v>
      </c>
      <c r="I2032" t="s">
        <v>43</v>
      </c>
      <c r="J2032" t="s">
        <v>86</v>
      </c>
      <c r="K2032" t="s">
        <v>44</v>
      </c>
      <c r="L2032">
        <v>123750</v>
      </c>
      <c r="M2032" s="1">
        <v>43738</v>
      </c>
      <c r="N2032" t="s">
        <v>45</v>
      </c>
      <c r="O2032" t="s">
        <v>44</v>
      </c>
      <c r="P2032" t="s">
        <v>47</v>
      </c>
      <c r="Q2032" s="1">
        <v>43852</v>
      </c>
      <c r="R2032" t="s">
        <v>48</v>
      </c>
      <c r="S2032" t="s">
        <v>94</v>
      </c>
      <c r="T2032" t="s">
        <v>95</v>
      </c>
      <c r="U2032" t="s">
        <v>85</v>
      </c>
      <c r="V2032">
        <v>4500000</v>
      </c>
      <c r="W2032">
        <v>300000</v>
      </c>
      <c r="X2032" s="1">
        <v>43767</v>
      </c>
      <c r="Y2032" t="s">
        <v>51</v>
      </c>
      <c r="Z2032" t="s">
        <v>43</v>
      </c>
      <c r="AA2032" t="s">
        <v>86</v>
      </c>
      <c r="AB2032" t="s">
        <v>89</v>
      </c>
      <c r="AC2032" t="s">
        <v>90</v>
      </c>
      <c r="AF2032" t="s">
        <v>93</v>
      </c>
      <c r="AG2032" s="1">
        <v>43843</v>
      </c>
      <c r="AH2032" t="s">
        <v>85</v>
      </c>
      <c r="AI2032" t="s">
        <v>92</v>
      </c>
      <c r="AJ2032">
        <v>19888</v>
      </c>
      <c r="AK2032">
        <v>128777</v>
      </c>
      <c r="AL2032">
        <v>198882</v>
      </c>
    </row>
    <row r="2033" spans="1:38" x14ac:dyDescent="0.25">
      <c r="A2033" t="s">
        <v>522</v>
      </c>
      <c r="B2033" t="s">
        <v>527</v>
      </c>
      <c r="C2033" t="s">
        <v>40</v>
      </c>
      <c r="D2033" s="1">
        <v>43738</v>
      </c>
      <c r="E2033" s="1">
        <v>44103</v>
      </c>
      <c r="F2033" t="s">
        <v>84</v>
      </c>
      <c r="G2033">
        <v>10</v>
      </c>
      <c r="H2033" t="s">
        <v>85</v>
      </c>
      <c r="I2033" t="s">
        <v>43</v>
      </c>
      <c r="J2033" t="s">
        <v>86</v>
      </c>
      <c r="K2033" t="s">
        <v>44</v>
      </c>
      <c r="L2033">
        <v>123750</v>
      </c>
      <c r="M2033" s="1">
        <v>43738</v>
      </c>
      <c r="N2033" t="s">
        <v>45</v>
      </c>
      <c r="O2033" t="s">
        <v>44</v>
      </c>
      <c r="P2033" t="s">
        <v>47</v>
      </c>
      <c r="Q2033" s="1">
        <v>43852</v>
      </c>
      <c r="R2033" t="s">
        <v>48</v>
      </c>
      <c r="S2033" t="s">
        <v>96</v>
      </c>
      <c r="T2033" t="s">
        <v>97</v>
      </c>
      <c r="U2033" t="s">
        <v>85</v>
      </c>
      <c r="V2033">
        <v>600000</v>
      </c>
      <c r="W2033">
        <v>100000</v>
      </c>
      <c r="X2033" s="1">
        <v>43799</v>
      </c>
      <c r="Y2033" t="s">
        <v>51</v>
      </c>
      <c r="Z2033" t="s">
        <v>43</v>
      </c>
      <c r="AA2033" t="s">
        <v>98</v>
      </c>
      <c r="AB2033" t="s">
        <v>89</v>
      </c>
      <c r="AC2033" t="s">
        <v>90</v>
      </c>
      <c r="AF2033" t="s">
        <v>91</v>
      </c>
      <c r="AG2033" s="1">
        <v>43852</v>
      </c>
      <c r="AH2033" t="s">
        <v>85</v>
      </c>
      <c r="AI2033" t="s">
        <v>92</v>
      </c>
      <c r="AJ2033">
        <v>19888</v>
      </c>
      <c r="AK2033">
        <v>128777</v>
      </c>
      <c r="AL2033">
        <v>198882</v>
      </c>
    </row>
    <row r="2034" spans="1:38" x14ac:dyDescent="0.25">
      <c r="A2034" t="s">
        <v>522</v>
      </c>
      <c r="B2034" t="s">
        <v>527</v>
      </c>
      <c r="C2034" t="s">
        <v>40</v>
      </c>
      <c r="D2034" s="1">
        <v>43738</v>
      </c>
      <c r="E2034" s="1">
        <v>44103</v>
      </c>
      <c r="F2034" t="s">
        <v>84</v>
      </c>
      <c r="G2034">
        <v>10</v>
      </c>
      <c r="H2034" t="s">
        <v>85</v>
      </c>
      <c r="I2034" t="s">
        <v>43</v>
      </c>
      <c r="J2034" t="s">
        <v>86</v>
      </c>
      <c r="K2034" t="s">
        <v>44</v>
      </c>
      <c r="L2034">
        <v>123750</v>
      </c>
      <c r="M2034" s="1">
        <v>43738</v>
      </c>
      <c r="N2034" t="s">
        <v>45</v>
      </c>
      <c r="O2034" t="s">
        <v>44</v>
      </c>
      <c r="P2034" t="s">
        <v>47</v>
      </c>
      <c r="Q2034" s="1">
        <v>43852</v>
      </c>
      <c r="R2034" t="s">
        <v>48</v>
      </c>
      <c r="S2034" t="s">
        <v>96</v>
      </c>
      <c r="T2034" t="s">
        <v>97</v>
      </c>
      <c r="U2034" t="s">
        <v>85</v>
      </c>
      <c r="V2034">
        <v>600000</v>
      </c>
      <c r="W2034">
        <v>100000</v>
      </c>
      <c r="X2034" s="1">
        <v>43799</v>
      </c>
      <c r="Y2034" t="s">
        <v>51</v>
      </c>
      <c r="Z2034" t="s">
        <v>43</v>
      </c>
      <c r="AA2034" t="s">
        <v>98</v>
      </c>
      <c r="AB2034" t="s">
        <v>89</v>
      </c>
      <c r="AC2034" t="s">
        <v>90</v>
      </c>
      <c r="AF2034" t="s">
        <v>93</v>
      </c>
      <c r="AG2034" s="1">
        <v>43843</v>
      </c>
      <c r="AH2034" t="s">
        <v>85</v>
      </c>
      <c r="AI2034" t="s">
        <v>92</v>
      </c>
      <c r="AJ2034">
        <v>19888</v>
      </c>
      <c r="AK2034">
        <v>128777</v>
      </c>
      <c r="AL2034">
        <v>198882</v>
      </c>
    </row>
    <row r="2035" spans="1:38" x14ac:dyDescent="0.25">
      <c r="A2035" t="s">
        <v>522</v>
      </c>
      <c r="B2035" t="s">
        <v>527</v>
      </c>
      <c r="C2035" t="s">
        <v>40</v>
      </c>
      <c r="D2035" s="1">
        <v>43738</v>
      </c>
      <c r="E2035" s="1">
        <v>44103</v>
      </c>
      <c r="F2035" t="s">
        <v>84</v>
      </c>
      <c r="G2035">
        <v>10</v>
      </c>
      <c r="H2035" t="s">
        <v>85</v>
      </c>
      <c r="I2035" t="s">
        <v>43</v>
      </c>
      <c r="J2035" t="s">
        <v>86</v>
      </c>
      <c r="K2035" t="s">
        <v>44</v>
      </c>
      <c r="L2035">
        <v>123750</v>
      </c>
      <c r="M2035" s="1">
        <v>43738</v>
      </c>
      <c r="N2035" t="s">
        <v>45</v>
      </c>
      <c r="O2035" t="s">
        <v>44</v>
      </c>
      <c r="P2035" t="s">
        <v>47</v>
      </c>
      <c r="Q2035" s="1">
        <v>43852</v>
      </c>
      <c r="R2035" t="s">
        <v>48</v>
      </c>
      <c r="S2035" t="s">
        <v>99</v>
      </c>
      <c r="T2035" t="s">
        <v>100</v>
      </c>
      <c r="U2035" t="s">
        <v>85</v>
      </c>
      <c r="V2035">
        <v>210000</v>
      </c>
      <c r="W2035">
        <v>35000</v>
      </c>
      <c r="X2035" s="1">
        <v>43799</v>
      </c>
      <c r="Y2035" t="s">
        <v>51</v>
      </c>
      <c r="Z2035" t="s">
        <v>43</v>
      </c>
      <c r="AA2035" t="s">
        <v>98</v>
      </c>
      <c r="AB2035" t="s">
        <v>89</v>
      </c>
      <c r="AC2035" t="s">
        <v>101</v>
      </c>
      <c r="AF2035" t="s">
        <v>91</v>
      </c>
      <c r="AG2035" s="1">
        <v>43852</v>
      </c>
      <c r="AH2035" t="s">
        <v>85</v>
      </c>
      <c r="AI2035" t="s">
        <v>92</v>
      </c>
      <c r="AJ2035">
        <v>19888</v>
      </c>
      <c r="AK2035">
        <v>128777</v>
      </c>
      <c r="AL2035">
        <v>198882</v>
      </c>
    </row>
    <row r="2036" spans="1:38" x14ac:dyDescent="0.25">
      <c r="A2036" t="s">
        <v>522</v>
      </c>
      <c r="B2036" t="s">
        <v>527</v>
      </c>
      <c r="C2036" t="s">
        <v>40</v>
      </c>
      <c r="D2036" s="1">
        <v>43738</v>
      </c>
      <c r="E2036" s="1">
        <v>44103</v>
      </c>
      <c r="F2036" t="s">
        <v>84</v>
      </c>
      <c r="G2036">
        <v>10</v>
      </c>
      <c r="H2036" t="s">
        <v>85</v>
      </c>
      <c r="I2036" t="s">
        <v>43</v>
      </c>
      <c r="J2036" t="s">
        <v>86</v>
      </c>
      <c r="K2036" t="s">
        <v>44</v>
      </c>
      <c r="L2036">
        <v>123750</v>
      </c>
      <c r="M2036" s="1">
        <v>43738</v>
      </c>
      <c r="N2036" t="s">
        <v>45</v>
      </c>
      <c r="O2036" t="s">
        <v>44</v>
      </c>
      <c r="P2036" t="s">
        <v>47</v>
      </c>
      <c r="Q2036" s="1">
        <v>43852</v>
      </c>
      <c r="R2036" t="s">
        <v>48</v>
      </c>
      <c r="S2036" t="s">
        <v>99</v>
      </c>
      <c r="T2036" t="s">
        <v>100</v>
      </c>
      <c r="U2036" t="s">
        <v>85</v>
      </c>
      <c r="V2036">
        <v>210000</v>
      </c>
      <c r="W2036">
        <v>35000</v>
      </c>
      <c r="X2036" s="1">
        <v>43799</v>
      </c>
      <c r="Y2036" t="s">
        <v>51</v>
      </c>
      <c r="Z2036" t="s">
        <v>43</v>
      </c>
      <c r="AA2036" t="s">
        <v>98</v>
      </c>
      <c r="AB2036" t="s">
        <v>89</v>
      </c>
      <c r="AC2036" t="s">
        <v>101</v>
      </c>
      <c r="AF2036" t="s">
        <v>93</v>
      </c>
      <c r="AG2036" s="1">
        <v>43843</v>
      </c>
      <c r="AH2036" t="s">
        <v>85</v>
      </c>
      <c r="AI2036" t="s">
        <v>92</v>
      </c>
      <c r="AJ2036">
        <v>19888</v>
      </c>
      <c r="AK2036">
        <v>128777</v>
      </c>
      <c r="AL2036">
        <v>198882</v>
      </c>
    </row>
    <row r="2037" spans="1:38" x14ac:dyDescent="0.25">
      <c r="A2037" t="s">
        <v>522</v>
      </c>
      <c r="B2037" t="s">
        <v>527</v>
      </c>
      <c r="C2037" t="s">
        <v>40</v>
      </c>
      <c r="D2037" s="1">
        <v>43738</v>
      </c>
      <c r="E2037" s="1">
        <v>44103</v>
      </c>
      <c r="F2037" t="s">
        <v>84</v>
      </c>
      <c r="G2037">
        <v>10</v>
      </c>
      <c r="H2037" t="s">
        <v>85</v>
      </c>
      <c r="I2037" t="s">
        <v>43</v>
      </c>
      <c r="J2037" t="s">
        <v>86</v>
      </c>
      <c r="K2037" t="s">
        <v>44</v>
      </c>
      <c r="L2037">
        <v>123750</v>
      </c>
      <c r="M2037" s="1">
        <v>43738</v>
      </c>
      <c r="N2037" t="s">
        <v>45</v>
      </c>
      <c r="O2037" t="s">
        <v>44</v>
      </c>
      <c r="P2037" t="s">
        <v>47</v>
      </c>
      <c r="Q2037" s="1">
        <v>43852</v>
      </c>
      <c r="R2037" t="s">
        <v>48</v>
      </c>
      <c r="S2037" t="s">
        <v>102</v>
      </c>
      <c r="T2037" t="s">
        <v>103</v>
      </c>
      <c r="U2037" t="s">
        <v>85</v>
      </c>
      <c r="V2037">
        <v>5000000</v>
      </c>
      <c r="W2037">
        <v>250000</v>
      </c>
      <c r="X2037" s="1">
        <v>43799</v>
      </c>
      <c r="Y2037" t="s">
        <v>51</v>
      </c>
      <c r="Z2037" t="s">
        <v>43</v>
      </c>
      <c r="AA2037" t="s">
        <v>86</v>
      </c>
      <c r="AB2037" t="s">
        <v>89</v>
      </c>
      <c r="AC2037" t="s">
        <v>90</v>
      </c>
      <c r="AF2037" t="s">
        <v>91</v>
      </c>
      <c r="AG2037" s="1">
        <v>43852</v>
      </c>
      <c r="AH2037" t="s">
        <v>85</v>
      </c>
      <c r="AI2037" t="s">
        <v>92</v>
      </c>
      <c r="AJ2037">
        <v>19888</v>
      </c>
      <c r="AK2037">
        <v>128777</v>
      </c>
      <c r="AL2037">
        <v>198882</v>
      </c>
    </row>
    <row r="2038" spans="1:38" x14ac:dyDescent="0.25">
      <c r="A2038" t="s">
        <v>522</v>
      </c>
      <c r="B2038" t="s">
        <v>527</v>
      </c>
      <c r="C2038" t="s">
        <v>40</v>
      </c>
      <c r="D2038" s="1">
        <v>43738</v>
      </c>
      <c r="E2038" s="1">
        <v>44103</v>
      </c>
      <c r="F2038" t="s">
        <v>84</v>
      </c>
      <c r="G2038">
        <v>10</v>
      </c>
      <c r="H2038" t="s">
        <v>85</v>
      </c>
      <c r="I2038" t="s">
        <v>43</v>
      </c>
      <c r="J2038" t="s">
        <v>86</v>
      </c>
      <c r="K2038" t="s">
        <v>44</v>
      </c>
      <c r="L2038">
        <v>123750</v>
      </c>
      <c r="M2038" s="1">
        <v>43738</v>
      </c>
      <c r="N2038" t="s">
        <v>45</v>
      </c>
      <c r="O2038" t="s">
        <v>44</v>
      </c>
      <c r="P2038" t="s">
        <v>47</v>
      </c>
      <c r="Q2038" s="1">
        <v>43852</v>
      </c>
      <c r="R2038" t="s">
        <v>48</v>
      </c>
      <c r="S2038" t="s">
        <v>102</v>
      </c>
      <c r="T2038" t="s">
        <v>103</v>
      </c>
      <c r="U2038" t="s">
        <v>85</v>
      </c>
      <c r="V2038">
        <v>5000000</v>
      </c>
      <c r="W2038">
        <v>250000</v>
      </c>
      <c r="X2038" s="1">
        <v>43799</v>
      </c>
      <c r="Y2038" t="s">
        <v>51</v>
      </c>
      <c r="Z2038" t="s">
        <v>43</v>
      </c>
      <c r="AA2038" t="s">
        <v>86</v>
      </c>
      <c r="AB2038" t="s">
        <v>89</v>
      </c>
      <c r="AC2038" t="s">
        <v>90</v>
      </c>
      <c r="AF2038" t="s">
        <v>93</v>
      </c>
      <c r="AG2038" s="1">
        <v>43843</v>
      </c>
      <c r="AH2038" t="s">
        <v>85</v>
      </c>
      <c r="AI2038" t="s">
        <v>92</v>
      </c>
      <c r="AJ2038">
        <v>19888</v>
      </c>
      <c r="AK2038">
        <v>128777</v>
      </c>
      <c r="AL2038">
        <v>198882</v>
      </c>
    </row>
    <row r="2039" spans="1:38" x14ac:dyDescent="0.25">
      <c r="A2039" t="s">
        <v>522</v>
      </c>
      <c r="B2039" t="s">
        <v>528</v>
      </c>
      <c r="C2039" t="s">
        <v>71</v>
      </c>
      <c r="D2039" s="1">
        <v>43246</v>
      </c>
      <c r="E2039" s="1">
        <v>43610</v>
      </c>
      <c r="F2039" t="s">
        <v>306</v>
      </c>
      <c r="G2039">
        <v>12</v>
      </c>
      <c r="H2039" t="s">
        <v>155</v>
      </c>
      <c r="I2039" t="s">
        <v>43</v>
      </c>
      <c r="J2039" t="s">
        <v>126</v>
      </c>
      <c r="K2039" t="s">
        <v>44</v>
      </c>
      <c r="L2039">
        <v>869.63</v>
      </c>
      <c r="M2039" s="1">
        <v>43246</v>
      </c>
      <c r="N2039" t="s">
        <v>45</v>
      </c>
      <c r="O2039" t="s">
        <v>46</v>
      </c>
      <c r="P2039" t="s">
        <v>47</v>
      </c>
      <c r="Q2039" s="1">
        <v>43852</v>
      </c>
      <c r="R2039" t="s">
        <v>48</v>
      </c>
      <c r="S2039" t="s">
        <v>346</v>
      </c>
      <c r="T2039" t="s">
        <v>347</v>
      </c>
      <c r="U2039" t="s">
        <v>155</v>
      </c>
      <c r="V2039">
        <v>500000</v>
      </c>
      <c r="W2039">
        <v>50000</v>
      </c>
      <c r="X2039" s="1">
        <v>43830</v>
      </c>
      <c r="Y2039" t="s">
        <v>51</v>
      </c>
      <c r="Z2039" t="s">
        <v>43</v>
      </c>
      <c r="AA2039" t="s">
        <v>73</v>
      </c>
      <c r="AB2039" t="s">
        <v>306</v>
      </c>
      <c r="AC2039" t="s">
        <v>348</v>
      </c>
      <c r="AF2039" t="s">
        <v>160</v>
      </c>
      <c r="AG2039" s="1">
        <v>43851</v>
      </c>
    </row>
    <row r="2040" spans="1:38" x14ac:dyDescent="0.25">
      <c r="A2040" t="s">
        <v>522</v>
      </c>
      <c r="B2040" t="s">
        <v>528</v>
      </c>
      <c r="C2040" t="s">
        <v>71</v>
      </c>
      <c r="D2040" s="1">
        <v>43246</v>
      </c>
      <c r="E2040" s="1">
        <v>43610</v>
      </c>
      <c r="F2040" t="s">
        <v>306</v>
      </c>
      <c r="G2040">
        <v>12</v>
      </c>
      <c r="H2040" t="s">
        <v>155</v>
      </c>
      <c r="I2040" t="s">
        <v>43</v>
      </c>
      <c r="J2040" t="s">
        <v>126</v>
      </c>
      <c r="K2040" t="s">
        <v>44</v>
      </c>
      <c r="L2040">
        <v>869.63</v>
      </c>
      <c r="M2040" s="1">
        <v>43246</v>
      </c>
      <c r="N2040" t="s">
        <v>45</v>
      </c>
      <c r="O2040" t="s">
        <v>46</v>
      </c>
      <c r="P2040" t="s">
        <v>47</v>
      </c>
      <c r="Q2040" s="1">
        <v>43852</v>
      </c>
      <c r="R2040" t="s">
        <v>48</v>
      </c>
      <c r="S2040" t="s">
        <v>346</v>
      </c>
      <c r="T2040" t="s">
        <v>347</v>
      </c>
      <c r="U2040" t="s">
        <v>155</v>
      </c>
      <c r="V2040">
        <v>500000</v>
      </c>
      <c r="W2040">
        <v>50000</v>
      </c>
      <c r="X2040" s="1">
        <v>43830</v>
      </c>
      <c r="Y2040" t="s">
        <v>51</v>
      </c>
      <c r="Z2040" t="s">
        <v>43</v>
      </c>
      <c r="AA2040" t="s">
        <v>73</v>
      </c>
      <c r="AB2040" t="s">
        <v>306</v>
      </c>
      <c r="AC2040" t="s">
        <v>348</v>
      </c>
      <c r="AF2040" t="s">
        <v>161</v>
      </c>
      <c r="AG2040" s="1">
        <v>43851</v>
      </c>
    </row>
    <row r="2041" spans="1:38" x14ac:dyDescent="0.25">
      <c r="A2041" t="s">
        <v>522</v>
      </c>
      <c r="B2041" t="s">
        <v>528</v>
      </c>
      <c r="C2041" t="s">
        <v>71</v>
      </c>
      <c r="D2041" s="1">
        <v>43246</v>
      </c>
      <c r="E2041" s="1">
        <v>43610</v>
      </c>
      <c r="F2041" t="s">
        <v>306</v>
      </c>
      <c r="G2041">
        <v>12</v>
      </c>
      <c r="H2041" t="s">
        <v>155</v>
      </c>
      <c r="I2041" t="s">
        <v>43</v>
      </c>
      <c r="J2041" t="s">
        <v>126</v>
      </c>
      <c r="K2041" t="s">
        <v>44</v>
      </c>
      <c r="L2041">
        <v>869.63</v>
      </c>
      <c r="M2041" s="1">
        <v>43246</v>
      </c>
      <c r="N2041" t="s">
        <v>45</v>
      </c>
      <c r="O2041" t="s">
        <v>46</v>
      </c>
      <c r="P2041" t="s">
        <v>47</v>
      </c>
      <c r="Q2041" s="1">
        <v>43852</v>
      </c>
      <c r="R2041" t="s">
        <v>48</v>
      </c>
      <c r="S2041" t="s">
        <v>346</v>
      </c>
      <c r="T2041" t="s">
        <v>347</v>
      </c>
      <c r="U2041" t="s">
        <v>155</v>
      </c>
      <c r="V2041">
        <v>500000</v>
      </c>
      <c r="W2041">
        <v>50000</v>
      </c>
      <c r="X2041" s="1">
        <v>43830</v>
      </c>
      <c r="Y2041" t="s">
        <v>51</v>
      </c>
      <c r="Z2041" t="s">
        <v>43</v>
      </c>
      <c r="AA2041" t="s">
        <v>73</v>
      </c>
      <c r="AB2041" t="s">
        <v>306</v>
      </c>
      <c r="AC2041" t="s">
        <v>348</v>
      </c>
      <c r="AF2041" t="s">
        <v>162</v>
      </c>
      <c r="AG2041" s="1">
        <v>43851</v>
      </c>
    </row>
    <row r="2042" spans="1:38" x14ac:dyDescent="0.25">
      <c r="A2042" t="s">
        <v>522</v>
      </c>
      <c r="B2042" t="s">
        <v>528</v>
      </c>
      <c r="C2042" t="s">
        <v>71</v>
      </c>
      <c r="D2042" s="1">
        <v>43246</v>
      </c>
      <c r="E2042" s="1">
        <v>43610</v>
      </c>
      <c r="F2042" t="s">
        <v>306</v>
      </c>
      <c r="G2042">
        <v>12</v>
      </c>
      <c r="H2042" t="s">
        <v>155</v>
      </c>
      <c r="I2042" t="s">
        <v>43</v>
      </c>
      <c r="J2042" t="s">
        <v>126</v>
      </c>
      <c r="K2042" t="s">
        <v>44</v>
      </c>
      <c r="L2042">
        <v>869.63</v>
      </c>
      <c r="M2042" s="1">
        <v>43246</v>
      </c>
      <c r="N2042" t="s">
        <v>45</v>
      </c>
      <c r="O2042" t="s">
        <v>46</v>
      </c>
      <c r="P2042" t="s">
        <v>47</v>
      </c>
      <c r="Q2042" s="1">
        <v>43852</v>
      </c>
      <c r="R2042" t="s">
        <v>48</v>
      </c>
      <c r="S2042" t="s">
        <v>346</v>
      </c>
      <c r="T2042" t="s">
        <v>347</v>
      </c>
      <c r="U2042" t="s">
        <v>155</v>
      </c>
      <c r="V2042">
        <v>500000</v>
      </c>
      <c r="W2042">
        <v>50000</v>
      </c>
      <c r="X2042" s="1">
        <v>43830</v>
      </c>
      <c r="Y2042" t="s">
        <v>51</v>
      </c>
      <c r="Z2042" t="s">
        <v>43</v>
      </c>
      <c r="AA2042" t="s">
        <v>73</v>
      </c>
      <c r="AB2042" t="s">
        <v>306</v>
      </c>
      <c r="AC2042" t="s">
        <v>348</v>
      </c>
      <c r="AF2042" t="s">
        <v>163</v>
      </c>
      <c r="AG2042" s="1">
        <v>43852</v>
      </c>
    </row>
    <row r="2043" spans="1:38" x14ac:dyDescent="0.25">
      <c r="A2043" t="s">
        <v>522</v>
      </c>
      <c r="B2043" t="s">
        <v>528</v>
      </c>
      <c r="C2043" t="s">
        <v>71</v>
      </c>
      <c r="D2043" s="1">
        <v>43246</v>
      </c>
      <c r="E2043" s="1">
        <v>43610</v>
      </c>
      <c r="F2043" t="s">
        <v>306</v>
      </c>
      <c r="G2043">
        <v>12</v>
      </c>
      <c r="H2043" t="s">
        <v>155</v>
      </c>
      <c r="I2043" t="s">
        <v>43</v>
      </c>
      <c r="J2043" t="s">
        <v>126</v>
      </c>
      <c r="K2043" t="s">
        <v>44</v>
      </c>
      <c r="L2043">
        <v>869.63</v>
      </c>
      <c r="M2043" s="1">
        <v>43246</v>
      </c>
      <c r="N2043" t="s">
        <v>45</v>
      </c>
      <c r="O2043" t="s">
        <v>46</v>
      </c>
      <c r="P2043" t="s">
        <v>47</v>
      </c>
      <c r="Q2043" s="1">
        <v>43852</v>
      </c>
      <c r="R2043" t="s">
        <v>48</v>
      </c>
      <c r="S2043" t="s">
        <v>349</v>
      </c>
      <c r="T2043" t="s">
        <v>350</v>
      </c>
      <c r="U2043" t="s">
        <v>155</v>
      </c>
      <c r="V2043">
        <v>1000000</v>
      </c>
      <c r="W2043">
        <v>100000</v>
      </c>
      <c r="X2043" s="1">
        <v>43738</v>
      </c>
      <c r="Y2043" t="s">
        <v>51</v>
      </c>
      <c r="Z2043" t="s">
        <v>43</v>
      </c>
      <c r="AA2043" t="s">
        <v>73</v>
      </c>
      <c r="AB2043" t="s">
        <v>306</v>
      </c>
      <c r="AC2043" t="s">
        <v>348</v>
      </c>
      <c r="AF2043" t="s">
        <v>160</v>
      </c>
      <c r="AG2043" s="1">
        <v>43851</v>
      </c>
    </row>
    <row r="2044" spans="1:38" x14ac:dyDescent="0.25">
      <c r="A2044" t="s">
        <v>522</v>
      </c>
      <c r="B2044" t="s">
        <v>528</v>
      </c>
      <c r="C2044" t="s">
        <v>71</v>
      </c>
      <c r="D2044" s="1">
        <v>43246</v>
      </c>
      <c r="E2044" s="1">
        <v>43610</v>
      </c>
      <c r="F2044" t="s">
        <v>306</v>
      </c>
      <c r="G2044">
        <v>12</v>
      </c>
      <c r="H2044" t="s">
        <v>155</v>
      </c>
      <c r="I2044" t="s">
        <v>43</v>
      </c>
      <c r="J2044" t="s">
        <v>126</v>
      </c>
      <c r="K2044" t="s">
        <v>44</v>
      </c>
      <c r="L2044">
        <v>869.63</v>
      </c>
      <c r="M2044" s="1">
        <v>43246</v>
      </c>
      <c r="N2044" t="s">
        <v>45</v>
      </c>
      <c r="O2044" t="s">
        <v>46</v>
      </c>
      <c r="P2044" t="s">
        <v>47</v>
      </c>
      <c r="Q2044" s="1">
        <v>43852</v>
      </c>
      <c r="R2044" t="s">
        <v>48</v>
      </c>
      <c r="S2044" t="s">
        <v>349</v>
      </c>
      <c r="T2044" t="s">
        <v>350</v>
      </c>
      <c r="U2044" t="s">
        <v>155</v>
      </c>
      <c r="V2044">
        <v>1000000</v>
      </c>
      <c r="W2044">
        <v>100000</v>
      </c>
      <c r="X2044" s="1">
        <v>43738</v>
      </c>
      <c r="Y2044" t="s">
        <v>51</v>
      </c>
      <c r="Z2044" t="s">
        <v>43</v>
      </c>
      <c r="AA2044" t="s">
        <v>73</v>
      </c>
      <c r="AB2044" t="s">
        <v>306</v>
      </c>
      <c r="AC2044" t="s">
        <v>348</v>
      </c>
      <c r="AF2044" t="s">
        <v>161</v>
      </c>
      <c r="AG2044" s="1">
        <v>43851</v>
      </c>
    </row>
    <row r="2045" spans="1:38" x14ac:dyDescent="0.25">
      <c r="A2045" t="s">
        <v>522</v>
      </c>
      <c r="B2045" t="s">
        <v>528</v>
      </c>
      <c r="C2045" t="s">
        <v>71</v>
      </c>
      <c r="D2045" s="1">
        <v>43246</v>
      </c>
      <c r="E2045" s="1">
        <v>43610</v>
      </c>
      <c r="F2045" t="s">
        <v>306</v>
      </c>
      <c r="G2045">
        <v>12</v>
      </c>
      <c r="H2045" t="s">
        <v>155</v>
      </c>
      <c r="I2045" t="s">
        <v>43</v>
      </c>
      <c r="J2045" t="s">
        <v>126</v>
      </c>
      <c r="K2045" t="s">
        <v>44</v>
      </c>
      <c r="L2045">
        <v>869.63</v>
      </c>
      <c r="M2045" s="1">
        <v>43246</v>
      </c>
      <c r="N2045" t="s">
        <v>45</v>
      </c>
      <c r="O2045" t="s">
        <v>46</v>
      </c>
      <c r="P2045" t="s">
        <v>47</v>
      </c>
      <c r="Q2045" s="1">
        <v>43852</v>
      </c>
      <c r="R2045" t="s">
        <v>48</v>
      </c>
      <c r="S2045" t="s">
        <v>349</v>
      </c>
      <c r="T2045" t="s">
        <v>350</v>
      </c>
      <c r="U2045" t="s">
        <v>155</v>
      </c>
      <c r="V2045">
        <v>1000000</v>
      </c>
      <c r="W2045">
        <v>100000</v>
      </c>
      <c r="X2045" s="1">
        <v>43738</v>
      </c>
      <c r="Y2045" t="s">
        <v>51</v>
      </c>
      <c r="Z2045" t="s">
        <v>43</v>
      </c>
      <c r="AA2045" t="s">
        <v>73</v>
      </c>
      <c r="AB2045" t="s">
        <v>306</v>
      </c>
      <c r="AC2045" t="s">
        <v>348</v>
      </c>
      <c r="AF2045" t="s">
        <v>162</v>
      </c>
      <c r="AG2045" s="1">
        <v>43851</v>
      </c>
    </row>
    <row r="2046" spans="1:38" x14ac:dyDescent="0.25">
      <c r="A2046" t="s">
        <v>522</v>
      </c>
      <c r="B2046" t="s">
        <v>528</v>
      </c>
      <c r="C2046" t="s">
        <v>71</v>
      </c>
      <c r="D2046" s="1">
        <v>43246</v>
      </c>
      <c r="E2046" s="1">
        <v>43610</v>
      </c>
      <c r="F2046" t="s">
        <v>306</v>
      </c>
      <c r="G2046">
        <v>12</v>
      </c>
      <c r="H2046" t="s">
        <v>155</v>
      </c>
      <c r="I2046" t="s">
        <v>43</v>
      </c>
      <c r="J2046" t="s">
        <v>126</v>
      </c>
      <c r="K2046" t="s">
        <v>44</v>
      </c>
      <c r="L2046">
        <v>869.63</v>
      </c>
      <c r="M2046" s="1">
        <v>43246</v>
      </c>
      <c r="N2046" t="s">
        <v>45</v>
      </c>
      <c r="O2046" t="s">
        <v>46</v>
      </c>
      <c r="P2046" t="s">
        <v>47</v>
      </c>
      <c r="Q2046" s="1">
        <v>43852</v>
      </c>
      <c r="R2046" t="s">
        <v>48</v>
      </c>
      <c r="S2046" t="s">
        <v>349</v>
      </c>
      <c r="T2046" t="s">
        <v>350</v>
      </c>
      <c r="U2046" t="s">
        <v>155</v>
      </c>
      <c r="V2046">
        <v>1000000</v>
      </c>
      <c r="W2046">
        <v>100000</v>
      </c>
      <c r="X2046" s="1">
        <v>43738</v>
      </c>
      <c r="Y2046" t="s">
        <v>51</v>
      </c>
      <c r="Z2046" t="s">
        <v>43</v>
      </c>
      <c r="AA2046" t="s">
        <v>73</v>
      </c>
      <c r="AB2046" t="s">
        <v>306</v>
      </c>
      <c r="AC2046" t="s">
        <v>348</v>
      </c>
      <c r="AF2046" t="s">
        <v>163</v>
      </c>
      <c r="AG2046" s="1">
        <v>43852</v>
      </c>
    </row>
    <row r="2047" spans="1:38" x14ac:dyDescent="0.25">
      <c r="A2047" t="s">
        <v>522</v>
      </c>
      <c r="B2047" t="s">
        <v>529</v>
      </c>
      <c r="C2047" t="s">
        <v>40</v>
      </c>
      <c r="D2047" s="1">
        <v>43611</v>
      </c>
      <c r="E2047" s="1">
        <v>43976</v>
      </c>
      <c r="F2047" t="s">
        <v>306</v>
      </c>
      <c r="G2047">
        <v>3</v>
      </c>
      <c r="H2047" t="s">
        <v>125</v>
      </c>
      <c r="I2047" t="s">
        <v>43</v>
      </c>
      <c r="J2047" t="s">
        <v>126</v>
      </c>
      <c r="K2047" t="s">
        <v>44</v>
      </c>
      <c r="L2047">
        <v>869.63</v>
      </c>
      <c r="M2047" s="1">
        <v>43611</v>
      </c>
      <c r="N2047" t="s">
        <v>45</v>
      </c>
      <c r="O2047" t="s">
        <v>44</v>
      </c>
      <c r="P2047" t="s">
        <v>47</v>
      </c>
      <c r="Q2047" s="1">
        <v>43852</v>
      </c>
      <c r="R2047" t="s">
        <v>48</v>
      </c>
    </row>
    <row r="2048" spans="1:38" x14ac:dyDescent="0.25">
      <c r="A2048" t="s">
        <v>522</v>
      </c>
      <c r="B2048" t="s">
        <v>530</v>
      </c>
      <c r="C2048" t="s">
        <v>40</v>
      </c>
      <c r="D2048" s="1">
        <v>43147</v>
      </c>
      <c r="E2048" s="1">
        <v>43511</v>
      </c>
      <c r="F2048" t="s">
        <v>77</v>
      </c>
      <c r="G2048">
        <v>3</v>
      </c>
      <c r="H2048" t="s">
        <v>125</v>
      </c>
      <c r="I2048" t="s">
        <v>43</v>
      </c>
      <c r="J2048" t="s">
        <v>126</v>
      </c>
      <c r="K2048" t="s">
        <v>44</v>
      </c>
      <c r="L2048">
        <v>1562.5</v>
      </c>
      <c r="M2048" s="1">
        <v>43512</v>
      </c>
      <c r="N2048" t="s">
        <v>45</v>
      </c>
      <c r="O2048" t="s">
        <v>46</v>
      </c>
      <c r="P2048" t="s">
        <v>47</v>
      </c>
      <c r="Q2048" s="1">
        <v>43852</v>
      </c>
      <c r="R2048" t="s">
        <v>48</v>
      </c>
    </row>
    <row r="2049" spans="1:38" x14ac:dyDescent="0.25">
      <c r="A2049" t="s">
        <v>522</v>
      </c>
      <c r="B2049" t="s">
        <v>531</v>
      </c>
      <c r="C2049" t="s">
        <v>71</v>
      </c>
      <c r="D2049" s="1">
        <v>43466</v>
      </c>
      <c r="E2049" s="1">
        <v>43830</v>
      </c>
      <c r="F2049" t="s">
        <v>76</v>
      </c>
      <c r="G2049">
        <v>4</v>
      </c>
      <c r="H2049" t="s">
        <v>431</v>
      </c>
      <c r="I2049" t="s">
        <v>43</v>
      </c>
      <c r="J2049" t="s">
        <v>80</v>
      </c>
      <c r="K2049" t="s">
        <v>44</v>
      </c>
      <c r="L2049">
        <v>43367</v>
      </c>
      <c r="M2049" s="1">
        <v>43647</v>
      </c>
      <c r="N2049" t="s">
        <v>45</v>
      </c>
      <c r="O2049" t="s">
        <v>361</v>
      </c>
      <c r="P2049" t="s">
        <v>396</v>
      </c>
      <c r="Q2049" s="1">
        <v>43852</v>
      </c>
      <c r="R2049" t="s">
        <v>396</v>
      </c>
    </row>
    <row r="2050" spans="1:38" x14ac:dyDescent="0.25">
      <c r="A2050" t="s">
        <v>522</v>
      </c>
      <c r="B2050" t="s">
        <v>531</v>
      </c>
      <c r="C2050" t="s">
        <v>71</v>
      </c>
      <c r="D2050" s="1">
        <v>43466</v>
      </c>
      <c r="E2050" s="1">
        <v>43830</v>
      </c>
      <c r="F2050" t="s">
        <v>76</v>
      </c>
      <c r="G2050">
        <v>4</v>
      </c>
      <c r="H2050" t="s">
        <v>431</v>
      </c>
      <c r="I2050" t="s">
        <v>43</v>
      </c>
      <c r="J2050" t="s">
        <v>80</v>
      </c>
      <c r="K2050" t="s">
        <v>44</v>
      </c>
      <c r="L2050">
        <v>43367</v>
      </c>
      <c r="M2050" s="1">
        <v>43739</v>
      </c>
      <c r="N2050" t="s">
        <v>45</v>
      </c>
      <c r="O2050" t="s">
        <v>361</v>
      </c>
      <c r="P2050" t="s">
        <v>396</v>
      </c>
      <c r="Q2050" s="1">
        <v>43852</v>
      </c>
      <c r="R2050" t="s">
        <v>396</v>
      </c>
    </row>
    <row r="2051" spans="1:38" x14ac:dyDescent="0.25">
      <c r="A2051" t="s">
        <v>522</v>
      </c>
      <c r="B2051" t="s">
        <v>531</v>
      </c>
      <c r="C2051" t="s">
        <v>71</v>
      </c>
      <c r="D2051" s="1">
        <v>43466</v>
      </c>
      <c r="E2051" s="1">
        <v>43830</v>
      </c>
      <c r="F2051" t="s">
        <v>76</v>
      </c>
      <c r="G2051">
        <v>4</v>
      </c>
      <c r="H2051" t="s">
        <v>431</v>
      </c>
      <c r="I2051" t="s">
        <v>43</v>
      </c>
      <c r="J2051" t="s">
        <v>80</v>
      </c>
      <c r="K2051" t="s">
        <v>44</v>
      </c>
      <c r="L2051">
        <v>65050.5</v>
      </c>
      <c r="M2051" s="1">
        <v>43466</v>
      </c>
      <c r="N2051" t="s">
        <v>45</v>
      </c>
      <c r="O2051" t="s">
        <v>361</v>
      </c>
      <c r="P2051" t="s">
        <v>396</v>
      </c>
      <c r="Q2051" s="1">
        <v>43852</v>
      </c>
      <c r="R2051" t="s">
        <v>396</v>
      </c>
    </row>
    <row r="2052" spans="1:38" x14ac:dyDescent="0.25">
      <c r="A2052" t="s">
        <v>522</v>
      </c>
      <c r="B2052" t="s">
        <v>531</v>
      </c>
      <c r="C2052" t="s">
        <v>71</v>
      </c>
      <c r="D2052" s="1">
        <v>43466</v>
      </c>
      <c r="E2052" s="1">
        <v>43830</v>
      </c>
      <c r="F2052" t="s">
        <v>76</v>
      </c>
      <c r="G2052">
        <v>4</v>
      </c>
      <c r="H2052" t="s">
        <v>431</v>
      </c>
      <c r="I2052" t="s">
        <v>43</v>
      </c>
      <c r="J2052" t="s">
        <v>80</v>
      </c>
      <c r="K2052" t="s">
        <v>44</v>
      </c>
      <c r="L2052">
        <v>65050.5</v>
      </c>
      <c r="M2052" s="1">
        <v>43556</v>
      </c>
      <c r="N2052" t="s">
        <v>45</v>
      </c>
      <c r="O2052" t="s">
        <v>361</v>
      </c>
      <c r="P2052" t="s">
        <v>396</v>
      </c>
      <c r="Q2052" s="1">
        <v>43852</v>
      </c>
      <c r="R2052" t="s">
        <v>396</v>
      </c>
    </row>
    <row r="2053" spans="1:38" x14ac:dyDescent="0.25">
      <c r="A2053" t="s">
        <v>522</v>
      </c>
      <c r="B2053" t="s">
        <v>532</v>
      </c>
      <c r="C2053" t="s">
        <v>71</v>
      </c>
      <c r="D2053" s="1">
        <v>43466</v>
      </c>
      <c r="E2053" s="1">
        <v>43830</v>
      </c>
      <c r="F2053" t="s">
        <v>76</v>
      </c>
      <c r="G2053">
        <v>4</v>
      </c>
      <c r="H2053" t="s">
        <v>431</v>
      </c>
      <c r="I2053" t="s">
        <v>43</v>
      </c>
      <c r="J2053" t="s">
        <v>80</v>
      </c>
      <c r="K2053" t="s">
        <v>44</v>
      </c>
      <c r="L2053">
        <v>10824.4</v>
      </c>
      <c r="M2053" s="1">
        <v>43647</v>
      </c>
      <c r="N2053" t="s">
        <v>45</v>
      </c>
      <c r="O2053" t="s">
        <v>361</v>
      </c>
      <c r="P2053" t="s">
        <v>396</v>
      </c>
      <c r="Q2053" s="1">
        <v>43852</v>
      </c>
      <c r="R2053" t="s">
        <v>396</v>
      </c>
    </row>
    <row r="2054" spans="1:38" x14ac:dyDescent="0.25">
      <c r="A2054" t="s">
        <v>522</v>
      </c>
      <c r="B2054" t="s">
        <v>532</v>
      </c>
      <c r="C2054" t="s">
        <v>71</v>
      </c>
      <c r="D2054" s="1">
        <v>43466</v>
      </c>
      <c r="E2054" s="1">
        <v>43830</v>
      </c>
      <c r="F2054" t="s">
        <v>76</v>
      </c>
      <c r="G2054">
        <v>4</v>
      </c>
      <c r="H2054" t="s">
        <v>431</v>
      </c>
      <c r="I2054" t="s">
        <v>43</v>
      </c>
      <c r="J2054" t="s">
        <v>80</v>
      </c>
      <c r="K2054" t="s">
        <v>44</v>
      </c>
      <c r="L2054">
        <v>10824.4</v>
      </c>
      <c r="M2054" s="1">
        <v>43739</v>
      </c>
      <c r="N2054" t="s">
        <v>45</v>
      </c>
      <c r="O2054" t="s">
        <v>361</v>
      </c>
      <c r="P2054" t="s">
        <v>396</v>
      </c>
      <c r="Q2054" s="1">
        <v>43852</v>
      </c>
      <c r="R2054" t="s">
        <v>396</v>
      </c>
    </row>
    <row r="2055" spans="1:38" x14ac:dyDescent="0.25">
      <c r="A2055" t="s">
        <v>522</v>
      </c>
      <c r="B2055" t="s">
        <v>532</v>
      </c>
      <c r="C2055" t="s">
        <v>71</v>
      </c>
      <c r="D2055" s="1">
        <v>43466</v>
      </c>
      <c r="E2055" s="1">
        <v>43830</v>
      </c>
      <c r="F2055" t="s">
        <v>76</v>
      </c>
      <c r="G2055">
        <v>4</v>
      </c>
      <c r="H2055" t="s">
        <v>431</v>
      </c>
      <c r="I2055" t="s">
        <v>43</v>
      </c>
      <c r="J2055" t="s">
        <v>80</v>
      </c>
      <c r="K2055" t="s">
        <v>44</v>
      </c>
      <c r="L2055">
        <v>16236.6</v>
      </c>
      <c r="M2055" s="1">
        <v>43466</v>
      </c>
      <c r="N2055" t="s">
        <v>45</v>
      </c>
      <c r="O2055" t="s">
        <v>361</v>
      </c>
      <c r="P2055" t="s">
        <v>396</v>
      </c>
      <c r="Q2055" s="1">
        <v>43852</v>
      </c>
      <c r="R2055" t="s">
        <v>396</v>
      </c>
    </row>
    <row r="2056" spans="1:38" x14ac:dyDescent="0.25">
      <c r="A2056" t="s">
        <v>522</v>
      </c>
      <c r="B2056" t="s">
        <v>532</v>
      </c>
      <c r="C2056" t="s">
        <v>71</v>
      </c>
      <c r="D2056" s="1">
        <v>43466</v>
      </c>
      <c r="E2056" s="1">
        <v>43830</v>
      </c>
      <c r="F2056" t="s">
        <v>76</v>
      </c>
      <c r="G2056">
        <v>4</v>
      </c>
      <c r="H2056" t="s">
        <v>431</v>
      </c>
      <c r="I2056" t="s">
        <v>43</v>
      </c>
      <c r="J2056" t="s">
        <v>80</v>
      </c>
      <c r="K2056" t="s">
        <v>44</v>
      </c>
      <c r="L2056">
        <v>16236.6</v>
      </c>
      <c r="M2056" s="1">
        <v>43556</v>
      </c>
      <c r="N2056" t="s">
        <v>45</v>
      </c>
      <c r="O2056" t="s">
        <v>361</v>
      </c>
      <c r="P2056" t="s">
        <v>396</v>
      </c>
      <c r="Q2056" s="1">
        <v>43852</v>
      </c>
      <c r="R2056" t="s">
        <v>396</v>
      </c>
    </row>
    <row r="2057" spans="1:38" x14ac:dyDescent="0.25">
      <c r="A2057" t="s">
        <v>522</v>
      </c>
      <c r="B2057" t="s">
        <v>533</v>
      </c>
      <c r="C2057" t="s">
        <v>71</v>
      </c>
      <c r="D2057" s="1">
        <v>43101</v>
      </c>
      <c r="E2057" s="1">
        <v>43465</v>
      </c>
      <c r="F2057" t="s">
        <v>41</v>
      </c>
      <c r="G2057">
        <v>3</v>
      </c>
      <c r="H2057" t="s">
        <v>125</v>
      </c>
      <c r="I2057" t="s">
        <v>43</v>
      </c>
      <c r="J2057" t="s">
        <v>126</v>
      </c>
      <c r="K2057" t="s">
        <v>44</v>
      </c>
      <c r="L2057">
        <v>36612.18</v>
      </c>
      <c r="M2057" s="1">
        <v>43101</v>
      </c>
      <c r="N2057" t="s">
        <v>45</v>
      </c>
      <c r="O2057" t="s">
        <v>46</v>
      </c>
      <c r="P2057" t="s">
        <v>47</v>
      </c>
      <c r="Q2057" s="1">
        <v>43852</v>
      </c>
      <c r="R2057" t="s">
        <v>48</v>
      </c>
      <c r="S2057" t="s">
        <v>41</v>
      </c>
      <c r="T2057" t="s">
        <v>130</v>
      </c>
      <c r="U2057" t="s">
        <v>125</v>
      </c>
      <c r="V2057">
        <v>0</v>
      </c>
      <c r="W2057">
        <v>100000</v>
      </c>
      <c r="X2057" s="1">
        <v>43769</v>
      </c>
      <c r="Y2057" t="s">
        <v>131</v>
      </c>
      <c r="Z2057" t="s">
        <v>43</v>
      </c>
      <c r="AA2057" t="s">
        <v>41</v>
      </c>
      <c r="AB2057" t="s">
        <v>132</v>
      </c>
      <c r="AC2057" t="s">
        <v>133</v>
      </c>
      <c r="AF2057" t="s">
        <v>134</v>
      </c>
      <c r="AG2057" s="1">
        <v>43843</v>
      </c>
      <c r="AH2057" t="s">
        <v>125</v>
      </c>
      <c r="AI2057" t="s">
        <v>92</v>
      </c>
      <c r="AJ2057">
        <v>1278023</v>
      </c>
      <c r="AK2057">
        <v>12365300</v>
      </c>
      <c r="AL2057">
        <v>12900</v>
      </c>
    </row>
    <row r="2058" spans="1:38" x14ac:dyDescent="0.25">
      <c r="A2058" t="s">
        <v>522</v>
      </c>
      <c r="B2058" t="s">
        <v>533</v>
      </c>
      <c r="C2058" t="s">
        <v>71</v>
      </c>
      <c r="D2058" s="1">
        <v>43101</v>
      </c>
      <c r="E2058" s="1">
        <v>43465</v>
      </c>
      <c r="F2058" t="s">
        <v>41</v>
      </c>
      <c r="G2058">
        <v>3</v>
      </c>
      <c r="H2058" t="s">
        <v>125</v>
      </c>
      <c r="I2058" t="s">
        <v>43</v>
      </c>
      <c r="J2058" t="s">
        <v>126</v>
      </c>
      <c r="K2058" t="s">
        <v>44</v>
      </c>
      <c r="L2058">
        <v>36612.18</v>
      </c>
      <c r="M2058" s="1">
        <v>43101</v>
      </c>
      <c r="N2058" t="s">
        <v>45</v>
      </c>
      <c r="O2058" t="s">
        <v>46</v>
      </c>
      <c r="P2058" t="s">
        <v>47</v>
      </c>
      <c r="Q2058" s="1">
        <v>43852</v>
      </c>
      <c r="R2058" t="s">
        <v>48</v>
      </c>
      <c r="S2058" t="s">
        <v>41</v>
      </c>
      <c r="T2058" t="s">
        <v>130</v>
      </c>
      <c r="U2058" t="s">
        <v>125</v>
      </c>
      <c r="V2058">
        <v>0</v>
      </c>
      <c r="W2058">
        <v>100000</v>
      </c>
      <c r="X2058" s="1">
        <v>43769</v>
      </c>
      <c r="Y2058" t="s">
        <v>131</v>
      </c>
      <c r="Z2058" t="s">
        <v>43</v>
      </c>
      <c r="AA2058" t="s">
        <v>41</v>
      </c>
      <c r="AB2058" t="s">
        <v>132</v>
      </c>
      <c r="AC2058" t="s">
        <v>133</v>
      </c>
      <c r="AF2058" t="s">
        <v>135</v>
      </c>
      <c r="AG2058" s="1">
        <v>43843</v>
      </c>
      <c r="AH2058" t="s">
        <v>125</v>
      </c>
      <c r="AI2058" t="s">
        <v>92</v>
      </c>
      <c r="AJ2058">
        <v>1278023</v>
      </c>
      <c r="AK2058">
        <v>12365300</v>
      </c>
      <c r="AL2058">
        <v>12900</v>
      </c>
    </row>
    <row r="2059" spans="1:38" x14ac:dyDescent="0.25">
      <c r="A2059" t="s">
        <v>522</v>
      </c>
      <c r="B2059" t="s">
        <v>533</v>
      </c>
      <c r="C2059" t="s">
        <v>71</v>
      </c>
      <c r="D2059" s="1">
        <v>43101</v>
      </c>
      <c r="E2059" s="1">
        <v>43465</v>
      </c>
      <c r="F2059" t="s">
        <v>41</v>
      </c>
      <c r="G2059">
        <v>3</v>
      </c>
      <c r="H2059" t="s">
        <v>125</v>
      </c>
      <c r="I2059" t="s">
        <v>43</v>
      </c>
      <c r="J2059" t="s">
        <v>126</v>
      </c>
      <c r="K2059" t="s">
        <v>44</v>
      </c>
      <c r="L2059">
        <v>36612.18</v>
      </c>
      <c r="M2059" s="1">
        <v>43101</v>
      </c>
      <c r="N2059" t="s">
        <v>45</v>
      </c>
      <c r="O2059" t="s">
        <v>46</v>
      </c>
      <c r="P2059" t="s">
        <v>47</v>
      </c>
      <c r="Q2059" s="1">
        <v>43852</v>
      </c>
      <c r="R2059" t="s">
        <v>48</v>
      </c>
      <c r="S2059" t="s">
        <v>41</v>
      </c>
      <c r="T2059" t="s">
        <v>130</v>
      </c>
      <c r="U2059" t="s">
        <v>125</v>
      </c>
      <c r="V2059">
        <v>0</v>
      </c>
      <c r="W2059">
        <v>100000</v>
      </c>
      <c r="X2059" s="1">
        <v>43769</v>
      </c>
      <c r="Y2059" t="s">
        <v>131</v>
      </c>
      <c r="Z2059" t="s">
        <v>43</v>
      </c>
      <c r="AA2059" t="s">
        <v>41</v>
      </c>
      <c r="AB2059" t="s">
        <v>132</v>
      </c>
      <c r="AC2059" t="s">
        <v>133</v>
      </c>
      <c r="AF2059" t="s">
        <v>136</v>
      </c>
      <c r="AG2059" s="1">
        <v>43839</v>
      </c>
      <c r="AH2059" t="s">
        <v>125</v>
      </c>
      <c r="AI2059" t="s">
        <v>92</v>
      </c>
      <c r="AJ2059">
        <v>1278023</v>
      </c>
      <c r="AK2059">
        <v>12365300</v>
      </c>
      <c r="AL2059">
        <v>12900</v>
      </c>
    </row>
    <row r="2060" spans="1:38" x14ac:dyDescent="0.25">
      <c r="A2060" t="s">
        <v>522</v>
      </c>
      <c r="B2060" t="s">
        <v>533</v>
      </c>
      <c r="C2060" t="s">
        <v>71</v>
      </c>
      <c r="D2060" s="1">
        <v>43101</v>
      </c>
      <c r="E2060" s="1">
        <v>43465</v>
      </c>
      <c r="F2060" t="s">
        <v>41</v>
      </c>
      <c r="G2060">
        <v>3</v>
      </c>
      <c r="H2060" t="s">
        <v>125</v>
      </c>
      <c r="I2060" t="s">
        <v>43</v>
      </c>
      <c r="J2060" t="s">
        <v>126</v>
      </c>
      <c r="K2060" t="s">
        <v>44</v>
      </c>
      <c r="L2060">
        <v>36612.18</v>
      </c>
      <c r="M2060" s="1">
        <v>43101</v>
      </c>
      <c r="N2060" t="s">
        <v>45</v>
      </c>
      <c r="O2060" t="s">
        <v>46</v>
      </c>
      <c r="P2060" t="s">
        <v>47</v>
      </c>
      <c r="Q2060" s="1">
        <v>43852</v>
      </c>
      <c r="R2060" t="s">
        <v>48</v>
      </c>
      <c r="S2060" t="s">
        <v>41</v>
      </c>
      <c r="T2060" t="s">
        <v>130</v>
      </c>
      <c r="U2060" t="s">
        <v>125</v>
      </c>
      <c r="V2060">
        <v>0</v>
      </c>
      <c r="W2060">
        <v>100000</v>
      </c>
      <c r="X2060" s="1">
        <v>43769</v>
      </c>
      <c r="Y2060" t="s">
        <v>131</v>
      </c>
      <c r="Z2060" t="s">
        <v>43</v>
      </c>
      <c r="AA2060" t="s">
        <v>41</v>
      </c>
      <c r="AB2060" t="s">
        <v>132</v>
      </c>
      <c r="AC2060" t="s">
        <v>133</v>
      </c>
      <c r="AF2060" t="s">
        <v>137</v>
      </c>
      <c r="AG2060" s="1">
        <v>43840</v>
      </c>
      <c r="AH2060" t="s">
        <v>125</v>
      </c>
      <c r="AI2060" t="s">
        <v>92</v>
      </c>
      <c r="AJ2060">
        <v>1278023</v>
      </c>
      <c r="AK2060">
        <v>12365300</v>
      </c>
      <c r="AL2060">
        <v>12900</v>
      </c>
    </row>
    <row r="2061" spans="1:38" x14ac:dyDescent="0.25">
      <c r="A2061" t="s">
        <v>522</v>
      </c>
      <c r="B2061" t="s">
        <v>533</v>
      </c>
      <c r="C2061" t="s">
        <v>71</v>
      </c>
      <c r="D2061" s="1">
        <v>43101</v>
      </c>
      <c r="E2061" s="1">
        <v>43465</v>
      </c>
      <c r="F2061" t="s">
        <v>41</v>
      </c>
      <c r="G2061">
        <v>3</v>
      </c>
      <c r="H2061" t="s">
        <v>125</v>
      </c>
      <c r="I2061" t="s">
        <v>43</v>
      </c>
      <c r="J2061" t="s">
        <v>126</v>
      </c>
      <c r="K2061" t="s">
        <v>44</v>
      </c>
      <c r="L2061">
        <v>36612.18</v>
      </c>
      <c r="M2061" s="1">
        <v>43101</v>
      </c>
      <c r="N2061" t="s">
        <v>45</v>
      </c>
      <c r="O2061" t="s">
        <v>46</v>
      </c>
      <c r="P2061" t="s">
        <v>47</v>
      </c>
      <c r="Q2061" s="1">
        <v>43852</v>
      </c>
      <c r="R2061" t="s">
        <v>48</v>
      </c>
      <c r="S2061" t="s">
        <v>138</v>
      </c>
      <c r="T2061" t="s">
        <v>139</v>
      </c>
      <c r="U2061" t="s">
        <v>125</v>
      </c>
      <c r="V2061">
        <v>0</v>
      </c>
      <c r="W2061">
        <v>10000</v>
      </c>
      <c r="X2061" s="1">
        <v>43738</v>
      </c>
      <c r="Y2061" t="s">
        <v>140</v>
      </c>
      <c r="Z2061" t="s">
        <v>43</v>
      </c>
      <c r="AA2061" t="s">
        <v>41</v>
      </c>
      <c r="AB2061" t="s">
        <v>132</v>
      </c>
      <c r="AC2061" t="s">
        <v>132</v>
      </c>
      <c r="AF2061" t="s">
        <v>134</v>
      </c>
      <c r="AG2061" s="1">
        <v>43843</v>
      </c>
      <c r="AH2061" t="s">
        <v>125</v>
      </c>
      <c r="AI2061" t="s">
        <v>92</v>
      </c>
      <c r="AJ2061">
        <v>1278023</v>
      </c>
      <c r="AK2061">
        <v>12365300</v>
      </c>
      <c r="AL2061">
        <v>12900</v>
      </c>
    </row>
    <row r="2062" spans="1:38" x14ac:dyDescent="0.25">
      <c r="A2062" t="s">
        <v>522</v>
      </c>
      <c r="B2062" t="s">
        <v>533</v>
      </c>
      <c r="C2062" t="s">
        <v>71</v>
      </c>
      <c r="D2062" s="1">
        <v>43101</v>
      </c>
      <c r="E2062" s="1">
        <v>43465</v>
      </c>
      <c r="F2062" t="s">
        <v>41</v>
      </c>
      <c r="G2062">
        <v>3</v>
      </c>
      <c r="H2062" t="s">
        <v>125</v>
      </c>
      <c r="I2062" t="s">
        <v>43</v>
      </c>
      <c r="J2062" t="s">
        <v>126</v>
      </c>
      <c r="K2062" t="s">
        <v>44</v>
      </c>
      <c r="L2062">
        <v>36612.18</v>
      </c>
      <c r="M2062" s="1">
        <v>43101</v>
      </c>
      <c r="N2062" t="s">
        <v>45</v>
      </c>
      <c r="O2062" t="s">
        <v>46</v>
      </c>
      <c r="P2062" t="s">
        <v>47</v>
      </c>
      <c r="Q2062" s="1">
        <v>43852</v>
      </c>
      <c r="R2062" t="s">
        <v>48</v>
      </c>
      <c r="S2062" t="s">
        <v>138</v>
      </c>
      <c r="T2062" t="s">
        <v>139</v>
      </c>
      <c r="U2062" t="s">
        <v>125</v>
      </c>
      <c r="V2062">
        <v>0</v>
      </c>
      <c r="W2062">
        <v>10000</v>
      </c>
      <c r="X2062" s="1">
        <v>43738</v>
      </c>
      <c r="Y2062" t="s">
        <v>140</v>
      </c>
      <c r="Z2062" t="s">
        <v>43</v>
      </c>
      <c r="AA2062" t="s">
        <v>41</v>
      </c>
      <c r="AB2062" t="s">
        <v>132</v>
      </c>
      <c r="AC2062" t="s">
        <v>132</v>
      </c>
      <c r="AF2062" t="s">
        <v>135</v>
      </c>
      <c r="AG2062" s="1">
        <v>43843</v>
      </c>
      <c r="AH2062" t="s">
        <v>125</v>
      </c>
      <c r="AI2062" t="s">
        <v>92</v>
      </c>
      <c r="AJ2062">
        <v>1278023</v>
      </c>
      <c r="AK2062">
        <v>12365300</v>
      </c>
      <c r="AL2062">
        <v>12900</v>
      </c>
    </row>
    <row r="2063" spans="1:38" x14ac:dyDescent="0.25">
      <c r="A2063" t="s">
        <v>522</v>
      </c>
      <c r="B2063" t="s">
        <v>533</v>
      </c>
      <c r="C2063" t="s">
        <v>71</v>
      </c>
      <c r="D2063" s="1">
        <v>43101</v>
      </c>
      <c r="E2063" s="1">
        <v>43465</v>
      </c>
      <c r="F2063" t="s">
        <v>41</v>
      </c>
      <c r="G2063">
        <v>3</v>
      </c>
      <c r="H2063" t="s">
        <v>125</v>
      </c>
      <c r="I2063" t="s">
        <v>43</v>
      </c>
      <c r="J2063" t="s">
        <v>126</v>
      </c>
      <c r="K2063" t="s">
        <v>44</v>
      </c>
      <c r="L2063">
        <v>36612.18</v>
      </c>
      <c r="M2063" s="1">
        <v>43101</v>
      </c>
      <c r="N2063" t="s">
        <v>45</v>
      </c>
      <c r="O2063" t="s">
        <v>46</v>
      </c>
      <c r="P2063" t="s">
        <v>47</v>
      </c>
      <c r="Q2063" s="1">
        <v>43852</v>
      </c>
      <c r="R2063" t="s">
        <v>48</v>
      </c>
      <c r="S2063" t="s">
        <v>138</v>
      </c>
      <c r="T2063" t="s">
        <v>139</v>
      </c>
      <c r="U2063" t="s">
        <v>125</v>
      </c>
      <c r="V2063">
        <v>0</v>
      </c>
      <c r="W2063">
        <v>10000</v>
      </c>
      <c r="X2063" s="1">
        <v>43738</v>
      </c>
      <c r="Y2063" t="s">
        <v>140</v>
      </c>
      <c r="Z2063" t="s">
        <v>43</v>
      </c>
      <c r="AA2063" t="s">
        <v>41</v>
      </c>
      <c r="AB2063" t="s">
        <v>132</v>
      </c>
      <c r="AC2063" t="s">
        <v>132</v>
      </c>
      <c r="AF2063" t="s">
        <v>136</v>
      </c>
      <c r="AG2063" s="1">
        <v>43839</v>
      </c>
      <c r="AH2063" t="s">
        <v>125</v>
      </c>
      <c r="AI2063" t="s">
        <v>92</v>
      </c>
      <c r="AJ2063">
        <v>1278023</v>
      </c>
      <c r="AK2063">
        <v>12365300</v>
      </c>
      <c r="AL2063">
        <v>12900</v>
      </c>
    </row>
    <row r="2064" spans="1:38" x14ac:dyDescent="0.25">
      <c r="A2064" t="s">
        <v>522</v>
      </c>
      <c r="B2064" t="s">
        <v>533</v>
      </c>
      <c r="C2064" t="s">
        <v>71</v>
      </c>
      <c r="D2064" s="1">
        <v>43101</v>
      </c>
      <c r="E2064" s="1">
        <v>43465</v>
      </c>
      <c r="F2064" t="s">
        <v>41</v>
      </c>
      <c r="G2064">
        <v>3</v>
      </c>
      <c r="H2064" t="s">
        <v>125</v>
      </c>
      <c r="I2064" t="s">
        <v>43</v>
      </c>
      <c r="J2064" t="s">
        <v>126</v>
      </c>
      <c r="K2064" t="s">
        <v>44</v>
      </c>
      <c r="L2064">
        <v>36612.18</v>
      </c>
      <c r="M2064" s="1">
        <v>43101</v>
      </c>
      <c r="N2064" t="s">
        <v>45</v>
      </c>
      <c r="O2064" t="s">
        <v>46</v>
      </c>
      <c r="P2064" t="s">
        <v>47</v>
      </c>
      <c r="Q2064" s="1">
        <v>43852</v>
      </c>
      <c r="R2064" t="s">
        <v>48</v>
      </c>
      <c r="S2064" t="s">
        <v>138</v>
      </c>
      <c r="T2064" t="s">
        <v>139</v>
      </c>
      <c r="U2064" t="s">
        <v>125</v>
      </c>
      <c r="V2064">
        <v>0</v>
      </c>
      <c r="W2064">
        <v>10000</v>
      </c>
      <c r="X2064" s="1">
        <v>43738</v>
      </c>
      <c r="Y2064" t="s">
        <v>140</v>
      </c>
      <c r="Z2064" t="s">
        <v>43</v>
      </c>
      <c r="AA2064" t="s">
        <v>41</v>
      </c>
      <c r="AB2064" t="s">
        <v>132</v>
      </c>
      <c r="AC2064" t="s">
        <v>132</v>
      </c>
      <c r="AF2064" t="s">
        <v>137</v>
      </c>
      <c r="AG2064" s="1">
        <v>43840</v>
      </c>
      <c r="AH2064" t="s">
        <v>125</v>
      </c>
      <c r="AI2064" t="s">
        <v>92</v>
      </c>
      <c r="AJ2064">
        <v>1278023</v>
      </c>
      <c r="AK2064">
        <v>12365300</v>
      </c>
      <c r="AL2064">
        <v>12900</v>
      </c>
    </row>
    <row r="2065" spans="1:38" x14ac:dyDescent="0.25">
      <c r="A2065" t="s">
        <v>522</v>
      </c>
      <c r="B2065" t="s">
        <v>534</v>
      </c>
      <c r="C2065" t="s">
        <v>71</v>
      </c>
      <c r="D2065" s="1">
        <v>43101</v>
      </c>
      <c r="E2065" s="1">
        <v>43465</v>
      </c>
      <c r="F2065" t="s">
        <v>77</v>
      </c>
      <c r="G2065">
        <v>3</v>
      </c>
      <c r="H2065" t="s">
        <v>125</v>
      </c>
      <c r="I2065" t="s">
        <v>43</v>
      </c>
      <c r="J2065" t="s">
        <v>126</v>
      </c>
      <c r="K2065" t="s">
        <v>44</v>
      </c>
      <c r="L2065">
        <v>28735.65</v>
      </c>
      <c r="M2065" s="1">
        <v>43101</v>
      </c>
      <c r="N2065" t="s">
        <v>45</v>
      </c>
      <c r="O2065" t="s">
        <v>46</v>
      </c>
      <c r="P2065" t="s">
        <v>47</v>
      </c>
      <c r="Q2065" s="1">
        <v>43852</v>
      </c>
      <c r="R2065" t="s">
        <v>48</v>
      </c>
    </row>
    <row r="2066" spans="1:38" x14ac:dyDescent="0.25">
      <c r="A2066" t="s">
        <v>522</v>
      </c>
      <c r="B2066" t="s">
        <v>535</v>
      </c>
      <c r="C2066" t="s">
        <v>40</v>
      </c>
      <c r="D2066" s="1">
        <v>43466</v>
      </c>
      <c r="E2066" s="1">
        <v>43830</v>
      </c>
      <c r="F2066" t="s">
        <v>41</v>
      </c>
      <c r="G2066">
        <v>3</v>
      </c>
      <c r="H2066" t="s">
        <v>125</v>
      </c>
      <c r="I2066" t="s">
        <v>43</v>
      </c>
      <c r="J2066" t="s">
        <v>126</v>
      </c>
      <c r="K2066" t="s">
        <v>44</v>
      </c>
      <c r="L2066">
        <v>53277.919999999998</v>
      </c>
      <c r="M2066" s="1">
        <v>43466</v>
      </c>
      <c r="N2066" t="s">
        <v>45</v>
      </c>
      <c r="O2066" t="s">
        <v>44</v>
      </c>
      <c r="P2066" t="s">
        <v>47</v>
      </c>
      <c r="Q2066" s="1">
        <v>43852</v>
      </c>
      <c r="R2066" t="s">
        <v>48</v>
      </c>
      <c r="S2066" t="s">
        <v>41</v>
      </c>
      <c r="T2066" t="s">
        <v>130</v>
      </c>
      <c r="U2066" t="s">
        <v>125</v>
      </c>
      <c r="V2066">
        <v>0</v>
      </c>
      <c r="W2066">
        <v>100000</v>
      </c>
      <c r="X2066" s="1">
        <v>43769</v>
      </c>
      <c r="Y2066" t="s">
        <v>131</v>
      </c>
      <c r="Z2066" t="s">
        <v>43</v>
      </c>
      <c r="AA2066" t="s">
        <v>41</v>
      </c>
      <c r="AB2066" t="s">
        <v>132</v>
      </c>
      <c r="AC2066" t="s">
        <v>133</v>
      </c>
      <c r="AF2066" t="s">
        <v>134</v>
      </c>
      <c r="AG2066" s="1">
        <v>43843</v>
      </c>
      <c r="AH2066" t="s">
        <v>125</v>
      </c>
      <c r="AI2066" t="s">
        <v>92</v>
      </c>
      <c r="AJ2066">
        <v>1278023</v>
      </c>
      <c r="AK2066">
        <v>12365300</v>
      </c>
      <c r="AL2066">
        <v>12900</v>
      </c>
    </row>
    <row r="2067" spans="1:38" x14ac:dyDescent="0.25">
      <c r="A2067" t="s">
        <v>522</v>
      </c>
      <c r="B2067" t="s">
        <v>535</v>
      </c>
      <c r="C2067" t="s">
        <v>40</v>
      </c>
      <c r="D2067" s="1">
        <v>43466</v>
      </c>
      <c r="E2067" s="1">
        <v>43830</v>
      </c>
      <c r="F2067" t="s">
        <v>41</v>
      </c>
      <c r="G2067">
        <v>3</v>
      </c>
      <c r="H2067" t="s">
        <v>125</v>
      </c>
      <c r="I2067" t="s">
        <v>43</v>
      </c>
      <c r="J2067" t="s">
        <v>126</v>
      </c>
      <c r="K2067" t="s">
        <v>44</v>
      </c>
      <c r="L2067">
        <v>53277.919999999998</v>
      </c>
      <c r="M2067" s="1">
        <v>43466</v>
      </c>
      <c r="N2067" t="s">
        <v>45</v>
      </c>
      <c r="O2067" t="s">
        <v>44</v>
      </c>
      <c r="P2067" t="s">
        <v>47</v>
      </c>
      <c r="Q2067" s="1">
        <v>43852</v>
      </c>
      <c r="R2067" t="s">
        <v>48</v>
      </c>
      <c r="S2067" t="s">
        <v>41</v>
      </c>
      <c r="T2067" t="s">
        <v>130</v>
      </c>
      <c r="U2067" t="s">
        <v>125</v>
      </c>
      <c r="V2067">
        <v>0</v>
      </c>
      <c r="W2067">
        <v>100000</v>
      </c>
      <c r="X2067" s="1">
        <v>43769</v>
      </c>
      <c r="Y2067" t="s">
        <v>131</v>
      </c>
      <c r="Z2067" t="s">
        <v>43</v>
      </c>
      <c r="AA2067" t="s">
        <v>41</v>
      </c>
      <c r="AB2067" t="s">
        <v>132</v>
      </c>
      <c r="AC2067" t="s">
        <v>133</v>
      </c>
      <c r="AF2067" t="s">
        <v>135</v>
      </c>
      <c r="AG2067" s="1">
        <v>43843</v>
      </c>
      <c r="AH2067" t="s">
        <v>125</v>
      </c>
      <c r="AI2067" t="s">
        <v>92</v>
      </c>
      <c r="AJ2067">
        <v>1278023</v>
      </c>
      <c r="AK2067">
        <v>12365300</v>
      </c>
      <c r="AL2067">
        <v>12900</v>
      </c>
    </row>
    <row r="2068" spans="1:38" x14ac:dyDescent="0.25">
      <c r="A2068" t="s">
        <v>522</v>
      </c>
      <c r="B2068" t="s">
        <v>535</v>
      </c>
      <c r="C2068" t="s">
        <v>40</v>
      </c>
      <c r="D2068" s="1">
        <v>43466</v>
      </c>
      <c r="E2068" s="1">
        <v>43830</v>
      </c>
      <c r="F2068" t="s">
        <v>41</v>
      </c>
      <c r="G2068">
        <v>3</v>
      </c>
      <c r="H2068" t="s">
        <v>125</v>
      </c>
      <c r="I2068" t="s">
        <v>43</v>
      </c>
      <c r="J2068" t="s">
        <v>126</v>
      </c>
      <c r="K2068" t="s">
        <v>44</v>
      </c>
      <c r="L2068">
        <v>53277.919999999998</v>
      </c>
      <c r="M2068" s="1">
        <v>43466</v>
      </c>
      <c r="N2068" t="s">
        <v>45</v>
      </c>
      <c r="O2068" t="s">
        <v>44</v>
      </c>
      <c r="P2068" t="s">
        <v>47</v>
      </c>
      <c r="Q2068" s="1">
        <v>43852</v>
      </c>
      <c r="R2068" t="s">
        <v>48</v>
      </c>
      <c r="S2068" t="s">
        <v>41</v>
      </c>
      <c r="T2068" t="s">
        <v>130</v>
      </c>
      <c r="U2068" t="s">
        <v>125</v>
      </c>
      <c r="V2068">
        <v>0</v>
      </c>
      <c r="W2068">
        <v>100000</v>
      </c>
      <c r="X2068" s="1">
        <v>43769</v>
      </c>
      <c r="Y2068" t="s">
        <v>131</v>
      </c>
      <c r="Z2068" t="s">
        <v>43</v>
      </c>
      <c r="AA2068" t="s">
        <v>41</v>
      </c>
      <c r="AB2068" t="s">
        <v>132</v>
      </c>
      <c r="AC2068" t="s">
        <v>133</v>
      </c>
      <c r="AF2068" t="s">
        <v>136</v>
      </c>
      <c r="AG2068" s="1">
        <v>43839</v>
      </c>
      <c r="AH2068" t="s">
        <v>125</v>
      </c>
      <c r="AI2068" t="s">
        <v>92</v>
      </c>
      <c r="AJ2068">
        <v>1278023</v>
      </c>
      <c r="AK2068">
        <v>12365300</v>
      </c>
      <c r="AL2068">
        <v>12900</v>
      </c>
    </row>
    <row r="2069" spans="1:38" x14ac:dyDescent="0.25">
      <c r="A2069" t="s">
        <v>522</v>
      </c>
      <c r="B2069" t="s">
        <v>535</v>
      </c>
      <c r="C2069" t="s">
        <v>40</v>
      </c>
      <c r="D2069" s="1">
        <v>43466</v>
      </c>
      <c r="E2069" s="1">
        <v>43830</v>
      </c>
      <c r="F2069" t="s">
        <v>41</v>
      </c>
      <c r="G2069">
        <v>3</v>
      </c>
      <c r="H2069" t="s">
        <v>125</v>
      </c>
      <c r="I2069" t="s">
        <v>43</v>
      </c>
      <c r="J2069" t="s">
        <v>126</v>
      </c>
      <c r="K2069" t="s">
        <v>44</v>
      </c>
      <c r="L2069">
        <v>53277.919999999998</v>
      </c>
      <c r="M2069" s="1">
        <v>43466</v>
      </c>
      <c r="N2069" t="s">
        <v>45</v>
      </c>
      <c r="O2069" t="s">
        <v>44</v>
      </c>
      <c r="P2069" t="s">
        <v>47</v>
      </c>
      <c r="Q2069" s="1">
        <v>43852</v>
      </c>
      <c r="R2069" t="s">
        <v>48</v>
      </c>
      <c r="S2069" t="s">
        <v>41</v>
      </c>
      <c r="T2069" t="s">
        <v>130</v>
      </c>
      <c r="U2069" t="s">
        <v>125</v>
      </c>
      <c r="V2069">
        <v>0</v>
      </c>
      <c r="W2069">
        <v>100000</v>
      </c>
      <c r="X2069" s="1">
        <v>43769</v>
      </c>
      <c r="Y2069" t="s">
        <v>131</v>
      </c>
      <c r="Z2069" t="s">
        <v>43</v>
      </c>
      <c r="AA2069" t="s">
        <v>41</v>
      </c>
      <c r="AB2069" t="s">
        <v>132</v>
      </c>
      <c r="AC2069" t="s">
        <v>133</v>
      </c>
      <c r="AF2069" t="s">
        <v>137</v>
      </c>
      <c r="AG2069" s="1">
        <v>43840</v>
      </c>
      <c r="AH2069" t="s">
        <v>125</v>
      </c>
      <c r="AI2069" t="s">
        <v>92</v>
      </c>
      <c r="AJ2069">
        <v>1278023</v>
      </c>
      <c r="AK2069">
        <v>12365300</v>
      </c>
      <c r="AL2069">
        <v>12900</v>
      </c>
    </row>
    <row r="2070" spans="1:38" x14ac:dyDescent="0.25">
      <c r="A2070" t="s">
        <v>522</v>
      </c>
      <c r="B2070" t="s">
        <v>535</v>
      </c>
      <c r="C2070" t="s">
        <v>40</v>
      </c>
      <c r="D2070" s="1">
        <v>43466</v>
      </c>
      <c r="E2070" s="1">
        <v>43830</v>
      </c>
      <c r="F2070" t="s">
        <v>41</v>
      </c>
      <c r="G2070">
        <v>3</v>
      </c>
      <c r="H2070" t="s">
        <v>125</v>
      </c>
      <c r="I2070" t="s">
        <v>43</v>
      </c>
      <c r="J2070" t="s">
        <v>126</v>
      </c>
      <c r="K2070" t="s">
        <v>44</v>
      </c>
      <c r="L2070">
        <v>53277.919999999998</v>
      </c>
      <c r="M2070" s="1">
        <v>43466</v>
      </c>
      <c r="N2070" t="s">
        <v>45</v>
      </c>
      <c r="O2070" t="s">
        <v>44</v>
      </c>
      <c r="P2070" t="s">
        <v>47</v>
      </c>
      <c r="Q2070" s="1">
        <v>43852</v>
      </c>
      <c r="R2070" t="s">
        <v>48</v>
      </c>
      <c r="S2070" t="s">
        <v>138</v>
      </c>
      <c r="T2070" t="s">
        <v>139</v>
      </c>
      <c r="U2070" t="s">
        <v>125</v>
      </c>
      <c r="V2070">
        <v>0</v>
      </c>
      <c r="W2070">
        <v>10000</v>
      </c>
      <c r="X2070" s="1">
        <v>43738</v>
      </c>
      <c r="Y2070" t="s">
        <v>140</v>
      </c>
      <c r="Z2070" t="s">
        <v>43</v>
      </c>
      <c r="AA2070" t="s">
        <v>41</v>
      </c>
      <c r="AB2070" t="s">
        <v>132</v>
      </c>
      <c r="AC2070" t="s">
        <v>132</v>
      </c>
      <c r="AF2070" t="s">
        <v>134</v>
      </c>
      <c r="AG2070" s="1">
        <v>43843</v>
      </c>
      <c r="AH2070" t="s">
        <v>125</v>
      </c>
      <c r="AI2070" t="s">
        <v>92</v>
      </c>
      <c r="AJ2070">
        <v>1278023</v>
      </c>
      <c r="AK2070">
        <v>12365300</v>
      </c>
      <c r="AL2070">
        <v>12900</v>
      </c>
    </row>
    <row r="2071" spans="1:38" x14ac:dyDescent="0.25">
      <c r="A2071" t="s">
        <v>522</v>
      </c>
      <c r="B2071" t="s">
        <v>535</v>
      </c>
      <c r="C2071" t="s">
        <v>40</v>
      </c>
      <c r="D2071" s="1">
        <v>43466</v>
      </c>
      <c r="E2071" s="1">
        <v>43830</v>
      </c>
      <c r="F2071" t="s">
        <v>41</v>
      </c>
      <c r="G2071">
        <v>3</v>
      </c>
      <c r="H2071" t="s">
        <v>125</v>
      </c>
      <c r="I2071" t="s">
        <v>43</v>
      </c>
      <c r="J2071" t="s">
        <v>126</v>
      </c>
      <c r="K2071" t="s">
        <v>44</v>
      </c>
      <c r="L2071">
        <v>53277.919999999998</v>
      </c>
      <c r="M2071" s="1">
        <v>43466</v>
      </c>
      <c r="N2071" t="s">
        <v>45</v>
      </c>
      <c r="O2071" t="s">
        <v>44</v>
      </c>
      <c r="P2071" t="s">
        <v>47</v>
      </c>
      <c r="Q2071" s="1">
        <v>43852</v>
      </c>
      <c r="R2071" t="s">
        <v>48</v>
      </c>
      <c r="S2071" t="s">
        <v>138</v>
      </c>
      <c r="T2071" t="s">
        <v>139</v>
      </c>
      <c r="U2071" t="s">
        <v>125</v>
      </c>
      <c r="V2071">
        <v>0</v>
      </c>
      <c r="W2071">
        <v>10000</v>
      </c>
      <c r="X2071" s="1">
        <v>43738</v>
      </c>
      <c r="Y2071" t="s">
        <v>140</v>
      </c>
      <c r="Z2071" t="s">
        <v>43</v>
      </c>
      <c r="AA2071" t="s">
        <v>41</v>
      </c>
      <c r="AB2071" t="s">
        <v>132</v>
      </c>
      <c r="AC2071" t="s">
        <v>132</v>
      </c>
      <c r="AF2071" t="s">
        <v>135</v>
      </c>
      <c r="AG2071" s="1">
        <v>43843</v>
      </c>
      <c r="AH2071" t="s">
        <v>125</v>
      </c>
      <c r="AI2071" t="s">
        <v>92</v>
      </c>
      <c r="AJ2071">
        <v>1278023</v>
      </c>
      <c r="AK2071">
        <v>12365300</v>
      </c>
      <c r="AL2071">
        <v>12900</v>
      </c>
    </row>
    <row r="2072" spans="1:38" x14ac:dyDescent="0.25">
      <c r="A2072" t="s">
        <v>522</v>
      </c>
      <c r="B2072" t="s">
        <v>535</v>
      </c>
      <c r="C2072" t="s">
        <v>40</v>
      </c>
      <c r="D2072" s="1">
        <v>43466</v>
      </c>
      <c r="E2072" s="1">
        <v>43830</v>
      </c>
      <c r="F2072" t="s">
        <v>41</v>
      </c>
      <c r="G2072">
        <v>3</v>
      </c>
      <c r="H2072" t="s">
        <v>125</v>
      </c>
      <c r="I2072" t="s">
        <v>43</v>
      </c>
      <c r="J2072" t="s">
        <v>126</v>
      </c>
      <c r="K2072" t="s">
        <v>44</v>
      </c>
      <c r="L2072">
        <v>53277.919999999998</v>
      </c>
      <c r="M2072" s="1">
        <v>43466</v>
      </c>
      <c r="N2072" t="s">
        <v>45</v>
      </c>
      <c r="O2072" t="s">
        <v>44</v>
      </c>
      <c r="P2072" t="s">
        <v>47</v>
      </c>
      <c r="Q2072" s="1">
        <v>43852</v>
      </c>
      <c r="R2072" t="s">
        <v>48</v>
      </c>
      <c r="S2072" t="s">
        <v>138</v>
      </c>
      <c r="T2072" t="s">
        <v>139</v>
      </c>
      <c r="U2072" t="s">
        <v>125</v>
      </c>
      <c r="V2072">
        <v>0</v>
      </c>
      <c r="W2072">
        <v>10000</v>
      </c>
      <c r="X2072" s="1">
        <v>43738</v>
      </c>
      <c r="Y2072" t="s">
        <v>140</v>
      </c>
      <c r="Z2072" t="s">
        <v>43</v>
      </c>
      <c r="AA2072" t="s">
        <v>41</v>
      </c>
      <c r="AB2072" t="s">
        <v>132</v>
      </c>
      <c r="AC2072" t="s">
        <v>132</v>
      </c>
      <c r="AF2072" t="s">
        <v>136</v>
      </c>
      <c r="AG2072" s="1">
        <v>43839</v>
      </c>
      <c r="AH2072" t="s">
        <v>125</v>
      </c>
      <c r="AI2072" t="s">
        <v>92</v>
      </c>
      <c r="AJ2072">
        <v>1278023</v>
      </c>
      <c r="AK2072">
        <v>12365300</v>
      </c>
      <c r="AL2072">
        <v>12900</v>
      </c>
    </row>
    <row r="2073" spans="1:38" x14ac:dyDescent="0.25">
      <c r="A2073" t="s">
        <v>522</v>
      </c>
      <c r="B2073" t="s">
        <v>535</v>
      </c>
      <c r="C2073" t="s">
        <v>40</v>
      </c>
      <c r="D2073" s="1">
        <v>43466</v>
      </c>
      <c r="E2073" s="1">
        <v>43830</v>
      </c>
      <c r="F2073" t="s">
        <v>41</v>
      </c>
      <c r="G2073">
        <v>3</v>
      </c>
      <c r="H2073" t="s">
        <v>125</v>
      </c>
      <c r="I2073" t="s">
        <v>43</v>
      </c>
      <c r="J2073" t="s">
        <v>126</v>
      </c>
      <c r="K2073" t="s">
        <v>44</v>
      </c>
      <c r="L2073">
        <v>53277.919999999998</v>
      </c>
      <c r="M2073" s="1">
        <v>43466</v>
      </c>
      <c r="N2073" t="s">
        <v>45</v>
      </c>
      <c r="O2073" t="s">
        <v>44</v>
      </c>
      <c r="P2073" t="s">
        <v>47</v>
      </c>
      <c r="Q2073" s="1">
        <v>43852</v>
      </c>
      <c r="R2073" t="s">
        <v>48</v>
      </c>
      <c r="S2073" t="s">
        <v>138</v>
      </c>
      <c r="T2073" t="s">
        <v>139</v>
      </c>
      <c r="U2073" t="s">
        <v>125</v>
      </c>
      <c r="V2073">
        <v>0</v>
      </c>
      <c r="W2073">
        <v>10000</v>
      </c>
      <c r="X2073" s="1">
        <v>43738</v>
      </c>
      <c r="Y2073" t="s">
        <v>140</v>
      </c>
      <c r="Z2073" t="s">
        <v>43</v>
      </c>
      <c r="AA2073" t="s">
        <v>41</v>
      </c>
      <c r="AB2073" t="s">
        <v>132</v>
      </c>
      <c r="AC2073" t="s">
        <v>132</v>
      </c>
      <c r="AF2073" t="s">
        <v>137</v>
      </c>
      <c r="AG2073" s="1">
        <v>43840</v>
      </c>
      <c r="AH2073" t="s">
        <v>125</v>
      </c>
      <c r="AI2073" t="s">
        <v>92</v>
      </c>
      <c r="AJ2073">
        <v>1278023</v>
      </c>
      <c r="AK2073">
        <v>12365300</v>
      </c>
      <c r="AL2073">
        <v>12900</v>
      </c>
    </row>
    <row r="2074" spans="1:38" x14ac:dyDescent="0.25">
      <c r="A2074" t="s">
        <v>522</v>
      </c>
      <c r="B2074" t="s">
        <v>536</v>
      </c>
      <c r="C2074" t="s">
        <v>40</v>
      </c>
      <c r="D2074" s="1">
        <v>43466</v>
      </c>
      <c r="E2074" s="1">
        <v>43830</v>
      </c>
      <c r="F2074" t="s">
        <v>77</v>
      </c>
      <c r="G2074">
        <v>3</v>
      </c>
      <c r="H2074" t="s">
        <v>125</v>
      </c>
      <c r="I2074" t="s">
        <v>43</v>
      </c>
      <c r="J2074" t="s">
        <v>126</v>
      </c>
      <c r="K2074" t="s">
        <v>44</v>
      </c>
      <c r="L2074">
        <v>30048.080000000002</v>
      </c>
      <c r="M2074" s="1">
        <v>43466</v>
      </c>
      <c r="N2074" t="s">
        <v>45</v>
      </c>
      <c r="O2074" t="s">
        <v>44</v>
      </c>
      <c r="P2074" t="s">
        <v>47</v>
      </c>
      <c r="Q2074" s="1">
        <v>43852</v>
      </c>
      <c r="R2074" t="s">
        <v>48</v>
      </c>
    </row>
    <row r="2075" spans="1:38" x14ac:dyDescent="0.25">
      <c r="A2075" t="s">
        <v>522</v>
      </c>
      <c r="B2075" t="s">
        <v>537</v>
      </c>
      <c r="C2075" t="s">
        <v>40</v>
      </c>
      <c r="D2075" s="1">
        <v>43486</v>
      </c>
      <c r="E2075" s="1">
        <v>43850</v>
      </c>
      <c r="F2075" t="s">
        <v>84</v>
      </c>
      <c r="G2075">
        <v>3</v>
      </c>
      <c r="H2075" t="s">
        <v>125</v>
      </c>
      <c r="I2075" t="s">
        <v>43</v>
      </c>
      <c r="J2075" t="s">
        <v>126</v>
      </c>
      <c r="K2075" t="s">
        <v>127</v>
      </c>
      <c r="L2075">
        <v>15084.15</v>
      </c>
      <c r="M2075" s="1">
        <v>43486</v>
      </c>
      <c r="N2075" t="s">
        <v>45</v>
      </c>
      <c r="O2075" t="s">
        <v>46</v>
      </c>
      <c r="P2075" t="s">
        <v>47</v>
      </c>
      <c r="Q2075" s="1">
        <v>43852</v>
      </c>
      <c r="R2075" t="s">
        <v>48</v>
      </c>
      <c r="S2075" t="s">
        <v>286</v>
      </c>
      <c r="T2075" t="s">
        <v>287</v>
      </c>
      <c r="U2075" t="s">
        <v>125</v>
      </c>
      <c r="V2075">
        <v>8000000</v>
      </c>
      <c r="W2075">
        <v>400000</v>
      </c>
      <c r="X2075" s="1">
        <v>43782</v>
      </c>
      <c r="Y2075" t="s">
        <v>51</v>
      </c>
      <c r="Z2075" t="s">
        <v>43</v>
      </c>
      <c r="AA2075" t="s">
        <v>86</v>
      </c>
      <c r="AB2075" t="s">
        <v>89</v>
      </c>
      <c r="AC2075" t="s">
        <v>90</v>
      </c>
      <c r="AF2075" t="s">
        <v>134</v>
      </c>
      <c r="AG2075" s="1">
        <v>43843</v>
      </c>
      <c r="AH2075" t="s">
        <v>125</v>
      </c>
      <c r="AI2075" t="s">
        <v>92</v>
      </c>
      <c r="AJ2075">
        <v>1278023</v>
      </c>
      <c r="AK2075">
        <v>12365300</v>
      </c>
      <c r="AL2075">
        <v>12900</v>
      </c>
    </row>
    <row r="2076" spans="1:38" x14ac:dyDescent="0.25">
      <c r="A2076" t="s">
        <v>522</v>
      </c>
      <c r="B2076" t="s">
        <v>537</v>
      </c>
      <c r="C2076" t="s">
        <v>40</v>
      </c>
      <c r="D2076" s="1">
        <v>43486</v>
      </c>
      <c r="E2076" s="1">
        <v>43850</v>
      </c>
      <c r="F2076" t="s">
        <v>84</v>
      </c>
      <c r="G2076">
        <v>3</v>
      </c>
      <c r="H2076" t="s">
        <v>125</v>
      </c>
      <c r="I2076" t="s">
        <v>43</v>
      </c>
      <c r="J2076" t="s">
        <v>126</v>
      </c>
      <c r="K2076" t="s">
        <v>127</v>
      </c>
      <c r="L2076">
        <v>15084.15</v>
      </c>
      <c r="M2076" s="1">
        <v>43486</v>
      </c>
      <c r="N2076" t="s">
        <v>45</v>
      </c>
      <c r="O2076" t="s">
        <v>46</v>
      </c>
      <c r="P2076" t="s">
        <v>47</v>
      </c>
      <c r="Q2076" s="1">
        <v>43852</v>
      </c>
      <c r="R2076" t="s">
        <v>48</v>
      </c>
      <c r="S2076" t="s">
        <v>286</v>
      </c>
      <c r="T2076" t="s">
        <v>287</v>
      </c>
      <c r="U2076" t="s">
        <v>125</v>
      </c>
      <c r="V2076">
        <v>8000000</v>
      </c>
      <c r="W2076">
        <v>400000</v>
      </c>
      <c r="X2076" s="1">
        <v>43782</v>
      </c>
      <c r="Y2076" t="s">
        <v>51</v>
      </c>
      <c r="Z2076" t="s">
        <v>43</v>
      </c>
      <c r="AA2076" t="s">
        <v>86</v>
      </c>
      <c r="AB2076" t="s">
        <v>89</v>
      </c>
      <c r="AC2076" t="s">
        <v>90</v>
      </c>
      <c r="AF2076" t="s">
        <v>135</v>
      </c>
      <c r="AG2076" s="1">
        <v>43843</v>
      </c>
      <c r="AH2076" t="s">
        <v>125</v>
      </c>
      <c r="AI2076" t="s">
        <v>92</v>
      </c>
      <c r="AJ2076">
        <v>1278023</v>
      </c>
      <c r="AK2076">
        <v>12365300</v>
      </c>
      <c r="AL2076">
        <v>12900</v>
      </c>
    </row>
    <row r="2077" spans="1:38" x14ac:dyDescent="0.25">
      <c r="A2077" t="s">
        <v>522</v>
      </c>
      <c r="B2077" t="s">
        <v>537</v>
      </c>
      <c r="C2077" t="s">
        <v>40</v>
      </c>
      <c r="D2077" s="1">
        <v>43486</v>
      </c>
      <c r="E2077" s="1">
        <v>43850</v>
      </c>
      <c r="F2077" t="s">
        <v>84</v>
      </c>
      <c r="G2077">
        <v>3</v>
      </c>
      <c r="H2077" t="s">
        <v>125</v>
      </c>
      <c r="I2077" t="s">
        <v>43</v>
      </c>
      <c r="J2077" t="s">
        <v>126</v>
      </c>
      <c r="K2077" t="s">
        <v>127</v>
      </c>
      <c r="L2077">
        <v>15084.15</v>
      </c>
      <c r="M2077" s="1">
        <v>43486</v>
      </c>
      <c r="N2077" t="s">
        <v>45</v>
      </c>
      <c r="O2077" t="s">
        <v>46</v>
      </c>
      <c r="P2077" t="s">
        <v>47</v>
      </c>
      <c r="Q2077" s="1">
        <v>43852</v>
      </c>
      <c r="R2077" t="s">
        <v>48</v>
      </c>
      <c r="S2077" t="s">
        <v>286</v>
      </c>
      <c r="T2077" t="s">
        <v>287</v>
      </c>
      <c r="U2077" t="s">
        <v>125</v>
      </c>
      <c r="V2077">
        <v>8000000</v>
      </c>
      <c r="W2077">
        <v>400000</v>
      </c>
      <c r="X2077" s="1">
        <v>43782</v>
      </c>
      <c r="Y2077" t="s">
        <v>51</v>
      </c>
      <c r="Z2077" t="s">
        <v>43</v>
      </c>
      <c r="AA2077" t="s">
        <v>86</v>
      </c>
      <c r="AB2077" t="s">
        <v>89</v>
      </c>
      <c r="AC2077" t="s">
        <v>90</v>
      </c>
      <c r="AF2077" t="s">
        <v>136</v>
      </c>
      <c r="AG2077" s="1">
        <v>43839</v>
      </c>
      <c r="AH2077" t="s">
        <v>125</v>
      </c>
      <c r="AI2077" t="s">
        <v>92</v>
      </c>
      <c r="AJ2077">
        <v>1278023</v>
      </c>
      <c r="AK2077">
        <v>12365300</v>
      </c>
      <c r="AL2077">
        <v>12900</v>
      </c>
    </row>
    <row r="2078" spans="1:38" x14ac:dyDescent="0.25">
      <c r="A2078" t="s">
        <v>522</v>
      </c>
      <c r="B2078" t="s">
        <v>537</v>
      </c>
      <c r="C2078" t="s">
        <v>40</v>
      </c>
      <c r="D2078" s="1">
        <v>43486</v>
      </c>
      <c r="E2078" s="1">
        <v>43850</v>
      </c>
      <c r="F2078" t="s">
        <v>84</v>
      </c>
      <c r="G2078">
        <v>3</v>
      </c>
      <c r="H2078" t="s">
        <v>125</v>
      </c>
      <c r="I2078" t="s">
        <v>43</v>
      </c>
      <c r="J2078" t="s">
        <v>126</v>
      </c>
      <c r="K2078" t="s">
        <v>127</v>
      </c>
      <c r="L2078">
        <v>15084.15</v>
      </c>
      <c r="M2078" s="1">
        <v>43486</v>
      </c>
      <c r="N2078" t="s">
        <v>45</v>
      </c>
      <c r="O2078" t="s">
        <v>46</v>
      </c>
      <c r="P2078" t="s">
        <v>47</v>
      </c>
      <c r="Q2078" s="1">
        <v>43852</v>
      </c>
      <c r="R2078" t="s">
        <v>48</v>
      </c>
      <c r="S2078" t="s">
        <v>286</v>
      </c>
      <c r="T2078" t="s">
        <v>287</v>
      </c>
      <c r="U2078" t="s">
        <v>125</v>
      </c>
      <c r="V2078">
        <v>8000000</v>
      </c>
      <c r="W2078">
        <v>400000</v>
      </c>
      <c r="X2078" s="1">
        <v>43782</v>
      </c>
      <c r="Y2078" t="s">
        <v>51</v>
      </c>
      <c r="Z2078" t="s">
        <v>43</v>
      </c>
      <c r="AA2078" t="s">
        <v>86</v>
      </c>
      <c r="AB2078" t="s">
        <v>89</v>
      </c>
      <c r="AC2078" t="s">
        <v>90</v>
      </c>
      <c r="AF2078" t="s">
        <v>137</v>
      </c>
      <c r="AG2078" s="1">
        <v>43840</v>
      </c>
      <c r="AH2078" t="s">
        <v>125</v>
      </c>
      <c r="AI2078" t="s">
        <v>92</v>
      </c>
      <c r="AJ2078">
        <v>1278023</v>
      </c>
      <c r="AK2078">
        <v>12365300</v>
      </c>
      <c r="AL2078">
        <v>12900</v>
      </c>
    </row>
    <row r="2079" spans="1:38" x14ac:dyDescent="0.25">
      <c r="A2079" t="s">
        <v>522</v>
      </c>
      <c r="B2079" t="s">
        <v>537</v>
      </c>
      <c r="C2079" t="s">
        <v>40</v>
      </c>
      <c r="D2079" s="1">
        <v>43486</v>
      </c>
      <c r="E2079" s="1">
        <v>43850</v>
      </c>
      <c r="F2079" t="s">
        <v>84</v>
      </c>
      <c r="G2079">
        <v>3</v>
      </c>
      <c r="H2079" t="s">
        <v>125</v>
      </c>
      <c r="I2079" t="s">
        <v>43</v>
      </c>
      <c r="J2079" t="s">
        <v>126</v>
      </c>
      <c r="K2079" t="s">
        <v>127</v>
      </c>
      <c r="L2079">
        <v>15084.15</v>
      </c>
      <c r="M2079" s="1">
        <v>43486</v>
      </c>
      <c r="N2079" t="s">
        <v>45</v>
      </c>
      <c r="O2079" t="s">
        <v>46</v>
      </c>
      <c r="P2079" t="s">
        <v>47</v>
      </c>
      <c r="Q2079" s="1">
        <v>43852</v>
      </c>
      <c r="R2079" t="s">
        <v>48</v>
      </c>
      <c r="S2079" t="s">
        <v>288</v>
      </c>
      <c r="T2079" t="s">
        <v>289</v>
      </c>
      <c r="U2079" t="s">
        <v>125</v>
      </c>
      <c r="V2079">
        <v>2500000</v>
      </c>
      <c r="W2079">
        <v>125000</v>
      </c>
      <c r="X2079" s="1">
        <v>43800</v>
      </c>
      <c r="Y2079" t="s">
        <v>51</v>
      </c>
      <c r="Z2079" t="s">
        <v>43</v>
      </c>
      <c r="AA2079" t="s">
        <v>86</v>
      </c>
      <c r="AB2079" t="s">
        <v>89</v>
      </c>
      <c r="AC2079" t="s">
        <v>90</v>
      </c>
      <c r="AF2079" t="s">
        <v>134</v>
      </c>
      <c r="AG2079" s="1">
        <v>43843</v>
      </c>
      <c r="AH2079" t="s">
        <v>125</v>
      </c>
      <c r="AI2079" t="s">
        <v>92</v>
      </c>
      <c r="AJ2079">
        <v>1278023</v>
      </c>
      <c r="AK2079">
        <v>12365300</v>
      </c>
      <c r="AL2079">
        <v>12900</v>
      </c>
    </row>
    <row r="2080" spans="1:38" x14ac:dyDescent="0.25">
      <c r="A2080" t="s">
        <v>522</v>
      </c>
      <c r="B2080" t="s">
        <v>537</v>
      </c>
      <c r="C2080" t="s">
        <v>40</v>
      </c>
      <c r="D2080" s="1">
        <v>43486</v>
      </c>
      <c r="E2080" s="1">
        <v>43850</v>
      </c>
      <c r="F2080" t="s">
        <v>84</v>
      </c>
      <c r="G2080">
        <v>3</v>
      </c>
      <c r="H2080" t="s">
        <v>125</v>
      </c>
      <c r="I2080" t="s">
        <v>43</v>
      </c>
      <c r="J2080" t="s">
        <v>126</v>
      </c>
      <c r="K2080" t="s">
        <v>127</v>
      </c>
      <c r="L2080">
        <v>15084.15</v>
      </c>
      <c r="M2080" s="1">
        <v>43486</v>
      </c>
      <c r="N2080" t="s">
        <v>45</v>
      </c>
      <c r="O2080" t="s">
        <v>46</v>
      </c>
      <c r="P2080" t="s">
        <v>47</v>
      </c>
      <c r="Q2080" s="1">
        <v>43852</v>
      </c>
      <c r="R2080" t="s">
        <v>48</v>
      </c>
      <c r="S2080" t="s">
        <v>288</v>
      </c>
      <c r="T2080" t="s">
        <v>289</v>
      </c>
      <c r="U2080" t="s">
        <v>125</v>
      </c>
      <c r="V2080">
        <v>2500000</v>
      </c>
      <c r="W2080">
        <v>125000</v>
      </c>
      <c r="X2080" s="1">
        <v>43800</v>
      </c>
      <c r="Y2080" t="s">
        <v>51</v>
      </c>
      <c r="Z2080" t="s">
        <v>43</v>
      </c>
      <c r="AA2080" t="s">
        <v>86</v>
      </c>
      <c r="AB2080" t="s">
        <v>89</v>
      </c>
      <c r="AC2080" t="s">
        <v>90</v>
      </c>
      <c r="AF2080" t="s">
        <v>135</v>
      </c>
      <c r="AG2080" s="1">
        <v>43843</v>
      </c>
      <c r="AH2080" t="s">
        <v>125</v>
      </c>
      <c r="AI2080" t="s">
        <v>92</v>
      </c>
      <c r="AJ2080">
        <v>1278023</v>
      </c>
      <c r="AK2080">
        <v>12365300</v>
      </c>
      <c r="AL2080">
        <v>12900</v>
      </c>
    </row>
    <row r="2081" spans="1:38" x14ac:dyDescent="0.25">
      <c r="A2081" t="s">
        <v>522</v>
      </c>
      <c r="B2081" t="s">
        <v>537</v>
      </c>
      <c r="C2081" t="s">
        <v>40</v>
      </c>
      <c r="D2081" s="1">
        <v>43486</v>
      </c>
      <c r="E2081" s="1">
        <v>43850</v>
      </c>
      <c r="F2081" t="s">
        <v>84</v>
      </c>
      <c r="G2081">
        <v>3</v>
      </c>
      <c r="H2081" t="s">
        <v>125</v>
      </c>
      <c r="I2081" t="s">
        <v>43</v>
      </c>
      <c r="J2081" t="s">
        <v>126</v>
      </c>
      <c r="K2081" t="s">
        <v>127</v>
      </c>
      <c r="L2081">
        <v>15084.15</v>
      </c>
      <c r="M2081" s="1">
        <v>43486</v>
      </c>
      <c r="N2081" t="s">
        <v>45</v>
      </c>
      <c r="O2081" t="s">
        <v>46</v>
      </c>
      <c r="P2081" t="s">
        <v>47</v>
      </c>
      <c r="Q2081" s="1">
        <v>43852</v>
      </c>
      <c r="R2081" t="s">
        <v>48</v>
      </c>
      <c r="S2081" t="s">
        <v>288</v>
      </c>
      <c r="T2081" t="s">
        <v>289</v>
      </c>
      <c r="U2081" t="s">
        <v>125</v>
      </c>
      <c r="V2081">
        <v>2500000</v>
      </c>
      <c r="W2081">
        <v>125000</v>
      </c>
      <c r="X2081" s="1">
        <v>43800</v>
      </c>
      <c r="Y2081" t="s">
        <v>51</v>
      </c>
      <c r="Z2081" t="s">
        <v>43</v>
      </c>
      <c r="AA2081" t="s">
        <v>86</v>
      </c>
      <c r="AB2081" t="s">
        <v>89</v>
      </c>
      <c r="AC2081" t="s">
        <v>90</v>
      </c>
      <c r="AF2081" t="s">
        <v>136</v>
      </c>
      <c r="AG2081" s="1">
        <v>43839</v>
      </c>
      <c r="AH2081" t="s">
        <v>125</v>
      </c>
      <c r="AI2081" t="s">
        <v>92</v>
      </c>
      <c r="AJ2081">
        <v>1278023</v>
      </c>
      <c r="AK2081">
        <v>12365300</v>
      </c>
      <c r="AL2081">
        <v>12900</v>
      </c>
    </row>
    <row r="2082" spans="1:38" x14ac:dyDescent="0.25">
      <c r="A2082" t="s">
        <v>522</v>
      </c>
      <c r="B2082" t="s">
        <v>537</v>
      </c>
      <c r="C2082" t="s">
        <v>40</v>
      </c>
      <c r="D2082" s="1">
        <v>43486</v>
      </c>
      <c r="E2082" s="1">
        <v>43850</v>
      </c>
      <c r="F2082" t="s">
        <v>84</v>
      </c>
      <c r="G2082">
        <v>3</v>
      </c>
      <c r="H2082" t="s">
        <v>125</v>
      </c>
      <c r="I2082" t="s">
        <v>43</v>
      </c>
      <c r="J2082" t="s">
        <v>126</v>
      </c>
      <c r="K2082" t="s">
        <v>127</v>
      </c>
      <c r="L2082">
        <v>15084.15</v>
      </c>
      <c r="M2082" s="1">
        <v>43486</v>
      </c>
      <c r="N2082" t="s">
        <v>45</v>
      </c>
      <c r="O2082" t="s">
        <v>46</v>
      </c>
      <c r="P2082" t="s">
        <v>47</v>
      </c>
      <c r="Q2082" s="1">
        <v>43852</v>
      </c>
      <c r="R2082" t="s">
        <v>48</v>
      </c>
      <c r="S2082" t="s">
        <v>288</v>
      </c>
      <c r="T2082" t="s">
        <v>289</v>
      </c>
      <c r="U2082" t="s">
        <v>125</v>
      </c>
      <c r="V2082">
        <v>2500000</v>
      </c>
      <c r="W2082">
        <v>125000</v>
      </c>
      <c r="X2082" s="1">
        <v>43800</v>
      </c>
      <c r="Y2082" t="s">
        <v>51</v>
      </c>
      <c r="Z2082" t="s">
        <v>43</v>
      </c>
      <c r="AA2082" t="s">
        <v>86</v>
      </c>
      <c r="AB2082" t="s">
        <v>89</v>
      </c>
      <c r="AC2082" t="s">
        <v>90</v>
      </c>
      <c r="AF2082" t="s">
        <v>137</v>
      </c>
      <c r="AG2082" s="1">
        <v>43840</v>
      </c>
      <c r="AH2082" t="s">
        <v>125</v>
      </c>
      <c r="AI2082" t="s">
        <v>92</v>
      </c>
      <c r="AJ2082">
        <v>1278023</v>
      </c>
      <c r="AK2082">
        <v>12365300</v>
      </c>
      <c r="AL2082">
        <v>12900</v>
      </c>
    </row>
    <row r="2083" spans="1:38" x14ac:dyDescent="0.25">
      <c r="A2083" t="s">
        <v>522</v>
      </c>
      <c r="B2083" t="s">
        <v>537</v>
      </c>
      <c r="C2083" t="s">
        <v>40</v>
      </c>
      <c r="D2083" s="1">
        <v>43486</v>
      </c>
      <c r="E2083" s="1">
        <v>43850</v>
      </c>
      <c r="F2083" t="s">
        <v>84</v>
      </c>
      <c r="G2083">
        <v>3</v>
      </c>
      <c r="H2083" t="s">
        <v>125</v>
      </c>
      <c r="I2083" t="s">
        <v>43</v>
      </c>
      <c r="J2083" t="s">
        <v>126</v>
      </c>
      <c r="K2083" t="s">
        <v>127</v>
      </c>
      <c r="L2083">
        <v>15084.15</v>
      </c>
      <c r="M2083" s="1">
        <v>43486</v>
      </c>
      <c r="N2083" t="s">
        <v>45</v>
      </c>
      <c r="O2083" t="s">
        <v>46</v>
      </c>
      <c r="P2083" t="s">
        <v>47</v>
      </c>
      <c r="Q2083" s="1">
        <v>43852</v>
      </c>
      <c r="R2083" t="s">
        <v>48</v>
      </c>
      <c r="S2083" t="s">
        <v>290</v>
      </c>
      <c r="T2083" t="s">
        <v>291</v>
      </c>
      <c r="U2083" t="s">
        <v>125</v>
      </c>
      <c r="V2083">
        <v>9500000</v>
      </c>
      <c r="W2083">
        <v>200000</v>
      </c>
      <c r="X2083" s="1">
        <v>43738</v>
      </c>
      <c r="Y2083" t="s">
        <v>131</v>
      </c>
      <c r="Z2083" t="s">
        <v>43</v>
      </c>
      <c r="AA2083" t="s">
        <v>86</v>
      </c>
      <c r="AB2083" t="s">
        <v>89</v>
      </c>
      <c r="AC2083" t="s">
        <v>90</v>
      </c>
      <c r="AF2083" t="s">
        <v>134</v>
      </c>
      <c r="AG2083" s="1">
        <v>43843</v>
      </c>
      <c r="AH2083" t="s">
        <v>125</v>
      </c>
      <c r="AI2083" t="s">
        <v>92</v>
      </c>
      <c r="AJ2083">
        <v>1278023</v>
      </c>
      <c r="AK2083">
        <v>12365300</v>
      </c>
      <c r="AL2083">
        <v>12900</v>
      </c>
    </row>
    <row r="2084" spans="1:38" x14ac:dyDescent="0.25">
      <c r="A2084" t="s">
        <v>522</v>
      </c>
      <c r="B2084" t="s">
        <v>537</v>
      </c>
      <c r="C2084" t="s">
        <v>40</v>
      </c>
      <c r="D2084" s="1">
        <v>43486</v>
      </c>
      <c r="E2084" s="1">
        <v>43850</v>
      </c>
      <c r="F2084" t="s">
        <v>84</v>
      </c>
      <c r="G2084">
        <v>3</v>
      </c>
      <c r="H2084" t="s">
        <v>125</v>
      </c>
      <c r="I2084" t="s">
        <v>43</v>
      </c>
      <c r="J2084" t="s">
        <v>126</v>
      </c>
      <c r="K2084" t="s">
        <v>127</v>
      </c>
      <c r="L2084">
        <v>15084.15</v>
      </c>
      <c r="M2084" s="1">
        <v>43486</v>
      </c>
      <c r="N2084" t="s">
        <v>45</v>
      </c>
      <c r="O2084" t="s">
        <v>46</v>
      </c>
      <c r="P2084" t="s">
        <v>47</v>
      </c>
      <c r="Q2084" s="1">
        <v>43852</v>
      </c>
      <c r="R2084" t="s">
        <v>48</v>
      </c>
      <c r="S2084" t="s">
        <v>290</v>
      </c>
      <c r="T2084" t="s">
        <v>291</v>
      </c>
      <c r="U2084" t="s">
        <v>125</v>
      </c>
      <c r="V2084">
        <v>9500000</v>
      </c>
      <c r="W2084">
        <v>200000</v>
      </c>
      <c r="X2084" s="1">
        <v>43738</v>
      </c>
      <c r="Y2084" t="s">
        <v>131</v>
      </c>
      <c r="Z2084" t="s">
        <v>43</v>
      </c>
      <c r="AA2084" t="s">
        <v>86</v>
      </c>
      <c r="AB2084" t="s">
        <v>89</v>
      </c>
      <c r="AC2084" t="s">
        <v>90</v>
      </c>
      <c r="AF2084" t="s">
        <v>135</v>
      </c>
      <c r="AG2084" s="1">
        <v>43843</v>
      </c>
      <c r="AH2084" t="s">
        <v>125</v>
      </c>
      <c r="AI2084" t="s">
        <v>92</v>
      </c>
      <c r="AJ2084">
        <v>1278023</v>
      </c>
      <c r="AK2084">
        <v>12365300</v>
      </c>
      <c r="AL2084">
        <v>12900</v>
      </c>
    </row>
    <row r="2085" spans="1:38" x14ac:dyDescent="0.25">
      <c r="A2085" t="s">
        <v>522</v>
      </c>
      <c r="B2085" t="s">
        <v>537</v>
      </c>
      <c r="C2085" t="s">
        <v>40</v>
      </c>
      <c r="D2085" s="1">
        <v>43486</v>
      </c>
      <c r="E2085" s="1">
        <v>43850</v>
      </c>
      <c r="F2085" t="s">
        <v>84</v>
      </c>
      <c r="G2085">
        <v>3</v>
      </c>
      <c r="H2085" t="s">
        <v>125</v>
      </c>
      <c r="I2085" t="s">
        <v>43</v>
      </c>
      <c r="J2085" t="s">
        <v>126</v>
      </c>
      <c r="K2085" t="s">
        <v>127</v>
      </c>
      <c r="L2085">
        <v>15084.15</v>
      </c>
      <c r="M2085" s="1">
        <v>43486</v>
      </c>
      <c r="N2085" t="s">
        <v>45</v>
      </c>
      <c r="O2085" t="s">
        <v>46</v>
      </c>
      <c r="P2085" t="s">
        <v>47</v>
      </c>
      <c r="Q2085" s="1">
        <v>43852</v>
      </c>
      <c r="R2085" t="s">
        <v>48</v>
      </c>
      <c r="S2085" t="s">
        <v>290</v>
      </c>
      <c r="T2085" t="s">
        <v>291</v>
      </c>
      <c r="U2085" t="s">
        <v>125</v>
      </c>
      <c r="V2085">
        <v>9500000</v>
      </c>
      <c r="W2085">
        <v>200000</v>
      </c>
      <c r="X2085" s="1">
        <v>43738</v>
      </c>
      <c r="Y2085" t="s">
        <v>131</v>
      </c>
      <c r="Z2085" t="s">
        <v>43</v>
      </c>
      <c r="AA2085" t="s">
        <v>86</v>
      </c>
      <c r="AB2085" t="s">
        <v>89</v>
      </c>
      <c r="AC2085" t="s">
        <v>90</v>
      </c>
      <c r="AF2085" t="s">
        <v>136</v>
      </c>
      <c r="AG2085" s="1">
        <v>43839</v>
      </c>
      <c r="AH2085" t="s">
        <v>125</v>
      </c>
      <c r="AI2085" t="s">
        <v>92</v>
      </c>
      <c r="AJ2085">
        <v>1278023</v>
      </c>
      <c r="AK2085">
        <v>12365300</v>
      </c>
      <c r="AL2085">
        <v>12900</v>
      </c>
    </row>
    <row r="2086" spans="1:38" x14ac:dyDescent="0.25">
      <c r="A2086" t="s">
        <v>522</v>
      </c>
      <c r="B2086" t="s">
        <v>537</v>
      </c>
      <c r="C2086" t="s">
        <v>40</v>
      </c>
      <c r="D2086" s="1">
        <v>43486</v>
      </c>
      <c r="E2086" s="1">
        <v>43850</v>
      </c>
      <c r="F2086" t="s">
        <v>84</v>
      </c>
      <c r="G2086">
        <v>3</v>
      </c>
      <c r="H2086" t="s">
        <v>125</v>
      </c>
      <c r="I2086" t="s">
        <v>43</v>
      </c>
      <c r="J2086" t="s">
        <v>126</v>
      </c>
      <c r="K2086" t="s">
        <v>127</v>
      </c>
      <c r="L2086">
        <v>15084.15</v>
      </c>
      <c r="M2086" s="1">
        <v>43486</v>
      </c>
      <c r="N2086" t="s">
        <v>45</v>
      </c>
      <c r="O2086" t="s">
        <v>46</v>
      </c>
      <c r="P2086" t="s">
        <v>47</v>
      </c>
      <c r="Q2086" s="1">
        <v>43852</v>
      </c>
      <c r="R2086" t="s">
        <v>48</v>
      </c>
      <c r="S2086" t="s">
        <v>290</v>
      </c>
      <c r="T2086" t="s">
        <v>291</v>
      </c>
      <c r="U2086" t="s">
        <v>125</v>
      </c>
      <c r="V2086">
        <v>9500000</v>
      </c>
      <c r="W2086">
        <v>200000</v>
      </c>
      <c r="X2086" s="1">
        <v>43738</v>
      </c>
      <c r="Y2086" t="s">
        <v>131</v>
      </c>
      <c r="Z2086" t="s">
        <v>43</v>
      </c>
      <c r="AA2086" t="s">
        <v>86</v>
      </c>
      <c r="AB2086" t="s">
        <v>89</v>
      </c>
      <c r="AC2086" t="s">
        <v>90</v>
      </c>
      <c r="AF2086" t="s">
        <v>137</v>
      </c>
      <c r="AG2086" s="1">
        <v>43840</v>
      </c>
      <c r="AH2086" t="s">
        <v>125</v>
      </c>
      <c r="AI2086" t="s">
        <v>92</v>
      </c>
      <c r="AJ2086">
        <v>1278023</v>
      </c>
      <c r="AK2086">
        <v>12365300</v>
      </c>
      <c r="AL2086">
        <v>12900</v>
      </c>
    </row>
    <row r="2087" spans="1:38" x14ac:dyDescent="0.25">
      <c r="A2087" t="s">
        <v>522</v>
      </c>
      <c r="B2087" t="s">
        <v>537</v>
      </c>
      <c r="C2087" t="s">
        <v>40</v>
      </c>
      <c r="D2087" s="1">
        <v>43486</v>
      </c>
      <c r="E2087" s="1">
        <v>43850</v>
      </c>
      <c r="F2087" t="s">
        <v>84</v>
      </c>
      <c r="G2087">
        <v>3</v>
      </c>
      <c r="H2087" t="s">
        <v>125</v>
      </c>
      <c r="I2087" t="s">
        <v>43</v>
      </c>
      <c r="J2087" t="s">
        <v>126</v>
      </c>
      <c r="K2087" t="s">
        <v>127</v>
      </c>
      <c r="L2087">
        <v>15084.15</v>
      </c>
      <c r="M2087" s="1">
        <v>43486</v>
      </c>
      <c r="N2087" t="s">
        <v>45</v>
      </c>
      <c r="O2087" t="s">
        <v>46</v>
      </c>
      <c r="P2087" t="s">
        <v>47</v>
      </c>
      <c r="Q2087" s="1">
        <v>43852</v>
      </c>
      <c r="R2087" t="s">
        <v>48</v>
      </c>
      <c r="S2087" t="s">
        <v>292</v>
      </c>
      <c r="T2087" t="s">
        <v>293</v>
      </c>
      <c r="U2087" t="s">
        <v>125</v>
      </c>
      <c r="V2087">
        <v>0</v>
      </c>
      <c r="W2087">
        <v>100000</v>
      </c>
      <c r="X2087" s="1">
        <v>43784</v>
      </c>
      <c r="Y2087" t="s">
        <v>51</v>
      </c>
      <c r="Z2087" t="s">
        <v>43</v>
      </c>
      <c r="AA2087" t="s">
        <v>86</v>
      </c>
      <c r="AB2087" t="s">
        <v>89</v>
      </c>
      <c r="AC2087" t="s">
        <v>90</v>
      </c>
      <c r="AF2087" t="s">
        <v>134</v>
      </c>
      <c r="AG2087" s="1">
        <v>43843</v>
      </c>
      <c r="AH2087" t="s">
        <v>125</v>
      </c>
      <c r="AI2087" t="s">
        <v>92</v>
      </c>
      <c r="AJ2087">
        <v>1278023</v>
      </c>
      <c r="AK2087">
        <v>12365300</v>
      </c>
      <c r="AL2087">
        <v>12900</v>
      </c>
    </row>
    <row r="2088" spans="1:38" x14ac:dyDescent="0.25">
      <c r="A2088" t="s">
        <v>522</v>
      </c>
      <c r="B2088" t="s">
        <v>537</v>
      </c>
      <c r="C2088" t="s">
        <v>40</v>
      </c>
      <c r="D2088" s="1">
        <v>43486</v>
      </c>
      <c r="E2088" s="1">
        <v>43850</v>
      </c>
      <c r="F2088" t="s">
        <v>84</v>
      </c>
      <c r="G2088">
        <v>3</v>
      </c>
      <c r="H2088" t="s">
        <v>125</v>
      </c>
      <c r="I2088" t="s">
        <v>43</v>
      </c>
      <c r="J2088" t="s">
        <v>126</v>
      </c>
      <c r="K2088" t="s">
        <v>127</v>
      </c>
      <c r="L2088">
        <v>15084.15</v>
      </c>
      <c r="M2088" s="1">
        <v>43486</v>
      </c>
      <c r="N2088" t="s">
        <v>45</v>
      </c>
      <c r="O2088" t="s">
        <v>46</v>
      </c>
      <c r="P2088" t="s">
        <v>47</v>
      </c>
      <c r="Q2088" s="1">
        <v>43852</v>
      </c>
      <c r="R2088" t="s">
        <v>48</v>
      </c>
      <c r="S2088" t="s">
        <v>292</v>
      </c>
      <c r="T2088" t="s">
        <v>293</v>
      </c>
      <c r="U2088" t="s">
        <v>125</v>
      </c>
      <c r="V2088">
        <v>0</v>
      </c>
      <c r="W2088">
        <v>100000</v>
      </c>
      <c r="X2088" s="1">
        <v>43784</v>
      </c>
      <c r="Y2088" t="s">
        <v>51</v>
      </c>
      <c r="Z2088" t="s">
        <v>43</v>
      </c>
      <c r="AA2088" t="s">
        <v>86</v>
      </c>
      <c r="AB2088" t="s">
        <v>89</v>
      </c>
      <c r="AC2088" t="s">
        <v>90</v>
      </c>
      <c r="AF2088" t="s">
        <v>135</v>
      </c>
      <c r="AG2088" s="1">
        <v>43843</v>
      </c>
      <c r="AH2088" t="s">
        <v>125</v>
      </c>
      <c r="AI2088" t="s">
        <v>92</v>
      </c>
      <c r="AJ2088">
        <v>1278023</v>
      </c>
      <c r="AK2088">
        <v>12365300</v>
      </c>
      <c r="AL2088">
        <v>12900</v>
      </c>
    </row>
    <row r="2089" spans="1:38" x14ac:dyDescent="0.25">
      <c r="A2089" t="s">
        <v>522</v>
      </c>
      <c r="B2089" t="s">
        <v>537</v>
      </c>
      <c r="C2089" t="s">
        <v>40</v>
      </c>
      <c r="D2089" s="1">
        <v>43486</v>
      </c>
      <c r="E2089" s="1">
        <v>43850</v>
      </c>
      <c r="F2089" t="s">
        <v>84</v>
      </c>
      <c r="G2089">
        <v>3</v>
      </c>
      <c r="H2089" t="s">
        <v>125</v>
      </c>
      <c r="I2089" t="s">
        <v>43</v>
      </c>
      <c r="J2089" t="s">
        <v>126</v>
      </c>
      <c r="K2089" t="s">
        <v>127</v>
      </c>
      <c r="L2089">
        <v>15084.15</v>
      </c>
      <c r="M2089" s="1">
        <v>43486</v>
      </c>
      <c r="N2089" t="s">
        <v>45</v>
      </c>
      <c r="O2089" t="s">
        <v>46</v>
      </c>
      <c r="P2089" t="s">
        <v>47</v>
      </c>
      <c r="Q2089" s="1">
        <v>43852</v>
      </c>
      <c r="R2089" t="s">
        <v>48</v>
      </c>
      <c r="S2089" t="s">
        <v>292</v>
      </c>
      <c r="T2089" t="s">
        <v>293</v>
      </c>
      <c r="U2089" t="s">
        <v>125</v>
      </c>
      <c r="V2089">
        <v>0</v>
      </c>
      <c r="W2089">
        <v>100000</v>
      </c>
      <c r="X2089" s="1">
        <v>43784</v>
      </c>
      <c r="Y2089" t="s">
        <v>51</v>
      </c>
      <c r="Z2089" t="s">
        <v>43</v>
      </c>
      <c r="AA2089" t="s">
        <v>86</v>
      </c>
      <c r="AB2089" t="s">
        <v>89</v>
      </c>
      <c r="AC2089" t="s">
        <v>90</v>
      </c>
      <c r="AF2089" t="s">
        <v>136</v>
      </c>
      <c r="AG2089" s="1">
        <v>43839</v>
      </c>
      <c r="AH2089" t="s">
        <v>125</v>
      </c>
      <c r="AI2089" t="s">
        <v>92</v>
      </c>
      <c r="AJ2089">
        <v>1278023</v>
      </c>
      <c r="AK2089">
        <v>12365300</v>
      </c>
      <c r="AL2089">
        <v>12900</v>
      </c>
    </row>
    <row r="2090" spans="1:38" x14ac:dyDescent="0.25">
      <c r="A2090" t="s">
        <v>522</v>
      </c>
      <c r="B2090" t="s">
        <v>537</v>
      </c>
      <c r="C2090" t="s">
        <v>40</v>
      </c>
      <c r="D2090" s="1">
        <v>43486</v>
      </c>
      <c r="E2090" s="1">
        <v>43850</v>
      </c>
      <c r="F2090" t="s">
        <v>84</v>
      </c>
      <c r="G2090">
        <v>3</v>
      </c>
      <c r="H2090" t="s">
        <v>125</v>
      </c>
      <c r="I2090" t="s">
        <v>43</v>
      </c>
      <c r="J2090" t="s">
        <v>126</v>
      </c>
      <c r="K2090" t="s">
        <v>127</v>
      </c>
      <c r="L2090">
        <v>15084.15</v>
      </c>
      <c r="M2090" s="1">
        <v>43486</v>
      </c>
      <c r="N2090" t="s">
        <v>45</v>
      </c>
      <c r="O2090" t="s">
        <v>46</v>
      </c>
      <c r="P2090" t="s">
        <v>47</v>
      </c>
      <c r="Q2090" s="1">
        <v>43852</v>
      </c>
      <c r="R2090" t="s">
        <v>48</v>
      </c>
      <c r="S2090" t="s">
        <v>292</v>
      </c>
      <c r="T2090" t="s">
        <v>293</v>
      </c>
      <c r="U2090" t="s">
        <v>125</v>
      </c>
      <c r="V2090">
        <v>0</v>
      </c>
      <c r="W2090">
        <v>100000</v>
      </c>
      <c r="X2090" s="1">
        <v>43784</v>
      </c>
      <c r="Y2090" t="s">
        <v>51</v>
      </c>
      <c r="Z2090" t="s">
        <v>43</v>
      </c>
      <c r="AA2090" t="s">
        <v>86</v>
      </c>
      <c r="AB2090" t="s">
        <v>89</v>
      </c>
      <c r="AC2090" t="s">
        <v>90</v>
      </c>
      <c r="AF2090" t="s">
        <v>137</v>
      </c>
      <c r="AG2090" s="1">
        <v>43840</v>
      </c>
      <c r="AH2090" t="s">
        <v>125</v>
      </c>
      <c r="AI2090" t="s">
        <v>92</v>
      </c>
      <c r="AJ2090">
        <v>1278023</v>
      </c>
      <c r="AK2090">
        <v>12365300</v>
      </c>
      <c r="AL2090">
        <v>12900</v>
      </c>
    </row>
    <row r="2091" spans="1:38" x14ac:dyDescent="0.25">
      <c r="A2091" t="s">
        <v>522</v>
      </c>
      <c r="B2091" t="s">
        <v>537</v>
      </c>
      <c r="C2091" t="s">
        <v>40</v>
      </c>
      <c r="D2091" s="1">
        <v>43486</v>
      </c>
      <c r="E2091" s="1">
        <v>43850</v>
      </c>
      <c r="F2091" t="s">
        <v>84</v>
      </c>
      <c r="G2091">
        <v>3</v>
      </c>
      <c r="H2091" t="s">
        <v>125</v>
      </c>
      <c r="I2091" t="s">
        <v>43</v>
      </c>
      <c r="J2091" t="s">
        <v>126</v>
      </c>
      <c r="K2091" t="s">
        <v>127</v>
      </c>
      <c r="L2091">
        <v>15084.15</v>
      </c>
      <c r="M2091" s="1">
        <v>43486</v>
      </c>
      <c r="N2091" t="s">
        <v>45</v>
      </c>
      <c r="O2091" t="s">
        <v>46</v>
      </c>
      <c r="P2091" t="s">
        <v>47</v>
      </c>
      <c r="Q2091" s="1">
        <v>43852</v>
      </c>
      <c r="R2091" t="s">
        <v>48</v>
      </c>
      <c r="S2091" t="s">
        <v>294</v>
      </c>
      <c r="T2091" t="s">
        <v>295</v>
      </c>
      <c r="U2091" t="s">
        <v>125</v>
      </c>
      <c r="V2091">
        <v>6000000</v>
      </c>
      <c r="W2091">
        <v>300000</v>
      </c>
      <c r="X2091" s="1">
        <v>43800</v>
      </c>
      <c r="Y2091" t="s">
        <v>51</v>
      </c>
      <c r="Z2091" t="s">
        <v>43</v>
      </c>
      <c r="AA2091" t="s">
        <v>86</v>
      </c>
      <c r="AB2091" t="s">
        <v>89</v>
      </c>
      <c r="AC2091" t="s">
        <v>90</v>
      </c>
      <c r="AF2091" t="s">
        <v>134</v>
      </c>
      <c r="AG2091" s="1">
        <v>43843</v>
      </c>
      <c r="AH2091" t="s">
        <v>125</v>
      </c>
      <c r="AI2091" t="s">
        <v>92</v>
      </c>
      <c r="AJ2091">
        <v>1278023</v>
      </c>
      <c r="AK2091">
        <v>12365300</v>
      </c>
      <c r="AL2091">
        <v>12900</v>
      </c>
    </row>
    <row r="2092" spans="1:38" x14ac:dyDescent="0.25">
      <c r="A2092" t="s">
        <v>522</v>
      </c>
      <c r="B2092" t="s">
        <v>537</v>
      </c>
      <c r="C2092" t="s">
        <v>40</v>
      </c>
      <c r="D2092" s="1">
        <v>43486</v>
      </c>
      <c r="E2092" s="1">
        <v>43850</v>
      </c>
      <c r="F2092" t="s">
        <v>84</v>
      </c>
      <c r="G2092">
        <v>3</v>
      </c>
      <c r="H2092" t="s">
        <v>125</v>
      </c>
      <c r="I2092" t="s">
        <v>43</v>
      </c>
      <c r="J2092" t="s">
        <v>126</v>
      </c>
      <c r="K2092" t="s">
        <v>127</v>
      </c>
      <c r="L2092">
        <v>15084.15</v>
      </c>
      <c r="M2092" s="1">
        <v>43486</v>
      </c>
      <c r="N2092" t="s">
        <v>45</v>
      </c>
      <c r="O2092" t="s">
        <v>46</v>
      </c>
      <c r="P2092" t="s">
        <v>47</v>
      </c>
      <c r="Q2092" s="1">
        <v>43852</v>
      </c>
      <c r="R2092" t="s">
        <v>48</v>
      </c>
      <c r="S2092" t="s">
        <v>294</v>
      </c>
      <c r="T2092" t="s">
        <v>295</v>
      </c>
      <c r="U2092" t="s">
        <v>125</v>
      </c>
      <c r="V2092">
        <v>6000000</v>
      </c>
      <c r="W2092">
        <v>300000</v>
      </c>
      <c r="X2092" s="1">
        <v>43800</v>
      </c>
      <c r="Y2092" t="s">
        <v>51</v>
      </c>
      <c r="Z2092" t="s">
        <v>43</v>
      </c>
      <c r="AA2092" t="s">
        <v>86</v>
      </c>
      <c r="AB2092" t="s">
        <v>89</v>
      </c>
      <c r="AC2092" t="s">
        <v>90</v>
      </c>
      <c r="AF2092" t="s">
        <v>135</v>
      </c>
      <c r="AG2092" s="1">
        <v>43843</v>
      </c>
      <c r="AH2092" t="s">
        <v>125</v>
      </c>
      <c r="AI2092" t="s">
        <v>92</v>
      </c>
      <c r="AJ2092">
        <v>1278023</v>
      </c>
      <c r="AK2092">
        <v>12365300</v>
      </c>
      <c r="AL2092">
        <v>12900</v>
      </c>
    </row>
    <row r="2093" spans="1:38" x14ac:dyDescent="0.25">
      <c r="A2093" t="s">
        <v>522</v>
      </c>
      <c r="B2093" t="s">
        <v>537</v>
      </c>
      <c r="C2093" t="s">
        <v>40</v>
      </c>
      <c r="D2093" s="1">
        <v>43486</v>
      </c>
      <c r="E2093" s="1">
        <v>43850</v>
      </c>
      <c r="F2093" t="s">
        <v>84</v>
      </c>
      <c r="G2093">
        <v>3</v>
      </c>
      <c r="H2093" t="s">
        <v>125</v>
      </c>
      <c r="I2093" t="s">
        <v>43</v>
      </c>
      <c r="J2093" t="s">
        <v>126</v>
      </c>
      <c r="K2093" t="s">
        <v>127</v>
      </c>
      <c r="L2093">
        <v>15084.15</v>
      </c>
      <c r="M2093" s="1">
        <v>43486</v>
      </c>
      <c r="N2093" t="s">
        <v>45</v>
      </c>
      <c r="O2093" t="s">
        <v>46</v>
      </c>
      <c r="P2093" t="s">
        <v>47</v>
      </c>
      <c r="Q2093" s="1">
        <v>43852</v>
      </c>
      <c r="R2093" t="s">
        <v>48</v>
      </c>
      <c r="S2093" t="s">
        <v>294</v>
      </c>
      <c r="T2093" t="s">
        <v>295</v>
      </c>
      <c r="U2093" t="s">
        <v>125</v>
      </c>
      <c r="V2093">
        <v>6000000</v>
      </c>
      <c r="W2093">
        <v>300000</v>
      </c>
      <c r="X2093" s="1">
        <v>43800</v>
      </c>
      <c r="Y2093" t="s">
        <v>51</v>
      </c>
      <c r="Z2093" t="s">
        <v>43</v>
      </c>
      <c r="AA2093" t="s">
        <v>86</v>
      </c>
      <c r="AB2093" t="s">
        <v>89</v>
      </c>
      <c r="AC2093" t="s">
        <v>90</v>
      </c>
      <c r="AF2093" t="s">
        <v>136</v>
      </c>
      <c r="AG2093" s="1">
        <v>43839</v>
      </c>
      <c r="AH2093" t="s">
        <v>125</v>
      </c>
      <c r="AI2093" t="s">
        <v>92</v>
      </c>
      <c r="AJ2093">
        <v>1278023</v>
      </c>
      <c r="AK2093">
        <v>12365300</v>
      </c>
      <c r="AL2093">
        <v>12900</v>
      </c>
    </row>
    <row r="2094" spans="1:38" x14ac:dyDescent="0.25">
      <c r="A2094" t="s">
        <v>522</v>
      </c>
      <c r="B2094" t="s">
        <v>537</v>
      </c>
      <c r="C2094" t="s">
        <v>40</v>
      </c>
      <c r="D2094" s="1">
        <v>43486</v>
      </c>
      <c r="E2094" s="1">
        <v>43850</v>
      </c>
      <c r="F2094" t="s">
        <v>84</v>
      </c>
      <c r="G2094">
        <v>3</v>
      </c>
      <c r="H2094" t="s">
        <v>125</v>
      </c>
      <c r="I2094" t="s">
        <v>43</v>
      </c>
      <c r="J2094" t="s">
        <v>126</v>
      </c>
      <c r="K2094" t="s">
        <v>127</v>
      </c>
      <c r="L2094">
        <v>15084.15</v>
      </c>
      <c r="M2094" s="1">
        <v>43486</v>
      </c>
      <c r="N2094" t="s">
        <v>45</v>
      </c>
      <c r="O2094" t="s">
        <v>46</v>
      </c>
      <c r="P2094" t="s">
        <v>47</v>
      </c>
      <c r="Q2094" s="1">
        <v>43852</v>
      </c>
      <c r="R2094" t="s">
        <v>48</v>
      </c>
      <c r="S2094" t="s">
        <v>294</v>
      </c>
      <c r="T2094" t="s">
        <v>295</v>
      </c>
      <c r="U2094" t="s">
        <v>125</v>
      </c>
      <c r="V2094">
        <v>6000000</v>
      </c>
      <c r="W2094">
        <v>300000</v>
      </c>
      <c r="X2094" s="1">
        <v>43800</v>
      </c>
      <c r="Y2094" t="s">
        <v>51</v>
      </c>
      <c r="Z2094" t="s">
        <v>43</v>
      </c>
      <c r="AA2094" t="s">
        <v>86</v>
      </c>
      <c r="AB2094" t="s">
        <v>89</v>
      </c>
      <c r="AC2094" t="s">
        <v>90</v>
      </c>
      <c r="AF2094" t="s">
        <v>137</v>
      </c>
      <c r="AG2094" s="1">
        <v>43840</v>
      </c>
      <c r="AH2094" t="s">
        <v>125</v>
      </c>
      <c r="AI2094" t="s">
        <v>92</v>
      </c>
      <c r="AJ2094">
        <v>1278023</v>
      </c>
      <c r="AK2094">
        <v>12365300</v>
      </c>
      <c r="AL2094">
        <v>12900</v>
      </c>
    </row>
    <row r="2095" spans="1:38" x14ac:dyDescent="0.25">
      <c r="A2095" t="s">
        <v>522</v>
      </c>
      <c r="B2095">
        <v>2250007836</v>
      </c>
      <c r="C2095" t="s">
        <v>71</v>
      </c>
      <c r="D2095" s="1">
        <v>43138</v>
      </c>
      <c r="E2095" s="1">
        <v>43502</v>
      </c>
      <c r="F2095" t="s">
        <v>76</v>
      </c>
      <c r="G2095">
        <v>1</v>
      </c>
      <c r="H2095" t="s">
        <v>42</v>
      </c>
      <c r="I2095" t="s">
        <v>43</v>
      </c>
      <c r="J2095" t="s">
        <v>77</v>
      </c>
      <c r="K2095" t="s">
        <v>127</v>
      </c>
      <c r="L2095">
        <v>1013.88</v>
      </c>
      <c r="M2095" s="1">
        <v>43138</v>
      </c>
      <c r="N2095" t="s">
        <v>45</v>
      </c>
      <c r="O2095" t="s">
        <v>361</v>
      </c>
      <c r="P2095" t="s">
        <v>469</v>
      </c>
      <c r="Q2095" s="1">
        <v>43852</v>
      </c>
      <c r="R2095" t="s">
        <v>469</v>
      </c>
      <c r="S2095" t="s">
        <v>78</v>
      </c>
      <c r="T2095" t="s">
        <v>79</v>
      </c>
      <c r="U2095" t="s">
        <v>42</v>
      </c>
      <c r="V2095">
        <v>1200000</v>
      </c>
      <c r="W2095">
        <v>100000</v>
      </c>
      <c r="X2095" s="1">
        <v>43921</v>
      </c>
      <c r="Y2095" t="s">
        <v>51</v>
      </c>
      <c r="Z2095" t="s">
        <v>43</v>
      </c>
      <c r="AA2095" t="s">
        <v>80</v>
      </c>
      <c r="AB2095" t="s">
        <v>76</v>
      </c>
      <c r="AC2095" t="s">
        <v>81</v>
      </c>
      <c r="AF2095" t="s">
        <v>54</v>
      </c>
      <c r="AG2095" s="1">
        <v>43832</v>
      </c>
      <c r="AH2095" t="s">
        <v>42</v>
      </c>
      <c r="AI2095" t="s">
        <v>55</v>
      </c>
      <c r="AJ2095">
        <v>12788092</v>
      </c>
      <c r="AK2095">
        <v>250000</v>
      </c>
      <c r="AL2095">
        <v>1500000</v>
      </c>
    </row>
    <row r="2096" spans="1:38" x14ac:dyDescent="0.25">
      <c r="A2096" t="s">
        <v>522</v>
      </c>
      <c r="B2096">
        <v>2250007836</v>
      </c>
      <c r="C2096" t="s">
        <v>71</v>
      </c>
      <c r="D2096" s="1">
        <v>43138</v>
      </c>
      <c r="E2096" s="1">
        <v>43502</v>
      </c>
      <c r="F2096" t="s">
        <v>76</v>
      </c>
      <c r="G2096">
        <v>1</v>
      </c>
      <c r="H2096" t="s">
        <v>42</v>
      </c>
      <c r="I2096" t="s">
        <v>43</v>
      </c>
      <c r="J2096" t="s">
        <v>77</v>
      </c>
      <c r="K2096" t="s">
        <v>127</v>
      </c>
      <c r="L2096">
        <v>1013.88</v>
      </c>
      <c r="M2096" s="1">
        <v>43138</v>
      </c>
      <c r="N2096" t="s">
        <v>45</v>
      </c>
      <c r="O2096" t="s">
        <v>361</v>
      </c>
      <c r="P2096" t="s">
        <v>469</v>
      </c>
      <c r="Q2096" s="1">
        <v>43852</v>
      </c>
      <c r="R2096" t="s">
        <v>469</v>
      </c>
      <c r="S2096" t="s">
        <v>78</v>
      </c>
      <c r="T2096" t="s">
        <v>79</v>
      </c>
      <c r="U2096" t="s">
        <v>42</v>
      </c>
      <c r="V2096">
        <v>1200000</v>
      </c>
      <c r="W2096">
        <v>100000</v>
      </c>
      <c r="X2096" s="1">
        <v>43921</v>
      </c>
      <c r="Y2096" t="s">
        <v>51</v>
      </c>
      <c r="Z2096" t="s">
        <v>43</v>
      </c>
      <c r="AA2096" t="s">
        <v>80</v>
      </c>
      <c r="AB2096" t="s">
        <v>76</v>
      </c>
      <c r="AC2096" t="s">
        <v>81</v>
      </c>
      <c r="AF2096" t="s">
        <v>56</v>
      </c>
      <c r="AG2096" s="1">
        <v>43833</v>
      </c>
      <c r="AH2096" t="s">
        <v>42</v>
      </c>
      <c r="AI2096" t="s">
        <v>55</v>
      </c>
      <c r="AJ2096">
        <v>12788092</v>
      </c>
      <c r="AK2096">
        <v>250000</v>
      </c>
      <c r="AL2096">
        <v>1500000</v>
      </c>
    </row>
    <row r="2097" spans="1:38" x14ac:dyDescent="0.25">
      <c r="A2097" t="s">
        <v>522</v>
      </c>
      <c r="B2097">
        <v>2250007836</v>
      </c>
      <c r="C2097" t="s">
        <v>71</v>
      </c>
      <c r="D2097" s="1">
        <v>43138</v>
      </c>
      <c r="E2097" s="1">
        <v>43502</v>
      </c>
      <c r="F2097" t="s">
        <v>76</v>
      </c>
      <c r="G2097">
        <v>1</v>
      </c>
      <c r="H2097" t="s">
        <v>42</v>
      </c>
      <c r="I2097" t="s">
        <v>43</v>
      </c>
      <c r="J2097" t="s">
        <v>77</v>
      </c>
      <c r="K2097" t="s">
        <v>127</v>
      </c>
      <c r="L2097">
        <v>1013.88</v>
      </c>
      <c r="M2097" s="1">
        <v>43138</v>
      </c>
      <c r="N2097" t="s">
        <v>45</v>
      </c>
      <c r="O2097" t="s">
        <v>361</v>
      </c>
      <c r="P2097" t="s">
        <v>469</v>
      </c>
      <c r="Q2097" s="1">
        <v>43852</v>
      </c>
      <c r="R2097" t="s">
        <v>469</v>
      </c>
      <c r="S2097" t="s">
        <v>78</v>
      </c>
      <c r="T2097" t="s">
        <v>79</v>
      </c>
      <c r="U2097" t="s">
        <v>42</v>
      </c>
      <c r="V2097">
        <v>1200000</v>
      </c>
      <c r="W2097">
        <v>100000</v>
      </c>
      <c r="X2097" s="1">
        <v>43921</v>
      </c>
      <c r="Y2097" t="s">
        <v>51</v>
      </c>
      <c r="Z2097" t="s">
        <v>43</v>
      </c>
      <c r="AA2097" t="s">
        <v>80</v>
      </c>
      <c r="AB2097" t="s">
        <v>76</v>
      </c>
      <c r="AC2097" t="s">
        <v>81</v>
      </c>
      <c r="AF2097" t="s">
        <v>57</v>
      </c>
      <c r="AG2097" s="1">
        <v>43836</v>
      </c>
      <c r="AH2097" t="s">
        <v>42</v>
      </c>
      <c r="AI2097" t="s">
        <v>55</v>
      </c>
      <c r="AJ2097">
        <v>12788092</v>
      </c>
      <c r="AK2097">
        <v>250000</v>
      </c>
      <c r="AL2097">
        <v>1500000</v>
      </c>
    </row>
    <row r="2098" spans="1:38" x14ac:dyDescent="0.25">
      <c r="A2098" t="s">
        <v>522</v>
      </c>
      <c r="B2098">
        <v>2250007836</v>
      </c>
      <c r="C2098" t="s">
        <v>71</v>
      </c>
      <c r="D2098" s="1">
        <v>43138</v>
      </c>
      <c r="E2098" s="1">
        <v>43502</v>
      </c>
      <c r="F2098" t="s">
        <v>76</v>
      </c>
      <c r="G2098">
        <v>1</v>
      </c>
      <c r="H2098" t="s">
        <v>42</v>
      </c>
      <c r="I2098" t="s">
        <v>43</v>
      </c>
      <c r="J2098" t="s">
        <v>77</v>
      </c>
      <c r="K2098" t="s">
        <v>127</v>
      </c>
      <c r="L2098">
        <v>1013.88</v>
      </c>
      <c r="M2098" s="1">
        <v>43138</v>
      </c>
      <c r="N2098" t="s">
        <v>45</v>
      </c>
      <c r="O2098" t="s">
        <v>361</v>
      </c>
      <c r="P2098" t="s">
        <v>469</v>
      </c>
      <c r="Q2098" s="1">
        <v>43852</v>
      </c>
      <c r="R2098" t="s">
        <v>469</v>
      </c>
      <c r="S2098" t="s">
        <v>78</v>
      </c>
      <c r="T2098" t="s">
        <v>79</v>
      </c>
      <c r="U2098" t="s">
        <v>42</v>
      </c>
      <c r="V2098">
        <v>1200000</v>
      </c>
      <c r="W2098">
        <v>100000</v>
      </c>
      <c r="X2098" s="1">
        <v>43921</v>
      </c>
      <c r="Y2098" t="s">
        <v>51</v>
      </c>
      <c r="Z2098" t="s">
        <v>43</v>
      </c>
      <c r="AA2098" t="s">
        <v>80</v>
      </c>
      <c r="AB2098" t="s">
        <v>76</v>
      </c>
      <c r="AC2098" t="s">
        <v>81</v>
      </c>
      <c r="AF2098" t="s">
        <v>58</v>
      </c>
      <c r="AG2098" s="1">
        <v>43837</v>
      </c>
      <c r="AH2098" t="s">
        <v>42</v>
      </c>
      <c r="AI2098" t="s">
        <v>55</v>
      </c>
      <c r="AJ2098">
        <v>12788092</v>
      </c>
      <c r="AK2098">
        <v>250000</v>
      </c>
      <c r="AL2098">
        <v>1500000</v>
      </c>
    </row>
    <row r="2099" spans="1:38" x14ac:dyDescent="0.25">
      <c r="A2099" t="s">
        <v>522</v>
      </c>
      <c r="B2099">
        <v>2250007836</v>
      </c>
      <c r="C2099" t="s">
        <v>71</v>
      </c>
      <c r="D2099" s="1">
        <v>43138</v>
      </c>
      <c r="E2099" s="1">
        <v>43502</v>
      </c>
      <c r="F2099" t="s">
        <v>76</v>
      </c>
      <c r="G2099">
        <v>1</v>
      </c>
      <c r="H2099" t="s">
        <v>42</v>
      </c>
      <c r="I2099" t="s">
        <v>43</v>
      </c>
      <c r="J2099" t="s">
        <v>77</v>
      </c>
      <c r="K2099" t="s">
        <v>127</v>
      </c>
      <c r="L2099">
        <v>1013.88</v>
      </c>
      <c r="M2099" s="1">
        <v>43138</v>
      </c>
      <c r="N2099" t="s">
        <v>45</v>
      </c>
      <c r="O2099" t="s">
        <v>361</v>
      </c>
      <c r="P2099" t="s">
        <v>469</v>
      </c>
      <c r="Q2099" s="1">
        <v>43852</v>
      </c>
      <c r="R2099" t="s">
        <v>469</v>
      </c>
      <c r="S2099" t="s">
        <v>78</v>
      </c>
      <c r="T2099" t="s">
        <v>79</v>
      </c>
      <c r="U2099" t="s">
        <v>42</v>
      </c>
      <c r="V2099">
        <v>1200000</v>
      </c>
      <c r="W2099">
        <v>100000</v>
      </c>
      <c r="X2099" s="1">
        <v>43921</v>
      </c>
      <c r="Y2099" t="s">
        <v>51</v>
      </c>
      <c r="Z2099" t="s">
        <v>43</v>
      </c>
      <c r="AA2099" t="s">
        <v>80</v>
      </c>
      <c r="AB2099" t="s">
        <v>76</v>
      </c>
      <c r="AC2099" t="s">
        <v>81</v>
      </c>
      <c r="AF2099" t="s">
        <v>59</v>
      </c>
      <c r="AG2099" s="1">
        <v>43838</v>
      </c>
      <c r="AH2099" t="s">
        <v>42</v>
      </c>
      <c r="AI2099" t="s">
        <v>55</v>
      </c>
      <c r="AJ2099">
        <v>12788092</v>
      </c>
      <c r="AK2099">
        <v>250000</v>
      </c>
      <c r="AL2099">
        <v>1500000</v>
      </c>
    </row>
    <row r="2100" spans="1:38" x14ac:dyDescent="0.25">
      <c r="A2100" t="s">
        <v>522</v>
      </c>
      <c r="B2100">
        <v>2250007837</v>
      </c>
      <c r="C2100" t="s">
        <v>71</v>
      </c>
      <c r="D2100" s="1">
        <v>43138</v>
      </c>
      <c r="E2100" s="1">
        <v>43502</v>
      </c>
      <c r="F2100" t="s">
        <v>76</v>
      </c>
      <c r="G2100">
        <v>1</v>
      </c>
      <c r="H2100" t="s">
        <v>42</v>
      </c>
      <c r="I2100" t="s">
        <v>43</v>
      </c>
      <c r="J2100" t="s">
        <v>77</v>
      </c>
      <c r="K2100" t="s">
        <v>127</v>
      </c>
      <c r="L2100">
        <v>1601.5</v>
      </c>
      <c r="M2100" s="1">
        <v>43138</v>
      </c>
      <c r="N2100" t="s">
        <v>45</v>
      </c>
      <c r="O2100" t="s">
        <v>361</v>
      </c>
      <c r="P2100" t="s">
        <v>538</v>
      </c>
      <c r="Q2100" s="1">
        <v>43852</v>
      </c>
      <c r="R2100" t="s">
        <v>538</v>
      </c>
      <c r="S2100" t="s">
        <v>78</v>
      </c>
      <c r="T2100" t="s">
        <v>79</v>
      </c>
      <c r="U2100" t="s">
        <v>42</v>
      </c>
      <c r="V2100">
        <v>1200000</v>
      </c>
      <c r="W2100">
        <v>100000</v>
      </c>
      <c r="X2100" s="1">
        <v>43921</v>
      </c>
      <c r="Y2100" t="s">
        <v>51</v>
      </c>
      <c r="Z2100" t="s">
        <v>43</v>
      </c>
      <c r="AA2100" t="s">
        <v>80</v>
      </c>
      <c r="AB2100" t="s">
        <v>76</v>
      </c>
      <c r="AC2100" t="s">
        <v>81</v>
      </c>
      <c r="AF2100" t="s">
        <v>54</v>
      </c>
      <c r="AG2100" s="1">
        <v>43832</v>
      </c>
      <c r="AH2100" t="s">
        <v>42</v>
      </c>
      <c r="AI2100" t="s">
        <v>55</v>
      </c>
      <c r="AJ2100">
        <v>12788092</v>
      </c>
      <c r="AK2100">
        <v>250000</v>
      </c>
      <c r="AL2100">
        <v>1500000</v>
      </c>
    </row>
    <row r="2101" spans="1:38" x14ac:dyDescent="0.25">
      <c r="A2101" t="s">
        <v>522</v>
      </c>
      <c r="B2101">
        <v>2250007837</v>
      </c>
      <c r="C2101" t="s">
        <v>71</v>
      </c>
      <c r="D2101" s="1">
        <v>43138</v>
      </c>
      <c r="E2101" s="1">
        <v>43502</v>
      </c>
      <c r="F2101" t="s">
        <v>76</v>
      </c>
      <c r="G2101">
        <v>1</v>
      </c>
      <c r="H2101" t="s">
        <v>42</v>
      </c>
      <c r="I2101" t="s">
        <v>43</v>
      </c>
      <c r="J2101" t="s">
        <v>77</v>
      </c>
      <c r="K2101" t="s">
        <v>127</v>
      </c>
      <c r="L2101">
        <v>1601.5</v>
      </c>
      <c r="M2101" s="1">
        <v>43138</v>
      </c>
      <c r="N2101" t="s">
        <v>45</v>
      </c>
      <c r="O2101" t="s">
        <v>361</v>
      </c>
      <c r="P2101" t="s">
        <v>538</v>
      </c>
      <c r="Q2101" s="1">
        <v>43852</v>
      </c>
      <c r="R2101" t="s">
        <v>538</v>
      </c>
      <c r="S2101" t="s">
        <v>78</v>
      </c>
      <c r="T2101" t="s">
        <v>79</v>
      </c>
      <c r="U2101" t="s">
        <v>42</v>
      </c>
      <c r="V2101">
        <v>1200000</v>
      </c>
      <c r="W2101">
        <v>100000</v>
      </c>
      <c r="X2101" s="1">
        <v>43921</v>
      </c>
      <c r="Y2101" t="s">
        <v>51</v>
      </c>
      <c r="Z2101" t="s">
        <v>43</v>
      </c>
      <c r="AA2101" t="s">
        <v>80</v>
      </c>
      <c r="AB2101" t="s">
        <v>76</v>
      </c>
      <c r="AC2101" t="s">
        <v>81</v>
      </c>
      <c r="AF2101" t="s">
        <v>56</v>
      </c>
      <c r="AG2101" s="1">
        <v>43833</v>
      </c>
      <c r="AH2101" t="s">
        <v>42</v>
      </c>
      <c r="AI2101" t="s">
        <v>55</v>
      </c>
      <c r="AJ2101">
        <v>12788092</v>
      </c>
      <c r="AK2101">
        <v>250000</v>
      </c>
      <c r="AL2101">
        <v>1500000</v>
      </c>
    </row>
    <row r="2102" spans="1:38" x14ac:dyDescent="0.25">
      <c r="A2102" t="s">
        <v>522</v>
      </c>
      <c r="B2102">
        <v>2250007837</v>
      </c>
      <c r="C2102" t="s">
        <v>71</v>
      </c>
      <c r="D2102" s="1">
        <v>43138</v>
      </c>
      <c r="E2102" s="1">
        <v>43502</v>
      </c>
      <c r="F2102" t="s">
        <v>76</v>
      </c>
      <c r="G2102">
        <v>1</v>
      </c>
      <c r="H2102" t="s">
        <v>42</v>
      </c>
      <c r="I2102" t="s">
        <v>43</v>
      </c>
      <c r="J2102" t="s">
        <v>77</v>
      </c>
      <c r="K2102" t="s">
        <v>127</v>
      </c>
      <c r="L2102">
        <v>1601.5</v>
      </c>
      <c r="M2102" s="1">
        <v>43138</v>
      </c>
      <c r="N2102" t="s">
        <v>45</v>
      </c>
      <c r="O2102" t="s">
        <v>361</v>
      </c>
      <c r="P2102" t="s">
        <v>538</v>
      </c>
      <c r="Q2102" s="1">
        <v>43852</v>
      </c>
      <c r="R2102" t="s">
        <v>538</v>
      </c>
      <c r="S2102" t="s">
        <v>78</v>
      </c>
      <c r="T2102" t="s">
        <v>79</v>
      </c>
      <c r="U2102" t="s">
        <v>42</v>
      </c>
      <c r="V2102">
        <v>1200000</v>
      </c>
      <c r="W2102">
        <v>100000</v>
      </c>
      <c r="X2102" s="1">
        <v>43921</v>
      </c>
      <c r="Y2102" t="s">
        <v>51</v>
      </c>
      <c r="Z2102" t="s">
        <v>43</v>
      </c>
      <c r="AA2102" t="s">
        <v>80</v>
      </c>
      <c r="AB2102" t="s">
        <v>76</v>
      </c>
      <c r="AC2102" t="s">
        <v>81</v>
      </c>
      <c r="AF2102" t="s">
        <v>57</v>
      </c>
      <c r="AG2102" s="1">
        <v>43836</v>
      </c>
      <c r="AH2102" t="s">
        <v>42</v>
      </c>
      <c r="AI2102" t="s">
        <v>55</v>
      </c>
      <c r="AJ2102">
        <v>12788092</v>
      </c>
      <c r="AK2102">
        <v>250000</v>
      </c>
      <c r="AL2102">
        <v>1500000</v>
      </c>
    </row>
    <row r="2103" spans="1:38" x14ac:dyDescent="0.25">
      <c r="A2103" t="s">
        <v>522</v>
      </c>
      <c r="B2103">
        <v>2250007837</v>
      </c>
      <c r="C2103" t="s">
        <v>71</v>
      </c>
      <c r="D2103" s="1">
        <v>43138</v>
      </c>
      <c r="E2103" s="1">
        <v>43502</v>
      </c>
      <c r="F2103" t="s">
        <v>76</v>
      </c>
      <c r="G2103">
        <v>1</v>
      </c>
      <c r="H2103" t="s">
        <v>42</v>
      </c>
      <c r="I2103" t="s">
        <v>43</v>
      </c>
      <c r="J2103" t="s">
        <v>77</v>
      </c>
      <c r="K2103" t="s">
        <v>127</v>
      </c>
      <c r="L2103">
        <v>1601.5</v>
      </c>
      <c r="M2103" s="1">
        <v>43138</v>
      </c>
      <c r="N2103" t="s">
        <v>45</v>
      </c>
      <c r="O2103" t="s">
        <v>361</v>
      </c>
      <c r="P2103" t="s">
        <v>538</v>
      </c>
      <c r="Q2103" s="1">
        <v>43852</v>
      </c>
      <c r="R2103" t="s">
        <v>538</v>
      </c>
      <c r="S2103" t="s">
        <v>78</v>
      </c>
      <c r="T2103" t="s">
        <v>79</v>
      </c>
      <c r="U2103" t="s">
        <v>42</v>
      </c>
      <c r="V2103">
        <v>1200000</v>
      </c>
      <c r="W2103">
        <v>100000</v>
      </c>
      <c r="X2103" s="1">
        <v>43921</v>
      </c>
      <c r="Y2103" t="s">
        <v>51</v>
      </c>
      <c r="Z2103" t="s">
        <v>43</v>
      </c>
      <c r="AA2103" t="s">
        <v>80</v>
      </c>
      <c r="AB2103" t="s">
        <v>76</v>
      </c>
      <c r="AC2103" t="s">
        <v>81</v>
      </c>
      <c r="AF2103" t="s">
        <v>58</v>
      </c>
      <c r="AG2103" s="1">
        <v>43837</v>
      </c>
      <c r="AH2103" t="s">
        <v>42</v>
      </c>
      <c r="AI2103" t="s">
        <v>55</v>
      </c>
      <c r="AJ2103">
        <v>12788092</v>
      </c>
      <c r="AK2103">
        <v>250000</v>
      </c>
      <c r="AL2103">
        <v>1500000</v>
      </c>
    </row>
    <row r="2104" spans="1:38" x14ac:dyDescent="0.25">
      <c r="A2104" t="s">
        <v>522</v>
      </c>
      <c r="B2104">
        <v>2250007837</v>
      </c>
      <c r="C2104" t="s">
        <v>71</v>
      </c>
      <c r="D2104" s="1">
        <v>43138</v>
      </c>
      <c r="E2104" s="1">
        <v>43502</v>
      </c>
      <c r="F2104" t="s">
        <v>76</v>
      </c>
      <c r="G2104">
        <v>1</v>
      </c>
      <c r="H2104" t="s">
        <v>42</v>
      </c>
      <c r="I2104" t="s">
        <v>43</v>
      </c>
      <c r="J2104" t="s">
        <v>77</v>
      </c>
      <c r="K2104" t="s">
        <v>127</v>
      </c>
      <c r="L2104">
        <v>1601.5</v>
      </c>
      <c r="M2104" s="1">
        <v>43138</v>
      </c>
      <c r="N2104" t="s">
        <v>45</v>
      </c>
      <c r="O2104" t="s">
        <v>361</v>
      </c>
      <c r="P2104" t="s">
        <v>538</v>
      </c>
      <c r="Q2104" s="1">
        <v>43852</v>
      </c>
      <c r="R2104" t="s">
        <v>538</v>
      </c>
      <c r="S2104" t="s">
        <v>78</v>
      </c>
      <c r="T2104" t="s">
        <v>79</v>
      </c>
      <c r="U2104" t="s">
        <v>42</v>
      </c>
      <c r="V2104">
        <v>1200000</v>
      </c>
      <c r="W2104">
        <v>100000</v>
      </c>
      <c r="X2104" s="1">
        <v>43921</v>
      </c>
      <c r="Y2104" t="s">
        <v>51</v>
      </c>
      <c r="Z2104" t="s">
        <v>43</v>
      </c>
      <c r="AA2104" t="s">
        <v>80</v>
      </c>
      <c r="AB2104" t="s">
        <v>76</v>
      </c>
      <c r="AC2104" t="s">
        <v>81</v>
      </c>
      <c r="AF2104" t="s">
        <v>59</v>
      </c>
      <c r="AG2104" s="1">
        <v>43838</v>
      </c>
      <c r="AH2104" t="s">
        <v>42</v>
      </c>
      <c r="AI2104" t="s">
        <v>55</v>
      </c>
      <c r="AJ2104">
        <v>12788092</v>
      </c>
      <c r="AK2104">
        <v>250000</v>
      </c>
      <c r="AL2104">
        <v>1500000</v>
      </c>
    </row>
    <row r="2105" spans="1:38" x14ac:dyDescent="0.25">
      <c r="A2105" t="s">
        <v>522</v>
      </c>
      <c r="B2105" t="s">
        <v>539</v>
      </c>
      <c r="C2105" t="s">
        <v>71</v>
      </c>
      <c r="D2105" s="1">
        <v>43284</v>
      </c>
      <c r="E2105" s="1">
        <v>43648</v>
      </c>
      <c r="F2105" t="s">
        <v>77</v>
      </c>
      <c r="G2105">
        <v>1</v>
      </c>
      <c r="H2105" t="s">
        <v>42</v>
      </c>
      <c r="I2105" t="s">
        <v>43</v>
      </c>
      <c r="J2105" t="s">
        <v>77</v>
      </c>
      <c r="K2105" t="s">
        <v>44</v>
      </c>
      <c r="L2105">
        <v>37500</v>
      </c>
      <c r="M2105" s="1">
        <v>43284</v>
      </c>
      <c r="N2105" t="s">
        <v>45</v>
      </c>
      <c r="O2105" t="s">
        <v>46</v>
      </c>
      <c r="P2105" t="s">
        <v>47</v>
      </c>
      <c r="Q2105" s="1">
        <v>43852</v>
      </c>
      <c r="R2105" t="s">
        <v>48</v>
      </c>
      <c r="S2105" t="s">
        <v>233</v>
      </c>
      <c r="T2105" t="s">
        <v>234</v>
      </c>
      <c r="U2105" t="s">
        <v>42</v>
      </c>
      <c r="V2105">
        <v>0</v>
      </c>
      <c r="W2105">
        <v>100000</v>
      </c>
      <c r="X2105" s="1">
        <v>43982</v>
      </c>
      <c r="Y2105" t="s">
        <v>51</v>
      </c>
      <c r="Z2105" t="s">
        <v>43</v>
      </c>
      <c r="AA2105" t="s">
        <v>77</v>
      </c>
      <c r="AB2105" t="s">
        <v>158</v>
      </c>
      <c r="AC2105" t="s">
        <v>235</v>
      </c>
      <c r="AF2105" t="s">
        <v>54</v>
      </c>
      <c r="AG2105" s="1">
        <v>43832</v>
      </c>
      <c r="AH2105" t="s">
        <v>42</v>
      </c>
      <c r="AI2105" t="s">
        <v>55</v>
      </c>
      <c r="AJ2105">
        <v>12788092</v>
      </c>
      <c r="AK2105">
        <v>250000</v>
      </c>
      <c r="AL2105">
        <v>1500000</v>
      </c>
    </row>
    <row r="2106" spans="1:38" x14ac:dyDescent="0.25">
      <c r="A2106" t="s">
        <v>522</v>
      </c>
      <c r="B2106" t="s">
        <v>539</v>
      </c>
      <c r="C2106" t="s">
        <v>71</v>
      </c>
      <c r="D2106" s="1">
        <v>43284</v>
      </c>
      <c r="E2106" s="1">
        <v>43648</v>
      </c>
      <c r="F2106" t="s">
        <v>77</v>
      </c>
      <c r="G2106">
        <v>1</v>
      </c>
      <c r="H2106" t="s">
        <v>42</v>
      </c>
      <c r="I2106" t="s">
        <v>43</v>
      </c>
      <c r="J2106" t="s">
        <v>77</v>
      </c>
      <c r="K2106" t="s">
        <v>44</v>
      </c>
      <c r="L2106">
        <v>37500</v>
      </c>
      <c r="M2106" s="1">
        <v>43284</v>
      </c>
      <c r="N2106" t="s">
        <v>45</v>
      </c>
      <c r="O2106" t="s">
        <v>46</v>
      </c>
      <c r="P2106" t="s">
        <v>47</v>
      </c>
      <c r="Q2106" s="1">
        <v>43852</v>
      </c>
      <c r="R2106" t="s">
        <v>48</v>
      </c>
      <c r="S2106" t="s">
        <v>233</v>
      </c>
      <c r="T2106" t="s">
        <v>234</v>
      </c>
      <c r="U2106" t="s">
        <v>42</v>
      </c>
      <c r="V2106">
        <v>0</v>
      </c>
      <c r="W2106">
        <v>100000</v>
      </c>
      <c r="X2106" s="1">
        <v>43982</v>
      </c>
      <c r="Y2106" t="s">
        <v>51</v>
      </c>
      <c r="Z2106" t="s">
        <v>43</v>
      </c>
      <c r="AA2106" t="s">
        <v>77</v>
      </c>
      <c r="AB2106" t="s">
        <v>158</v>
      </c>
      <c r="AC2106" t="s">
        <v>235</v>
      </c>
      <c r="AF2106" t="s">
        <v>56</v>
      </c>
      <c r="AG2106" s="1">
        <v>43833</v>
      </c>
      <c r="AH2106" t="s">
        <v>42</v>
      </c>
      <c r="AI2106" t="s">
        <v>55</v>
      </c>
      <c r="AJ2106">
        <v>12788092</v>
      </c>
      <c r="AK2106">
        <v>250000</v>
      </c>
      <c r="AL2106">
        <v>1500000</v>
      </c>
    </row>
    <row r="2107" spans="1:38" x14ac:dyDescent="0.25">
      <c r="A2107" t="s">
        <v>522</v>
      </c>
      <c r="B2107" t="s">
        <v>539</v>
      </c>
      <c r="C2107" t="s">
        <v>71</v>
      </c>
      <c r="D2107" s="1">
        <v>43284</v>
      </c>
      <c r="E2107" s="1">
        <v>43648</v>
      </c>
      <c r="F2107" t="s">
        <v>77</v>
      </c>
      <c r="G2107">
        <v>1</v>
      </c>
      <c r="H2107" t="s">
        <v>42</v>
      </c>
      <c r="I2107" t="s">
        <v>43</v>
      </c>
      <c r="J2107" t="s">
        <v>77</v>
      </c>
      <c r="K2107" t="s">
        <v>44</v>
      </c>
      <c r="L2107">
        <v>37500</v>
      </c>
      <c r="M2107" s="1">
        <v>43284</v>
      </c>
      <c r="N2107" t="s">
        <v>45</v>
      </c>
      <c r="O2107" t="s">
        <v>46</v>
      </c>
      <c r="P2107" t="s">
        <v>47</v>
      </c>
      <c r="Q2107" s="1">
        <v>43852</v>
      </c>
      <c r="R2107" t="s">
        <v>48</v>
      </c>
      <c r="S2107" t="s">
        <v>233</v>
      </c>
      <c r="T2107" t="s">
        <v>234</v>
      </c>
      <c r="U2107" t="s">
        <v>42</v>
      </c>
      <c r="V2107">
        <v>0</v>
      </c>
      <c r="W2107">
        <v>100000</v>
      </c>
      <c r="X2107" s="1">
        <v>43982</v>
      </c>
      <c r="Y2107" t="s">
        <v>51</v>
      </c>
      <c r="Z2107" t="s">
        <v>43</v>
      </c>
      <c r="AA2107" t="s">
        <v>77</v>
      </c>
      <c r="AB2107" t="s">
        <v>158</v>
      </c>
      <c r="AC2107" t="s">
        <v>235</v>
      </c>
      <c r="AF2107" t="s">
        <v>57</v>
      </c>
      <c r="AG2107" s="1">
        <v>43836</v>
      </c>
      <c r="AH2107" t="s">
        <v>42</v>
      </c>
      <c r="AI2107" t="s">
        <v>55</v>
      </c>
      <c r="AJ2107">
        <v>12788092</v>
      </c>
      <c r="AK2107">
        <v>250000</v>
      </c>
      <c r="AL2107">
        <v>1500000</v>
      </c>
    </row>
    <row r="2108" spans="1:38" x14ac:dyDescent="0.25">
      <c r="A2108" t="s">
        <v>522</v>
      </c>
      <c r="B2108" t="s">
        <v>539</v>
      </c>
      <c r="C2108" t="s">
        <v>71</v>
      </c>
      <c r="D2108" s="1">
        <v>43284</v>
      </c>
      <c r="E2108" s="1">
        <v>43648</v>
      </c>
      <c r="F2108" t="s">
        <v>77</v>
      </c>
      <c r="G2108">
        <v>1</v>
      </c>
      <c r="H2108" t="s">
        <v>42</v>
      </c>
      <c r="I2108" t="s">
        <v>43</v>
      </c>
      <c r="J2108" t="s">
        <v>77</v>
      </c>
      <c r="K2108" t="s">
        <v>44</v>
      </c>
      <c r="L2108">
        <v>37500</v>
      </c>
      <c r="M2108" s="1">
        <v>43284</v>
      </c>
      <c r="N2108" t="s">
        <v>45</v>
      </c>
      <c r="O2108" t="s">
        <v>46</v>
      </c>
      <c r="P2108" t="s">
        <v>47</v>
      </c>
      <c r="Q2108" s="1">
        <v>43852</v>
      </c>
      <c r="R2108" t="s">
        <v>48</v>
      </c>
      <c r="S2108" t="s">
        <v>233</v>
      </c>
      <c r="T2108" t="s">
        <v>234</v>
      </c>
      <c r="U2108" t="s">
        <v>42</v>
      </c>
      <c r="V2108">
        <v>0</v>
      </c>
      <c r="W2108">
        <v>100000</v>
      </c>
      <c r="X2108" s="1">
        <v>43982</v>
      </c>
      <c r="Y2108" t="s">
        <v>51</v>
      </c>
      <c r="Z2108" t="s">
        <v>43</v>
      </c>
      <c r="AA2108" t="s">
        <v>77</v>
      </c>
      <c r="AB2108" t="s">
        <v>158</v>
      </c>
      <c r="AC2108" t="s">
        <v>235</v>
      </c>
      <c r="AF2108" t="s">
        <v>58</v>
      </c>
      <c r="AG2108" s="1">
        <v>43837</v>
      </c>
      <c r="AH2108" t="s">
        <v>42</v>
      </c>
      <c r="AI2108" t="s">
        <v>55</v>
      </c>
      <c r="AJ2108">
        <v>12788092</v>
      </c>
      <c r="AK2108">
        <v>250000</v>
      </c>
      <c r="AL2108">
        <v>1500000</v>
      </c>
    </row>
    <row r="2109" spans="1:38" x14ac:dyDescent="0.25">
      <c r="A2109" t="s">
        <v>522</v>
      </c>
      <c r="B2109" t="s">
        <v>539</v>
      </c>
      <c r="C2109" t="s">
        <v>71</v>
      </c>
      <c r="D2109" s="1">
        <v>43284</v>
      </c>
      <c r="E2109" s="1">
        <v>43648</v>
      </c>
      <c r="F2109" t="s">
        <v>77</v>
      </c>
      <c r="G2109">
        <v>1</v>
      </c>
      <c r="H2109" t="s">
        <v>42</v>
      </c>
      <c r="I2109" t="s">
        <v>43</v>
      </c>
      <c r="J2109" t="s">
        <v>77</v>
      </c>
      <c r="K2109" t="s">
        <v>44</v>
      </c>
      <c r="L2109">
        <v>37500</v>
      </c>
      <c r="M2109" s="1">
        <v>43284</v>
      </c>
      <c r="N2109" t="s">
        <v>45</v>
      </c>
      <c r="O2109" t="s">
        <v>46</v>
      </c>
      <c r="P2109" t="s">
        <v>47</v>
      </c>
      <c r="Q2109" s="1">
        <v>43852</v>
      </c>
      <c r="R2109" t="s">
        <v>48</v>
      </c>
      <c r="S2109" t="s">
        <v>233</v>
      </c>
      <c r="T2109" t="s">
        <v>234</v>
      </c>
      <c r="U2109" t="s">
        <v>42</v>
      </c>
      <c r="V2109">
        <v>0</v>
      </c>
      <c r="W2109">
        <v>100000</v>
      </c>
      <c r="X2109" s="1">
        <v>43982</v>
      </c>
      <c r="Y2109" t="s">
        <v>51</v>
      </c>
      <c r="Z2109" t="s">
        <v>43</v>
      </c>
      <c r="AA2109" t="s">
        <v>77</v>
      </c>
      <c r="AB2109" t="s">
        <v>158</v>
      </c>
      <c r="AC2109" t="s">
        <v>235</v>
      </c>
      <c r="AF2109" t="s">
        <v>59</v>
      </c>
      <c r="AG2109" s="1">
        <v>43838</v>
      </c>
      <c r="AH2109" t="s">
        <v>42</v>
      </c>
      <c r="AI2109" t="s">
        <v>55</v>
      </c>
      <c r="AJ2109">
        <v>12788092</v>
      </c>
      <c r="AK2109">
        <v>250000</v>
      </c>
      <c r="AL2109">
        <v>1500000</v>
      </c>
    </row>
    <row r="2110" spans="1:38" x14ac:dyDescent="0.25">
      <c r="A2110" t="s">
        <v>522</v>
      </c>
      <c r="B2110" t="s">
        <v>540</v>
      </c>
      <c r="C2110" t="s">
        <v>40</v>
      </c>
      <c r="D2110" s="1">
        <v>43649</v>
      </c>
      <c r="E2110" s="1">
        <v>44014</v>
      </c>
      <c r="F2110" t="s">
        <v>77</v>
      </c>
      <c r="G2110">
        <v>1</v>
      </c>
      <c r="H2110" t="s">
        <v>42</v>
      </c>
      <c r="I2110" t="s">
        <v>43</v>
      </c>
      <c r="J2110" t="s">
        <v>77</v>
      </c>
      <c r="K2110" t="s">
        <v>44</v>
      </c>
      <c r="L2110">
        <v>35000</v>
      </c>
      <c r="M2110" s="1">
        <v>43649</v>
      </c>
      <c r="N2110" t="s">
        <v>45</v>
      </c>
      <c r="O2110" t="s">
        <v>44</v>
      </c>
      <c r="P2110" t="s">
        <v>47</v>
      </c>
      <c r="Q2110" s="1">
        <v>43852</v>
      </c>
      <c r="R2110" t="s">
        <v>48</v>
      </c>
      <c r="S2110" t="s">
        <v>233</v>
      </c>
      <c r="T2110" t="s">
        <v>234</v>
      </c>
      <c r="U2110" t="s">
        <v>42</v>
      </c>
      <c r="V2110">
        <v>0</v>
      </c>
      <c r="W2110">
        <v>100000</v>
      </c>
      <c r="X2110" s="1">
        <v>43982</v>
      </c>
      <c r="Y2110" t="s">
        <v>51</v>
      </c>
      <c r="Z2110" t="s">
        <v>43</v>
      </c>
      <c r="AA2110" t="s">
        <v>77</v>
      </c>
      <c r="AB2110" t="s">
        <v>158</v>
      </c>
      <c r="AC2110" t="s">
        <v>235</v>
      </c>
      <c r="AF2110" t="s">
        <v>54</v>
      </c>
      <c r="AG2110" s="1">
        <v>43832</v>
      </c>
      <c r="AH2110" t="s">
        <v>42</v>
      </c>
      <c r="AI2110" t="s">
        <v>55</v>
      </c>
      <c r="AJ2110">
        <v>12788092</v>
      </c>
      <c r="AK2110">
        <v>250000</v>
      </c>
      <c r="AL2110">
        <v>1500000</v>
      </c>
    </row>
    <row r="2111" spans="1:38" x14ac:dyDescent="0.25">
      <c r="A2111" t="s">
        <v>522</v>
      </c>
      <c r="B2111" t="s">
        <v>540</v>
      </c>
      <c r="C2111" t="s">
        <v>40</v>
      </c>
      <c r="D2111" s="1">
        <v>43649</v>
      </c>
      <c r="E2111" s="1">
        <v>44014</v>
      </c>
      <c r="F2111" t="s">
        <v>77</v>
      </c>
      <c r="G2111">
        <v>1</v>
      </c>
      <c r="H2111" t="s">
        <v>42</v>
      </c>
      <c r="I2111" t="s">
        <v>43</v>
      </c>
      <c r="J2111" t="s">
        <v>77</v>
      </c>
      <c r="K2111" t="s">
        <v>44</v>
      </c>
      <c r="L2111">
        <v>35000</v>
      </c>
      <c r="M2111" s="1">
        <v>43649</v>
      </c>
      <c r="N2111" t="s">
        <v>45</v>
      </c>
      <c r="O2111" t="s">
        <v>44</v>
      </c>
      <c r="P2111" t="s">
        <v>47</v>
      </c>
      <c r="Q2111" s="1">
        <v>43852</v>
      </c>
      <c r="R2111" t="s">
        <v>48</v>
      </c>
      <c r="S2111" t="s">
        <v>233</v>
      </c>
      <c r="T2111" t="s">
        <v>234</v>
      </c>
      <c r="U2111" t="s">
        <v>42</v>
      </c>
      <c r="V2111">
        <v>0</v>
      </c>
      <c r="W2111">
        <v>100000</v>
      </c>
      <c r="X2111" s="1">
        <v>43982</v>
      </c>
      <c r="Y2111" t="s">
        <v>51</v>
      </c>
      <c r="Z2111" t="s">
        <v>43</v>
      </c>
      <c r="AA2111" t="s">
        <v>77</v>
      </c>
      <c r="AB2111" t="s">
        <v>158</v>
      </c>
      <c r="AC2111" t="s">
        <v>235</v>
      </c>
      <c r="AF2111" t="s">
        <v>56</v>
      </c>
      <c r="AG2111" s="1">
        <v>43833</v>
      </c>
      <c r="AH2111" t="s">
        <v>42</v>
      </c>
      <c r="AI2111" t="s">
        <v>55</v>
      </c>
      <c r="AJ2111">
        <v>12788092</v>
      </c>
      <c r="AK2111">
        <v>250000</v>
      </c>
      <c r="AL2111">
        <v>1500000</v>
      </c>
    </row>
    <row r="2112" spans="1:38" x14ac:dyDescent="0.25">
      <c r="A2112" t="s">
        <v>522</v>
      </c>
      <c r="B2112" t="s">
        <v>540</v>
      </c>
      <c r="C2112" t="s">
        <v>40</v>
      </c>
      <c r="D2112" s="1">
        <v>43649</v>
      </c>
      <c r="E2112" s="1">
        <v>44014</v>
      </c>
      <c r="F2112" t="s">
        <v>77</v>
      </c>
      <c r="G2112">
        <v>1</v>
      </c>
      <c r="H2112" t="s">
        <v>42</v>
      </c>
      <c r="I2112" t="s">
        <v>43</v>
      </c>
      <c r="J2112" t="s">
        <v>77</v>
      </c>
      <c r="K2112" t="s">
        <v>44</v>
      </c>
      <c r="L2112">
        <v>35000</v>
      </c>
      <c r="M2112" s="1">
        <v>43649</v>
      </c>
      <c r="N2112" t="s">
        <v>45</v>
      </c>
      <c r="O2112" t="s">
        <v>44</v>
      </c>
      <c r="P2112" t="s">
        <v>47</v>
      </c>
      <c r="Q2112" s="1">
        <v>43852</v>
      </c>
      <c r="R2112" t="s">
        <v>48</v>
      </c>
      <c r="S2112" t="s">
        <v>233</v>
      </c>
      <c r="T2112" t="s">
        <v>234</v>
      </c>
      <c r="U2112" t="s">
        <v>42</v>
      </c>
      <c r="V2112">
        <v>0</v>
      </c>
      <c r="W2112">
        <v>100000</v>
      </c>
      <c r="X2112" s="1">
        <v>43982</v>
      </c>
      <c r="Y2112" t="s">
        <v>51</v>
      </c>
      <c r="Z2112" t="s">
        <v>43</v>
      </c>
      <c r="AA2112" t="s">
        <v>77</v>
      </c>
      <c r="AB2112" t="s">
        <v>158</v>
      </c>
      <c r="AC2112" t="s">
        <v>235</v>
      </c>
      <c r="AF2112" t="s">
        <v>57</v>
      </c>
      <c r="AG2112" s="1">
        <v>43836</v>
      </c>
      <c r="AH2112" t="s">
        <v>42</v>
      </c>
      <c r="AI2112" t="s">
        <v>55</v>
      </c>
      <c r="AJ2112">
        <v>12788092</v>
      </c>
      <c r="AK2112">
        <v>250000</v>
      </c>
      <c r="AL2112">
        <v>1500000</v>
      </c>
    </row>
    <row r="2113" spans="1:38" x14ac:dyDescent="0.25">
      <c r="A2113" t="s">
        <v>522</v>
      </c>
      <c r="B2113" t="s">
        <v>540</v>
      </c>
      <c r="C2113" t="s">
        <v>40</v>
      </c>
      <c r="D2113" s="1">
        <v>43649</v>
      </c>
      <c r="E2113" s="1">
        <v>44014</v>
      </c>
      <c r="F2113" t="s">
        <v>77</v>
      </c>
      <c r="G2113">
        <v>1</v>
      </c>
      <c r="H2113" t="s">
        <v>42</v>
      </c>
      <c r="I2113" t="s">
        <v>43</v>
      </c>
      <c r="J2113" t="s">
        <v>77</v>
      </c>
      <c r="K2113" t="s">
        <v>44</v>
      </c>
      <c r="L2113">
        <v>35000</v>
      </c>
      <c r="M2113" s="1">
        <v>43649</v>
      </c>
      <c r="N2113" t="s">
        <v>45</v>
      </c>
      <c r="O2113" t="s">
        <v>44</v>
      </c>
      <c r="P2113" t="s">
        <v>47</v>
      </c>
      <c r="Q2113" s="1">
        <v>43852</v>
      </c>
      <c r="R2113" t="s">
        <v>48</v>
      </c>
      <c r="S2113" t="s">
        <v>233</v>
      </c>
      <c r="T2113" t="s">
        <v>234</v>
      </c>
      <c r="U2113" t="s">
        <v>42</v>
      </c>
      <c r="V2113">
        <v>0</v>
      </c>
      <c r="W2113">
        <v>100000</v>
      </c>
      <c r="X2113" s="1">
        <v>43982</v>
      </c>
      <c r="Y2113" t="s">
        <v>51</v>
      </c>
      <c r="Z2113" t="s">
        <v>43</v>
      </c>
      <c r="AA2113" t="s">
        <v>77</v>
      </c>
      <c r="AB2113" t="s">
        <v>158</v>
      </c>
      <c r="AC2113" t="s">
        <v>235</v>
      </c>
      <c r="AF2113" t="s">
        <v>58</v>
      </c>
      <c r="AG2113" s="1">
        <v>43837</v>
      </c>
      <c r="AH2113" t="s">
        <v>42</v>
      </c>
      <c r="AI2113" t="s">
        <v>55</v>
      </c>
      <c r="AJ2113">
        <v>12788092</v>
      </c>
      <c r="AK2113">
        <v>250000</v>
      </c>
      <c r="AL2113">
        <v>1500000</v>
      </c>
    </row>
    <row r="2114" spans="1:38" x14ac:dyDescent="0.25">
      <c r="A2114" t="s">
        <v>522</v>
      </c>
      <c r="B2114" t="s">
        <v>540</v>
      </c>
      <c r="C2114" t="s">
        <v>40</v>
      </c>
      <c r="D2114" s="1">
        <v>43649</v>
      </c>
      <c r="E2114" s="1">
        <v>44014</v>
      </c>
      <c r="F2114" t="s">
        <v>77</v>
      </c>
      <c r="G2114">
        <v>1</v>
      </c>
      <c r="H2114" t="s">
        <v>42</v>
      </c>
      <c r="I2114" t="s">
        <v>43</v>
      </c>
      <c r="J2114" t="s">
        <v>77</v>
      </c>
      <c r="K2114" t="s">
        <v>44</v>
      </c>
      <c r="L2114">
        <v>35000</v>
      </c>
      <c r="M2114" s="1">
        <v>43649</v>
      </c>
      <c r="N2114" t="s">
        <v>45</v>
      </c>
      <c r="O2114" t="s">
        <v>44</v>
      </c>
      <c r="P2114" t="s">
        <v>47</v>
      </c>
      <c r="Q2114" s="1">
        <v>43852</v>
      </c>
      <c r="R2114" t="s">
        <v>48</v>
      </c>
      <c r="S2114" t="s">
        <v>233</v>
      </c>
      <c r="T2114" t="s">
        <v>234</v>
      </c>
      <c r="U2114" t="s">
        <v>42</v>
      </c>
      <c r="V2114">
        <v>0</v>
      </c>
      <c r="W2114">
        <v>100000</v>
      </c>
      <c r="X2114" s="1">
        <v>43982</v>
      </c>
      <c r="Y2114" t="s">
        <v>51</v>
      </c>
      <c r="Z2114" t="s">
        <v>43</v>
      </c>
      <c r="AA2114" t="s">
        <v>77</v>
      </c>
      <c r="AB2114" t="s">
        <v>158</v>
      </c>
      <c r="AC2114" t="s">
        <v>235</v>
      </c>
      <c r="AF2114" t="s">
        <v>59</v>
      </c>
      <c r="AG2114" s="1">
        <v>43838</v>
      </c>
      <c r="AH2114" t="s">
        <v>42</v>
      </c>
      <c r="AI2114" t="s">
        <v>55</v>
      </c>
      <c r="AJ2114">
        <v>12788092</v>
      </c>
      <c r="AK2114">
        <v>250000</v>
      </c>
      <c r="AL2114">
        <v>1500000</v>
      </c>
    </row>
    <row r="2115" spans="1:38" x14ac:dyDescent="0.25">
      <c r="A2115" t="s">
        <v>522</v>
      </c>
      <c r="B2115" s="2">
        <v>9.9E+19</v>
      </c>
      <c r="C2115" t="s">
        <v>71</v>
      </c>
      <c r="D2115" s="1">
        <v>42792</v>
      </c>
      <c r="E2115" s="1">
        <v>43156</v>
      </c>
      <c r="F2115" t="s">
        <v>72</v>
      </c>
      <c r="G2115">
        <v>1</v>
      </c>
      <c r="H2115" t="s">
        <v>42</v>
      </c>
      <c r="I2115" t="s">
        <v>43</v>
      </c>
      <c r="J2115" t="s">
        <v>73</v>
      </c>
      <c r="K2115" t="s">
        <v>127</v>
      </c>
      <c r="L2115">
        <v>992.51</v>
      </c>
      <c r="M2115" s="1">
        <v>43156</v>
      </c>
      <c r="N2115" t="s">
        <v>45</v>
      </c>
      <c r="O2115" t="s">
        <v>361</v>
      </c>
      <c r="P2115" t="s">
        <v>47</v>
      </c>
      <c r="Q2115" s="1">
        <v>43852</v>
      </c>
      <c r="R2115" t="s">
        <v>48</v>
      </c>
    </row>
    <row r="2116" spans="1:38" x14ac:dyDescent="0.25">
      <c r="A2116" t="s">
        <v>522</v>
      </c>
      <c r="B2116" s="2">
        <v>9.9E+19</v>
      </c>
      <c r="C2116" t="s">
        <v>40</v>
      </c>
      <c r="D2116" s="1">
        <v>42792</v>
      </c>
      <c r="E2116" s="1">
        <v>43156</v>
      </c>
      <c r="F2116" t="s">
        <v>72</v>
      </c>
      <c r="G2116">
        <v>1</v>
      </c>
      <c r="H2116" t="s">
        <v>42</v>
      </c>
      <c r="I2116" t="s">
        <v>43</v>
      </c>
      <c r="J2116" t="s">
        <v>73</v>
      </c>
      <c r="K2116" t="s">
        <v>127</v>
      </c>
      <c r="L2116">
        <v>992.51</v>
      </c>
      <c r="M2116" s="1">
        <v>43156</v>
      </c>
      <c r="N2116" t="s">
        <v>45</v>
      </c>
      <c r="O2116" t="s">
        <v>46</v>
      </c>
      <c r="P2116" t="s">
        <v>47</v>
      </c>
      <c r="Q2116" s="1">
        <v>43852</v>
      </c>
      <c r="R2116" t="s">
        <v>48</v>
      </c>
    </row>
    <row r="2117" spans="1:38" x14ac:dyDescent="0.25">
      <c r="A2117" t="s">
        <v>522</v>
      </c>
      <c r="B2117" s="2">
        <v>9.9E+19</v>
      </c>
      <c r="C2117" t="s">
        <v>71</v>
      </c>
      <c r="D2117" s="1">
        <v>42735</v>
      </c>
      <c r="E2117" s="1">
        <v>43099</v>
      </c>
      <c r="F2117" t="s">
        <v>72</v>
      </c>
      <c r="G2117">
        <v>1</v>
      </c>
      <c r="H2117" t="s">
        <v>42</v>
      </c>
      <c r="I2117" t="s">
        <v>43</v>
      </c>
      <c r="J2117" t="s">
        <v>73</v>
      </c>
      <c r="K2117" t="s">
        <v>127</v>
      </c>
      <c r="L2117">
        <v>377079.15</v>
      </c>
      <c r="M2117" s="1">
        <v>42735</v>
      </c>
      <c r="N2117" t="s">
        <v>45</v>
      </c>
      <c r="O2117" t="s">
        <v>361</v>
      </c>
      <c r="P2117" t="s">
        <v>47</v>
      </c>
      <c r="Q2117" s="1">
        <v>43852</v>
      </c>
      <c r="R2117" t="s">
        <v>48</v>
      </c>
    </row>
    <row r="2118" spans="1:38" x14ac:dyDescent="0.25">
      <c r="A2118" t="s">
        <v>522</v>
      </c>
      <c r="B2118" s="2">
        <v>9.9E+19</v>
      </c>
      <c r="C2118" t="s">
        <v>71</v>
      </c>
      <c r="D2118" s="1">
        <v>42914</v>
      </c>
      <c r="E2118" s="1">
        <v>43278</v>
      </c>
      <c r="F2118" t="s">
        <v>72</v>
      </c>
      <c r="G2118">
        <v>1</v>
      </c>
      <c r="H2118" t="s">
        <v>42</v>
      </c>
      <c r="I2118" t="s">
        <v>43</v>
      </c>
      <c r="J2118" t="s">
        <v>73</v>
      </c>
      <c r="K2118" t="s">
        <v>127</v>
      </c>
      <c r="L2118">
        <v>61251.58</v>
      </c>
      <c r="M2118" s="1">
        <v>42914</v>
      </c>
      <c r="N2118" t="s">
        <v>45</v>
      </c>
      <c r="O2118" t="s">
        <v>46</v>
      </c>
      <c r="P2118" t="s">
        <v>47</v>
      </c>
      <c r="Q2118" s="1">
        <v>43852</v>
      </c>
      <c r="R2118" t="s">
        <v>48</v>
      </c>
    </row>
    <row r="2119" spans="1:38" x14ac:dyDescent="0.25">
      <c r="A2119" t="s">
        <v>522</v>
      </c>
      <c r="B2119" t="s">
        <v>541</v>
      </c>
      <c r="C2119" t="s">
        <v>71</v>
      </c>
      <c r="D2119" s="1">
        <v>42914</v>
      </c>
      <c r="E2119" s="1">
        <v>43278</v>
      </c>
      <c r="F2119" t="s">
        <v>72</v>
      </c>
      <c r="G2119">
        <v>1</v>
      </c>
      <c r="H2119" t="s">
        <v>42</v>
      </c>
      <c r="I2119" t="s">
        <v>43</v>
      </c>
      <c r="J2119" t="s">
        <v>73</v>
      </c>
      <c r="K2119" t="s">
        <v>127</v>
      </c>
      <c r="L2119">
        <v>62070.81</v>
      </c>
      <c r="M2119" s="1">
        <v>42914</v>
      </c>
      <c r="N2119" t="s">
        <v>45</v>
      </c>
      <c r="O2119" t="s">
        <v>46</v>
      </c>
      <c r="P2119" t="s">
        <v>47</v>
      </c>
      <c r="Q2119" s="1">
        <v>43852</v>
      </c>
      <c r="R2119" t="s">
        <v>48</v>
      </c>
    </row>
    <row r="2120" spans="1:38" x14ac:dyDescent="0.25">
      <c r="A2120" t="s">
        <v>522</v>
      </c>
      <c r="B2120" s="2">
        <v>9.9E+19</v>
      </c>
      <c r="C2120" t="s">
        <v>40</v>
      </c>
      <c r="D2120" s="1">
        <v>42922</v>
      </c>
      <c r="E2120" s="1">
        <v>43286</v>
      </c>
      <c r="F2120" t="s">
        <v>72</v>
      </c>
      <c r="G2120">
        <v>1</v>
      </c>
      <c r="H2120" t="s">
        <v>42</v>
      </c>
      <c r="I2120" t="s">
        <v>43</v>
      </c>
      <c r="J2120" t="s">
        <v>73</v>
      </c>
      <c r="K2120" t="s">
        <v>127</v>
      </c>
      <c r="L2120">
        <v>1261.8399999999999</v>
      </c>
      <c r="M2120" s="1">
        <v>42922</v>
      </c>
      <c r="N2120" t="s">
        <v>45</v>
      </c>
      <c r="O2120" t="s">
        <v>46</v>
      </c>
      <c r="P2120" t="s">
        <v>47</v>
      </c>
      <c r="Q2120" s="1">
        <v>43852</v>
      </c>
      <c r="R2120" t="s">
        <v>48</v>
      </c>
    </row>
    <row r="2121" spans="1:38" x14ac:dyDescent="0.25">
      <c r="A2121" t="s">
        <v>522</v>
      </c>
      <c r="B2121" s="2">
        <v>9.9E+19</v>
      </c>
      <c r="C2121" t="s">
        <v>71</v>
      </c>
      <c r="D2121" s="1">
        <v>43101</v>
      </c>
      <c r="E2121" s="1">
        <v>43465</v>
      </c>
      <c r="F2121" t="s">
        <v>72</v>
      </c>
      <c r="G2121">
        <v>1</v>
      </c>
      <c r="H2121" t="s">
        <v>42</v>
      </c>
      <c r="I2121" t="s">
        <v>43</v>
      </c>
      <c r="J2121" t="s">
        <v>73</v>
      </c>
      <c r="K2121" t="s">
        <v>127</v>
      </c>
      <c r="L2121">
        <v>349157.16</v>
      </c>
      <c r="M2121" s="1">
        <v>43101</v>
      </c>
      <c r="N2121" t="s">
        <v>45</v>
      </c>
      <c r="O2121" t="s">
        <v>361</v>
      </c>
      <c r="P2121" t="s">
        <v>47</v>
      </c>
      <c r="Q2121" s="1">
        <v>43852</v>
      </c>
      <c r="R2121" t="s">
        <v>48</v>
      </c>
    </row>
    <row r="2122" spans="1:38" x14ac:dyDescent="0.25">
      <c r="A2122" t="s">
        <v>522</v>
      </c>
      <c r="B2122" t="s">
        <v>542</v>
      </c>
      <c r="C2122" t="s">
        <v>71</v>
      </c>
      <c r="D2122" s="1">
        <v>43145</v>
      </c>
      <c r="E2122" s="1">
        <v>43509</v>
      </c>
      <c r="F2122" t="s">
        <v>72</v>
      </c>
      <c r="G2122">
        <v>1</v>
      </c>
      <c r="H2122" t="s">
        <v>42</v>
      </c>
      <c r="I2122" t="s">
        <v>43</v>
      </c>
      <c r="J2122" t="s">
        <v>115</v>
      </c>
      <c r="K2122" t="s">
        <v>44</v>
      </c>
      <c r="L2122">
        <v>107689.68</v>
      </c>
      <c r="M2122" s="1">
        <v>43145</v>
      </c>
      <c r="N2122" t="s">
        <v>45</v>
      </c>
      <c r="O2122" t="s">
        <v>46</v>
      </c>
      <c r="P2122" t="s">
        <v>47</v>
      </c>
      <c r="Q2122" s="1">
        <v>43852</v>
      </c>
      <c r="R2122" t="s">
        <v>48</v>
      </c>
    </row>
    <row r="2123" spans="1:38" x14ac:dyDescent="0.25">
      <c r="A2123" t="s">
        <v>522</v>
      </c>
      <c r="B2123" t="s">
        <v>543</v>
      </c>
      <c r="C2123" t="s">
        <v>71</v>
      </c>
      <c r="D2123" s="1">
        <v>43301</v>
      </c>
      <c r="E2123" s="1">
        <v>43665</v>
      </c>
      <c r="F2123" t="s">
        <v>72</v>
      </c>
      <c r="G2123">
        <v>1</v>
      </c>
      <c r="H2123" t="s">
        <v>42</v>
      </c>
      <c r="I2123" t="s">
        <v>43</v>
      </c>
      <c r="J2123" t="s">
        <v>115</v>
      </c>
      <c r="K2123" t="s">
        <v>44</v>
      </c>
      <c r="L2123">
        <v>5417.97</v>
      </c>
      <c r="M2123" s="1">
        <v>43301</v>
      </c>
      <c r="N2123" t="s">
        <v>45</v>
      </c>
      <c r="O2123" t="s">
        <v>46</v>
      </c>
      <c r="P2123" t="s">
        <v>47</v>
      </c>
      <c r="Q2123" s="1">
        <v>43852</v>
      </c>
      <c r="R2123" t="s">
        <v>48</v>
      </c>
    </row>
    <row r="2124" spans="1:38" x14ac:dyDescent="0.25">
      <c r="A2124" t="s">
        <v>522</v>
      </c>
      <c r="B2124" s="2">
        <v>9.9E+19</v>
      </c>
      <c r="C2124" t="s">
        <v>71</v>
      </c>
      <c r="D2124" s="1">
        <v>43279</v>
      </c>
      <c r="E2124" s="1">
        <v>43643</v>
      </c>
      <c r="F2124" t="s">
        <v>72</v>
      </c>
      <c r="G2124">
        <v>1</v>
      </c>
      <c r="H2124" t="s">
        <v>42</v>
      </c>
      <c r="I2124" t="s">
        <v>43</v>
      </c>
      <c r="J2124" t="s">
        <v>73</v>
      </c>
      <c r="K2124" t="s">
        <v>127</v>
      </c>
      <c r="L2124">
        <v>61936.46</v>
      </c>
      <c r="M2124" s="1">
        <v>43279</v>
      </c>
      <c r="N2124" t="s">
        <v>45</v>
      </c>
      <c r="O2124" t="s">
        <v>44</v>
      </c>
      <c r="P2124" t="s">
        <v>47</v>
      </c>
      <c r="Q2124" s="1">
        <v>43852</v>
      </c>
      <c r="R2124" t="s">
        <v>48</v>
      </c>
    </row>
    <row r="2125" spans="1:38" x14ac:dyDescent="0.25">
      <c r="A2125" t="s">
        <v>522</v>
      </c>
      <c r="B2125" s="2">
        <v>9.9E+19</v>
      </c>
      <c r="C2125" t="s">
        <v>71</v>
      </c>
      <c r="D2125" s="1">
        <v>43279</v>
      </c>
      <c r="E2125" s="1">
        <v>43643</v>
      </c>
      <c r="F2125" t="s">
        <v>72</v>
      </c>
      <c r="G2125">
        <v>1</v>
      </c>
      <c r="H2125" t="s">
        <v>42</v>
      </c>
      <c r="I2125" t="s">
        <v>43</v>
      </c>
      <c r="J2125" t="s">
        <v>73</v>
      </c>
      <c r="K2125" t="s">
        <v>127</v>
      </c>
      <c r="L2125">
        <v>56276.26</v>
      </c>
      <c r="M2125" s="1">
        <v>43279</v>
      </c>
      <c r="N2125" t="s">
        <v>45</v>
      </c>
      <c r="O2125" t="s">
        <v>44</v>
      </c>
      <c r="P2125" t="s">
        <v>47</v>
      </c>
      <c r="Q2125" s="1">
        <v>43852</v>
      </c>
      <c r="R2125" t="s">
        <v>48</v>
      </c>
    </row>
    <row r="2126" spans="1:38" x14ac:dyDescent="0.25">
      <c r="A2126" t="s">
        <v>522</v>
      </c>
      <c r="B2126" t="s">
        <v>544</v>
      </c>
      <c r="C2126" t="s">
        <v>40</v>
      </c>
      <c r="D2126" s="1">
        <v>43466</v>
      </c>
      <c r="E2126" s="1">
        <v>43830</v>
      </c>
      <c r="F2126" t="s">
        <v>72</v>
      </c>
      <c r="G2126">
        <v>1</v>
      </c>
      <c r="H2126" t="s">
        <v>42</v>
      </c>
      <c r="I2126" t="s">
        <v>43</v>
      </c>
      <c r="J2126" t="s">
        <v>73</v>
      </c>
      <c r="K2126" t="s">
        <v>127</v>
      </c>
      <c r="L2126">
        <v>399509.89</v>
      </c>
      <c r="M2126" s="1">
        <v>43466</v>
      </c>
      <c r="N2126" t="s">
        <v>45</v>
      </c>
      <c r="O2126" t="s">
        <v>44</v>
      </c>
      <c r="P2126" t="s">
        <v>47</v>
      </c>
      <c r="Q2126" s="1">
        <v>43852</v>
      </c>
      <c r="R2126" t="s">
        <v>48</v>
      </c>
    </row>
    <row r="2127" spans="1:38" x14ac:dyDescent="0.25">
      <c r="A2127" t="s">
        <v>522</v>
      </c>
      <c r="B2127" t="s">
        <v>545</v>
      </c>
      <c r="C2127" t="s">
        <v>40</v>
      </c>
      <c r="D2127" s="1">
        <v>43481</v>
      </c>
      <c r="E2127" s="1">
        <v>43845</v>
      </c>
      <c r="F2127" t="s">
        <v>72</v>
      </c>
      <c r="G2127">
        <v>1</v>
      </c>
      <c r="H2127" t="s">
        <v>42</v>
      </c>
      <c r="I2127" t="s">
        <v>43</v>
      </c>
      <c r="J2127" t="s">
        <v>115</v>
      </c>
      <c r="K2127" t="s">
        <v>44</v>
      </c>
      <c r="L2127">
        <v>98931.05</v>
      </c>
      <c r="M2127" s="1">
        <v>43481</v>
      </c>
      <c r="N2127" t="s">
        <v>45</v>
      </c>
      <c r="O2127" t="s">
        <v>46</v>
      </c>
      <c r="P2127" t="s">
        <v>47</v>
      </c>
      <c r="Q2127" s="1">
        <v>43852</v>
      </c>
      <c r="R2127" t="s">
        <v>48</v>
      </c>
    </row>
    <row r="2128" spans="1:38" x14ac:dyDescent="0.25">
      <c r="A2128" t="s">
        <v>522</v>
      </c>
      <c r="B2128" t="s">
        <v>546</v>
      </c>
      <c r="C2128" t="s">
        <v>40</v>
      </c>
      <c r="D2128" s="1">
        <v>43510</v>
      </c>
      <c r="E2128" s="1">
        <v>43874</v>
      </c>
      <c r="F2128" t="s">
        <v>72</v>
      </c>
      <c r="G2128">
        <v>1</v>
      </c>
      <c r="H2128" t="s">
        <v>42</v>
      </c>
      <c r="I2128" t="s">
        <v>43</v>
      </c>
      <c r="J2128" t="s">
        <v>115</v>
      </c>
      <c r="K2128" t="s">
        <v>44</v>
      </c>
      <c r="L2128">
        <v>1610</v>
      </c>
      <c r="M2128" s="1">
        <v>43510</v>
      </c>
      <c r="N2128" t="s">
        <v>45</v>
      </c>
      <c r="O2128" t="s">
        <v>46</v>
      </c>
      <c r="P2128" t="s">
        <v>47</v>
      </c>
      <c r="Q2128" s="1">
        <v>43852</v>
      </c>
      <c r="R2128" t="s">
        <v>48</v>
      </c>
    </row>
    <row r="2129" spans="1:38" x14ac:dyDescent="0.25">
      <c r="A2129" t="s">
        <v>522</v>
      </c>
      <c r="B2129" t="s">
        <v>547</v>
      </c>
      <c r="C2129" t="s">
        <v>40</v>
      </c>
      <c r="D2129" s="1">
        <v>43510</v>
      </c>
      <c r="E2129" s="1">
        <v>43874</v>
      </c>
      <c r="F2129" t="s">
        <v>72</v>
      </c>
      <c r="G2129">
        <v>1</v>
      </c>
      <c r="H2129" t="s">
        <v>42</v>
      </c>
      <c r="I2129" t="s">
        <v>43</v>
      </c>
      <c r="J2129" t="s">
        <v>115</v>
      </c>
      <c r="K2129" t="s">
        <v>44</v>
      </c>
      <c r="L2129">
        <v>131090.46</v>
      </c>
      <c r="M2129" s="1">
        <v>43522</v>
      </c>
      <c r="N2129" t="s">
        <v>45</v>
      </c>
      <c r="O2129" t="s">
        <v>44</v>
      </c>
      <c r="P2129" t="s">
        <v>47</v>
      </c>
      <c r="Q2129" s="1">
        <v>43852</v>
      </c>
      <c r="R2129" t="s">
        <v>48</v>
      </c>
    </row>
    <row r="2130" spans="1:38" x14ac:dyDescent="0.25">
      <c r="A2130" t="s">
        <v>522</v>
      </c>
      <c r="B2130" t="s">
        <v>548</v>
      </c>
      <c r="C2130" t="s">
        <v>40</v>
      </c>
      <c r="D2130" s="1">
        <v>43540</v>
      </c>
      <c r="E2130" s="1">
        <v>43905</v>
      </c>
      <c r="F2130" t="s">
        <v>72</v>
      </c>
      <c r="G2130">
        <v>1</v>
      </c>
      <c r="H2130" t="s">
        <v>42</v>
      </c>
      <c r="I2130" t="s">
        <v>43</v>
      </c>
      <c r="J2130" t="s">
        <v>115</v>
      </c>
      <c r="K2130" t="s">
        <v>44</v>
      </c>
      <c r="L2130">
        <v>2056.4299999999998</v>
      </c>
      <c r="M2130" s="1">
        <v>43540</v>
      </c>
      <c r="N2130" t="s">
        <v>45</v>
      </c>
      <c r="O2130" t="s">
        <v>46</v>
      </c>
      <c r="P2130" t="s">
        <v>47</v>
      </c>
      <c r="Q2130" s="1">
        <v>43852</v>
      </c>
      <c r="R2130" t="s">
        <v>48</v>
      </c>
    </row>
    <row r="2131" spans="1:38" x14ac:dyDescent="0.25">
      <c r="A2131" t="s">
        <v>522</v>
      </c>
      <c r="B2131" t="s">
        <v>549</v>
      </c>
      <c r="C2131" t="s">
        <v>40</v>
      </c>
      <c r="D2131" s="1">
        <v>43536</v>
      </c>
      <c r="E2131" s="1">
        <v>43901</v>
      </c>
      <c r="F2131" t="s">
        <v>72</v>
      </c>
      <c r="G2131">
        <v>1</v>
      </c>
      <c r="H2131" t="s">
        <v>42</v>
      </c>
      <c r="I2131" t="s">
        <v>43</v>
      </c>
      <c r="J2131" t="s">
        <v>115</v>
      </c>
      <c r="K2131" t="s">
        <v>44</v>
      </c>
      <c r="L2131">
        <v>1194.28</v>
      </c>
      <c r="M2131" s="1">
        <v>43536</v>
      </c>
      <c r="N2131" t="s">
        <v>45</v>
      </c>
      <c r="O2131" t="s">
        <v>46</v>
      </c>
      <c r="P2131" t="s">
        <v>47</v>
      </c>
      <c r="Q2131" s="1">
        <v>43852</v>
      </c>
      <c r="R2131" t="s">
        <v>48</v>
      </c>
    </row>
    <row r="2132" spans="1:38" x14ac:dyDescent="0.25">
      <c r="A2132" t="s">
        <v>522</v>
      </c>
      <c r="B2132" t="s">
        <v>550</v>
      </c>
      <c r="C2132" t="s">
        <v>40</v>
      </c>
      <c r="D2132" s="1">
        <v>43644</v>
      </c>
      <c r="E2132" s="1">
        <v>44009</v>
      </c>
      <c r="F2132" t="s">
        <v>72</v>
      </c>
      <c r="G2132">
        <v>1</v>
      </c>
      <c r="H2132" t="s">
        <v>42</v>
      </c>
      <c r="I2132" t="s">
        <v>43</v>
      </c>
      <c r="J2132" t="s">
        <v>73</v>
      </c>
      <c r="K2132" t="s">
        <v>127</v>
      </c>
      <c r="L2132">
        <v>75395.039999999994</v>
      </c>
      <c r="M2132" s="1">
        <v>43644</v>
      </c>
      <c r="N2132" t="s">
        <v>45</v>
      </c>
      <c r="O2132" t="s">
        <v>44</v>
      </c>
      <c r="P2132" t="s">
        <v>47</v>
      </c>
      <c r="Q2132" s="1">
        <v>43852</v>
      </c>
      <c r="R2132" t="s">
        <v>48</v>
      </c>
    </row>
    <row r="2133" spans="1:38" x14ac:dyDescent="0.25">
      <c r="A2133" t="s">
        <v>522</v>
      </c>
      <c r="B2133" t="s">
        <v>551</v>
      </c>
      <c r="C2133" t="s">
        <v>40</v>
      </c>
      <c r="D2133" s="1">
        <v>43644</v>
      </c>
      <c r="E2133" s="1">
        <v>44009</v>
      </c>
      <c r="F2133" t="s">
        <v>72</v>
      </c>
      <c r="G2133">
        <v>1</v>
      </c>
      <c r="H2133" t="s">
        <v>42</v>
      </c>
      <c r="I2133" t="s">
        <v>43</v>
      </c>
      <c r="J2133" t="s">
        <v>73</v>
      </c>
      <c r="K2133" t="s">
        <v>127</v>
      </c>
      <c r="L2133">
        <v>53595</v>
      </c>
      <c r="M2133" s="1">
        <v>43644</v>
      </c>
      <c r="N2133" t="s">
        <v>45</v>
      </c>
      <c r="O2133" t="s">
        <v>44</v>
      </c>
      <c r="P2133" t="s">
        <v>47</v>
      </c>
      <c r="Q2133" s="1">
        <v>43852</v>
      </c>
      <c r="R2133" t="s">
        <v>48</v>
      </c>
    </row>
    <row r="2134" spans="1:38" x14ac:dyDescent="0.25">
      <c r="A2134" t="s">
        <v>522</v>
      </c>
      <c r="B2134" t="s">
        <v>552</v>
      </c>
      <c r="C2134" t="s">
        <v>40</v>
      </c>
      <c r="D2134" s="1">
        <v>43666</v>
      </c>
      <c r="E2134" s="1">
        <v>44031</v>
      </c>
      <c r="F2134" t="s">
        <v>72</v>
      </c>
      <c r="G2134">
        <v>1</v>
      </c>
      <c r="H2134" t="s">
        <v>42</v>
      </c>
      <c r="I2134" t="s">
        <v>43</v>
      </c>
      <c r="J2134" t="s">
        <v>115</v>
      </c>
      <c r="K2134" t="s">
        <v>44</v>
      </c>
      <c r="L2134">
        <v>6595.25</v>
      </c>
      <c r="M2134" s="1">
        <v>43666</v>
      </c>
      <c r="N2134" t="s">
        <v>45</v>
      </c>
      <c r="O2134" t="s">
        <v>44</v>
      </c>
      <c r="P2134" t="s">
        <v>47</v>
      </c>
      <c r="Q2134" s="1">
        <v>43852</v>
      </c>
      <c r="R2134" t="s">
        <v>48</v>
      </c>
    </row>
    <row r="2135" spans="1:38" x14ac:dyDescent="0.25">
      <c r="A2135" t="s">
        <v>522</v>
      </c>
      <c r="B2135" s="2">
        <v>9.9E+19</v>
      </c>
      <c r="C2135" t="s">
        <v>40</v>
      </c>
      <c r="D2135" s="1">
        <v>42892</v>
      </c>
      <c r="E2135" s="1">
        <v>43256</v>
      </c>
      <c r="F2135" t="s">
        <v>41</v>
      </c>
      <c r="G2135">
        <v>1</v>
      </c>
      <c r="H2135" t="s">
        <v>42</v>
      </c>
      <c r="I2135" t="s">
        <v>43</v>
      </c>
      <c r="J2135" t="s">
        <v>73</v>
      </c>
      <c r="K2135" t="s">
        <v>127</v>
      </c>
      <c r="L2135">
        <v>2887.38</v>
      </c>
      <c r="M2135" s="1">
        <v>42922</v>
      </c>
      <c r="N2135" t="s">
        <v>45</v>
      </c>
      <c r="O2135" t="s">
        <v>46</v>
      </c>
      <c r="P2135" t="s">
        <v>47</v>
      </c>
      <c r="Q2135" s="1">
        <v>43852</v>
      </c>
      <c r="R2135" t="s">
        <v>48</v>
      </c>
      <c r="S2135" t="s">
        <v>49</v>
      </c>
      <c r="T2135" t="s">
        <v>50</v>
      </c>
      <c r="U2135" t="s">
        <v>42</v>
      </c>
      <c r="V2135">
        <v>0</v>
      </c>
      <c r="W2135">
        <v>100000</v>
      </c>
      <c r="X2135" s="1">
        <v>44012</v>
      </c>
      <c r="Y2135" t="s">
        <v>51</v>
      </c>
      <c r="Z2135" t="s">
        <v>43</v>
      </c>
      <c r="AA2135" t="s">
        <v>41</v>
      </c>
      <c r="AB2135" t="s">
        <v>52</v>
      </c>
      <c r="AC2135" t="s">
        <v>53</v>
      </c>
      <c r="AF2135" t="s">
        <v>54</v>
      </c>
      <c r="AG2135" s="1">
        <v>43832</v>
      </c>
      <c r="AH2135" t="s">
        <v>42</v>
      </c>
      <c r="AI2135" t="s">
        <v>55</v>
      </c>
      <c r="AJ2135">
        <v>12788092</v>
      </c>
      <c r="AK2135">
        <v>250000</v>
      </c>
      <c r="AL2135">
        <v>1500000</v>
      </c>
    </row>
    <row r="2136" spans="1:38" x14ac:dyDescent="0.25">
      <c r="A2136" t="s">
        <v>522</v>
      </c>
      <c r="B2136" s="2">
        <v>9.9E+19</v>
      </c>
      <c r="C2136" t="s">
        <v>40</v>
      </c>
      <c r="D2136" s="1">
        <v>42892</v>
      </c>
      <c r="E2136" s="1">
        <v>43256</v>
      </c>
      <c r="F2136" t="s">
        <v>41</v>
      </c>
      <c r="G2136">
        <v>1</v>
      </c>
      <c r="H2136" t="s">
        <v>42</v>
      </c>
      <c r="I2136" t="s">
        <v>43</v>
      </c>
      <c r="J2136" t="s">
        <v>73</v>
      </c>
      <c r="K2136" t="s">
        <v>127</v>
      </c>
      <c r="L2136">
        <v>2887.38</v>
      </c>
      <c r="M2136" s="1">
        <v>42922</v>
      </c>
      <c r="N2136" t="s">
        <v>45</v>
      </c>
      <c r="O2136" t="s">
        <v>46</v>
      </c>
      <c r="P2136" t="s">
        <v>47</v>
      </c>
      <c r="Q2136" s="1">
        <v>43852</v>
      </c>
      <c r="R2136" t="s">
        <v>48</v>
      </c>
      <c r="S2136" t="s">
        <v>49</v>
      </c>
      <c r="T2136" t="s">
        <v>50</v>
      </c>
      <c r="U2136" t="s">
        <v>42</v>
      </c>
      <c r="V2136">
        <v>0</v>
      </c>
      <c r="W2136">
        <v>100000</v>
      </c>
      <c r="X2136" s="1">
        <v>44012</v>
      </c>
      <c r="Y2136" t="s">
        <v>51</v>
      </c>
      <c r="Z2136" t="s">
        <v>43</v>
      </c>
      <c r="AA2136" t="s">
        <v>41</v>
      </c>
      <c r="AB2136" t="s">
        <v>52</v>
      </c>
      <c r="AC2136" t="s">
        <v>53</v>
      </c>
      <c r="AF2136" t="s">
        <v>56</v>
      </c>
      <c r="AG2136" s="1">
        <v>43833</v>
      </c>
      <c r="AH2136" t="s">
        <v>42</v>
      </c>
      <c r="AI2136" t="s">
        <v>55</v>
      </c>
      <c r="AJ2136">
        <v>12788092</v>
      </c>
      <c r="AK2136">
        <v>250000</v>
      </c>
      <c r="AL2136">
        <v>1500000</v>
      </c>
    </row>
    <row r="2137" spans="1:38" x14ac:dyDescent="0.25">
      <c r="A2137" t="s">
        <v>522</v>
      </c>
      <c r="B2137" s="2">
        <v>9.9E+19</v>
      </c>
      <c r="C2137" t="s">
        <v>40</v>
      </c>
      <c r="D2137" s="1">
        <v>42892</v>
      </c>
      <c r="E2137" s="1">
        <v>43256</v>
      </c>
      <c r="F2137" t="s">
        <v>41</v>
      </c>
      <c r="G2137">
        <v>1</v>
      </c>
      <c r="H2137" t="s">
        <v>42</v>
      </c>
      <c r="I2137" t="s">
        <v>43</v>
      </c>
      <c r="J2137" t="s">
        <v>73</v>
      </c>
      <c r="K2137" t="s">
        <v>127</v>
      </c>
      <c r="L2137">
        <v>2887.38</v>
      </c>
      <c r="M2137" s="1">
        <v>42922</v>
      </c>
      <c r="N2137" t="s">
        <v>45</v>
      </c>
      <c r="O2137" t="s">
        <v>46</v>
      </c>
      <c r="P2137" t="s">
        <v>47</v>
      </c>
      <c r="Q2137" s="1">
        <v>43852</v>
      </c>
      <c r="R2137" t="s">
        <v>48</v>
      </c>
      <c r="S2137" t="s">
        <v>49</v>
      </c>
      <c r="T2137" t="s">
        <v>50</v>
      </c>
      <c r="U2137" t="s">
        <v>42</v>
      </c>
      <c r="V2137">
        <v>0</v>
      </c>
      <c r="W2137">
        <v>100000</v>
      </c>
      <c r="X2137" s="1">
        <v>44012</v>
      </c>
      <c r="Y2137" t="s">
        <v>51</v>
      </c>
      <c r="Z2137" t="s">
        <v>43</v>
      </c>
      <c r="AA2137" t="s">
        <v>41</v>
      </c>
      <c r="AB2137" t="s">
        <v>52</v>
      </c>
      <c r="AC2137" t="s">
        <v>53</v>
      </c>
      <c r="AF2137" t="s">
        <v>57</v>
      </c>
      <c r="AG2137" s="1">
        <v>43836</v>
      </c>
      <c r="AH2137" t="s">
        <v>42</v>
      </c>
      <c r="AI2137" t="s">
        <v>55</v>
      </c>
      <c r="AJ2137">
        <v>12788092</v>
      </c>
      <c r="AK2137">
        <v>250000</v>
      </c>
      <c r="AL2137">
        <v>1500000</v>
      </c>
    </row>
    <row r="2138" spans="1:38" x14ac:dyDescent="0.25">
      <c r="A2138" t="s">
        <v>522</v>
      </c>
      <c r="B2138" s="2">
        <v>9.9E+19</v>
      </c>
      <c r="C2138" t="s">
        <v>40</v>
      </c>
      <c r="D2138" s="1">
        <v>42892</v>
      </c>
      <c r="E2138" s="1">
        <v>43256</v>
      </c>
      <c r="F2138" t="s">
        <v>41</v>
      </c>
      <c r="G2138">
        <v>1</v>
      </c>
      <c r="H2138" t="s">
        <v>42</v>
      </c>
      <c r="I2138" t="s">
        <v>43</v>
      </c>
      <c r="J2138" t="s">
        <v>73</v>
      </c>
      <c r="K2138" t="s">
        <v>127</v>
      </c>
      <c r="L2138">
        <v>2887.38</v>
      </c>
      <c r="M2138" s="1">
        <v>42922</v>
      </c>
      <c r="N2138" t="s">
        <v>45</v>
      </c>
      <c r="O2138" t="s">
        <v>46</v>
      </c>
      <c r="P2138" t="s">
        <v>47</v>
      </c>
      <c r="Q2138" s="1">
        <v>43852</v>
      </c>
      <c r="R2138" t="s">
        <v>48</v>
      </c>
      <c r="S2138" t="s">
        <v>49</v>
      </c>
      <c r="T2138" t="s">
        <v>50</v>
      </c>
      <c r="U2138" t="s">
        <v>42</v>
      </c>
      <c r="V2138">
        <v>0</v>
      </c>
      <c r="W2138">
        <v>100000</v>
      </c>
      <c r="X2138" s="1">
        <v>44012</v>
      </c>
      <c r="Y2138" t="s">
        <v>51</v>
      </c>
      <c r="Z2138" t="s">
        <v>43</v>
      </c>
      <c r="AA2138" t="s">
        <v>41</v>
      </c>
      <c r="AB2138" t="s">
        <v>52</v>
      </c>
      <c r="AC2138" t="s">
        <v>53</v>
      </c>
      <c r="AF2138" t="s">
        <v>58</v>
      </c>
      <c r="AG2138" s="1">
        <v>43837</v>
      </c>
      <c r="AH2138" t="s">
        <v>42</v>
      </c>
      <c r="AI2138" t="s">
        <v>55</v>
      </c>
      <c r="AJ2138">
        <v>12788092</v>
      </c>
      <c r="AK2138">
        <v>250000</v>
      </c>
      <c r="AL2138">
        <v>1500000</v>
      </c>
    </row>
    <row r="2139" spans="1:38" x14ac:dyDescent="0.25">
      <c r="A2139" t="s">
        <v>522</v>
      </c>
      <c r="B2139" s="2">
        <v>9.9E+19</v>
      </c>
      <c r="C2139" t="s">
        <v>40</v>
      </c>
      <c r="D2139" s="1">
        <v>42892</v>
      </c>
      <c r="E2139" s="1">
        <v>43256</v>
      </c>
      <c r="F2139" t="s">
        <v>41</v>
      </c>
      <c r="G2139">
        <v>1</v>
      </c>
      <c r="H2139" t="s">
        <v>42</v>
      </c>
      <c r="I2139" t="s">
        <v>43</v>
      </c>
      <c r="J2139" t="s">
        <v>73</v>
      </c>
      <c r="K2139" t="s">
        <v>127</v>
      </c>
      <c r="L2139">
        <v>2887.38</v>
      </c>
      <c r="M2139" s="1">
        <v>42922</v>
      </c>
      <c r="N2139" t="s">
        <v>45</v>
      </c>
      <c r="O2139" t="s">
        <v>46</v>
      </c>
      <c r="P2139" t="s">
        <v>47</v>
      </c>
      <c r="Q2139" s="1">
        <v>43852</v>
      </c>
      <c r="R2139" t="s">
        <v>48</v>
      </c>
      <c r="S2139" t="s">
        <v>49</v>
      </c>
      <c r="T2139" t="s">
        <v>50</v>
      </c>
      <c r="U2139" t="s">
        <v>42</v>
      </c>
      <c r="V2139">
        <v>0</v>
      </c>
      <c r="W2139">
        <v>100000</v>
      </c>
      <c r="X2139" s="1">
        <v>44012</v>
      </c>
      <c r="Y2139" t="s">
        <v>51</v>
      </c>
      <c r="Z2139" t="s">
        <v>43</v>
      </c>
      <c r="AA2139" t="s">
        <v>41</v>
      </c>
      <c r="AB2139" t="s">
        <v>52</v>
      </c>
      <c r="AC2139" t="s">
        <v>53</v>
      </c>
      <c r="AF2139" t="s">
        <v>59</v>
      </c>
      <c r="AG2139" s="1">
        <v>43838</v>
      </c>
      <c r="AH2139" t="s">
        <v>42</v>
      </c>
      <c r="AI2139" t="s">
        <v>55</v>
      </c>
      <c r="AJ2139">
        <v>12788092</v>
      </c>
      <c r="AK2139">
        <v>250000</v>
      </c>
      <c r="AL2139">
        <v>1500000</v>
      </c>
    </row>
    <row r="2140" spans="1:38" x14ac:dyDescent="0.25">
      <c r="A2140" t="s">
        <v>522</v>
      </c>
      <c r="B2140" s="2">
        <v>9.9E+19</v>
      </c>
      <c r="C2140" t="s">
        <v>40</v>
      </c>
      <c r="D2140" s="1">
        <v>42892</v>
      </c>
      <c r="E2140" s="1">
        <v>43256</v>
      </c>
      <c r="F2140" t="s">
        <v>41</v>
      </c>
      <c r="G2140">
        <v>1</v>
      </c>
      <c r="H2140" t="s">
        <v>42</v>
      </c>
      <c r="I2140" t="s">
        <v>43</v>
      </c>
      <c r="J2140" t="s">
        <v>73</v>
      </c>
      <c r="K2140" t="s">
        <v>127</v>
      </c>
      <c r="L2140">
        <v>2887.38</v>
      </c>
      <c r="M2140" s="1">
        <v>42922</v>
      </c>
      <c r="N2140" t="s">
        <v>45</v>
      </c>
      <c r="O2140" t="s">
        <v>46</v>
      </c>
      <c r="P2140" t="s">
        <v>47</v>
      </c>
      <c r="Q2140" s="1">
        <v>43852</v>
      </c>
      <c r="R2140" t="s">
        <v>48</v>
      </c>
      <c r="S2140" t="s">
        <v>60</v>
      </c>
      <c r="T2140" t="s">
        <v>61</v>
      </c>
      <c r="U2140" t="s">
        <v>42</v>
      </c>
      <c r="V2140">
        <v>0</v>
      </c>
      <c r="W2140">
        <v>100000</v>
      </c>
      <c r="X2140" s="1">
        <v>43921</v>
      </c>
      <c r="Y2140" t="s">
        <v>51</v>
      </c>
      <c r="Z2140" t="s">
        <v>43</v>
      </c>
      <c r="AA2140" t="s">
        <v>41</v>
      </c>
      <c r="AB2140" t="s">
        <v>52</v>
      </c>
      <c r="AC2140" t="s">
        <v>53</v>
      </c>
      <c r="AF2140" t="s">
        <v>54</v>
      </c>
      <c r="AG2140" s="1">
        <v>43832</v>
      </c>
      <c r="AH2140" t="s">
        <v>42</v>
      </c>
      <c r="AI2140" t="s">
        <v>55</v>
      </c>
      <c r="AJ2140">
        <v>12788092</v>
      </c>
      <c r="AK2140">
        <v>250000</v>
      </c>
      <c r="AL2140">
        <v>1500000</v>
      </c>
    </row>
    <row r="2141" spans="1:38" x14ac:dyDescent="0.25">
      <c r="A2141" t="s">
        <v>522</v>
      </c>
      <c r="B2141" s="2">
        <v>9.9E+19</v>
      </c>
      <c r="C2141" t="s">
        <v>40</v>
      </c>
      <c r="D2141" s="1">
        <v>42892</v>
      </c>
      <c r="E2141" s="1">
        <v>43256</v>
      </c>
      <c r="F2141" t="s">
        <v>41</v>
      </c>
      <c r="G2141">
        <v>1</v>
      </c>
      <c r="H2141" t="s">
        <v>42</v>
      </c>
      <c r="I2141" t="s">
        <v>43</v>
      </c>
      <c r="J2141" t="s">
        <v>73</v>
      </c>
      <c r="K2141" t="s">
        <v>127</v>
      </c>
      <c r="L2141">
        <v>2887.38</v>
      </c>
      <c r="M2141" s="1">
        <v>42922</v>
      </c>
      <c r="N2141" t="s">
        <v>45</v>
      </c>
      <c r="O2141" t="s">
        <v>46</v>
      </c>
      <c r="P2141" t="s">
        <v>47</v>
      </c>
      <c r="Q2141" s="1">
        <v>43852</v>
      </c>
      <c r="R2141" t="s">
        <v>48</v>
      </c>
      <c r="S2141" t="s">
        <v>60</v>
      </c>
      <c r="T2141" t="s">
        <v>61</v>
      </c>
      <c r="U2141" t="s">
        <v>42</v>
      </c>
      <c r="V2141">
        <v>0</v>
      </c>
      <c r="W2141">
        <v>100000</v>
      </c>
      <c r="X2141" s="1">
        <v>43921</v>
      </c>
      <c r="Y2141" t="s">
        <v>51</v>
      </c>
      <c r="Z2141" t="s">
        <v>43</v>
      </c>
      <c r="AA2141" t="s">
        <v>41</v>
      </c>
      <c r="AB2141" t="s">
        <v>52</v>
      </c>
      <c r="AC2141" t="s">
        <v>53</v>
      </c>
      <c r="AF2141" t="s">
        <v>56</v>
      </c>
      <c r="AG2141" s="1">
        <v>43833</v>
      </c>
      <c r="AH2141" t="s">
        <v>42</v>
      </c>
      <c r="AI2141" t="s">
        <v>55</v>
      </c>
      <c r="AJ2141">
        <v>12788092</v>
      </c>
      <c r="AK2141">
        <v>250000</v>
      </c>
      <c r="AL2141">
        <v>1500000</v>
      </c>
    </row>
    <row r="2142" spans="1:38" x14ac:dyDescent="0.25">
      <c r="A2142" t="s">
        <v>522</v>
      </c>
      <c r="B2142" s="2">
        <v>9.9E+19</v>
      </c>
      <c r="C2142" t="s">
        <v>40</v>
      </c>
      <c r="D2142" s="1">
        <v>42892</v>
      </c>
      <c r="E2142" s="1">
        <v>43256</v>
      </c>
      <c r="F2142" t="s">
        <v>41</v>
      </c>
      <c r="G2142">
        <v>1</v>
      </c>
      <c r="H2142" t="s">
        <v>42</v>
      </c>
      <c r="I2142" t="s">
        <v>43</v>
      </c>
      <c r="J2142" t="s">
        <v>73</v>
      </c>
      <c r="K2142" t="s">
        <v>127</v>
      </c>
      <c r="L2142">
        <v>2887.38</v>
      </c>
      <c r="M2142" s="1">
        <v>42922</v>
      </c>
      <c r="N2142" t="s">
        <v>45</v>
      </c>
      <c r="O2142" t="s">
        <v>46</v>
      </c>
      <c r="P2142" t="s">
        <v>47</v>
      </c>
      <c r="Q2142" s="1">
        <v>43852</v>
      </c>
      <c r="R2142" t="s">
        <v>48</v>
      </c>
      <c r="S2142" t="s">
        <v>60</v>
      </c>
      <c r="T2142" t="s">
        <v>61</v>
      </c>
      <c r="U2142" t="s">
        <v>42</v>
      </c>
      <c r="V2142">
        <v>0</v>
      </c>
      <c r="W2142">
        <v>100000</v>
      </c>
      <c r="X2142" s="1">
        <v>43921</v>
      </c>
      <c r="Y2142" t="s">
        <v>51</v>
      </c>
      <c r="Z2142" t="s">
        <v>43</v>
      </c>
      <c r="AA2142" t="s">
        <v>41</v>
      </c>
      <c r="AB2142" t="s">
        <v>52</v>
      </c>
      <c r="AC2142" t="s">
        <v>53</v>
      </c>
      <c r="AF2142" t="s">
        <v>57</v>
      </c>
      <c r="AG2142" s="1">
        <v>43836</v>
      </c>
      <c r="AH2142" t="s">
        <v>42</v>
      </c>
      <c r="AI2142" t="s">
        <v>55</v>
      </c>
      <c r="AJ2142">
        <v>12788092</v>
      </c>
      <c r="AK2142">
        <v>250000</v>
      </c>
      <c r="AL2142">
        <v>1500000</v>
      </c>
    </row>
    <row r="2143" spans="1:38" x14ac:dyDescent="0.25">
      <c r="A2143" t="s">
        <v>522</v>
      </c>
      <c r="B2143" s="2">
        <v>9.9E+19</v>
      </c>
      <c r="C2143" t="s">
        <v>40</v>
      </c>
      <c r="D2143" s="1">
        <v>42892</v>
      </c>
      <c r="E2143" s="1">
        <v>43256</v>
      </c>
      <c r="F2143" t="s">
        <v>41</v>
      </c>
      <c r="G2143">
        <v>1</v>
      </c>
      <c r="H2143" t="s">
        <v>42</v>
      </c>
      <c r="I2143" t="s">
        <v>43</v>
      </c>
      <c r="J2143" t="s">
        <v>73</v>
      </c>
      <c r="K2143" t="s">
        <v>127</v>
      </c>
      <c r="L2143">
        <v>2887.38</v>
      </c>
      <c r="M2143" s="1">
        <v>42922</v>
      </c>
      <c r="N2143" t="s">
        <v>45</v>
      </c>
      <c r="O2143" t="s">
        <v>46</v>
      </c>
      <c r="P2143" t="s">
        <v>47</v>
      </c>
      <c r="Q2143" s="1">
        <v>43852</v>
      </c>
      <c r="R2143" t="s">
        <v>48</v>
      </c>
      <c r="S2143" t="s">
        <v>60</v>
      </c>
      <c r="T2143" t="s">
        <v>61</v>
      </c>
      <c r="U2143" t="s">
        <v>42</v>
      </c>
      <c r="V2143">
        <v>0</v>
      </c>
      <c r="W2143">
        <v>100000</v>
      </c>
      <c r="X2143" s="1">
        <v>43921</v>
      </c>
      <c r="Y2143" t="s">
        <v>51</v>
      </c>
      <c r="Z2143" t="s">
        <v>43</v>
      </c>
      <c r="AA2143" t="s">
        <v>41</v>
      </c>
      <c r="AB2143" t="s">
        <v>52</v>
      </c>
      <c r="AC2143" t="s">
        <v>53</v>
      </c>
      <c r="AF2143" t="s">
        <v>58</v>
      </c>
      <c r="AG2143" s="1">
        <v>43837</v>
      </c>
      <c r="AH2143" t="s">
        <v>42</v>
      </c>
      <c r="AI2143" t="s">
        <v>55</v>
      </c>
      <c r="AJ2143">
        <v>12788092</v>
      </c>
      <c r="AK2143">
        <v>250000</v>
      </c>
      <c r="AL2143">
        <v>1500000</v>
      </c>
    </row>
    <row r="2144" spans="1:38" x14ac:dyDescent="0.25">
      <c r="A2144" t="s">
        <v>522</v>
      </c>
      <c r="B2144" s="2">
        <v>9.9E+19</v>
      </c>
      <c r="C2144" t="s">
        <v>40</v>
      </c>
      <c r="D2144" s="1">
        <v>42892</v>
      </c>
      <c r="E2144" s="1">
        <v>43256</v>
      </c>
      <c r="F2144" t="s">
        <v>41</v>
      </c>
      <c r="G2144">
        <v>1</v>
      </c>
      <c r="H2144" t="s">
        <v>42</v>
      </c>
      <c r="I2144" t="s">
        <v>43</v>
      </c>
      <c r="J2144" t="s">
        <v>73</v>
      </c>
      <c r="K2144" t="s">
        <v>127</v>
      </c>
      <c r="L2144">
        <v>2887.38</v>
      </c>
      <c r="M2144" s="1">
        <v>42922</v>
      </c>
      <c r="N2144" t="s">
        <v>45</v>
      </c>
      <c r="O2144" t="s">
        <v>46</v>
      </c>
      <c r="P2144" t="s">
        <v>47</v>
      </c>
      <c r="Q2144" s="1">
        <v>43852</v>
      </c>
      <c r="R2144" t="s">
        <v>48</v>
      </c>
      <c r="S2144" t="s">
        <v>60</v>
      </c>
      <c r="T2144" t="s">
        <v>61</v>
      </c>
      <c r="U2144" t="s">
        <v>42</v>
      </c>
      <c r="V2144">
        <v>0</v>
      </c>
      <c r="W2144">
        <v>100000</v>
      </c>
      <c r="X2144" s="1">
        <v>43921</v>
      </c>
      <c r="Y2144" t="s">
        <v>51</v>
      </c>
      <c r="Z2144" t="s">
        <v>43</v>
      </c>
      <c r="AA2144" t="s">
        <v>41</v>
      </c>
      <c r="AB2144" t="s">
        <v>52</v>
      </c>
      <c r="AC2144" t="s">
        <v>53</v>
      </c>
      <c r="AF2144" t="s">
        <v>59</v>
      </c>
      <c r="AG2144" s="1">
        <v>43838</v>
      </c>
      <c r="AH2144" t="s">
        <v>42</v>
      </c>
      <c r="AI2144" t="s">
        <v>55</v>
      </c>
      <c r="AJ2144">
        <v>12788092</v>
      </c>
      <c r="AK2144">
        <v>250000</v>
      </c>
      <c r="AL2144">
        <v>1500000</v>
      </c>
    </row>
    <row r="2145" spans="1:38" x14ac:dyDescent="0.25">
      <c r="A2145" t="s">
        <v>522</v>
      </c>
      <c r="B2145" s="2">
        <v>9.9E+19</v>
      </c>
      <c r="C2145" t="s">
        <v>40</v>
      </c>
      <c r="D2145" s="1">
        <v>42892</v>
      </c>
      <c r="E2145" s="1">
        <v>43256</v>
      </c>
      <c r="F2145" t="s">
        <v>41</v>
      </c>
      <c r="G2145">
        <v>1</v>
      </c>
      <c r="H2145" t="s">
        <v>42</v>
      </c>
      <c r="I2145" t="s">
        <v>43</v>
      </c>
      <c r="J2145" t="s">
        <v>73</v>
      </c>
      <c r="K2145" t="s">
        <v>127</v>
      </c>
      <c r="L2145">
        <v>2887.38</v>
      </c>
      <c r="M2145" s="1">
        <v>42922</v>
      </c>
      <c r="N2145" t="s">
        <v>45</v>
      </c>
      <c r="O2145" t="s">
        <v>46</v>
      </c>
      <c r="P2145" t="s">
        <v>47</v>
      </c>
      <c r="Q2145" s="1">
        <v>43852</v>
      </c>
      <c r="R2145" t="s">
        <v>48</v>
      </c>
      <c r="S2145" t="s">
        <v>62</v>
      </c>
      <c r="T2145" t="s">
        <v>63</v>
      </c>
      <c r="U2145" t="s">
        <v>42</v>
      </c>
      <c r="V2145">
        <v>0</v>
      </c>
      <c r="W2145">
        <v>100000</v>
      </c>
      <c r="X2145" s="1">
        <v>43982</v>
      </c>
      <c r="Y2145" t="s">
        <v>51</v>
      </c>
      <c r="Z2145" t="s">
        <v>43</v>
      </c>
      <c r="AA2145" t="s">
        <v>41</v>
      </c>
      <c r="AB2145" t="s">
        <v>52</v>
      </c>
      <c r="AC2145" t="s">
        <v>53</v>
      </c>
      <c r="AF2145" t="s">
        <v>54</v>
      </c>
      <c r="AG2145" s="1">
        <v>43832</v>
      </c>
      <c r="AH2145" t="s">
        <v>42</v>
      </c>
      <c r="AI2145" t="s">
        <v>55</v>
      </c>
      <c r="AJ2145">
        <v>12788092</v>
      </c>
      <c r="AK2145">
        <v>250000</v>
      </c>
      <c r="AL2145">
        <v>1500000</v>
      </c>
    </row>
    <row r="2146" spans="1:38" x14ac:dyDescent="0.25">
      <c r="A2146" t="s">
        <v>522</v>
      </c>
      <c r="B2146" s="2">
        <v>9.9E+19</v>
      </c>
      <c r="C2146" t="s">
        <v>40</v>
      </c>
      <c r="D2146" s="1">
        <v>42892</v>
      </c>
      <c r="E2146" s="1">
        <v>43256</v>
      </c>
      <c r="F2146" t="s">
        <v>41</v>
      </c>
      <c r="G2146">
        <v>1</v>
      </c>
      <c r="H2146" t="s">
        <v>42</v>
      </c>
      <c r="I2146" t="s">
        <v>43</v>
      </c>
      <c r="J2146" t="s">
        <v>73</v>
      </c>
      <c r="K2146" t="s">
        <v>127</v>
      </c>
      <c r="L2146">
        <v>2887.38</v>
      </c>
      <c r="M2146" s="1">
        <v>42922</v>
      </c>
      <c r="N2146" t="s">
        <v>45</v>
      </c>
      <c r="O2146" t="s">
        <v>46</v>
      </c>
      <c r="P2146" t="s">
        <v>47</v>
      </c>
      <c r="Q2146" s="1">
        <v>43852</v>
      </c>
      <c r="R2146" t="s">
        <v>48</v>
      </c>
      <c r="S2146" t="s">
        <v>62</v>
      </c>
      <c r="T2146" t="s">
        <v>63</v>
      </c>
      <c r="U2146" t="s">
        <v>42</v>
      </c>
      <c r="V2146">
        <v>0</v>
      </c>
      <c r="W2146">
        <v>100000</v>
      </c>
      <c r="X2146" s="1">
        <v>43982</v>
      </c>
      <c r="Y2146" t="s">
        <v>51</v>
      </c>
      <c r="Z2146" t="s">
        <v>43</v>
      </c>
      <c r="AA2146" t="s">
        <v>41</v>
      </c>
      <c r="AB2146" t="s">
        <v>52</v>
      </c>
      <c r="AC2146" t="s">
        <v>53</v>
      </c>
      <c r="AF2146" t="s">
        <v>56</v>
      </c>
      <c r="AG2146" s="1">
        <v>43833</v>
      </c>
      <c r="AH2146" t="s">
        <v>42</v>
      </c>
      <c r="AI2146" t="s">
        <v>55</v>
      </c>
      <c r="AJ2146">
        <v>12788092</v>
      </c>
      <c r="AK2146">
        <v>250000</v>
      </c>
      <c r="AL2146">
        <v>1500000</v>
      </c>
    </row>
    <row r="2147" spans="1:38" x14ac:dyDescent="0.25">
      <c r="A2147" t="s">
        <v>522</v>
      </c>
      <c r="B2147" s="2">
        <v>9.9E+19</v>
      </c>
      <c r="C2147" t="s">
        <v>40</v>
      </c>
      <c r="D2147" s="1">
        <v>42892</v>
      </c>
      <c r="E2147" s="1">
        <v>43256</v>
      </c>
      <c r="F2147" t="s">
        <v>41</v>
      </c>
      <c r="G2147">
        <v>1</v>
      </c>
      <c r="H2147" t="s">
        <v>42</v>
      </c>
      <c r="I2147" t="s">
        <v>43</v>
      </c>
      <c r="J2147" t="s">
        <v>73</v>
      </c>
      <c r="K2147" t="s">
        <v>127</v>
      </c>
      <c r="L2147">
        <v>2887.38</v>
      </c>
      <c r="M2147" s="1">
        <v>42922</v>
      </c>
      <c r="N2147" t="s">
        <v>45</v>
      </c>
      <c r="O2147" t="s">
        <v>46</v>
      </c>
      <c r="P2147" t="s">
        <v>47</v>
      </c>
      <c r="Q2147" s="1">
        <v>43852</v>
      </c>
      <c r="R2147" t="s">
        <v>48</v>
      </c>
      <c r="S2147" t="s">
        <v>62</v>
      </c>
      <c r="T2147" t="s">
        <v>63</v>
      </c>
      <c r="U2147" t="s">
        <v>42</v>
      </c>
      <c r="V2147">
        <v>0</v>
      </c>
      <c r="W2147">
        <v>100000</v>
      </c>
      <c r="X2147" s="1">
        <v>43982</v>
      </c>
      <c r="Y2147" t="s">
        <v>51</v>
      </c>
      <c r="Z2147" t="s">
        <v>43</v>
      </c>
      <c r="AA2147" t="s">
        <v>41</v>
      </c>
      <c r="AB2147" t="s">
        <v>52</v>
      </c>
      <c r="AC2147" t="s">
        <v>53</v>
      </c>
      <c r="AF2147" t="s">
        <v>57</v>
      </c>
      <c r="AG2147" s="1">
        <v>43836</v>
      </c>
      <c r="AH2147" t="s">
        <v>42</v>
      </c>
      <c r="AI2147" t="s">
        <v>55</v>
      </c>
      <c r="AJ2147">
        <v>12788092</v>
      </c>
      <c r="AK2147">
        <v>250000</v>
      </c>
      <c r="AL2147">
        <v>1500000</v>
      </c>
    </row>
    <row r="2148" spans="1:38" x14ac:dyDescent="0.25">
      <c r="A2148" t="s">
        <v>522</v>
      </c>
      <c r="B2148" s="2">
        <v>9.9E+19</v>
      </c>
      <c r="C2148" t="s">
        <v>40</v>
      </c>
      <c r="D2148" s="1">
        <v>42892</v>
      </c>
      <c r="E2148" s="1">
        <v>43256</v>
      </c>
      <c r="F2148" t="s">
        <v>41</v>
      </c>
      <c r="G2148">
        <v>1</v>
      </c>
      <c r="H2148" t="s">
        <v>42</v>
      </c>
      <c r="I2148" t="s">
        <v>43</v>
      </c>
      <c r="J2148" t="s">
        <v>73</v>
      </c>
      <c r="K2148" t="s">
        <v>127</v>
      </c>
      <c r="L2148">
        <v>2887.38</v>
      </c>
      <c r="M2148" s="1">
        <v>42922</v>
      </c>
      <c r="N2148" t="s">
        <v>45</v>
      </c>
      <c r="O2148" t="s">
        <v>46</v>
      </c>
      <c r="P2148" t="s">
        <v>47</v>
      </c>
      <c r="Q2148" s="1">
        <v>43852</v>
      </c>
      <c r="R2148" t="s">
        <v>48</v>
      </c>
      <c r="S2148" t="s">
        <v>62</v>
      </c>
      <c r="T2148" t="s">
        <v>63</v>
      </c>
      <c r="U2148" t="s">
        <v>42</v>
      </c>
      <c r="V2148">
        <v>0</v>
      </c>
      <c r="W2148">
        <v>100000</v>
      </c>
      <c r="X2148" s="1">
        <v>43982</v>
      </c>
      <c r="Y2148" t="s">
        <v>51</v>
      </c>
      <c r="Z2148" t="s">
        <v>43</v>
      </c>
      <c r="AA2148" t="s">
        <v>41</v>
      </c>
      <c r="AB2148" t="s">
        <v>52</v>
      </c>
      <c r="AC2148" t="s">
        <v>53</v>
      </c>
      <c r="AF2148" t="s">
        <v>58</v>
      </c>
      <c r="AG2148" s="1">
        <v>43837</v>
      </c>
      <c r="AH2148" t="s">
        <v>42</v>
      </c>
      <c r="AI2148" t="s">
        <v>55</v>
      </c>
      <c r="AJ2148">
        <v>12788092</v>
      </c>
      <c r="AK2148">
        <v>250000</v>
      </c>
      <c r="AL2148">
        <v>1500000</v>
      </c>
    </row>
    <row r="2149" spans="1:38" x14ac:dyDescent="0.25">
      <c r="A2149" t="s">
        <v>522</v>
      </c>
      <c r="B2149" s="2">
        <v>9.9E+19</v>
      </c>
      <c r="C2149" t="s">
        <v>40</v>
      </c>
      <c r="D2149" s="1">
        <v>42892</v>
      </c>
      <c r="E2149" s="1">
        <v>43256</v>
      </c>
      <c r="F2149" t="s">
        <v>41</v>
      </c>
      <c r="G2149">
        <v>1</v>
      </c>
      <c r="H2149" t="s">
        <v>42</v>
      </c>
      <c r="I2149" t="s">
        <v>43</v>
      </c>
      <c r="J2149" t="s">
        <v>73</v>
      </c>
      <c r="K2149" t="s">
        <v>127</v>
      </c>
      <c r="L2149">
        <v>2887.38</v>
      </c>
      <c r="M2149" s="1">
        <v>42922</v>
      </c>
      <c r="N2149" t="s">
        <v>45</v>
      </c>
      <c r="O2149" t="s">
        <v>46</v>
      </c>
      <c r="P2149" t="s">
        <v>47</v>
      </c>
      <c r="Q2149" s="1">
        <v>43852</v>
      </c>
      <c r="R2149" t="s">
        <v>48</v>
      </c>
      <c r="S2149" t="s">
        <v>62</v>
      </c>
      <c r="T2149" t="s">
        <v>63</v>
      </c>
      <c r="U2149" t="s">
        <v>42</v>
      </c>
      <c r="V2149">
        <v>0</v>
      </c>
      <c r="W2149">
        <v>100000</v>
      </c>
      <c r="X2149" s="1">
        <v>43982</v>
      </c>
      <c r="Y2149" t="s">
        <v>51</v>
      </c>
      <c r="Z2149" t="s">
        <v>43</v>
      </c>
      <c r="AA2149" t="s">
        <v>41</v>
      </c>
      <c r="AB2149" t="s">
        <v>52</v>
      </c>
      <c r="AC2149" t="s">
        <v>53</v>
      </c>
      <c r="AF2149" t="s">
        <v>59</v>
      </c>
      <c r="AG2149" s="1">
        <v>43838</v>
      </c>
      <c r="AH2149" t="s">
        <v>42</v>
      </c>
      <c r="AI2149" t="s">
        <v>55</v>
      </c>
      <c r="AJ2149">
        <v>12788092</v>
      </c>
      <c r="AK2149">
        <v>250000</v>
      </c>
      <c r="AL2149">
        <v>1500000</v>
      </c>
    </row>
    <row r="2150" spans="1:38" x14ac:dyDescent="0.25">
      <c r="A2150" t="s">
        <v>522</v>
      </c>
      <c r="B2150" s="2">
        <v>9.9E+19</v>
      </c>
      <c r="C2150" t="s">
        <v>40</v>
      </c>
      <c r="D2150" s="1">
        <v>42892</v>
      </c>
      <c r="E2150" s="1">
        <v>43256</v>
      </c>
      <c r="F2150" t="s">
        <v>41</v>
      </c>
      <c r="G2150">
        <v>1</v>
      </c>
      <c r="H2150" t="s">
        <v>42</v>
      </c>
      <c r="I2150" t="s">
        <v>43</v>
      </c>
      <c r="J2150" t="s">
        <v>73</v>
      </c>
      <c r="K2150" t="s">
        <v>127</v>
      </c>
      <c r="L2150">
        <v>2887.38</v>
      </c>
      <c r="M2150" s="1">
        <v>42922</v>
      </c>
      <c r="N2150" t="s">
        <v>45</v>
      </c>
      <c r="O2150" t="s">
        <v>46</v>
      </c>
      <c r="P2150" t="s">
        <v>47</v>
      </c>
      <c r="Q2150" s="1">
        <v>43852</v>
      </c>
      <c r="R2150" t="s">
        <v>48</v>
      </c>
      <c r="S2150" t="s">
        <v>64</v>
      </c>
      <c r="T2150" t="s">
        <v>65</v>
      </c>
      <c r="U2150" t="s">
        <v>42</v>
      </c>
      <c r="V2150">
        <v>0</v>
      </c>
      <c r="W2150">
        <v>100000</v>
      </c>
      <c r="X2150" s="1">
        <v>43921</v>
      </c>
      <c r="Y2150" t="s">
        <v>51</v>
      </c>
      <c r="Z2150" t="s">
        <v>43</v>
      </c>
      <c r="AA2150" t="s">
        <v>41</v>
      </c>
      <c r="AB2150" t="s">
        <v>52</v>
      </c>
      <c r="AC2150" t="s">
        <v>53</v>
      </c>
      <c r="AF2150" t="s">
        <v>54</v>
      </c>
      <c r="AG2150" s="1">
        <v>43832</v>
      </c>
      <c r="AH2150" t="s">
        <v>42</v>
      </c>
      <c r="AI2150" t="s">
        <v>55</v>
      </c>
      <c r="AJ2150">
        <v>12788092</v>
      </c>
      <c r="AK2150">
        <v>250000</v>
      </c>
      <c r="AL2150">
        <v>1500000</v>
      </c>
    </row>
    <row r="2151" spans="1:38" x14ac:dyDescent="0.25">
      <c r="A2151" t="s">
        <v>522</v>
      </c>
      <c r="B2151" s="2">
        <v>9.9E+19</v>
      </c>
      <c r="C2151" t="s">
        <v>40</v>
      </c>
      <c r="D2151" s="1">
        <v>42892</v>
      </c>
      <c r="E2151" s="1">
        <v>43256</v>
      </c>
      <c r="F2151" t="s">
        <v>41</v>
      </c>
      <c r="G2151">
        <v>1</v>
      </c>
      <c r="H2151" t="s">
        <v>42</v>
      </c>
      <c r="I2151" t="s">
        <v>43</v>
      </c>
      <c r="J2151" t="s">
        <v>73</v>
      </c>
      <c r="K2151" t="s">
        <v>127</v>
      </c>
      <c r="L2151">
        <v>2887.38</v>
      </c>
      <c r="M2151" s="1">
        <v>42922</v>
      </c>
      <c r="N2151" t="s">
        <v>45</v>
      </c>
      <c r="O2151" t="s">
        <v>46</v>
      </c>
      <c r="P2151" t="s">
        <v>47</v>
      </c>
      <c r="Q2151" s="1">
        <v>43852</v>
      </c>
      <c r="R2151" t="s">
        <v>48</v>
      </c>
      <c r="S2151" t="s">
        <v>64</v>
      </c>
      <c r="T2151" t="s">
        <v>65</v>
      </c>
      <c r="U2151" t="s">
        <v>42</v>
      </c>
      <c r="V2151">
        <v>0</v>
      </c>
      <c r="W2151">
        <v>100000</v>
      </c>
      <c r="X2151" s="1">
        <v>43921</v>
      </c>
      <c r="Y2151" t="s">
        <v>51</v>
      </c>
      <c r="Z2151" t="s">
        <v>43</v>
      </c>
      <c r="AA2151" t="s">
        <v>41</v>
      </c>
      <c r="AB2151" t="s">
        <v>52</v>
      </c>
      <c r="AC2151" t="s">
        <v>53</v>
      </c>
      <c r="AF2151" t="s">
        <v>56</v>
      </c>
      <c r="AG2151" s="1">
        <v>43833</v>
      </c>
      <c r="AH2151" t="s">
        <v>42</v>
      </c>
      <c r="AI2151" t="s">
        <v>55</v>
      </c>
      <c r="AJ2151">
        <v>12788092</v>
      </c>
      <c r="AK2151">
        <v>250000</v>
      </c>
      <c r="AL2151">
        <v>1500000</v>
      </c>
    </row>
    <row r="2152" spans="1:38" x14ac:dyDescent="0.25">
      <c r="A2152" t="s">
        <v>522</v>
      </c>
      <c r="B2152" s="2">
        <v>9.9E+19</v>
      </c>
      <c r="C2152" t="s">
        <v>40</v>
      </c>
      <c r="D2152" s="1">
        <v>42892</v>
      </c>
      <c r="E2152" s="1">
        <v>43256</v>
      </c>
      <c r="F2152" t="s">
        <v>41</v>
      </c>
      <c r="G2152">
        <v>1</v>
      </c>
      <c r="H2152" t="s">
        <v>42</v>
      </c>
      <c r="I2152" t="s">
        <v>43</v>
      </c>
      <c r="J2152" t="s">
        <v>73</v>
      </c>
      <c r="K2152" t="s">
        <v>127</v>
      </c>
      <c r="L2152">
        <v>2887.38</v>
      </c>
      <c r="M2152" s="1">
        <v>42922</v>
      </c>
      <c r="N2152" t="s">
        <v>45</v>
      </c>
      <c r="O2152" t="s">
        <v>46</v>
      </c>
      <c r="P2152" t="s">
        <v>47</v>
      </c>
      <c r="Q2152" s="1">
        <v>43852</v>
      </c>
      <c r="R2152" t="s">
        <v>48</v>
      </c>
      <c r="S2152" t="s">
        <v>64</v>
      </c>
      <c r="T2152" t="s">
        <v>65</v>
      </c>
      <c r="U2152" t="s">
        <v>42</v>
      </c>
      <c r="V2152">
        <v>0</v>
      </c>
      <c r="W2152">
        <v>100000</v>
      </c>
      <c r="X2152" s="1">
        <v>43921</v>
      </c>
      <c r="Y2152" t="s">
        <v>51</v>
      </c>
      <c r="Z2152" t="s">
        <v>43</v>
      </c>
      <c r="AA2152" t="s">
        <v>41</v>
      </c>
      <c r="AB2152" t="s">
        <v>52</v>
      </c>
      <c r="AC2152" t="s">
        <v>53</v>
      </c>
      <c r="AF2152" t="s">
        <v>57</v>
      </c>
      <c r="AG2152" s="1">
        <v>43836</v>
      </c>
      <c r="AH2152" t="s">
        <v>42</v>
      </c>
      <c r="AI2152" t="s">
        <v>55</v>
      </c>
      <c r="AJ2152">
        <v>12788092</v>
      </c>
      <c r="AK2152">
        <v>250000</v>
      </c>
      <c r="AL2152">
        <v>1500000</v>
      </c>
    </row>
    <row r="2153" spans="1:38" x14ac:dyDescent="0.25">
      <c r="A2153" t="s">
        <v>522</v>
      </c>
      <c r="B2153" s="2">
        <v>9.9E+19</v>
      </c>
      <c r="C2153" t="s">
        <v>40</v>
      </c>
      <c r="D2153" s="1">
        <v>42892</v>
      </c>
      <c r="E2153" s="1">
        <v>43256</v>
      </c>
      <c r="F2153" t="s">
        <v>41</v>
      </c>
      <c r="G2153">
        <v>1</v>
      </c>
      <c r="H2153" t="s">
        <v>42</v>
      </c>
      <c r="I2153" t="s">
        <v>43</v>
      </c>
      <c r="J2153" t="s">
        <v>73</v>
      </c>
      <c r="K2153" t="s">
        <v>127</v>
      </c>
      <c r="L2153">
        <v>2887.38</v>
      </c>
      <c r="M2153" s="1">
        <v>42922</v>
      </c>
      <c r="N2153" t="s">
        <v>45</v>
      </c>
      <c r="O2153" t="s">
        <v>46</v>
      </c>
      <c r="P2153" t="s">
        <v>47</v>
      </c>
      <c r="Q2153" s="1">
        <v>43852</v>
      </c>
      <c r="R2153" t="s">
        <v>48</v>
      </c>
      <c r="S2153" t="s">
        <v>64</v>
      </c>
      <c r="T2153" t="s">
        <v>65</v>
      </c>
      <c r="U2153" t="s">
        <v>42</v>
      </c>
      <c r="V2153">
        <v>0</v>
      </c>
      <c r="W2153">
        <v>100000</v>
      </c>
      <c r="X2153" s="1">
        <v>43921</v>
      </c>
      <c r="Y2153" t="s">
        <v>51</v>
      </c>
      <c r="Z2153" t="s">
        <v>43</v>
      </c>
      <c r="AA2153" t="s">
        <v>41</v>
      </c>
      <c r="AB2153" t="s">
        <v>52</v>
      </c>
      <c r="AC2153" t="s">
        <v>53</v>
      </c>
      <c r="AF2153" t="s">
        <v>58</v>
      </c>
      <c r="AG2153" s="1">
        <v>43837</v>
      </c>
      <c r="AH2153" t="s">
        <v>42</v>
      </c>
      <c r="AI2153" t="s">
        <v>55</v>
      </c>
      <c r="AJ2153">
        <v>12788092</v>
      </c>
      <c r="AK2153">
        <v>250000</v>
      </c>
      <c r="AL2153">
        <v>1500000</v>
      </c>
    </row>
    <row r="2154" spans="1:38" x14ac:dyDescent="0.25">
      <c r="A2154" t="s">
        <v>522</v>
      </c>
      <c r="B2154" s="2">
        <v>9.9E+19</v>
      </c>
      <c r="C2154" t="s">
        <v>40</v>
      </c>
      <c r="D2154" s="1">
        <v>42892</v>
      </c>
      <c r="E2154" s="1">
        <v>43256</v>
      </c>
      <c r="F2154" t="s">
        <v>41</v>
      </c>
      <c r="G2154">
        <v>1</v>
      </c>
      <c r="H2154" t="s">
        <v>42</v>
      </c>
      <c r="I2154" t="s">
        <v>43</v>
      </c>
      <c r="J2154" t="s">
        <v>73</v>
      </c>
      <c r="K2154" t="s">
        <v>127</v>
      </c>
      <c r="L2154">
        <v>2887.38</v>
      </c>
      <c r="M2154" s="1">
        <v>42922</v>
      </c>
      <c r="N2154" t="s">
        <v>45</v>
      </c>
      <c r="O2154" t="s">
        <v>46</v>
      </c>
      <c r="P2154" t="s">
        <v>47</v>
      </c>
      <c r="Q2154" s="1">
        <v>43852</v>
      </c>
      <c r="R2154" t="s">
        <v>48</v>
      </c>
      <c r="S2154" t="s">
        <v>64</v>
      </c>
      <c r="T2154" t="s">
        <v>65</v>
      </c>
      <c r="U2154" t="s">
        <v>42</v>
      </c>
      <c r="V2154">
        <v>0</v>
      </c>
      <c r="W2154">
        <v>100000</v>
      </c>
      <c r="X2154" s="1">
        <v>43921</v>
      </c>
      <c r="Y2154" t="s">
        <v>51</v>
      </c>
      <c r="Z2154" t="s">
        <v>43</v>
      </c>
      <c r="AA2154" t="s">
        <v>41</v>
      </c>
      <c r="AB2154" t="s">
        <v>52</v>
      </c>
      <c r="AC2154" t="s">
        <v>53</v>
      </c>
      <c r="AF2154" t="s">
        <v>59</v>
      </c>
      <c r="AG2154" s="1">
        <v>43838</v>
      </c>
      <c r="AH2154" t="s">
        <v>42</v>
      </c>
      <c r="AI2154" t="s">
        <v>55</v>
      </c>
      <c r="AJ2154">
        <v>12788092</v>
      </c>
      <c r="AK2154">
        <v>250000</v>
      </c>
      <c r="AL2154">
        <v>1500000</v>
      </c>
    </row>
    <row r="2155" spans="1:38" x14ac:dyDescent="0.25">
      <c r="A2155" t="s">
        <v>522</v>
      </c>
      <c r="B2155" t="s">
        <v>553</v>
      </c>
      <c r="C2155" t="s">
        <v>40</v>
      </c>
      <c r="D2155" s="1">
        <v>43494</v>
      </c>
      <c r="E2155" s="1">
        <v>43858</v>
      </c>
      <c r="F2155" t="s">
        <v>41</v>
      </c>
      <c r="G2155">
        <v>1</v>
      </c>
      <c r="H2155" t="s">
        <v>42</v>
      </c>
      <c r="I2155" t="s">
        <v>43</v>
      </c>
      <c r="J2155" t="s">
        <v>41</v>
      </c>
      <c r="K2155" t="s">
        <v>127</v>
      </c>
      <c r="L2155">
        <v>11539.77</v>
      </c>
      <c r="M2155" s="1">
        <v>43494</v>
      </c>
      <c r="N2155" t="s">
        <v>45</v>
      </c>
      <c r="O2155" t="s">
        <v>46</v>
      </c>
      <c r="P2155" t="s">
        <v>47</v>
      </c>
      <c r="Q2155" s="1">
        <v>43852</v>
      </c>
      <c r="R2155" t="s">
        <v>48</v>
      </c>
      <c r="S2155" t="s">
        <v>49</v>
      </c>
      <c r="T2155" t="s">
        <v>50</v>
      </c>
      <c r="U2155" t="s">
        <v>42</v>
      </c>
      <c r="V2155">
        <v>0</v>
      </c>
      <c r="W2155">
        <v>100000</v>
      </c>
      <c r="X2155" s="1">
        <v>44012</v>
      </c>
      <c r="Y2155" t="s">
        <v>51</v>
      </c>
      <c r="Z2155" t="s">
        <v>43</v>
      </c>
      <c r="AA2155" t="s">
        <v>41</v>
      </c>
      <c r="AB2155" t="s">
        <v>52</v>
      </c>
      <c r="AC2155" t="s">
        <v>53</v>
      </c>
      <c r="AF2155" t="s">
        <v>54</v>
      </c>
      <c r="AG2155" s="1">
        <v>43832</v>
      </c>
      <c r="AH2155" t="s">
        <v>42</v>
      </c>
      <c r="AI2155" t="s">
        <v>55</v>
      </c>
      <c r="AJ2155">
        <v>12788092</v>
      </c>
      <c r="AK2155">
        <v>250000</v>
      </c>
      <c r="AL2155">
        <v>1500000</v>
      </c>
    </row>
    <row r="2156" spans="1:38" x14ac:dyDescent="0.25">
      <c r="A2156" t="s">
        <v>522</v>
      </c>
      <c r="B2156" t="s">
        <v>553</v>
      </c>
      <c r="C2156" t="s">
        <v>40</v>
      </c>
      <c r="D2156" s="1">
        <v>43494</v>
      </c>
      <c r="E2156" s="1">
        <v>43858</v>
      </c>
      <c r="F2156" t="s">
        <v>41</v>
      </c>
      <c r="G2156">
        <v>1</v>
      </c>
      <c r="H2156" t="s">
        <v>42</v>
      </c>
      <c r="I2156" t="s">
        <v>43</v>
      </c>
      <c r="J2156" t="s">
        <v>41</v>
      </c>
      <c r="K2156" t="s">
        <v>127</v>
      </c>
      <c r="L2156">
        <v>11539.77</v>
      </c>
      <c r="M2156" s="1">
        <v>43494</v>
      </c>
      <c r="N2156" t="s">
        <v>45</v>
      </c>
      <c r="O2156" t="s">
        <v>46</v>
      </c>
      <c r="P2156" t="s">
        <v>47</v>
      </c>
      <c r="Q2156" s="1">
        <v>43852</v>
      </c>
      <c r="R2156" t="s">
        <v>48</v>
      </c>
      <c r="S2156" t="s">
        <v>49</v>
      </c>
      <c r="T2156" t="s">
        <v>50</v>
      </c>
      <c r="U2156" t="s">
        <v>42</v>
      </c>
      <c r="V2156">
        <v>0</v>
      </c>
      <c r="W2156">
        <v>100000</v>
      </c>
      <c r="X2156" s="1">
        <v>44012</v>
      </c>
      <c r="Y2156" t="s">
        <v>51</v>
      </c>
      <c r="Z2156" t="s">
        <v>43</v>
      </c>
      <c r="AA2156" t="s">
        <v>41</v>
      </c>
      <c r="AB2156" t="s">
        <v>52</v>
      </c>
      <c r="AC2156" t="s">
        <v>53</v>
      </c>
      <c r="AF2156" t="s">
        <v>56</v>
      </c>
      <c r="AG2156" s="1">
        <v>43833</v>
      </c>
      <c r="AH2156" t="s">
        <v>42</v>
      </c>
      <c r="AI2156" t="s">
        <v>55</v>
      </c>
      <c r="AJ2156">
        <v>12788092</v>
      </c>
      <c r="AK2156">
        <v>250000</v>
      </c>
      <c r="AL2156">
        <v>1500000</v>
      </c>
    </row>
    <row r="2157" spans="1:38" x14ac:dyDescent="0.25">
      <c r="A2157" t="s">
        <v>522</v>
      </c>
      <c r="B2157" t="s">
        <v>553</v>
      </c>
      <c r="C2157" t="s">
        <v>40</v>
      </c>
      <c r="D2157" s="1">
        <v>43494</v>
      </c>
      <c r="E2157" s="1">
        <v>43858</v>
      </c>
      <c r="F2157" t="s">
        <v>41</v>
      </c>
      <c r="G2157">
        <v>1</v>
      </c>
      <c r="H2157" t="s">
        <v>42</v>
      </c>
      <c r="I2157" t="s">
        <v>43</v>
      </c>
      <c r="J2157" t="s">
        <v>41</v>
      </c>
      <c r="K2157" t="s">
        <v>127</v>
      </c>
      <c r="L2157">
        <v>11539.77</v>
      </c>
      <c r="M2157" s="1">
        <v>43494</v>
      </c>
      <c r="N2157" t="s">
        <v>45</v>
      </c>
      <c r="O2157" t="s">
        <v>46</v>
      </c>
      <c r="P2157" t="s">
        <v>47</v>
      </c>
      <c r="Q2157" s="1">
        <v>43852</v>
      </c>
      <c r="R2157" t="s">
        <v>48</v>
      </c>
      <c r="S2157" t="s">
        <v>49</v>
      </c>
      <c r="T2157" t="s">
        <v>50</v>
      </c>
      <c r="U2157" t="s">
        <v>42</v>
      </c>
      <c r="V2157">
        <v>0</v>
      </c>
      <c r="W2157">
        <v>100000</v>
      </c>
      <c r="X2157" s="1">
        <v>44012</v>
      </c>
      <c r="Y2157" t="s">
        <v>51</v>
      </c>
      <c r="Z2157" t="s">
        <v>43</v>
      </c>
      <c r="AA2157" t="s">
        <v>41</v>
      </c>
      <c r="AB2157" t="s">
        <v>52</v>
      </c>
      <c r="AC2157" t="s">
        <v>53</v>
      </c>
      <c r="AF2157" t="s">
        <v>57</v>
      </c>
      <c r="AG2157" s="1">
        <v>43836</v>
      </c>
      <c r="AH2157" t="s">
        <v>42</v>
      </c>
      <c r="AI2157" t="s">
        <v>55</v>
      </c>
      <c r="AJ2157">
        <v>12788092</v>
      </c>
      <c r="AK2157">
        <v>250000</v>
      </c>
      <c r="AL2157">
        <v>1500000</v>
      </c>
    </row>
    <row r="2158" spans="1:38" x14ac:dyDescent="0.25">
      <c r="A2158" t="s">
        <v>522</v>
      </c>
      <c r="B2158" t="s">
        <v>553</v>
      </c>
      <c r="C2158" t="s">
        <v>40</v>
      </c>
      <c r="D2158" s="1">
        <v>43494</v>
      </c>
      <c r="E2158" s="1">
        <v>43858</v>
      </c>
      <c r="F2158" t="s">
        <v>41</v>
      </c>
      <c r="G2158">
        <v>1</v>
      </c>
      <c r="H2158" t="s">
        <v>42</v>
      </c>
      <c r="I2158" t="s">
        <v>43</v>
      </c>
      <c r="J2158" t="s">
        <v>41</v>
      </c>
      <c r="K2158" t="s">
        <v>127</v>
      </c>
      <c r="L2158">
        <v>11539.77</v>
      </c>
      <c r="M2158" s="1">
        <v>43494</v>
      </c>
      <c r="N2158" t="s">
        <v>45</v>
      </c>
      <c r="O2158" t="s">
        <v>46</v>
      </c>
      <c r="P2158" t="s">
        <v>47</v>
      </c>
      <c r="Q2158" s="1">
        <v>43852</v>
      </c>
      <c r="R2158" t="s">
        <v>48</v>
      </c>
      <c r="S2158" t="s">
        <v>49</v>
      </c>
      <c r="T2158" t="s">
        <v>50</v>
      </c>
      <c r="U2158" t="s">
        <v>42</v>
      </c>
      <c r="V2158">
        <v>0</v>
      </c>
      <c r="W2158">
        <v>100000</v>
      </c>
      <c r="X2158" s="1">
        <v>44012</v>
      </c>
      <c r="Y2158" t="s">
        <v>51</v>
      </c>
      <c r="Z2158" t="s">
        <v>43</v>
      </c>
      <c r="AA2158" t="s">
        <v>41</v>
      </c>
      <c r="AB2158" t="s">
        <v>52</v>
      </c>
      <c r="AC2158" t="s">
        <v>53</v>
      </c>
      <c r="AF2158" t="s">
        <v>58</v>
      </c>
      <c r="AG2158" s="1">
        <v>43837</v>
      </c>
      <c r="AH2158" t="s">
        <v>42</v>
      </c>
      <c r="AI2158" t="s">
        <v>55</v>
      </c>
      <c r="AJ2158">
        <v>12788092</v>
      </c>
      <c r="AK2158">
        <v>250000</v>
      </c>
      <c r="AL2158">
        <v>1500000</v>
      </c>
    </row>
    <row r="2159" spans="1:38" x14ac:dyDescent="0.25">
      <c r="A2159" t="s">
        <v>522</v>
      </c>
      <c r="B2159" t="s">
        <v>553</v>
      </c>
      <c r="C2159" t="s">
        <v>40</v>
      </c>
      <c r="D2159" s="1">
        <v>43494</v>
      </c>
      <c r="E2159" s="1">
        <v>43858</v>
      </c>
      <c r="F2159" t="s">
        <v>41</v>
      </c>
      <c r="G2159">
        <v>1</v>
      </c>
      <c r="H2159" t="s">
        <v>42</v>
      </c>
      <c r="I2159" t="s">
        <v>43</v>
      </c>
      <c r="J2159" t="s">
        <v>41</v>
      </c>
      <c r="K2159" t="s">
        <v>127</v>
      </c>
      <c r="L2159">
        <v>11539.77</v>
      </c>
      <c r="M2159" s="1">
        <v>43494</v>
      </c>
      <c r="N2159" t="s">
        <v>45</v>
      </c>
      <c r="O2159" t="s">
        <v>46</v>
      </c>
      <c r="P2159" t="s">
        <v>47</v>
      </c>
      <c r="Q2159" s="1">
        <v>43852</v>
      </c>
      <c r="R2159" t="s">
        <v>48</v>
      </c>
      <c r="S2159" t="s">
        <v>49</v>
      </c>
      <c r="T2159" t="s">
        <v>50</v>
      </c>
      <c r="U2159" t="s">
        <v>42</v>
      </c>
      <c r="V2159">
        <v>0</v>
      </c>
      <c r="W2159">
        <v>100000</v>
      </c>
      <c r="X2159" s="1">
        <v>44012</v>
      </c>
      <c r="Y2159" t="s">
        <v>51</v>
      </c>
      <c r="Z2159" t="s">
        <v>43</v>
      </c>
      <c r="AA2159" t="s">
        <v>41</v>
      </c>
      <c r="AB2159" t="s">
        <v>52</v>
      </c>
      <c r="AC2159" t="s">
        <v>53</v>
      </c>
      <c r="AF2159" t="s">
        <v>59</v>
      </c>
      <c r="AG2159" s="1">
        <v>43838</v>
      </c>
      <c r="AH2159" t="s">
        <v>42</v>
      </c>
      <c r="AI2159" t="s">
        <v>55</v>
      </c>
      <c r="AJ2159">
        <v>12788092</v>
      </c>
      <c r="AK2159">
        <v>250000</v>
      </c>
      <c r="AL2159">
        <v>1500000</v>
      </c>
    </row>
    <row r="2160" spans="1:38" x14ac:dyDescent="0.25">
      <c r="A2160" t="s">
        <v>522</v>
      </c>
      <c r="B2160" t="s">
        <v>553</v>
      </c>
      <c r="C2160" t="s">
        <v>40</v>
      </c>
      <c r="D2160" s="1">
        <v>43494</v>
      </c>
      <c r="E2160" s="1">
        <v>43858</v>
      </c>
      <c r="F2160" t="s">
        <v>41</v>
      </c>
      <c r="G2160">
        <v>1</v>
      </c>
      <c r="H2160" t="s">
        <v>42</v>
      </c>
      <c r="I2160" t="s">
        <v>43</v>
      </c>
      <c r="J2160" t="s">
        <v>41</v>
      </c>
      <c r="K2160" t="s">
        <v>127</v>
      </c>
      <c r="L2160">
        <v>11539.77</v>
      </c>
      <c r="M2160" s="1">
        <v>43494</v>
      </c>
      <c r="N2160" t="s">
        <v>45</v>
      </c>
      <c r="O2160" t="s">
        <v>46</v>
      </c>
      <c r="P2160" t="s">
        <v>47</v>
      </c>
      <c r="Q2160" s="1">
        <v>43852</v>
      </c>
      <c r="R2160" t="s">
        <v>48</v>
      </c>
      <c r="S2160" t="s">
        <v>60</v>
      </c>
      <c r="T2160" t="s">
        <v>61</v>
      </c>
      <c r="U2160" t="s">
        <v>42</v>
      </c>
      <c r="V2160">
        <v>0</v>
      </c>
      <c r="W2160">
        <v>100000</v>
      </c>
      <c r="X2160" s="1">
        <v>43921</v>
      </c>
      <c r="Y2160" t="s">
        <v>51</v>
      </c>
      <c r="Z2160" t="s">
        <v>43</v>
      </c>
      <c r="AA2160" t="s">
        <v>41</v>
      </c>
      <c r="AB2160" t="s">
        <v>52</v>
      </c>
      <c r="AC2160" t="s">
        <v>53</v>
      </c>
      <c r="AF2160" t="s">
        <v>54</v>
      </c>
      <c r="AG2160" s="1">
        <v>43832</v>
      </c>
      <c r="AH2160" t="s">
        <v>42</v>
      </c>
      <c r="AI2160" t="s">
        <v>55</v>
      </c>
      <c r="AJ2160">
        <v>12788092</v>
      </c>
      <c r="AK2160">
        <v>250000</v>
      </c>
      <c r="AL2160">
        <v>1500000</v>
      </c>
    </row>
    <row r="2161" spans="1:38" x14ac:dyDescent="0.25">
      <c r="A2161" t="s">
        <v>522</v>
      </c>
      <c r="B2161" t="s">
        <v>553</v>
      </c>
      <c r="C2161" t="s">
        <v>40</v>
      </c>
      <c r="D2161" s="1">
        <v>43494</v>
      </c>
      <c r="E2161" s="1">
        <v>43858</v>
      </c>
      <c r="F2161" t="s">
        <v>41</v>
      </c>
      <c r="G2161">
        <v>1</v>
      </c>
      <c r="H2161" t="s">
        <v>42</v>
      </c>
      <c r="I2161" t="s">
        <v>43</v>
      </c>
      <c r="J2161" t="s">
        <v>41</v>
      </c>
      <c r="K2161" t="s">
        <v>127</v>
      </c>
      <c r="L2161">
        <v>11539.77</v>
      </c>
      <c r="M2161" s="1">
        <v>43494</v>
      </c>
      <c r="N2161" t="s">
        <v>45</v>
      </c>
      <c r="O2161" t="s">
        <v>46</v>
      </c>
      <c r="P2161" t="s">
        <v>47</v>
      </c>
      <c r="Q2161" s="1">
        <v>43852</v>
      </c>
      <c r="R2161" t="s">
        <v>48</v>
      </c>
      <c r="S2161" t="s">
        <v>60</v>
      </c>
      <c r="T2161" t="s">
        <v>61</v>
      </c>
      <c r="U2161" t="s">
        <v>42</v>
      </c>
      <c r="V2161">
        <v>0</v>
      </c>
      <c r="W2161">
        <v>100000</v>
      </c>
      <c r="X2161" s="1">
        <v>43921</v>
      </c>
      <c r="Y2161" t="s">
        <v>51</v>
      </c>
      <c r="Z2161" t="s">
        <v>43</v>
      </c>
      <c r="AA2161" t="s">
        <v>41</v>
      </c>
      <c r="AB2161" t="s">
        <v>52</v>
      </c>
      <c r="AC2161" t="s">
        <v>53</v>
      </c>
      <c r="AF2161" t="s">
        <v>56</v>
      </c>
      <c r="AG2161" s="1">
        <v>43833</v>
      </c>
      <c r="AH2161" t="s">
        <v>42</v>
      </c>
      <c r="AI2161" t="s">
        <v>55</v>
      </c>
      <c r="AJ2161">
        <v>12788092</v>
      </c>
      <c r="AK2161">
        <v>250000</v>
      </c>
      <c r="AL2161">
        <v>1500000</v>
      </c>
    </row>
    <row r="2162" spans="1:38" x14ac:dyDescent="0.25">
      <c r="A2162" t="s">
        <v>522</v>
      </c>
      <c r="B2162" t="s">
        <v>553</v>
      </c>
      <c r="C2162" t="s">
        <v>40</v>
      </c>
      <c r="D2162" s="1">
        <v>43494</v>
      </c>
      <c r="E2162" s="1">
        <v>43858</v>
      </c>
      <c r="F2162" t="s">
        <v>41</v>
      </c>
      <c r="G2162">
        <v>1</v>
      </c>
      <c r="H2162" t="s">
        <v>42</v>
      </c>
      <c r="I2162" t="s">
        <v>43</v>
      </c>
      <c r="J2162" t="s">
        <v>41</v>
      </c>
      <c r="K2162" t="s">
        <v>127</v>
      </c>
      <c r="L2162">
        <v>11539.77</v>
      </c>
      <c r="M2162" s="1">
        <v>43494</v>
      </c>
      <c r="N2162" t="s">
        <v>45</v>
      </c>
      <c r="O2162" t="s">
        <v>46</v>
      </c>
      <c r="P2162" t="s">
        <v>47</v>
      </c>
      <c r="Q2162" s="1">
        <v>43852</v>
      </c>
      <c r="R2162" t="s">
        <v>48</v>
      </c>
      <c r="S2162" t="s">
        <v>60</v>
      </c>
      <c r="T2162" t="s">
        <v>61</v>
      </c>
      <c r="U2162" t="s">
        <v>42</v>
      </c>
      <c r="V2162">
        <v>0</v>
      </c>
      <c r="W2162">
        <v>100000</v>
      </c>
      <c r="X2162" s="1">
        <v>43921</v>
      </c>
      <c r="Y2162" t="s">
        <v>51</v>
      </c>
      <c r="Z2162" t="s">
        <v>43</v>
      </c>
      <c r="AA2162" t="s">
        <v>41</v>
      </c>
      <c r="AB2162" t="s">
        <v>52</v>
      </c>
      <c r="AC2162" t="s">
        <v>53</v>
      </c>
      <c r="AF2162" t="s">
        <v>57</v>
      </c>
      <c r="AG2162" s="1">
        <v>43836</v>
      </c>
      <c r="AH2162" t="s">
        <v>42</v>
      </c>
      <c r="AI2162" t="s">
        <v>55</v>
      </c>
      <c r="AJ2162">
        <v>12788092</v>
      </c>
      <c r="AK2162">
        <v>250000</v>
      </c>
      <c r="AL2162">
        <v>1500000</v>
      </c>
    </row>
    <row r="2163" spans="1:38" x14ac:dyDescent="0.25">
      <c r="A2163" t="s">
        <v>522</v>
      </c>
      <c r="B2163" t="s">
        <v>553</v>
      </c>
      <c r="C2163" t="s">
        <v>40</v>
      </c>
      <c r="D2163" s="1">
        <v>43494</v>
      </c>
      <c r="E2163" s="1">
        <v>43858</v>
      </c>
      <c r="F2163" t="s">
        <v>41</v>
      </c>
      <c r="G2163">
        <v>1</v>
      </c>
      <c r="H2163" t="s">
        <v>42</v>
      </c>
      <c r="I2163" t="s">
        <v>43</v>
      </c>
      <c r="J2163" t="s">
        <v>41</v>
      </c>
      <c r="K2163" t="s">
        <v>127</v>
      </c>
      <c r="L2163">
        <v>11539.77</v>
      </c>
      <c r="M2163" s="1">
        <v>43494</v>
      </c>
      <c r="N2163" t="s">
        <v>45</v>
      </c>
      <c r="O2163" t="s">
        <v>46</v>
      </c>
      <c r="P2163" t="s">
        <v>47</v>
      </c>
      <c r="Q2163" s="1">
        <v>43852</v>
      </c>
      <c r="R2163" t="s">
        <v>48</v>
      </c>
      <c r="S2163" t="s">
        <v>60</v>
      </c>
      <c r="T2163" t="s">
        <v>61</v>
      </c>
      <c r="U2163" t="s">
        <v>42</v>
      </c>
      <c r="V2163">
        <v>0</v>
      </c>
      <c r="W2163">
        <v>100000</v>
      </c>
      <c r="X2163" s="1">
        <v>43921</v>
      </c>
      <c r="Y2163" t="s">
        <v>51</v>
      </c>
      <c r="Z2163" t="s">
        <v>43</v>
      </c>
      <c r="AA2163" t="s">
        <v>41</v>
      </c>
      <c r="AB2163" t="s">
        <v>52</v>
      </c>
      <c r="AC2163" t="s">
        <v>53</v>
      </c>
      <c r="AF2163" t="s">
        <v>58</v>
      </c>
      <c r="AG2163" s="1">
        <v>43837</v>
      </c>
      <c r="AH2163" t="s">
        <v>42</v>
      </c>
      <c r="AI2163" t="s">
        <v>55</v>
      </c>
      <c r="AJ2163">
        <v>12788092</v>
      </c>
      <c r="AK2163">
        <v>250000</v>
      </c>
      <c r="AL2163">
        <v>1500000</v>
      </c>
    </row>
    <row r="2164" spans="1:38" x14ac:dyDescent="0.25">
      <c r="A2164" t="s">
        <v>522</v>
      </c>
      <c r="B2164" t="s">
        <v>553</v>
      </c>
      <c r="C2164" t="s">
        <v>40</v>
      </c>
      <c r="D2164" s="1">
        <v>43494</v>
      </c>
      <c r="E2164" s="1">
        <v>43858</v>
      </c>
      <c r="F2164" t="s">
        <v>41</v>
      </c>
      <c r="G2164">
        <v>1</v>
      </c>
      <c r="H2164" t="s">
        <v>42</v>
      </c>
      <c r="I2164" t="s">
        <v>43</v>
      </c>
      <c r="J2164" t="s">
        <v>41</v>
      </c>
      <c r="K2164" t="s">
        <v>127</v>
      </c>
      <c r="L2164">
        <v>11539.77</v>
      </c>
      <c r="M2164" s="1">
        <v>43494</v>
      </c>
      <c r="N2164" t="s">
        <v>45</v>
      </c>
      <c r="O2164" t="s">
        <v>46</v>
      </c>
      <c r="P2164" t="s">
        <v>47</v>
      </c>
      <c r="Q2164" s="1">
        <v>43852</v>
      </c>
      <c r="R2164" t="s">
        <v>48</v>
      </c>
      <c r="S2164" t="s">
        <v>60</v>
      </c>
      <c r="T2164" t="s">
        <v>61</v>
      </c>
      <c r="U2164" t="s">
        <v>42</v>
      </c>
      <c r="V2164">
        <v>0</v>
      </c>
      <c r="W2164">
        <v>100000</v>
      </c>
      <c r="X2164" s="1">
        <v>43921</v>
      </c>
      <c r="Y2164" t="s">
        <v>51</v>
      </c>
      <c r="Z2164" t="s">
        <v>43</v>
      </c>
      <c r="AA2164" t="s">
        <v>41</v>
      </c>
      <c r="AB2164" t="s">
        <v>52</v>
      </c>
      <c r="AC2164" t="s">
        <v>53</v>
      </c>
      <c r="AF2164" t="s">
        <v>59</v>
      </c>
      <c r="AG2164" s="1">
        <v>43838</v>
      </c>
      <c r="AH2164" t="s">
        <v>42</v>
      </c>
      <c r="AI2164" t="s">
        <v>55</v>
      </c>
      <c r="AJ2164">
        <v>12788092</v>
      </c>
      <c r="AK2164">
        <v>250000</v>
      </c>
      <c r="AL2164">
        <v>1500000</v>
      </c>
    </row>
    <row r="2165" spans="1:38" x14ac:dyDescent="0.25">
      <c r="A2165" t="s">
        <v>522</v>
      </c>
      <c r="B2165" t="s">
        <v>553</v>
      </c>
      <c r="C2165" t="s">
        <v>40</v>
      </c>
      <c r="D2165" s="1">
        <v>43494</v>
      </c>
      <c r="E2165" s="1">
        <v>43858</v>
      </c>
      <c r="F2165" t="s">
        <v>41</v>
      </c>
      <c r="G2165">
        <v>1</v>
      </c>
      <c r="H2165" t="s">
        <v>42</v>
      </c>
      <c r="I2165" t="s">
        <v>43</v>
      </c>
      <c r="J2165" t="s">
        <v>41</v>
      </c>
      <c r="K2165" t="s">
        <v>127</v>
      </c>
      <c r="L2165">
        <v>11539.77</v>
      </c>
      <c r="M2165" s="1">
        <v>43494</v>
      </c>
      <c r="N2165" t="s">
        <v>45</v>
      </c>
      <c r="O2165" t="s">
        <v>46</v>
      </c>
      <c r="P2165" t="s">
        <v>47</v>
      </c>
      <c r="Q2165" s="1">
        <v>43852</v>
      </c>
      <c r="R2165" t="s">
        <v>48</v>
      </c>
      <c r="S2165" t="s">
        <v>62</v>
      </c>
      <c r="T2165" t="s">
        <v>63</v>
      </c>
      <c r="U2165" t="s">
        <v>42</v>
      </c>
      <c r="V2165">
        <v>0</v>
      </c>
      <c r="W2165">
        <v>100000</v>
      </c>
      <c r="X2165" s="1">
        <v>43982</v>
      </c>
      <c r="Y2165" t="s">
        <v>51</v>
      </c>
      <c r="Z2165" t="s">
        <v>43</v>
      </c>
      <c r="AA2165" t="s">
        <v>41</v>
      </c>
      <c r="AB2165" t="s">
        <v>52</v>
      </c>
      <c r="AC2165" t="s">
        <v>53</v>
      </c>
      <c r="AF2165" t="s">
        <v>54</v>
      </c>
      <c r="AG2165" s="1">
        <v>43832</v>
      </c>
      <c r="AH2165" t="s">
        <v>42</v>
      </c>
      <c r="AI2165" t="s">
        <v>55</v>
      </c>
      <c r="AJ2165">
        <v>12788092</v>
      </c>
      <c r="AK2165">
        <v>250000</v>
      </c>
      <c r="AL2165">
        <v>1500000</v>
      </c>
    </row>
    <row r="2166" spans="1:38" x14ac:dyDescent="0.25">
      <c r="A2166" t="s">
        <v>522</v>
      </c>
      <c r="B2166" t="s">
        <v>553</v>
      </c>
      <c r="C2166" t="s">
        <v>40</v>
      </c>
      <c r="D2166" s="1">
        <v>43494</v>
      </c>
      <c r="E2166" s="1">
        <v>43858</v>
      </c>
      <c r="F2166" t="s">
        <v>41</v>
      </c>
      <c r="G2166">
        <v>1</v>
      </c>
      <c r="H2166" t="s">
        <v>42</v>
      </c>
      <c r="I2166" t="s">
        <v>43</v>
      </c>
      <c r="J2166" t="s">
        <v>41</v>
      </c>
      <c r="K2166" t="s">
        <v>127</v>
      </c>
      <c r="L2166">
        <v>11539.77</v>
      </c>
      <c r="M2166" s="1">
        <v>43494</v>
      </c>
      <c r="N2166" t="s">
        <v>45</v>
      </c>
      <c r="O2166" t="s">
        <v>46</v>
      </c>
      <c r="P2166" t="s">
        <v>47</v>
      </c>
      <c r="Q2166" s="1">
        <v>43852</v>
      </c>
      <c r="R2166" t="s">
        <v>48</v>
      </c>
      <c r="S2166" t="s">
        <v>62</v>
      </c>
      <c r="T2166" t="s">
        <v>63</v>
      </c>
      <c r="U2166" t="s">
        <v>42</v>
      </c>
      <c r="V2166">
        <v>0</v>
      </c>
      <c r="W2166">
        <v>100000</v>
      </c>
      <c r="X2166" s="1">
        <v>43982</v>
      </c>
      <c r="Y2166" t="s">
        <v>51</v>
      </c>
      <c r="Z2166" t="s">
        <v>43</v>
      </c>
      <c r="AA2166" t="s">
        <v>41</v>
      </c>
      <c r="AB2166" t="s">
        <v>52</v>
      </c>
      <c r="AC2166" t="s">
        <v>53</v>
      </c>
      <c r="AF2166" t="s">
        <v>56</v>
      </c>
      <c r="AG2166" s="1">
        <v>43833</v>
      </c>
      <c r="AH2166" t="s">
        <v>42</v>
      </c>
      <c r="AI2166" t="s">
        <v>55</v>
      </c>
      <c r="AJ2166">
        <v>12788092</v>
      </c>
      <c r="AK2166">
        <v>250000</v>
      </c>
      <c r="AL2166">
        <v>1500000</v>
      </c>
    </row>
    <row r="2167" spans="1:38" x14ac:dyDescent="0.25">
      <c r="A2167" t="s">
        <v>522</v>
      </c>
      <c r="B2167" t="s">
        <v>553</v>
      </c>
      <c r="C2167" t="s">
        <v>40</v>
      </c>
      <c r="D2167" s="1">
        <v>43494</v>
      </c>
      <c r="E2167" s="1">
        <v>43858</v>
      </c>
      <c r="F2167" t="s">
        <v>41</v>
      </c>
      <c r="G2167">
        <v>1</v>
      </c>
      <c r="H2167" t="s">
        <v>42</v>
      </c>
      <c r="I2167" t="s">
        <v>43</v>
      </c>
      <c r="J2167" t="s">
        <v>41</v>
      </c>
      <c r="K2167" t="s">
        <v>127</v>
      </c>
      <c r="L2167">
        <v>11539.77</v>
      </c>
      <c r="M2167" s="1">
        <v>43494</v>
      </c>
      <c r="N2167" t="s">
        <v>45</v>
      </c>
      <c r="O2167" t="s">
        <v>46</v>
      </c>
      <c r="P2167" t="s">
        <v>47</v>
      </c>
      <c r="Q2167" s="1">
        <v>43852</v>
      </c>
      <c r="R2167" t="s">
        <v>48</v>
      </c>
      <c r="S2167" t="s">
        <v>62</v>
      </c>
      <c r="T2167" t="s">
        <v>63</v>
      </c>
      <c r="U2167" t="s">
        <v>42</v>
      </c>
      <c r="V2167">
        <v>0</v>
      </c>
      <c r="W2167">
        <v>100000</v>
      </c>
      <c r="X2167" s="1">
        <v>43982</v>
      </c>
      <c r="Y2167" t="s">
        <v>51</v>
      </c>
      <c r="Z2167" t="s">
        <v>43</v>
      </c>
      <c r="AA2167" t="s">
        <v>41</v>
      </c>
      <c r="AB2167" t="s">
        <v>52</v>
      </c>
      <c r="AC2167" t="s">
        <v>53</v>
      </c>
      <c r="AF2167" t="s">
        <v>57</v>
      </c>
      <c r="AG2167" s="1">
        <v>43836</v>
      </c>
      <c r="AH2167" t="s">
        <v>42</v>
      </c>
      <c r="AI2167" t="s">
        <v>55</v>
      </c>
      <c r="AJ2167">
        <v>12788092</v>
      </c>
      <c r="AK2167">
        <v>250000</v>
      </c>
      <c r="AL2167">
        <v>1500000</v>
      </c>
    </row>
    <row r="2168" spans="1:38" x14ac:dyDescent="0.25">
      <c r="A2168" t="s">
        <v>522</v>
      </c>
      <c r="B2168" t="s">
        <v>553</v>
      </c>
      <c r="C2168" t="s">
        <v>40</v>
      </c>
      <c r="D2168" s="1">
        <v>43494</v>
      </c>
      <c r="E2168" s="1">
        <v>43858</v>
      </c>
      <c r="F2168" t="s">
        <v>41</v>
      </c>
      <c r="G2168">
        <v>1</v>
      </c>
      <c r="H2168" t="s">
        <v>42</v>
      </c>
      <c r="I2168" t="s">
        <v>43</v>
      </c>
      <c r="J2168" t="s">
        <v>41</v>
      </c>
      <c r="K2168" t="s">
        <v>127</v>
      </c>
      <c r="L2168">
        <v>11539.77</v>
      </c>
      <c r="M2168" s="1">
        <v>43494</v>
      </c>
      <c r="N2168" t="s">
        <v>45</v>
      </c>
      <c r="O2168" t="s">
        <v>46</v>
      </c>
      <c r="P2168" t="s">
        <v>47</v>
      </c>
      <c r="Q2168" s="1">
        <v>43852</v>
      </c>
      <c r="R2168" t="s">
        <v>48</v>
      </c>
      <c r="S2168" t="s">
        <v>62</v>
      </c>
      <c r="T2168" t="s">
        <v>63</v>
      </c>
      <c r="U2168" t="s">
        <v>42</v>
      </c>
      <c r="V2168">
        <v>0</v>
      </c>
      <c r="W2168">
        <v>100000</v>
      </c>
      <c r="X2168" s="1">
        <v>43982</v>
      </c>
      <c r="Y2168" t="s">
        <v>51</v>
      </c>
      <c r="Z2168" t="s">
        <v>43</v>
      </c>
      <c r="AA2168" t="s">
        <v>41</v>
      </c>
      <c r="AB2168" t="s">
        <v>52</v>
      </c>
      <c r="AC2168" t="s">
        <v>53</v>
      </c>
      <c r="AF2168" t="s">
        <v>58</v>
      </c>
      <c r="AG2168" s="1">
        <v>43837</v>
      </c>
      <c r="AH2168" t="s">
        <v>42</v>
      </c>
      <c r="AI2168" t="s">
        <v>55</v>
      </c>
      <c r="AJ2168">
        <v>12788092</v>
      </c>
      <c r="AK2168">
        <v>250000</v>
      </c>
      <c r="AL2168">
        <v>1500000</v>
      </c>
    </row>
    <row r="2169" spans="1:38" x14ac:dyDescent="0.25">
      <c r="A2169" t="s">
        <v>522</v>
      </c>
      <c r="B2169" t="s">
        <v>553</v>
      </c>
      <c r="C2169" t="s">
        <v>40</v>
      </c>
      <c r="D2169" s="1">
        <v>43494</v>
      </c>
      <c r="E2169" s="1">
        <v>43858</v>
      </c>
      <c r="F2169" t="s">
        <v>41</v>
      </c>
      <c r="G2169">
        <v>1</v>
      </c>
      <c r="H2169" t="s">
        <v>42</v>
      </c>
      <c r="I2169" t="s">
        <v>43</v>
      </c>
      <c r="J2169" t="s">
        <v>41</v>
      </c>
      <c r="K2169" t="s">
        <v>127</v>
      </c>
      <c r="L2169">
        <v>11539.77</v>
      </c>
      <c r="M2169" s="1">
        <v>43494</v>
      </c>
      <c r="N2169" t="s">
        <v>45</v>
      </c>
      <c r="O2169" t="s">
        <v>46</v>
      </c>
      <c r="P2169" t="s">
        <v>47</v>
      </c>
      <c r="Q2169" s="1">
        <v>43852</v>
      </c>
      <c r="R2169" t="s">
        <v>48</v>
      </c>
      <c r="S2169" t="s">
        <v>62</v>
      </c>
      <c r="T2169" t="s">
        <v>63</v>
      </c>
      <c r="U2169" t="s">
        <v>42</v>
      </c>
      <c r="V2169">
        <v>0</v>
      </c>
      <c r="W2169">
        <v>100000</v>
      </c>
      <c r="X2169" s="1">
        <v>43982</v>
      </c>
      <c r="Y2169" t="s">
        <v>51</v>
      </c>
      <c r="Z2169" t="s">
        <v>43</v>
      </c>
      <c r="AA2169" t="s">
        <v>41</v>
      </c>
      <c r="AB2169" t="s">
        <v>52</v>
      </c>
      <c r="AC2169" t="s">
        <v>53</v>
      </c>
      <c r="AF2169" t="s">
        <v>59</v>
      </c>
      <c r="AG2169" s="1">
        <v>43838</v>
      </c>
      <c r="AH2169" t="s">
        <v>42</v>
      </c>
      <c r="AI2169" t="s">
        <v>55</v>
      </c>
      <c r="AJ2169">
        <v>12788092</v>
      </c>
      <c r="AK2169">
        <v>250000</v>
      </c>
      <c r="AL2169">
        <v>1500000</v>
      </c>
    </row>
    <row r="2170" spans="1:38" x14ac:dyDescent="0.25">
      <c r="A2170" t="s">
        <v>522</v>
      </c>
      <c r="B2170" t="s">
        <v>553</v>
      </c>
      <c r="C2170" t="s">
        <v>40</v>
      </c>
      <c r="D2170" s="1">
        <v>43494</v>
      </c>
      <c r="E2170" s="1">
        <v>43858</v>
      </c>
      <c r="F2170" t="s">
        <v>41</v>
      </c>
      <c r="G2170">
        <v>1</v>
      </c>
      <c r="H2170" t="s">
        <v>42</v>
      </c>
      <c r="I2170" t="s">
        <v>43</v>
      </c>
      <c r="J2170" t="s">
        <v>41</v>
      </c>
      <c r="K2170" t="s">
        <v>127</v>
      </c>
      <c r="L2170">
        <v>11539.77</v>
      </c>
      <c r="M2170" s="1">
        <v>43494</v>
      </c>
      <c r="N2170" t="s">
        <v>45</v>
      </c>
      <c r="O2170" t="s">
        <v>46</v>
      </c>
      <c r="P2170" t="s">
        <v>47</v>
      </c>
      <c r="Q2170" s="1">
        <v>43852</v>
      </c>
      <c r="R2170" t="s">
        <v>48</v>
      </c>
      <c r="S2170" t="s">
        <v>64</v>
      </c>
      <c r="T2170" t="s">
        <v>65</v>
      </c>
      <c r="U2170" t="s">
        <v>42</v>
      </c>
      <c r="V2170">
        <v>0</v>
      </c>
      <c r="W2170">
        <v>100000</v>
      </c>
      <c r="X2170" s="1">
        <v>43921</v>
      </c>
      <c r="Y2170" t="s">
        <v>51</v>
      </c>
      <c r="Z2170" t="s">
        <v>43</v>
      </c>
      <c r="AA2170" t="s">
        <v>41</v>
      </c>
      <c r="AB2170" t="s">
        <v>52</v>
      </c>
      <c r="AC2170" t="s">
        <v>53</v>
      </c>
      <c r="AF2170" t="s">
        <v>54</v>
      </c>
      <c r="AG2170" s="1">
        <v>43832</v>
      </c>
      <c r="AH2170" t="s">
        <v>42</v>
      </c>
      <c r="AI2170" t="s">
        <v>55</v>
      </c>
      <c r="AJ2170">
        <v>12788092</v>
      </c>
      <c r="AK2170">
        <v>250000</v>
      </c>
      <c r="AL2170">
        <v>1500000</v>
      </c>
    </row>
    <row r="2171" spans="1:38" x14ac:dyDescent="0.25">
      <c r="A2171" t="s">
        <v>522</v>
      </c>
      <c r="B2171" t="s">
        <v>553</v>
      </c>
      <c r="C2171" t="s">
        <v>40</v>
      </c>
      <c r="D2171" s="1">
        <v>43494</v>
      </c>
      <c r="E2171" s="1">
        <v>43858</v>
      </c>
      <c r="F2171" t="s">
        <v>41</v>
      </c>
      <c r="G2171">
        <v>1</v>
      </c>
      <c r="H2171" t="s">
        <v>42</v>
      </c>
      <c r="I2171" t="s">
        <v>43</v>
      </c>
      <c r="J2171" t="s">
        <v>41</v>
      </c>
      <c r="K2171" t="s">
        <v>127</v>
      </c>
      <c r="L2171">
        <v>11539.77</v>
      </c>
      <c r="M2171" s="1">
        <v>43494</v>
      </c>
      <c r="N2171" t="s">
        <v>45</v>
      </c>
      <c r="O2171" t="s">
        <v>46</v>
      </c>
      <c r="P2171" t="s">
        <v>47</v>
      </c>
      <c r="Q2171" s="1">
        <v>43852</v>
      </c>
      <c r="R2171" t="s">
        <v>48</v>
      </c>
      <c r="S2171" t="s">
        <v>64</v>
      </c>
      <c r="T2171" t="s">
        <v>65</v>
      </c>
      <c r="U2171" t="s">
        <v>42</v>
      </c>
      <c r="V2171">
        <v>0</v>
      </c>
      <c r="W2171">
        <v>100000</v>
      </c>
      <c r="X2171" s="1">
        <v>43921</v>
      </c>
      <c r="Y2171" t="s">
        <v>51</v>
      </c>
      <c r="Z2171" t="s">
        <v>43</v>
      </c>
      <c r="AA2171" t="s">
        <v>41</v>
      </c>
      <c r="AB2171" t="s">
        <v>52</v>
      </c>
      <c r="AC2171" t="s">
        <v>53</v>
      </c>
      <c r="AF2171" t="s">
        <v>56</v>
      </c>
      <c r="AG2171" s="1">
        <v>43833</v>
      </c>
      <c r="AH2171" t="s">
        <v>42</v>
      </c>
      <c r="AI2171" t="s">
        <v>55</v>
      </c>
      <c r="AJ2171">
        <v>12788092</v>
      </c>
      <c r="AK2171">
        <v>250000</v>
      </c>
      <c r="AL2171">
        <v>1500000</v>
      </c>
    </row>
    <row r="2172" spans="1:38" x14ac:dyDescent="0.25">
      <c r="A2172" t="s">
        <v>522</v>
      </c>
      <c r="B2172" t="s">
        <v>553</v>
      </c>
      <c r="C2172" t="s">
        <v>40</v>
      </c>
      <c r="D2172" s="1">
        <v>43494</v>
      </c>
      <c r="E2172" s="1">
        <v>43858</v>
      </c>
      <c r="F2172" t="s">
        <v>41</v>
      </c>
      <c r="G2172">
        <v>1</v>
      </c>
      <c r="H2172" t="s">
        <v>42</v>
      </c>
      <c r="I2172" t="s">
        <v>43</v>
      </c>
      <c r="J2172" t="s">
        <v>41</v>
      </c>
      <c r="K2172" t="s">
        <v>127</v>
      </c>
      <c r="L2172">
        <v>11539.77</v>
      </c>
      <c r="M2172" s="1">
        <v>43494</v>
      </c>
      <c r="N2172" t="s">
        <v>45</v>
      </c>
      <c r="O2172" t="s">
        <v>46</v>
      </c>
      <c r="P2172" t="s">
        <v>47</v>
      </c>
      <c r="Q2172" s="1">
        <v>43852</v>
      </c>
      <c r="R2172" t="s">
        <v>48</v>
      </c>
      <c r="S2172" t="s">
        <v>64</v>
      </c>
      <c r="T2172" t="s">
        <v>65</v>
      </c>
      <c r="U2172" t="s">
        <v>42</v>
      </c>
      <c r="V2172">
        <v>0</v>
      </c>
      <c r="W2172">
        <v>100000</v>
      </c>
      <c r="X2172" s="1">
        <v>43921</v>
      </c>
      <c r="Y2172" t="s">
        <v>51</v>
      </c>
      <c r="Z2172" t="s">
        <v>43</v>
      </c>
      <c r="AA2172" t="s">
        <v>41</v>
      </c>
      <c r="AB2172" t="s">
        <v>52</v>
      </c>
      <c r="AC2172" t="s">
        <v>53</v>
      </c>
      <c r="AF2172" t="s">
        <v>57</v>
      </c>
      <c r="AG2172" s="1">
        <v>43836</v>
      </c>
      <c r="AH2172" t="s">
        <v>42</v>
      </c>
      <c r="AI2172" t="s">
        <v>55</v>
      </c>
      <c r="AJ2172">
        <v>12788092</v>
      </c>
      <c r="AK2172">
        <v>250000</v>
      </c>
      <c r="AL2172">
        <v>1500000</v>
      </c>
    </row>
    <row r="2173" spans="1:38" x14ac:dyDescent="0.25">
      <c r="A2173" t="s">
        <v>522</v>
      </c>
      <c r="B2173" t="s">
        <v>553</v>
      </c>
      <c r="C2173" t="s">
        <v>40</v>
      </c>
      <c r="D2173" s="1">
        <v>43494</v>
      </c>
      <c r="E2173" s="1">
        <v>43858</v>
      </c>
      <c r="F2173" t="s">
        <v>41</v>
      </c>
      <c r="G2173">
        <v>1</v>
      </c>
      <c r="H2173" t="s">
        <v>42</v>
      </c>
      <c r="I2173" t="s">
        <v>43</v>
      </c>
      <c r="J2173" t="s">
        <v>41</v>
      </c>
      <c r="K2173" t="s">
        <v>127</v>
      </c>
      <c r="L2173">
        <v>11539.77</v>
      </c>
      <c r="M2173" s="1">
        <v>43494</v>
      </c>
      <c r="N2173" t="s">
        <v>45</v>
      </c>
      <c r="O2173" t="s">
        <v>46</v>
      </c>
      <c r="P2173" t="s">
        <v>47</v>
      </c>
      <c r="Q2173" s="1">
        <v>43852</v>
      </c>
      <c r="R2173" t="s">
        <v>48</v>
      </c>
      <c r="S2173" t="s">
        <v>64</v>
      </c>
      <c r="T2173" t="s">
        <v>65</v>
      </c>
      <c r="U2173" t="s">
        <v>42</v>
      </c>
      <c r="V2173">
        <v>0</v>
      </c>
      <c r="W2173">
        <v>100000</v>
      </c>
      <c r="X2173" s="1">
        <v>43921</v>
      </c>
      <c r="Y2173" t="s">
        <v>51</v>
      </c>
      <c r="Z2173" t="s">
        <v>43</v>
      </c>
      <c r="AA2173" t="s">
        <v>41</v>
      </c>
      <c r="AB2173" t="s">
        <v>52</v>
      </c>
      <c r="AC2173" t="s">
        <v>53</v>
      </c>
      <c r="AF2173" t="s">
        <v>58</v>
      </c>
      <c r="AG2173" s="1">
        <v>43837</v>
      </c>
      <c r="AH2173" t="s">
        <v>42</v>
      </c>
      <c r="AI2173" t="s">
        <v>55</v>
      </c>
      <c r="AJ2173">
        <v>12788092</v>
      </c>
      <c r="AK2173">
        <v>250000</v>
      </c>
      <c r="AL2173">
        <v>1500000</v>
      </c>
    </row>
    <row r="2174" spans="1:38" x14ac:dyDescent="0.25">
      <c r="A2174" t="s">
        <v>522</v>
      </c>
      <c r="B2174" t="s">
        <v>553</v>
      </c>
      <c r="C2174" t="s">
        <v>40</v>
      </c>
      <c r="D2174" s="1">
        <v>43494</v>
      </c>
      <c r="E2174" s="1">
        <v>43858</v>
      </c>
      <c r="F2174" t="s">
        <v>41</v>
      </c>
      <c r="G2174">
        <v>1</v>
      </c>
      <c r="H2174" t="s">
        <v>42</v>
      </c>
      <c r="I2174" t="s">
        <v>43</v>
      </c>
      <c r="J2174" t="s">
        <v>41</v>
      </c>
      <c r="K2174" t="s">
        <v>127</v>
      </c>
      <c r="L2174">
        <v>11539.77</v>
      </c>
      <c r="M2174" s="1">
        <v>43494</v>
      </c>
      <c r="N2174" t="s">
        <v>45</v>
      </c>
      <c r="O2174" t="s">
        <v>46</v>
      </c>
      <c r="P2174" t="s">
        <v>47</v>
      </c>
      <c r="Q2174" s="1">
        <v>43852</v>
      </c>
      <c r="R2174" t="s">
        <v>48</v>
      </c>
      <c r="S2174" t="s">
        <v>64</v>
      </c>
      <c r="T2174" t="s">
        <v>65</v>
      </c>
      <c r="U2174" t="s">
        <v>42</v>
      </c>
      <c r="V2174">
        <v>0</v>
      </c>
      <c r="W2174">
        <v>100000</v>
      </c>
      <c r="X2174" s="1">
        <v>43921</v>
      </c>
      <c r="Y2174" t="s">
        <v>51</v>
      </c>
      <c r="Z2174" t="s">
        <v>43</v>
      </c>
      <c r="AA2174" t="s">
        <v>41</v>
      </c>
      <c r="AB2174" t="s">
        <v>52</v>
      </c>
      <c r="AC2174" t="s">
        <v>53</v>
      </c>
      <c r="AF2174" t="s">
        <v>59</v>
      </c>
      <c r="AG2174" s="1">
        <v>43838</v>
      </c>
      <c r="AH2174" t="s">
        <v>42</v>
      </c>
      <c r="AI2174" t="s">
        <v>55</v>
      </c>
      <c r="AJ2174">
        <v>12788092</v>
      </c>
      <c r="AK2174">
        <v>250000</v>
      </c>
      <c r="AL2174">
        <v>1500000</v>
      </c>
    </row>
    <row r="2175" spans="1:38" x14ac:dyDescent="0.25">
      <c r="A2175" t="s">
        <v>522</v>
      </c>
      <c r="B2175" t="s">
        <v>554</v>
      </c>
      <c r="C2175" t="s">
        <v>40</v>
      </c>
      <c r="D2175" s="1">
        <v>43497</v>
      </c>
      <c r="E2175" s="1">
        <v>43861</v>
      </c>
      <c r="F2175" t="s">
        <v>77</v>
      </c>
      <c r="G2175">
        <v>1</v>
      </c>
      <c r="H2175" t="s">
        <v>42</v>
      </c>
      <c r="I2175" t="s">
        <v>43</v>
      </c>
      <c r="J2175" t="s">
        <v>77</v>
      </c>
      <c r="K2175" t="s">
        <v>127</v>
      </c>
      <c r="L2175">
        <v>21875</v>
      </c>
      <c r="M2175" s="1">
        <v>43497</v>
      </c>
      <c r="N2175" t="s">
        <v>45</v>
      </c>
      <c r="O2175" t="s">
        <v>46</v>
      </c>
      <c r="P2175" t="s">
        <v>47</v>
      </c>
      <c r="Q2175" s="1">
        <v>43852</v>
      </c>
      <c r="R2175" t="s">
        <v>48</v>
      </c>
      <c r="S2175" t="s">
        <v>233</v>
      </c>
      <c r="T2175" t="s">
        <v>234</v>
      </c>
      <c r="U2175" t="s">
        <v>42</v>
      </c>
      <c r="V2175">
        <v>0</v>
      </c>
      <c r="W2175">
        <v>100000</v>
      </c>
      <c r="X2175" s="1">
        <v>43982</v>
      </c>
      <c r="Y2175" t="s">
        <v>51</v>
      </c>
      <c r="Z2175" t="s">
        <v>43</v>
      </c>
      <c r="AA2175" t="s">
        <v>77</v>
      </c>
      <c r="AB2175" t="s">
        <v>158</v>
      </c>
      <c r="AC2175" t="s">
        <v>235</v>
      </c>
      <c r="AF2175" t="s">
        <v>54</v>
      </c>
      <c r="AG2175" s="1">
        <v>43832</v>
      </c>
      <c r="AH2175" t="s">
        <v>42</v>
      </c>
      <c r="AI2175" t="s">
        <v>55</v>
      </c>
      <c r="AJ2175">
        <v>12788092</v>
      </c>
      <c r="AK2175">
        <v>250000</v>
      </c>
      <c r="AL2175">
        <v>1500000</v>
      </c>
    </row>
    <row r="2176" spans="1:38" x14ac:dyDescent="0.25">
      <c r="A2176" t="s">
        <v>522</v>
      </c>
      <c r="B2176" t="s">
        <v>554</v>
      </c>
      <c r="C2176" t="s">
        <v>40</v>
      </c>
      <c r="D2176" s="1">
        <v>43497</v>
      </c>
      <c r="E2176" s="1">
        <v>43861</v>
      </c>
      <c r="F2176" t="s">
        <v>77</v>
      </c>
      <c r="G2176">
        <v>1</v>
      </c>
      <c r="H2176" t="s">
        <v>42</v>
      </c>
      <c r="I2176" t="s">
        <v>43</v>
      </c>
      <c r="J2176" t="s">
        <v>77</v>
      </c>
      <c r="K2176" t="s">
        <v>127</v>
      </c>
      <c r="L2176">
        <v>21875</v>
      </c>
      <c r="M2176" s="1">
        <v>43497</v>
      </c>
      <c r="N2176" t="s">
        <v>45</v>
      </c>
      <c r="O2176" t="s">
        <v>46</v>
      </c>
      <c r="P2176" t="s">
        <v>47</v>
      </c>
      <c r="Q2176" s="1">
        <v>43852</v>
      </c>
      <c r="R2176" t="s">
        <v>48</v>
      </c>
      <c r="S2176" t="s">
        <v>233</v>
      </c>
      <c r="T2176" t="s">
        <v>234</v>
      </c>
      <c r="U2176" t="s">
        <v>42</v>
      </c>
      <c r="V2176">
        <v>0</v>
      </c>
      <c r="W2176">
        <v>100000</v>
      </c>
      <c r="X2176" s="1">
        <v>43982</v>
      </c>
      <c r="Y2176" t="s">
        <v>51</v>
      </c>
      <c r="Z2176" t="s">
        <v>43</v>
      </c>
      <c r="AA2176" t="s">
        <v>77</v>
      </c>
      <c r="AB2176" t="s">
        <v>158</v>
      </c>
      <c r="AC2176" t="s">
        <v>235</v>
      </c>
      <c r="AF2176" t="s">
        <v>56</v>
      </c>
      <c r="AG2176" s="1">
        <v>43833</v>
      </c>
      <c r="AH2176" t="s">
        <v>42</v>
      </c>
      <c r="AI2176" t="s">
        <v>55</v>
      </c>
      <c r="AJ2176">
        <v>12788092</v>
      </c>
      <c r="AK2176">
        <v>250000</v>
      </c>
      <c r="AL2176">
        <v>1500000</v>
      </c>
    </row>
    <row r="2177" spans="1:38" x14ac:dyDescent="0.25">
      <c r="A2177" t="s">
        <v>522</v>
      </c>
      <c r="B2177" t="s">
        <v>554</v>
      </c>
      <c r="C2177" t="s">
        <v>40</v>
      </c>
      <c r="D2177" s="1">
        <v>43497</v>
      </c>
      <c r="E2177" s="1">
        <v>43861</v>
      </c>
      <c r="F2177" t="s">
        <v>77</v>
      </c>
      <c r="G2177">
        <v>1</v>
      </c>
      <c r="H2177" t="s">
        <v>42</v>
      </c>
      <c r="I2177" t="s">
        <v>43</v>
      </c>
      <c r="J2177" t="s">
        <v>77</v>
      </c>
      <c r="K2177" t="s">
        <v>127</v>
      </c>
      <c r="L2177">
        <v>21875</v>
      </c>
      <c r="M2177" s="1">
        <v>43497</v>
      </c>
      <c r="N2177" t="s">
        <v>45</v>
      </c>
      <c r="O2177" t="s">
        <v>46</v>
      </c>
      <c r="P2177" t="s">
        <v>47</v>
      </c>
      <c r="Q2177" s="1">
        <v>43852</v>
      </c>
      <c r="R2177" t="s">
        <v>48</v>
      </c>
      <c r="S2177" t="s">
        <v>233</v>
      </c>
      <c r="T2177" t="s">
        <v>234</v>
      </c>
      <c r="U2177" t="s">
        <v>42</v>
      </c>
      <c r="V2177">
        <v>0</v>
      </c>
      <c r="W2177">
        <v>100000</v>
      </c>
      <c r="X2177" s="1">
        <v>43982</v>
      </c>
      <c r="Y2177" t="s">
        <v>51</v>
      </c>
      <c r="Z2177" t="s">
        <v>43</v>
      </c>
      <c r="AA2177" t="s">
        <v>77</v>
      </c>
      <c r="AB2177" t="s">
        <v>158</v>
      </c>
      <c r="AC2177" t="s">
        <v>235</v>
      </c>
      <c r="AF2177" t="s">
        <v>57</v>
      </c>
      <c r="AG2177" s="1">
        <v>43836</v>
      </c>
      <c r="AH2177" t="s">
        <v>42</v>
      </c>
      <c r="AI2177" t="s">
        <v>55</v>
      </c>
      <c r="AJ2177">
        <v>12788092</v>
      </c>
      <c r="AK2177">
        <v>250000</v>
      </c>
      <c r="AL2177">
        <v>1500000</v>
      </c>
    </row>
    <row r="2178" spans="1:38" x14ac:dyDescent="0.25">
      <c r="A2178" t="s">
        <v>522</v>
      </c>
      <c r="B2178" t="s">
        <v>554</v>
      </c>
      <c r="C2178" t="s">
        <v>40</v>
      </c>
      <c r="D2178" s="1">
        <v>43497</v>
      </c>
      <c r="E2178" s="1">
        <v>43861</v>
      </c>
      <c r="F2178" t="s">
        <v>77</v>
      </c>
      <c r="G2178">
        <v>1</v>
      </c>
      <c r="H2178" t="s">
        <v>42</v>
      </c>
      <c r="I2178" t="s">
        <v>43</v>
      </c>
      <c r="J2178" t="s">
        <v>77</v>
      </c>
      <c r="K2178" t="s">
        <v>127</v>
      </c>
      <c r="L2178">
        <v>21875</v>
      </c>
      <c r="M2178" s="1">
        <v>43497</v>
      </c>
      <c r="N2178" t="s">
        <v>45</v>
      </c>
      <c r="O2178" t="s">
        <v>46</v>
      </c>
      <c r="P2178" t="s">
        <v>47</v>
      </c>
      <c r="Q2178" s="1">
        <v>43852</v>
      </c>
      <c r="R2178" t="s">
        <v>48</v>
      </c>
      <c r="S2178" t="s">
        <v>233</v>
      </c>
      <c r="T2178" t="s">
        <v>234</v>
      </c>
      <c r="U2178" t="s">
        <v>42</v>
      </c>
      <c r="V2178">
        <v>0</v>
      </c>
      <c r="W2178">
        <v>100000</v>
      </c>
      <c r="X2178" s="1">
        <v>43982</v>
      </c>
      <c r="Y2178" t="s">
        <v>51</v>
      </c>
      <c r="Z2178" t="s">
        <v>43</v>
      </c>
      <c r="AA2178" t="s">
        <v>77</v>
      </c>
      <c r="AB2178" t="s">
        <v>158</v>
      </c>
      <c r="AC2178" t="s">
        <v>235</v>
      </c>
      <c r="AF2178" t="s">
        <v>58</v>
      </c>
      <c r="AG2178" s="1">
        <v>43837</v>
      </c>
      <c r="AH2178" t="s">
        <v>42</v>
      </c>
      <c r="AI2178" t="s">
        <v>55</v>
      </c>
      <c r="AJ2178">
        <v>12788092</v>
      </c>
      <c r="AK2178">
        <v>250000</v>
      </c>
      <c r="AL2178">
        <v>1500000</v>
      </c>
    </row>
    <row r="2179" spans="1:38" x14ac:dyDescent="0.25">
      <c r="A2179" t="s">
        <v>522</v>
      </c>
      <c r="B2179" t="s">
        <v>554</v>
      </c>
      <c r="C2179" t="s">
        <v>40</v>
      </c>
      <c r="D2179" s="1">
        <v>43497</v>
      </c>
      <c r="E2179" s="1">
        <v>43861</v>
      </c>
      <c r="F2179" t="s">
        <v>77</v>
      </c>
      <c r="G2179">
        <v>1</v>
      </c>
      <c r="H2179" t="s">
        <v>42</v>
      </c>
      <c r="I2179" t="s">
        <v>43</v>
      </c>
      <c r="J2179" t="s">
        <v>77</v>
      </c>
      <c r="K2179" t="s">
        <v>127</v>
      </c>
      <c r="L2179">
        <v>21875</v>
      </c>
      <c r="M2179" s="1">
        <v>43497</v>
      </c>
      <c r="N2179" t="s">
        <v>45</v>
      </c>
      <c r="O2179" t="s">
        <v>46</v>
      </c>
      <c r="P2179" t="s">
        <v>47</v>
      </c>
      <c r="Q2179" s="1">
        <v>43852</v>
      </c>
      <c r="R2179" t="s">
        <v>48</v>
      </c>
      <c r="S2179" t="s">
        <v>233</v>
      </c>
      <c r="T2179" t="s">
        <v>234</v>
      </c>
      <c r="U2179" t="s">
        <v>42</v>
      </c>
      <c r="V2179">
        <v>0</v>
      </c>
      <c r="W2179">
        <v>100000</v>
      </c>
      <c r="X2179" s="1">
        <v>43982</v>
      </c>
      <c r="Y2179" t="s">
        <v>51</v>
      </c>
      <c r="Z2179" t="s">
        <v>43</v>
      </c>
      <c r="AA2179" t="s">
        <v>77</v>
      </c>
      <c r="AB2179" t="s">
        <v>158</v>
      </c>
      <c r="AC2179" t="s">
        <v>235</v>
      </c>
      <c r="AF2179" t="s">
        <v>59</v>
      </c>
      <c r="AG2179" s="1">
        <v>43838</v>
      </c>
      <c r="AH2179" t="s">
        <v>42</v>
      </c>
      <c r="AI2179" t="s">
        <v>55</v>
      </c>
      <c r="AJ2179">
        <v>12788092</v>
      </c>
      <c r="AK2179">
        <v>250000</v>
      </c>
      <c r="AL2179">
        <v>1500000</v>
      </c>
    </row>
    <row r="2180" spans="1:38" x14ac:dyDescent="0.25">
      <c r="A2180" t="s">
        <v>522</v>
      </c>
      <c r="B2180" s="2">
        <v>9.9E+19</v>
      </c>
      <c r="C2180" t="s">
        <v>40</v>
      </c>
      <c r="D2180" s="1">
        <v>42744</v>
      </c>
      <c r="E2180" s="1">
        <v>43473</v>
      </c>
      <c r="F2180" t="s">
        <v>306</v>
      </c>
      <c r="G2180">
        <v>1</v>
      </c>
      <c r="H2180" t="s">
        <v>42</v>
      </c>
      <c r="I2180" t="s">
        <v>43</v>
      </c>
      <c r="J2180" t="s">
        <v>73</v>
      </c>
      <c r="K2180" t="s">
        <v>127</v>
      </c>
      <c r="L2180">
        <v>8588.56</v>
      </c>
      <c r="M2180" s="1">
        <v>42835</v>
      </c>
      <c r="N2180" t="s">
        <v>45</v>
      </c>
      <c r="O2180" t="s">
        <v>46</v>
      </c>
      <c r="P2180" t="s">
        <v>47</v>
      </c>
      <c r="Q2180" s="1">
        <v>43852</v>
      </c>
      <c r="R2180" t="s">
        <v>48</v>
      </c>
    </row>
    <row r="2181" spans="1:38" x14ac:dyDescent="0.25">
      <c r="A2181" t="s">
        <v>522</v>
      </c>
      <c r="B2181" s="2">
        <v>9.9E+19</v>
      </c>
      <c r="C2181" t="s">
        <v>40</v>
      </c>
      <c r="D2181" s="1">
        <v>42774</v>
      </c>
      <c r="E2181" s="1">
        <v>43319</v>
      </c>
      <c r="F2181" t="s">
        <v>306</v>
      </c>
      <c r="G2181">
        <v>1</v>
      </c>
      <c r="H2181" t="s">
        <v>42</v>
      </c>
      <c r="I2181" t="s">
        <v>43</v>
      </c>
      <c r="J2181" t="s">
        <v>73</v>
      </c>
      <c r="K2181" t="s">
        <v>127</v>
      </c>
      <c r="L2181">
        <v>3050.6</v>
      </c>
      <c r="M2181" s="1">
        <v>42774</v>
      </c>
      <c r="N2181" t="s">
        <v>45</v>
      </c>
      <c r="O2181" t="s">
        <v>46</v>
      </c>
      <c r="P2181" t="s">
        <v>47</v>
      </c>
      <c r="Q2181" s="1">
        <v>43852</v>
      </c>
      <c r="R2181" t="s">
        <v>48</v>
      </c>
    </row>
    <row r="2182" spans="1:38" x14ac:dyDescent="0.25">
      <c r="A2182" t="s">
        <v>522</v>
      </c>
      <c r="B2182" s="2">
        <v>9.9E+19</v>
      </c>
      <c r="C2182" t="s">
        <v>40</v>
      </c>
      <c r="D2182" s="1">
        <v>42774</v>
      </c>
      <c r="E2182" s="1">
        <v>43319</v>
      </c>
      <c r="F2182" t="s">
        <v>306</v>
      </c>
      <c r="G2182">
        <v>1</v>
      </c>
      <c r="H2182" t="s">
        <v>42</v>
      </c>
      <c r="I2182" t="s">
        <v>43</v>
      </c>
      <c r="J2182" t="s">
        <v>73</v>
      </c>
      <c r="K2182" t="s">
        <v>127</v>
      </c>
      <c r="L2182">
        <v>3050.6</v>
      </c>
      <c r="M2182" s="1">
        <v>42954</v>
      </c>
      <c r="N2182" t="s">
        <v>45</v>
      </c>
      <c r="O2182" t="s">
        <v>46</v>
      </c>
      <c r="P2182" t="s">
        <v>47</v>
      </c>
      <c r="Q2182" s="1">
        <v>43852</v>
      </c>
      <c r="R2182" t="s">
        <v>48</v>
      </c>
    </row>
    <row r="2183" spans="1:38" x14ac:dyDescent="0.25">
      <c r="A2183" t="s">
        <v>522</v>
      </c>
      <c r="B2183" s="2">
        <v>9.9E+19</v>
      </c>
      <c r="C2183" t="s">
        <v>40</v>
      </c>
      <c r="D2183" s="1">
        <v>42663</v>
      </c>
      <c r="E2183" s="1">
        <v>43209</v>
      </c>
      <c r="F2183" t="s">
        <v>306</v>
      </c>
      <c r="G2183">
        <v>1</v>
      </c>
      <c r="H2183" t="s">
        <v>42</v>
      </c>
      <c r="I2183" t="s">
        <v>43</v>
      </c>
      <c r="J2183" t="s">
        <v>73</v>
      </c>
      <c r="K2183" t="s">
        <v>127</v>
      </c>
      <c r="L2183">
        <v>40309.5</v>
      </c>
      <c r="M2183" s="1">
        <v>43099</v>
      </c>
      <c r="N2183" t="s">
        <v>45</v>
      </c>
      <c r="O2183" t="s">
        <v>46</v>
      </c>
      <c r="P2183" t="s">
        <v>47</v>
      </c>
      <c r="Q2183" s="1">
        <v>43852</v>
      </c>
      <c r="R2183" t="s">
        <v>48</v>
      </c>
    </row>
    <row r="2184" spans="1:38" x14ac:dyDescent="0.25">
      <c r="A2184" t="s">
        <v>522</v>
      </c>
      <c r="B2184" s="2">
        <v>9.9E+19</v>
      </c>
      <c r="C2184" t="s">
        <v>40</v>
      </c>
      <c r="D2184" s="1">
        <v>42663</v>
      </c>
      <c r="E2184" s="1">
        <v>43209</v>
      </c>
      <c r="F2184" t="s">
        <v>306</v>
      </c>
      <c r="G2184">
        <v>1</v>
      </c>
      <c r="H2184" t="s">
        <v>42</v>
      </c>
      <c r="I2184" t="s">
        <v>43</v>
      </c>
      <c r="J2184" t="s">
        <v>73</v>
      </c>
      <c r="K2184" t="s">
        <v>127</v>
      </c>
      <c r="L2184">
        <v>40309.68</v>
      </c>
      <c r="M2184" s="1">
        <v>42772</v>
      </c>
      <c r="N2184" t="s">
        <v>45</v>
      </c>
      <c r="O2184" t="s">
        <v>46</v>
      </c>
      <c r="P2184" t="s">
        <v>47</v>
      </c>
      <c r="Q2184" s="1">
        <v>43852</v>
      </c>
      <c r="R2184" t="s">
        <v>48</v>
      </c>
    </row>
    <row r="2185" spans="1:38" x14ac:dyDescent="0.25">
      <c r="A2185" t="s">
        <v>522</v>
      </c>
      <c r="B2185" s="2">
        <v>9.9E+19</v>
      </c>
      <c r="C2185" t="s">
        <v>40</v>
      </c>
      <c r="D2185" s="1">
        <v>42663</v>
      </c>
      <c r="E2185" s="1">
        <v>43209</v>
      </c>
      <c r="F2185" t="s">
        <v>306</v>
      </c>
      <c r="G2185">
        <v>1</v>
      </c>
      <c r="H2185" t="s">
        <v>42</v>
      </c>
      <c r="I2185" t="s">
        <v>43</v>
      </c>
      <c r="J2185" t="s">
        <v>73</v>
      </c>
      <c r="K2185" t="s">
        <v>127</v>
      </c>
      <c r="L2185">
        <v>40309.68</v>
      </c>
      <c r="M2185" s="1">
        <v>42880</v>
      </c>
      <c r="N2185" t="s">
        <v>45</v>
      </c>
      <c r="O2185" t="s">
        <v>46</v>
      </c>
      <c r="P2185" t="s">
        <v>47</v>
      </c>
      <c r="Q2185" s="1">
        <v>43852</v>
      </c>
      <c r="R2185" t="s">
        <v>48</v>
      </c>
    </row>
    <row r="2186" spans="1:38" x14ac:dyDescent="0.25">
      <c r="A2186" t="s">
        <v>522</v>
      </c>
      <c r="B2186" s="2">
        <v>9.9E+19</v>
      </c>
      <c r="C2186" t="s">
        <v>40</v>
      </c>
      <c r="D2186" s="1">
        <v>42663</v>
      </c>
      <c r="E2186" s="1">
        <v>43209</v>
      </c>
      <c r="F2186" t="s">
        <v>306</v>
      </c>
      <c r="G2186">
        <v>1</v>
      </c>
      <c r="H2186" t="s">
        <v>42</v>
      </c>
      <c r="I2186" t="s">
        <v>43</v>
      </c>
      <c r="J2186" t="s">
        <v>73</v>
      </c>
      <c r="K2186" t="s">
        <v>127</v>
      </c>
      <c r="L2186">
        <v>40309.68</v>
      </c>
      <c r="M2186" s="1">
        <v>42990</v>
      </c>
      <c r="N2186" t="s">
        <v>45</v>
      </c>
      <c r="O2186" t="s">
        <v>46</v>
      </c>
      <c r="P2186" t="s">
        <v>47</v>
      </c>
      <c r="Q2186" s="1">
        <v>43852</v>
      </c>
      <c r="R2186" t="s">
        <v>48</v>
      </c>
    </row>
    <row r="2187" spans="1:38" x14ac:dyDescent="0.25">
      <c r="A2187" t="s">
        <v>522</v>
      </c>
      <c r="B2187" s="2">
        <v>9.9E+19</v>
      </c>
      <c r="C2187" t="s">
        <v>40</v>
      </c>
      <c r="D2187" s="1">
        <v>42663</v>
      </c>
      <c r="E2187" s="1">
        <v>43209</v>
      </c>
      <c r="F2187" t="s">
        <v>306</v>
      </c>
      <c r="G2187">
        <v>1</v>
      </c>
      <c r="H2187" t="s">
        <v>42</v>
      </c>
      <c r="I2187" t="s">
        <v>43</v>
      </c>
      <c r="J2187" t="s">
        <v>73</v>
      </c>
      <c r="K2187" t="s">
        <v>127</v>
      </c>
      <c r="L2187">
        <v>50909.599999999999</v>
      </c>
      <c r="M2187" s="1">
        <v>42663</v>
      </c>
      <c r="N2187" t="s">
        <v>45</v>
      </c>
      <c r="O2187" t="s">
        <v>46</v>
      </c>
      <c r="P2187" t="s">
        <v>47</v>
      </c>
      <c r="Q2187" s="1">
        <v>43852</v>
      </c>
      <c r="R2187" t="s">
        <v>48</v>
      </c>
    </row>
    <row r="2188" spans="1:38" x14ac:dyDescent="0.25">
      <c r="A2188" t="s">
        <v>522</v>
      </c>
      <c r="B2188" s="2">
        <v>9.9E+19</v>
      </c>
      <c r="C2188" t="s">
        <v>40</v>
      </c>
      <c r="D2188" s="1">
        <v>42731</v>
      </c>
      <c r="E2188" s="1">
        <v>43307</v>
      </c>
      <c r="F2188" t="s">
        <v>306</v>
      </c>
      <c r="G2188">
        <v>1</v>
      </c>
      <c r="H2188" t="s">
        <v>42</v>
      </c>
      <c r="I2188" t="s">
        <v>43</v>
      </c>
      <c r="J2188" t="s">
        <v>73</v>
      </c>
      <c r="K2188" t="s">
        <v>127</v>
      </c>
      <c r="L2188">
        <v>31079.56</v>
      </c>
      <c r="M2188" s="1">
        <v>42821</v>
      </c>
      <c r="N2188" t="s">
        <v>45</v>
      </c>
      <c r="O2188" t="s">
        <v>46</v>
      </c>
      <c r="P2188" t="s">
        <v>47</v>
      </c>
      <c r="Q2188" s="1">
        <v>43852</v>
      </c>
      <c r="R2188" t="s">
        <v>48</v>
      </c>
    </row>
    <row r="2189" spans="1:38" x14ac:dyDescent="0.25">
      <c r="A2189" t="s">
        <v>522</v>
      </c>
      <c r="B2189" s="2">
        <v>9.9E+19</v>
      </c>
      <c r="C2189" t="s">
        <v>40</v>
      </c>
      <c r="D2189" s="1">
        <v>42731</v>
      </c>
      <c r="E2189" s="1">
        <v>43307</v>
      </c>
      <c r="F2189" t="s">
        <v>306</v>
      </c>
      <c r="G2189">
        <v>1</v>
      </c>
      <c r="H2189" t="s">
        <v>42</v>
      </c>
      <c r="I2189" t="s">
        <v>43</v>
      </c>
      <c r="J2189" t="s">
        <v>73</v>
      </c>
      <c r="K2189" t="s">
        <v>127</v>
      </c>
      <c r="L2189">
        <v>31079.56</v>
      </c>
      <c r="M2189" s="1">
        <v>42913</v>
      </c>
      <c r="N2189" t="s">
        <v>45</v>
      </c>
      <c r="O2189" t="s">
        <v>46</v>
      </c>
      <c r="P2189" t="s">
        <v>47</v>
      </c>
      <c r="Q2189" s="1">
        <v>43852</v>
      </c>
      <c r="R2189" t="s">
        <v>48</v>
      </c>
    </row>
    <row r="2190" spans="1:38" x14ac:dyDescent="0.25">
      <c r="A2190" t="s">
        <v>522</v>
      </c>
      <c r="B2190" s="2">
        <v>9.9E+19</v>
      </c>
      <c r="C2190" t="s">
        <v>40</v>
      </c>
      <c r="D2190" s="1">
        <v>42731</v>
      </c>
      <c r="E2190" s="1">
        <v>43307</v>
      </c>
      <c r="F2190" t="s">
        <v>306</v>
      </c>
      <c r="G2190">
        <v>1</v>
      </c>
      <c r="H2190" t="s">
        <v>42</v>
      </c>
      <c r="I2190" t="s">
        <v>43</v>
      </c>
      <c r="J2190" t="s">
        <v>73</v>
      </c>
      <c r="K2190" t="s">
        <v>127</v>
      </c>
      <c r="L2190">
        <v>31079.56</v>
      </c>
      <c r="M2190" s="1">
        <v>43005</v>
      </c>
      <c r="N2190" t="s">
        <v>45</v>
      </c>
      <c r="O2190" t="s">
        <v>46</v>
      </c>
      <c r="P2190" t="s">
        <v>47</v>
      </c>
      <c r="Q2190" s="1">
        <v>43852</v>
      </c>
      <c r="R2190" t="s">
        <v>48</v>
      </c>
    </row>
    <row r="2191" spans="1:38" x14ac:dyDescent="0.25">
      <c r="A2191" t="s">
        <v>522</v>
      </c>
      <c r="B2191" s="2">
        <v>9.9E+19</v>
      </c>
      <c r="C2191" t="s">
        <v>40</v>
      </c>
      <c r="D2191" s="1">
        <v>42731</v>
      </c>
      <c r="E2191" s="1">
        <v>43307</v>
      </c>
      <c r="F2191" t="s">
        <v>306</v>
      </c>
      <c r="G2191">
        <v>1</v>
      </c>
      <c r="H2191" t="s">
        <v>42</v>
      </c>
      <c r="I2191" t="s">
        <v>43</v>
      </c>
      <c r="J2191" t="s">
        <v>73</v>
      </c>
      <c r="K2191" t="s">
        <v>127</v>
      </c>
      <c r="L2191">
        <v>31088.49</v>
      </c>
      <c r="M2191" s="1">
        <v>43096</v>
      </c>
      <c r="N2191" t="s">
        <v>45</v>
      </c>
      <c r="O2191" t="s">
        <v>46</v>
      </c>
      <c r="P2191" t="s">
        <v>47</v>
      </c>
      <c r="Q2191" s="1">
        <v>43852</v>
      </c>
      <c r="R2191" t="s">
        <v>48</v>
      </c>
    </row>
    <row r="2192" spans="1:38" x14ac:dyDescent="0.25">
      <c r="A2192" t="s">
        <v>522</v>
      </c>
      <c r="B2192" s="2">
        <v>9.9E+19</v>
      </c>
      <c r="C2192" t="s">
        <v>40</v>
      </c>
      <c r="D2192" s="1">
        <v>42731</v>
      </c>
      <c r="E2192" s="1">
        <v>43307</v>
      </c>
      <c r="F2192" t="s">
        <v>306</v>
      </c>
      <c r="G2192">
        <v>1</v>
      </c>
      <c r="H2192" t="s">
        <v>42</v>
      </c>
      <c r="I2192" t="s">
        <v>43</v>
      </c>
      <c r="J2192" t="s">
        <v>73</v>
      </c>
      <c r="K2192" t="s">
        <v>127</v>
      </c>
      <c r="L2192">
        <v>39249.53</v>
      </c>
      <c r="M2192" s="1">
        <v>42731</v>
      </c>
      <c r="N2192" t="s">
        <v>45</v>
      </c>
      <c r="O2192" t="s">
        <v>46</v>
      </c>
      <c r="P2192" t="s">
        <v>47</v>
      </c>
      <c r="Q2192" s="1">
        <v>43852</v>
      </c>
      <c r="R2192" t="s">
        <v>48</v>
      </c>
    </row>
    <row r="2193" spans="1:38" x14ac:dyDescent="0.25">
      <c r="A2193" t="s">
        <v>522</v>
      </c>
      <c r="B2193" s="2">
        <v>9.9E+19</v>
      </c>
      <c r="C2193" t="s">
        <v>40</v>
      </c>
      <c r="D2193" s="1">
        <v>42823</v>
      </c>
      <c r="E2193" s="1">
        <v>43187</v>
      </c>
      <c r="F2193" t="s">
        <v>76</v>
      </c>
      <c r="G2193">
        <v>1</v>
      </c>
      <c r="H2193" t="s">
        <v>42</v>
      </c>
      <c r="I2193" t="s">
        <v>43</v>
      </c>
      <c r="J2193" t="s">
        <v>73</v>
      </c>
      <c r="K2193" t="s">
        <v>127</v>
      </c>
      <c r="L2193">
        <v>8961.75</v>
      </c>
      <c r="M2193" s="1">
        <v>42823</v>
      </c>
      <c r="N2193" t="s">
        <v>45</v>
      </c>
      <c r="O2193" t="s">
        <v>46</v>
      </c>
      <c r="P2193" t="s">
        <v>47</v>
      </c>
      <c r="Q2193" s="1">
        <v>43852</v>
      </c>
      <c r="R2193" t="s">
        <v>48</v>
      </c>
      <c r="S2193" t="s">
        <v>78</v>
      </c>
      <c r="T2193" t="s">
        <v>79</v>
      </c>
      <c r="U2193" t="s">
        <v>42</v>
      </c>
      <c r="V2193">
        <v>1200000</v>
      </c>
      <c r="W2193">
        <v>100000</v>
      </c>
      <c r="X2193" s="1">
        <v>43921</v>
      </c>
      <c r="Y2193" t="s">
        <v>51</v>
      </c>
      <c r="Z2193" t="s">
        <v>43</v>
      </c>
      <c r="AA2193" t="s">
        <v>80</v>
      </c>
      <c r="AB2193" t="s">
        <v>76</v>
      </c>
      <c r="AC2193" t="s">
        <v>81</v>
      </c>
      <c r="AF2193" t="s">
        <v>54</v>
      </c>
      <c r="AG2193" s="1">
        <v>43832</v>
      </c>
      <c r="AH2193" t="s">
        <v>42</v>
      </c>
      <c r="AI2193" t="s">
        <v>55</v>
      </c>
      <c r="AJ2193">
        <v>12788092</v>
      </c>
      <c r="AK2193">
        <v>250000</v>
      </c>
      <c r="AL2193">
        <v>1500000</v>
      </c>
    </row>
    <row r="2194" spans="1:38" x14ac:dyDescent="0.25">
      <c r="A2194" t="s">
        <v>522</v>
      </c>
      <c r="B2194" s="2">
        <v>9.9E+19</v>
      </c>
      <c r="C2194" t="s">
        <v>40</v>
      </c>
      <c r="D2194" s="1">
        <v>42823</v>
      </c>
      <c r="E2194" s="1">
        <v>43187</v>
      </c>
      <c r="F2194" t="s">
        <v>76</v>
      </c>
      <c r="G2194">
        <v>1</v>
      </c>
      <c r="H2194" t="s">
        <v>42</v>
      </c>
      <c r="I2194" t="s">
        <v>43</v>
      </c>
      <c r="J2194" t="s">
        <v>73</v>
      </c>
      <c r="K2194" t="s">
        <v>127</v>
      </c>
      <c r="L2194">
        <v>8961.75</v>
      </c>
      <c r="M2194" s="1">
        <v>42823</v>
      </c>
      <c r="N2194" t="s">
        <v>45</v>
      </c>
      <c r="O2194" t="s">
        <v>46</v>
      </c>
      <c r="P2194" t="s">
        <v>47</v>
      </c>
      <c r="Q2194" s="1">
        <v>43852</v>
      </c>
      <c r="R2194" t="s">
        <v>48</v>
      </c>
      <c r="S2194" t="s">
        <v>78</v>
      </c>
      <c r="T2194" t="s">
        <v>79</v>
      </c>
      <c r="U2194" t="s">
        <v>42</v>
      </c>
      <c r="V2194">
        <v>1200000</v>
      </c>
      <c r="W2194">
        <v>100000</v>
      </c>
      <c r="X2194" s="1">
        <v>43921</v>
      </c>
      <c r="Y2194" t="s">
        <v>51</v>
      </c>
      <c r="Z2194" t="s">
        <v>43</v>
      </c>
      <c r="AA2194" t="s">
        <v>80</v>
      </c>
      <c r="AB2194" t="s">
        <v>76</v>
      </c>
      <c r="AC2194" t="s">
        <v>81</v>
      </c>
      <c r="AF2194" t="s">
        <v>56</v>
      </c>
      <c r="AG2194" s="1">
        <v>43833</v>
      </c>
      <c r="AH2194" t="s">
        <v>42</v>
      </c>
      <c r="AI2194" t="s">
        <v>55</v>
      </c>
      <c r="AJ2194">
        <v>12788092</v>
      </c>
      <c r="AK2194">
        <v>250000</v>
      </c>
      <c r="AL2194">
        <v>1500000</v>
      </c>
    </row>
    <row r="2195" spans="1:38" x14ac:dyDescent="0.25">
      <c r="A2195" t="s">
        <v>522</v>
      </c>
      <c r="B2195" s="2">
        <v>9.9E+19</v>
      </c>
      <c r="C2195" t="s">
        <v>40</v>
      </c>
      <c r="D2195" s="1">
        <v>42823</v>
      </c>
      <c r="E2195" s="1">
        <v>43187</v>
      </c>
      <c r="F2195" t="s">
        <v>76</v>
      </c>
      <c r="G2195">
        <v>1</v>
      </c>
      <c r="H2195" t="s">
        <v>42</v>
      </c>
      <c r="I2195" t="s">
        <v>43</v>
      </c>
      <c r="J2195" t="s">
        <v>73</v>
      </c>
      <c r="K2195" t="s">
        <v>127</v>
      </c>
      <c r="L2195">
        <v>8961.75</v>
      </c>
      <c r="M2195" s="1">
        <v>42823</v>
      </c>
      <c r="N2195" t="s">
        <v>45</v>
      </c>
      <c r="O2195" t="s">
        <v>46</v>
      </c>
      <c r="P2195" t="s">
        <v>47</v>
      </c>
      <c r="Q2195" s="1">
        <v>43852</v>
      </c>
      <c r="R2195" t="s">
        <v>48</v>
      </c>
      <c r="S2195" t="s">
        <v>78</v>
      </c>
      <c r="T2195" t="s">
        <v>79</v>
      </c>
      <c r="U2195" t="s">
        <v>42</v>
      </c>
      <c r="V2195">
        <v>1200000</v>
      </c>
      <c r="W2195">
        <v>100000</v>
      </c>
      <c r="X2195" s="1">
        <v>43921</v>
      </c>
      <c r="Y2195" t="s">
        <v>51</v>
      </c>
      <c r="Z2195" t="s">
        <v>43</v>
      </c>
      <c r="AA2195" t="s">
        <v>80</v>
      </c>
      <c r="AB2195" t="s">
        <v>76</v>
      </c>
      <c r="AC2195" t="s">
        <v>81</v>
      </c>
      <c r="AF2195" t="s">
        <v>57</v>
      </c>
      <c r="AG2195" s="1">
        <v>43836</v>
      </c>
      <c r="AH2195" t="s">
        <v>42</v>
      </c>
      <c r="AI2195" t="s">
        <v>55</v>
      </c>
      <c r="AJ2195">
        <v>12788092</v>
      </c>
      <c r="AK2195">
        <v>250000</v>
      </c>
      <c r="AL2195">
        <v>1500000</v>
      </c>
    </row>
    <row r="2196" spans="1:38" x14ac:dyDescent="0.25">
      <c r="A2196" t="s">
        <v>522</v>
      </c>
      <c r="B2196" s="2">
        <v>9.9E+19</v>
      </c>
      <c r="C2196" t="s">
        <v>40</v>
      </c>
      <c r="D2196" s="1">
        <v>42823</v>
      </c>
      <c r="E2196" s="1">
        <v>43187</v>
      </c>
      <c r="F2196" t="s">
        <v>76</v>
      </c>
      <c r="G2196">
        <v>1</v>
      </c>
      <c r="H2196" t="s">
        <v>42</v>
      </c>
      <c r="I2196" t="s">
        <v>43</v>
      </c>
      <c r="J2196" t="s">
        <v>73</v>
      </c>
      <c r="K2196" t="s">
        <v>127</v>
      </c>
      <c r="L2196">
        <v>8961.75</v>
      </c>
      <c r="M2196" s="1">
        <v>42823</v>
      </c>
      <c r="N2196" t="s">
        <v>45</v>
      </c>
      <c r="O2196" t="s">
        <v>46</v>
      </c>
      <c r="P2196" t="s">
        <v>47</v>
      </c>
      <c r="Q2196" s="1">
        <v>43852</v>
      </c>
      <c r="R2196" t="s">
        <v>48</v>
      </c>
      <c r="S2196" t="s">
        <v>78</v>
      </c>
      <c r="T2196" t="s">
        <v>79</v>
      </c>
      <c r="U2196" t="s">
        <v>42</v>
      </c>
      <c r="V2196">
        <v>1200000</v>
      </c>
      <c r="W2196">
        <v>100000</v>
      </c>
      <c r="X2196" s="1">
        <v>43921</v>
      </c>
      <c r="Y2196" t="s">
        <v>51</v>
      </c>
      <c r="Z2196" t="s">
        <v>43</v>
      </c>
      <c r="AA2196" t="s">
        <v>80</v>
      </c>
      <c r="AB2196" t="s">
        <v>76</v>
      </c>
      <c r="AC2196" t="s">
        <v>81</v>
      </c>
      <c r="AF2196" t="s">
        <v>58</v>
      </c>
      <c r="AG2196" s="1">
        <v>43837</v>
      </c>
      <c r="AH2196" t="s">
        <v>42</v>
      </c>
      <c r="AI2196" t="s">
        <v>55</v>
      </c>
      <c r="AJ2196">
        <v>12788092</v>
      </c>
      <c r="AK2196">
        <v>250000</v>
      </c>
      <c r="AL2196">
        <v>1500000</v>
      </c>
    </row>
    <row r="2197" spans="1:38" x14ac:dyDescent="0.25">
      <c r="A2197" t="s">
        <v>522</v>
      </c>
      <c r="B2197" s="2">
        <v>9.9E+19</v>
      </c>
      <c r="C2197" t="s">
        <v>40</v>
      </c>
      <c r="D2197" s="1">
        <v>42823</v>
      </c>
      <c r="E2197" s="1">
        <v>43187</v>
      </c>
      <c r="F2197" t="s">
        <v>76</v>
      </c>
      <c r="G2197">
        <v>1</v>
      </c>
      <c r="H2197" t="s">
        <v>42</v>
      </c>
      <c r="I2197" t="s">
        <v>43</v>
      </c>
      <c r="J2197" t="s">
        <v>73</v>
      </c>
      <c r="K2197" t="s">
        <v>127</v>
      </c>
      <c r="L2197">
        <v>8961.75</v>
      </c>
      <c r="M2197" s="1">
        <v>42823</v>
      </c>
      <c r="N2197" t="s">
        <v>45</v>
      </c>
      <c r="O2197" t="s">
        <v>46</v>
      </c>
      <c r="P2197" t="s">
        <v>47</v>
      </c>
      <c r="Q2197" s="1">
        <v>43852</v>
      </c>
      <c r="R2197" t="s">
        <v>48</v>
      </c>
      <c r="S2197" t="s">
        <v>78</v>
      </c>
      <c r="T2197" t="s">
        <v>79</v>
      </c>
      <c r="U2197" t="s">
        <v>42</v>
      </c>
      <c r="V2197">
        <v>1200000</v>
      </c>
      <c r="W2197">
        <v>100000</v>
      </c>
      <c r="X2197" s="1">
        <v>43921</v>
      </c>
      <c r="Y2197" t="s">
        <v>51</v>
      </c>
      <c r="Z2197" t="s">
        <v>43</v>
      </c>
      <c r="AA2197" t="s">
        <v>80</v>
      </c>
      <c r="AB2197" t="s">
        <v>76</v>
      </c>
      <c r="AC2197" t="s">
        <v>81</v>
      </c>
      <c r="AF2197" t="s">
        <v>59</v>
      </c>
      <c r="AG2197" s="1">
        <v>43838</v>
      </c>
      <c r="AH2197" t="s">
        <v>42</v>
      </c>
      <c r="AI2197" t="s">
        <v>55</v>
      </c>
      <c r="AJ2197">
        <v>12788092</v>
      </c>
      <c r="AK2197">
        <v>250000</v>
      </c>
      <c r="AL2197">
        <v>1500000</v>
      </c>
    </row>
    <row r="2198" spans="1:38" x14ac:dyDescent="0.25">
      <c r="A2198" t="s">
        <v>522</v>
      </c>
      <c r="B2198" s="2">
        <v>9.9E+19</v>
      </c>
      <c r="C2198" t="s">
        <v>40</v>
      </c>
      <c r="D2198" s="1">
        <v>42954</v>
      </c>
      <c r="E2198" s="1">
        <v>43318</v>
      </c>
      <c r="F2198" t="s">
        <v>306</v>
      </c>
      <c r="G2198">
        <v>1</v>
      </c>
      <c r="H2198" t="s">
        <v>42</v>
      </c>
      <c r="I2198" t="s">
        <v>43</v>
      </c>
      <c r="J2198" t="s">
        <v>73</v>
      </c>
      <c r="K2198" t="s">
        <v>127</v>
      </c>
      <c r="L2198">
        <v>877.71</v>
      </c>
      <c r="M2198" s="1">
        <v>43318</v>
      </c>
      <c r="N2198" t="s">
        <v>45</v>
      </c>
      <c r="O2198" t="s">
        <v>46</v>
      </c>
      <c r="P2198" t="s">
        <v>47</v>
      </c>
      <c r="Q2198" s="1">
        <v>43852</v>
      </c>
      <c r="R2198" t="s">
        <v>48</v>
      </c>
    </row>
    <row r="2199" spans="1:38" x14ac:dyDescent="0.25">
      <c r="A2199" t="s">
        <v>522</v>
      </c>
      <c r="B2199" s="2">
        <v>9.9E+19</v>
      </c>
      <c r="C2199" t="s">
        <v>71</v>
      </c>
      <c r="D2199" s="1">
        <v>42903</v>
      </c>
      <c r="E2199" s="1">
        <v>43267</v>
      </c>
      <c r="F2199" t="s">
        <v>306</v>
      </c>
      <c r="G2199">
        <v>1</v>
      </c>
      <c r="H2199" t="s">
        <v>42</v>
      </c>
      <c r="I2199" t="s">
        <v>43</v>
      </c>
      <c r="J2199" t="s">
        <v>73</v>
      </c>
      <c r="K2199" t="s">
        <v>127</v>
      </c>
      <c r="L2199">
        <v>8107.49</v>
      </c>
      <c r="M2199" s="1">
        <v>43297</v>
      </c>
      <c r="N2199" t="s">
        <v>45</v>
      </c>
      <c r="O2199" t="s">
        <v>46</v>
      </c>
      <c r="P2199" t="s">
        <v>47</v>
      </c>
      <c r="Q2199" s="1">
        <v>43852</v>
      </c>
      <c r="R2199" t="s">
        <v>48</v>
      </c>
    </row>
    <row r="2200" spans="1:38" x14ac:dyDescent="0.25">
      <c r="A2200" t="s">
        <v>522</v>
      </c>
      <c r="B2200" s="2">
        <v>9.9E+19</v>
      </c>
      <c r="C2200" t="s">
        <v>40</v>
      </c>
      <c r="D2200" s="1">
        <v>42922</v>
      </c>
      <c r="E2200" s="1">
        <v>43286</v>
      </c>
      <c r="F2200" t="s">
        <v>306</v>
      </c>
      <c r="G2200">
        <v>1</v>
      </c>
      <c r="H2200" t="s">
        <v>42</v>
      </c>
      <c r="I2200" t="s">
        <v>43</v>
      </c>
      <c r="J2200" t="s">
        <v>73</v>
      </c>
      <c r="K2200" t="s">
        <v>127</v>
      </c>
      <c r="L2200">
        <v>7398.74</v>
      </c>
      <c r="M2200" s="1">
        <v>43286</v>
      </c>
      <c r="N2200" t="s">
        <v>45</v>
      </c>
      <c r="O2200" t="s">
        <v>46</v>
      </c>
      <c r="P2200" t="s">
        <v>47</v>
      </c>
      <c r="Q2200" s="1">
        <v>43852</v>
      </c>
      <c r="R2200" t="s">
        <v>48</v>
      </c>
    </row>
    <row r="2201" spans="1:38" x14ac:dyDescent="0.25">
      <c r="A2201" t="s">
        <v>522</v>
      </c>
      <c r="B2201" s="2">
        <v>9.9E+19</v>
      </c>
      <c r="C2201" t="s">
        <v>40</v>
      </c>
      <c r="D2201" s="1">
        <v>43017</v>
      </c>
      <c r="E2201" s="1">
        <v>43381</v>
      </c>
      <c r="F2201" t="s">
        <v>306</v>
      </c>
      <c r="G2201">
        <v>1</v>
      </c>
      <c r="H2201" t="s">
        <v>42</v>
      </c>
      <c r="I2201" t="s">
        <v>43</v>
      </c>
      <c r="J2201" t="s">
        <v>73</v>
      </c>
      <c r="K2201" t="s">
        <v>127</v>
      </c>
      <c r="L2201">
        <v>15429.84</v>
      </c>
      <c r="M2201" s="1">
        <v>43017</v>
      </c>
      <c r="N2201" t="s">
        <v>45</v>
      </c>
      <c r="O2201" t="s">
        <v>46</v>
      </c>
      <c r="P2201" t="s">
        <v>47</v>
      </c>
      <c r="Q2201" s="1">
        <v>43852</v>
      </c>
      <c r="R2201" t="s">
        <v>48</v>
      </c>
    </row>
    <row r="2202" spans="1:38" x14ac:dyDescent="0.25">
      <c r="A2202" t="s">
        <v>522</v>
      </c>
      <c r="B2202" t="s">
        <v>555</v>
      </c>
      <c r="C2202" t="s">
        <v>71</v>
      </c>
      <c r="D2202" s="1">
        <v>43145</v>
      </c>
      <c r="E2202" s="1">
        <v>43509</v>
      </c>
      <c r="F2202" t="s">
        <v>76</v>
      </c>
      <c r="G2202">
        <v>1</v>
      </c>
      <c r="H2202" t="s">
        <v>42</v>
      </c>
      <c r="I2202" t="s">
        <v>43</v>
      </c>
      <c r="J2202" t="s">
        <v>73</v>
      </c>
      <c r="K2202" t="s">
        <v>127</v>
      </c>
      <c r="L2202">
        <v>3120.25</v>
      </c>
      <c r="M2202" s="1">
        <v>43145</v>
      </c>
      <c r="N2202" t="s">
        <v>45</v>
      </c>
      <c r="O2202" t="s">
        <v>46</v>
      </c>
      <c r="P2202" t="s">
        <v>47</v>
      </c>
      <c r="Q2202" s="1">
        <v>43852</v>
      </c>
      <c r="R2202" t="s">
        <v>48</v>
      </c>
      <c r="S2202" t="s">
        <v>78</v>
      </c>
      <c r="T2202" t="s">
        <v>79</v>
      </c>
      <c r="U2202" t="s">
        <v>42</v>
      </c>
      <c r="V2202">
        <v>1200000</v>
      </c>
      <c r="W2202">
        <v>100000</v>
      </c>
      <c r="X2202" s="1">
        <v>43921</v>
      </c>
      <c r="Y2202" t="s">
        <v>51</v>
      </c>
      <c r="Z2202" t="s">
        <v>43</v>
      </c>
      <c r="AA2202" t="s">
        <v>80</v>
      </c>
      <c r="AB2202" t="s">
        <v>76</v>
      </c>
      <c r="AC2202" t="s">
        <v>81</v>
      </c>
      <c r="AF2202" t="s">
        <v>54</v>
      </c>
      <c r="AG2202" s="1">
        <v>43832</v>
      </c>
      <c r="AH2202" t="s">
        <v>42</v>
      </c>
      <c r="AI2202" t="s">
        <v>55</v>
      </c>
      <c r="AJ2202">
        <v>12788092</v>
      </c>
      <c r="AK2202">
        <v>250000</v>
      </c>
      <c r="AL2202">
        <v>1500000</v>
      </c>
    </row>
    <row r="2203" spans="1:38" x14ac:dyDescent="0.25">
      <c r="A2203" t="s">
        <v>522</v>
      </c>
      <c r="B2203" t="s">
        <v>555</v>
      </c>
      <c r="C2203" t="s">
        <v>71</v>
      </c>
      <c r="D2203" s="1">
        <v>43145</v>
      </c>
      <c r="E2203" s="1">
        <v>43509</v>
      </c>
      <c r="F2203" t="s">
        <v>76</v>
      </c>
      <c r="G2203">
        <v>1</v>
      </c>
      <c r="H2203" t="s">
        <v>42</v>
      </c>
      <c r="I2203" t="s">
        <v>43</v>
      </c>
      <c r="J2203" t="s">
        <v>73</v>
      </c>
      <c r="K2203" t="s">
        <v>127</v>
      </c>
      <c r="L2203">
        <v>3120.25</v>
      </c>
      <c r="M2203" s="1">
        <v>43145</v>
      </c>
      <c r="N2203" t="s">
        <v>45</v>
      </c>
      <c r="O2203" t="s">
        <v>46</v>
      </c>
      <c r="P2203" t="s">
        <v>47</v>
      </c>
      <c r="Q2203" s="1">
        <v>43852</v>
      </c>
      <c r="R2203" t="s">
        <v>48</v>
      </c>
      <c r="S2203" t="s">
        <v>78</v>
      </c>
      <c r="T2203" t="s">
        <v>79</v>
      </c>
      <c r="U2203" t="s">
        <v>42</v>
      </c>
      <c r="V2203">
        <v>1200000</v>
      </c>
      <c r="W2203">
        <v>100000</v>
      </c>
      <c r="X2203" s="1">
        <v>43921</v>
      </c>
      <c r="Y2203" t="s">
        <v>51</v>
      </c>
      <c r="Z2203" t="s">
        <v>43</v>
      </c>
      <c r="AA2203" t="s">
        <v>80</v>
      </c>
      <c r="AB2203" t="s">
        <v>76</v>
      </c>
      <c r="AC2203" t="s">
        <v>81</v>
      </c>
      <c r="AF2203" t="s">
        <v>56</v>
      </c>
      <c r="AG2203" s="1">
        <v>43833</v>
      </c>
      <c r="AH2203" t="s">
        <v>42</v>
      </c>
      <c r="AI2203" t="s">
        <v>55</v>
      </c>
      <c r="AJ2203">
        <v>12788092</v>
      </c>
      <c r="AK2203">
        <v>250000</v>
      </c>
      <c r="AL2203">
        <v>1500000</v>
      </c>
    </row>
    <row r="2204" spans="1:38" x14ac:dyDescent="0.25">
      <c r="A2204" t="s">
        <v>522</v>
      </c>
      <c r="B2204" t="s">
        <v>555</v>
      </c>
      <c r="C2204" t="s">
        <v>71</v>
      </c>
      <c r="D2204" s="1">
        <v>43145</v>
      </c>
      <c r="E2204" s="1">
        <v>43509</v>
      </c>
      <c r="F2204" t="s">
        <v>76</v>
      </c>
      <c r="G2204">
        <v>1</v>
      </c>
      <c r="H2204" t="s">
        <v>42</v>
      </c>
      <c r="I2204" t="s">
        <v>43</v>
      </c>
      <c r="J2204" t="s">
        <v>73</v>
      </c>
      <c r="K2204" t="s">
        <v>127</v>
      </c>
      <c r="L2204">
        <v>3120.25</v>
      </c>
      <c r="M2204" s="1">
        <v>43145</v>
      </c>
      <c r="N2204" t="s">
        <v>45</v>
      </c>
      <c r="O2204" t="s">
        <v>46</v>
      </c>
      <c r="P2204" t="s">
        <v>47</v>
      </c>
      <c r="Q2204" s="1">
        <v>43852</v>
      </c>
      <c r="R2204" t="s">
        <v>48</v>
      </c>
      <c r="S2204" t="s">
        <v>78</v>
      </c>
      <c r="T2204" t="s">
        <v>79</v>
      </c>
      <c r="U2204" t="s">
        <v>42</v>
      </c>
      <c r="V2204">
        <v>1200000</v>
      </c>
      <c r="W2204">
        <v>100000</v>
      </c>
      <c r="X2204" s="1">
        <v>43921</v>
      </c>
      <c r="Y2204" t="s">
        <v>51</v>
      </c>
      <c r="Z2204" t="s">
        <v>43</v>
      </c>
      <c r="AA2204" t="s">
        <v>80</v>
      </c>
      <c r="AB2204" t="s">
        <v>76</v>
      </c>
      <c r="AC2204" t="s">
        <v>81</v>
      </c>
      <c r="AF2204" t="s">
        <v>57</v>
      </c>
      <c r="AG2204" s="1">
        <v>43836</v>
      </c>
      <c r="AH2204" t="s">
        <v>42</v>
      </c>
      <c r="AI2204" t="s">
        <v>55</v>
      </c>
      <c r="AJ2204">
        <v>12788092</v>
      </c>
      <c r="AK2204">
        <v>250000</v>
      </c>
      <c r="AL2204">
        <v>1500000</v>
      </c>
    </row>
    <row r="2205" spans="1:38" x14ac:dyDescent="0.25">
      <c r="A2205" t="s">
        <v>522</v>
      </c>
      <c r="B2205" t="s">
        <v>555</v>
      </c>
      <c r="C2205" t="s">
        <v>71</v>
      </c>
      <c r="D2205" s="1">
        <v>43145</v>
      </c>
      <c r="E2205" s="1">
        <v>43509</v>
      </c>
      <c r="F2205" t="s">
        <v>76</v>
      </c>
      <c r="G2205">
        <v>1</v>
      </c>
      <c r="H2205" t="s">
        <v>42</v>
      </c>
      <c r="I2205" t="s">
        <v>43</v>
      </c>
      <c r="J2205" t="s">
        <v>73</v>
      </c>
      <c r="K2205" t="s">
        <v>127</v>
      </c>
      <c r="L2205">
        <v>3120.25</v>
      </c>
      <c r="M2205" s="1">
        <v>43145</v>
      </c>
      <c r="N2205" t="s">
        <v>45</v>
      </c>
      <c r="O2205" t="s">
        <v>46</v>
      </c>
      <c r="P2205" t="s">
        <v>47</v>
      </c>
      <c r="Q2205" s="1">
        <v>43852</v>
      </c>
      <c r="R2205" t="s">
        <v>48</v>
      </c>
      <c r="S2205" t="s">
        <v>78</v>
      </c>
      <c r="T2205" t="s">
        <v>79</v>
      </c>
      <c r="U2205" t="s">
        <v>42</v>
      </c>
      <c r="V2205">
        <v>1200000</v>
      </c>
      <c r="W2205">
        <v>100000</v>
      </c>
      <c r="X2205" s="1">
        <v>43921</v>
      </c>
      <c r="Y2205" t="s">
        <v>51</v>
      </c>
      <c r="Z2205" t="s">
        <v>43</v>
      </c>
      <c r="AA2205" t="s">
        <v>80</v>
      </c>
      <c r="AB2205" t="s">
        <v>76</v>
      </c>
      <c r="AC2205" t="s">
        <v>81</v>
      </c>
      <c r="AF2205" t="s">
        <v>58</v>
      </c>
      <c r="AG2205" s="1">
        <v>43837</v>
      </c>
      <c r="AH2205" t="s">
        <v>42</v>
      </c>
      <c r="AI2205" t="s">
        <v>55</v>
      </c>
      <c r="AJ2205">
        <v>12788092</v>
      </c>
      <c r="AK2205">
        <v>250000</v>
      </c>
      <c r="AL2205">
        <v>1500000</v>
      </c>
    </row>
    <row r="2206" spans="1:38" x14ac:dyDescent="0.25">
      <c r="A2206" t="s">
        <v>522</v>
      </c>
      <c r="B2206" t="s">
        <v>555</v>
      </c>
      <c r="C2206" t="s">
        <v>71</v>
      </c>
      <c r="D2206" s="1">
        <v>43145</v>
      </c>
      <c r="E2206" s="1">
        <v>43509</v>
      </c>
      <c r="F2206" t="s">
        <v>76</v>
      </c>
      <c r="G2206">
        <v>1</v>
      </c>
      <c r="H2206" t="s">
        <v>42</v>
      </c>
      <c r="I2206" t="s">
        <v>43</v>
      </c>
      <c r="J2206" t="s">
        <v>73</v>
      </c>
      <c r="K2206" t="s">
        <v>127</v>
      </c>
      <c r="L2206">
        <v>3120.25</v>
      </c>
      <c r="M2206" s="1">
        <v>43145</v>
      </c>
      <c r="N2206" t="s">
        <v>45</v>
      </c>
      <c r="O2206" t="s">
        <v>46</v>
      </c>
      <c r="P2206" t="s">
        <v>47</v>
      </c>
      <c r="Q2206" s="1">
        <v>43852</v>
      </c>
      <c r="R2206" t="s">
        <v>48</v>
      </c>
      <c r="S2206" t="s">
        <v>78</v>
      </c>
      <c r="T2206" t="s">
        <v>79</v>
      </c>
      <c r="U2206" t="s">
        <v>42</v>
      </c>
      <c r="V2206">
        <v>1200000</v>
      </c>
      <c r="W2206">
        <v>100000</v>
      </c>
      <c r="X2206" s="1">
        <v>43921</v>
      </c>
      <c r="Y2206" t="s">
        <v>51</v>
      </c>
      <c r="Z2206" t="s">
        <v>43</v>
      </c>
      <c r="AA2206" t="s">
        <v>80</v>
      </c>
      <c r="AB2206" t="s">
        <v>76</v>
      </c>
      <c r="AC2206" t="s">
        <v>81</v>
      </c>
      <c r="AF2206" t="s">
        <v>59</v>
      </c>
      <c r="AG2206" s="1">
        <v>43838</v>
      </c>
      <c r="AH2206" t="s">
        <v>42</v>
      </c>
      <c r="AI2206" t="s">
        <v>55</v>
      </c>
      <c r="AJ2206">
        <v>12788092</v>
      </c>
      <c r="AK2206">
        <v>250000</v>
      </c>
      <c r="AL2206">
        <v>1500000</v>
      </c>
    </row>
    <row r="2207" spans="1:38" x14ac:dyDescent="0.25">
      <c r="A2207" t="s">
        <v>522</v>
      </c>
      <c r="B2207" t="s">
        <v>556</v>
      </c>
      <c r="C2207" t="s">
        <v>71</v>
      </c>
      <c r="D2207" s="1">
        <v>43210</v>
      </c>
      <c r="E2207" s="1">
        <v>43574</v>
      </c>
      <c r="F2207" t="s">
        <v>306</v>
      </c>
      <c r="G2207">
        <v>1</v>
      </c>
      <c r="H2207" t="s">
        <v>42</v>
      </c>
      <c r="I2207" t="s">
        <v>43</v>
      </c>
      <c r="J2207" t="s">
        <v>73</v>
      </c>
      <c r="K2207" t="s">
        <v>127</v>
      </c>
      <c r="L2207">
        <v>70725.990000000005</v>
      </c>
      <c r="M2207" s="1">
        <v>43210</v>
      </c>
      <c r="N2207" t="s">
        <v>45</v>
      </c>
      <c r="O2207" t="s">
        <v>361</v>
      </c>
      <c r="P2207" t="s">
        <v>538</v>
      </c>
      <c r="Q2207" s="1">
        <v>43852</v>
      </c>
      <c r="R2207" t="s">
        <v>538</v>
      </c>
    </row>
    <row r="2208" spans="1:38" x14ac:dyDescent="0.25">
      <c r="A2208" t="s">
        <v>522</v>
      </c>
      <c r="B2208" t="s">
        <v>557</v>
      </c>
      <c r="C2208" t="s">
        <v>40</v>
      </c>
      <c r="D2208" s="1">
        <v>43220</v>
      </c>
      <c r="E2208" s="1">
        <v>44134</v>
      </c>
      <c r="F2208" t="s">
        <v>306</v>
      </c>
      <c r="G2208">
        <v>1</v>
      </c>
      <c r="H2208" t="s">
        <v>42</v>
      </c>
      <c r="I2208" t="s">
        <v>43</v>
      </c>
      <c r="J2208" t="s">
        <v>73</v>
      </c>
      <c r="K2208" t="s">
        <v>127</v>
      </c>
      <c r="L2208">
        <v>4278.13</v>
      </c>
      <c r="M2208" s="1">
        <v>43826</v>
      </c>
      <c r="N2208" t="s">
        <v>45</v>
      </c>
      <c r="O2208" t="s">
        <v>46</v>
      </c>
      <c r="P2208" t="s">
        <v>47</v>
      </c>
      <c r="Q2208" s="1">
        <v>43852</v>
      </c>
      <c r="R2208" t="s">
        <v>48</v>
      </c>
    </row>
    <row r="2209" spans="1:18" x14ac:dyDescent="0.25">
      <c r="A2209" t="s">
        <v>522</v>
      </c>
      <c r="B2209" t="s">
        <v>557</v>
      </c>
      <c r="C2209" t="s">
        <v>40</v>
      </c>
      <c r="D2209" s="1">
        <v>43220</v>
      </c>
      <c r="E2209" s="1">
        <v>44134</v>
      </c>
      <c r="F2209" t="s">
        <v>306</v>
      </c>
      <c r="G2209">
        <v>1</v>
      </c>
      <c r="H2209" t="s">
        <v>42</v>
      </c>
      <c r="I2209" t="s">
        <v>43</v>
      </c>
      <c r="J2209" t="s">
        <v>73</v>
      </c>
      <c r="K2209" t="s">
        <v>127</v>
      </c>
      <c r="L2209">
        <v>4278.13</v>
      </c>
      <c r="M2209" s="1">
        <v>43927</v>
      </c>
      <c r="N2209" t="s">
        <v>45</v>
      </c>
      <c r="O2209" t="s">
        <v>46</v>
      </c>
      <c r="P2209" t="s">
        <v>47</v>
      </c>
      <c r="Q2209" s="1">
        <v>43852</v>
      </c>
      <c r="R2209" t="s">
        <v>48</v>
      </c>
    </row>
    <row r="2210" spans="1:18" x14ac:dyDescent="0.25">
      <c r="A2210" t="s">
        <v>522</v>
      </c>
      <c r="B2210" t="s">
        <v>557</v>
      </c>
      <c r="C2210" t="s">
        <v>40</v>
      </c>
      <c r="D2210" s="1">
        <v>43220</v>
      </c>
      <c r="E2210" s="1">
        <v>44134</v>
      </c>
      <c r="F2210" t="s">
        <v>306</v>
      </c>
      <c r="G2210">
        <v>1</v>
      </c>
      <c r="H2210" t="s">
        <v>42</v>
      </c>
      <c r="I2210" t="s">
        <v>43</v>
      </c>
      <c r="J2210" t="s">
        <v>73</v>
      </c>
      <c r="K2210" t="s">
        <v>127</v>
      </c>
      <c r="L2210">
        <v>4278.25</v>
      </c>
      <c r="M2210" s="1">
        <v>44028</v>
      </c>
      <c r="N2210" t="s">
        <v>45</v>
      </c>
      <c r="O2210" t="s">
        <v>46</v>
      </c>
      <c r="P2210" t="s">
        <v>47</v>
      </c>
      <c r="Q2210" s="1">
        <v>43852</v>
      </c>
      <c r="R2210" t="s">
        <v>48</v>
      </c>
    </row>
    <row r="2211" spans="1:18" x14ac:dyDescent="0.25">
      <c r="A2211" t="s">
        <v>522</v>
      </c>
      <c r="B2211" t="s">
        <v>557</v>
      </c>
      <c r="C2211" t="s">
        <v>40</v>
      </c>
      <c r="D2211" s="1">
        <v>43220</v>
      </c>
      <c r="E2211" s="1">
        <v>44134</v>
      </c>
      <c r="F2211" t="s">
        <v>306</v>
      </c>
      <c r="G2211">
        <v>1</v>
      </c>
      <c r="H2211" t="s">
        <v>42</v>
      </c>
      <c r="I2211" t="s">
        <v>43</v>
      </c>
      <c r="J2211" t="s">
        <v>73</v>
      </c>
      <c r="K2211" t="s">
        <v>127</v>
      </c>
      <c r="L2211">
        <v>4705.88</v>
      </c>
      <c r="M2211" s="1">
        <v>43321</v>
      </c>
      <c r="N2211" t="s">
        <v>45</v>
      </c>
      <c r="O2211" t="s">
        <v>46</v>
      </c>
      <c r="P2211" t="s">
        <v>47</v>
      </c>
      <c r="Q2211" s="1">
        <v>43852</v>
      </c>
      <c r="R2211" t="s">
        <v>48</v>
      </c>
    </row>
    <row r="2212" spans="1:18" x14ac:dyDescent="0.25">
      <c r="A2212" t="s">
        <v>522</v>
      </c>
      <c r="B2212" t="s">
        <v>557</v>
      </c>
      <c r="C2212" t="s">
        <v>40</v>
      </c>
      <c r="D2212" s="1">
        <v>43220</v>
      </c>
      <c r="E2212" s="1">
        <v>44134</v>
      </c>
      <c r="F2212" t="s">
        <v>306</v>
      </c>
      <c r="G2212">
        <v>1</v>
      </c>
      <c r="H2212" t="s">
        <v>42</v>
      </c>
      <c r="I2212" t="s">
        <v>43</v>
      </c>
      <c r="J2212" t="s">
        <v>73</v>
      </c>
      <c r="K2212" t="s">
        <v>127</v>
      </c>
      <c r="L2212">
        <v>4705.88</v>
      </c>
      <c r="M2212" s="1">
        <v>43422</v>
      </c>
      <c r="N2212" t="s">
        <v>45</v>
      </c>
      <c r="O2212" t="s">
        <v>46</v>
      </c>
      <c r="P2212" t="s">
        <v>47</v>
      </c>
      <c r="Q2212" s="1">
        <v>43852</v>
      </c>
      <c r="R2212" t="s">
        <v>48</v>
      </c>
    </row>
    <row r="2213" spans="1:18" x14ac:dyDescent="0.25">
      <c r="A2213" t="s">
        <v>522</v>
      </c>
      <c r="B2213" t="s">
        <v>557</v>
      </c>
      <c r="C2213" t="s">
        <v>40</v>
      </c>
      <c r="D2213" s="1">
        <v>43220</v>
      </c>
      <c r="E2213" s="1">
        <v>44134</v>
      </c>
      <c r="F2213" t="s">
        <v>306</v>
      </c>
      <c r="G2213">
        <v>1</v>
      </c>
      <c r="H2213" t="s">
        <v>42</v>
      </c>
      <c r="I2213" t="s">
        <v>43</v>
      </c>
      <c r="J2213" t="s">
        <v>73</v>
      </c>
      <c r="K2213" t="s">
        <v>127</v>
      </c>
      <c r="L2213">
        <v>4705.88</v>
      </c>
      <c r="M2213" s="1">
        <v>43523</v>
      </c>
      <c r="N2213" t="s">
        <v>45</v>
      </c>
      <c r="O2213" t="s">
        <v>46</v>
      </c>
      <c r="P2213" t="s">
        <v>47</v>
      </c>
      <c r="Q2213" s="1">
        <v>43852</v>
      </c>
      <c r="R2213" t="s">
        <v>48</v>
      </c>
    </row>
    <row r="2214" spans="1:18" x14ac:dyDescent="0.25">
      <c r="A2214" t="s">
        <v>522</v>
      </c>
      <c r="B2214" t="s">
        <v>557</v>
      </c>
      <c r="C2214" t="s">
        <v>40</v>
      </c>
      <c r="D2214" s="1">
        <v>43220</v>
      </c>
      <c r="E2214" s="1">
        <v>44134</v>
      </c>
      <c r="F2214" t="s">
        <v>306</v>
      </c>
      <c r="G2214">
        <v>1</v>
      </c>
      <c r="H2214" t="s">
        <v>42</v>
      </c>
      <c r="I2214" t="s">
        <v>43</v>
      </c>
      <c r="J2214" t="s">
        <v>73</v>
      </c>
      <c r="K2214" t="s">
        <v>127</v>
      </c>
      <c r="L2214">
        <v>4705.88</v>
      </c>
      <c r="M2214" s="1">
        <v>43624</v>
      </c>
      <c r="N2214" t="s">
        <v>45</v>
      </c>
      <c r="O2214" t="s">
        <v>46</v>
      </c>
      <c r="P2214" t="s">
        <v>47</v>
      </c>
      <c r="Q2214" s="1">
        <v>43852</v>
      </c>
      <c r="R2214" t="s">
        <v>48</v>
      </c>
    </row>
    <row r="2215" spans="1:18" x14ac:dyDescent="0.25">
      <c r="A2215" t="s">
        <v>522</v>
      </c>
      <c r="B2215" t="s">
        <v>557</v>
      </c>
      <c r="C2215" t="s">
        <v>40</v>
      </c>
      <c r="D2215" s="1">
        <v>43220</v>
      </c>
      <c r="E2215" s="1">
        <v>44134</v>
      </c>
      <c r="F2215" t="s">
        <v>306</v>
      </c>
      <c r="G2215">
        <v>1</v>
      </c>
      <c r="H2215" t="s">
        <v>42</v>
      </c>
      <c r="I2215" t="s">
        <v>43</v>
      </c>
      <c r="J2215" t="s">
        <v>73</v>
      </c>
      <c r="K2215" t="s">
        <v>127</v>
      </c>
      <c r="L2215">
        <v>4705.88</v>
      </c>
      <c r="M2215" s="1">
        <v>43725</v>
      </c>
      <c r="N2215" t="s">
        <v>45</v>
      </c>
      <c r="O2215" t="s">
        <v>46</v>
      </c>
      <c r="P2215" t="s">
        <v>47</v>
      </c>
      <c r="Q2215" s="1">
        <v>43852</v>
      </c>
      <c r="R2215" t="s">
        <v>48</v>
      </c>
    </row>
    <row r="2216" spans="1:18" x14ac:dyDescent="0.25">
      <c r="A2216" t="s">
        <v>522</v>
      </c>
      <c r="B2216" t="s">
        <v>557</v>
      </c>
      <c r="C2216" t="s">
        <v>40</v>
      </c>
      <c r="D2216" s="1">
        <v>43220</v>
      </c>
      <c r="E2216" s="1">
        <v>44134</v>
      </c>
      <c r="F2216" t="s">
        <v>306</v>
      </c>
      <c r="G2216">
        <v>1</v>
      </c>
      <c r="H2216" t="s">
        <v>42</v>
      </c>
      <c r="I2216" t="s">
        <v>43</v>
      </c>
      <c r="J2216" t="s">
        <v>73</v>
      </c>
      <c r="K2216" t="s">
        <v>127</v>
      </c>
      <c r="L2216">
        <v>6417.13</v>
      </c>
      <c r="M2216" s="1">
        <v>43220</v>
      </c>
      <c r="N2216" t="s">
        <v>45</v>
      </c>
      <c r="O2216" t="s">
        <v>46</v>
      </c>
      <c r="P2216" t="s">
        <v>47</v>
      </c>
      <c r="Q2216" s="1">
        <v>43852</v>
      </c>
      <c r="R2216" t="s">
        <v>48</v>
      </c>
    </row>
    <row r="2217" spans="1:18" x14ac:dyDescent="0.25">
      <c r="A2217" t="s">
        <v>522</v>
      </c>
      <c r="B2217" t="s">
        <v>558</v>
      </c>
      <c r="C2217" t="s">
        <v>71</v>
      </c>
      <c r="D2217" s="1">
        <v>43278</v>
      </c>
      <c r="E2217" s="1">
        <v>43642</v>
      </c>
      <c r="F2217" t="s">
        <v>306</v>
      </c>
      <c r="G2217">
        <v>1</v>
      </c>
      <c r="H2217" t="s">
        <v>42</v>
      </c>
      <c r="I2217" t="s">
        <v>43</v>
      </c>
      <c r="J2217" t="s">
        <v>73</v>
      </c>
      <c r="K2217" t="s">
        <v>127</v>
      </c>
      <c r="L2217">
        <v>81783.89</v>
      </c>
      <c r="M2217" s="1">
        <v>43278</v>
      </c>
      <c r="N2217" t="s">
        <v>45</v>
      </c>
      <c r="O2217" t="s">
        <v>361</v>
      </c>
      <c r="P2217" t="s">
        <v>47</v>
      </c>
      <c r="Q2217" s="1">
        <v>43852</v>
      </c>
      <c r="R2217" t="s">
        <v>48</v>
      </c>
    </row>
    <row r="2218" spans="1:18" x14ac:dyDescent="0.25">
      <c r="A2218" t="s">
        <v>522</v>
      </c>
      <c r="B2218" t="s">
        <v>559</v>
      </c>
      <c r="C2218" t="s">
        <v>40</v>
      </c>
      <c r="D2218" s="1">
        <v>43339</v>
      </c>
      <c r="E2218" s="1">
        <v>44069</v>
      </c>
      <c r="F2218" t="s">
        <v>306</v>
      </c>
      <c r="G2218">
        <v>1</v>
      </c>
      <c r="H2218" t="s">
        <v>42</v>
      </c>
      <c r="I2218" t="s">
        <v>43</v>
      </c>
      <c r="J2218" t="s">
        <v>73</v>
      </c>
      <c r="K2218" t="s">
        <v>127</v>
      </c>
      <c r="L2218">
        <v>70935.55</v>
      </c>
      <c r="M2218" s="1">
        <v>43888</v>
      </c>
      <c r="N2218" t="s">
        <v>45</v>
      </c>
      <c r="O2218" t="s">
        <v>46</v>
      </c>
      <c r="P2218" t="s">
        <v>47</v>
      </c>
      <c r="Q2218" s="1">
        <v>43852</v>
      </c>
      <c r="R2218" t="s">
        <v>48</v>
      </c>
    </row>
    <row r="2219" spans="1:18" x14ac:dyDescent="0.25">
      <c r="A2219" t="s">
        <v>522</v>
      </c>
      <c r="B2219" t="s">
        <v>559</v>
      </c>
      <c r="C2219" t="s">
        <v>40</v>
      </c>
      <c r="D2219" s="1">
        <v>43339</v>
      </c>
      <c r="E2219" s="1">
        <v>44069</v>
      </c>
      <c r="F2219" t="s">
        <v>306</v>
      </c>
      <c r="G2219">
        <v>1</v>
      </c>
      <c r="H2219" t="s">
        <v>42</v>
      </c>
      <c r="I2219" t="s">
        <v>43</v>
      </c>
      <c r="J2219" t="s">
        <v>73</v>
      </c>
      <c r="K2219" t="s">
        <v>127</v>
      </c>
      <c r="L2219">
        <v>90281.89</v>
      </c>
      <c r="M2219" s="1">
        <v>43431</v>
      </c>
      <c r="N2219" t="s">
        <v>45</v>
      </c>
      <c r="O2219" t="s">
        <v>46</v>
      </c>
      <c r="P2219" t="s">
        <v>47</v>
      </c>
      <c r="Q2219" s="1">
        <v>43852</v>
      </c>
      <c r="R2219" t="s">
        <v>48</v>
      </c>
    </row>
    <row r="2220" spans="1:18" x14ac:dyDescent="0.25">
      <c r="A2220" t="s">
        <v>522</v>
      </c>
      <c r="B2220" t="s">
        <v>559</v>
      </c>
      <c r="C2220" t="s">
        <v>40</v>
      </c>
      <c r="D2220" s="1">
        <v>43339</v>
      </c>
      <c r="E2220" s="1">
        <v>44069</v>
      </c>
      <c r="F2220" t="s">
        <v>306</v>
      </c>
      <c r="G2220">
        <v>1</v>
      </c>
      <c r="H2220" t="s">
        <v>42</v>
      </c>
      <c r="I2220" t="s">
        <v>43</v>
      </c>
      <c r="J2220" t="s">
        <v>73</v>
      </c>
      <c r="K2220" t="s">
        <v>127</v>
      </c>
      <c r="L2220">
        <v>90281.89</v>
      </c>
      <c r="M2220" s="1">
        <v>43523</v>
      </c>
      <c r="N2220" t="s">
        <v>45</v>
      </c>
      <c r="O2220" t="s">
        <v>46</v>
      </c>
      <c r="P2220" t="s">
        <v>47</v>
      </c>
      <c r="Q2220" s="1">
        <v>43852</v>
      </c>
      <c r="R2220" t="s">
        <v>48</v>
      </c>
    </row>
    <row r="2221" spans="1:18" x14ac:dyDescent="0.25">
      <c r="A2221" t="s">
        <v>522</v>
      </c>
      <c r="B2221" t="s">
        <v>559</v>
      </c>
      <c r="C2221" t="s">
        <v>40</v>
      </c>
      <c r="D2221" s="1">
        <v>43339</v>
      </c>
      <c r="E2221" s="1">
        <v>44069</v>
      </c>
      <c r="F2221" t="s">
        <v>306</v>
      </c>
      <c r="G2221">
        <v>1</v>
      </c>
      <c r="H2221" t="s">
        <v>42</v>
      </c>
      <c r="I2221" t="s">
        <v>43</v>
      </c>
      <c r="J2221" t="s">
        <v>73</v>
      </c>
      <c r="K2221" t="s">
        <v>127</v>
      </c>
      <c r="L2221">
        <v>90281.89</v>
      </c>
      <c r="M2221" s="1">
        <v>43612</v>
      </c>
      <c r="N2221" t="s">
        <v>45</v>
      </c>
      <c r="O2221" t="s">
        <v>46</v>
      </c>
      <c r="P2221" t="s">
        <v>47</v>
      </c>
      <c r="Q2221" s="1">
        <v>43852</v>
      </c>
      <c r="R2221" t="s">
        <v>48</v>
      </c>
    </row>
    <row r="2222" spans="1:18" x14ac:dyDescent="0.25">
      <c r="A2222" t="s">
        <v>522</v>
      </c>
      <c r="B2222" t="s">
        <v>559</v>
      </c>
      <c r="C2222" t="s">
        <v>40</v>
      </c>
      <c r="D2222" s="1">
        <v>43339</v>
      </c>
      <c r="E2222" s="1">
        <v>44069</v>
      </c>
      <c r="F2222" t="s">
        <v>306</v>
      </c>
      <c r="G2222">
        <v>1</v>
      </c>
      <c r="H2222" t="s">
        <v>42</v>
      </c>
      <c r="I2222" t="s">
        <v>43</v>
      </c>
      <c r="J2222" t="s">
        <v>73</v>
      </c>
      <c r="K2222" t="s">
        <v>127</v>
      </c>
      <c r="L2222">
        <v>90281.89</v>
      </c>
      <c r="M2222" s="1">
        <v>43704</v>
      </c>
      <c r="N2222" t="s">
        <v>45</v>
      </c>
      <c r="O2222" t="s">
        <v>46</v>
      </c>
      <c r="P2222" t="s">
        <v>47</v>
      </c>
      <c r="Q2222" s="1">
        <v>43852</v>
      </c>
      <c r="R2222" t="s">
        <v>48</v>
      </c>
    </row>
    <row r="2223" spans="1:18" x14ac:dyDescent="0.25">
      <c r="A2223" t="s">
        <v>522</v>
      </c>
      <c r="B2223" t="s">
        <v>559</v>
      </c>
      <c r="C2223" t="s">
        <v>40</v>
      </c>
      <c r="D2223" s="1">
        <v>43339</v>
      </c>
      <c r="E2223" s="1">
        <v>44069</v>
      </c>
      <c r="F2223" t="s">
        <v>306</v>
      </c>
      <c r="G2223">
        <v>1</v>
      </c>
      <c r="H2223" t="s">
        <v>42</v>
      </c>
      <c r="I2223" t="s">
        <v>43</v>
      </c>
      <c r="J2223" t="s">
        <v>73</v>
      </c>
      <c r="K2223" t="s">
        <v>127</v>
      </c>
      <c r="L2223">
        <v>90281.89</v>
      </c>
      <c r="M2223" s="1">
        <v>43796</v>
      </c>
      <c r="N2223" t="s">
        <v>45</v>
      </c>
      <c r="O2223" t="s">
        <v>46</v>
      </c>
      <c r="P2223" t="s">
        <v>47</v>
      </c>
      <c r="Q2223" s="1">
        <v>43852</v>
      </c>
      <c r="R2223" t="s">
        <v>48</v>
      </c>
    </row>
    <row r="2224" spans="1:18" x14ac:dyDescent="0.25">
      <c r="A2224" t="s">
        <v>522</v>
      </c>
      <c r="B2224" t="s">
        <v>559</v>
      </c>
      <c r="C2224" t="s">
        <v>40</v>
      </c>
      <c r="D2224" s="1">
        <v>43339</v>
      </c>
      <c r="E2224" s="1">
        <v>44069</v>
      </c>
      <c r="F2224" t="s">
        <v>306</v>
      </c>
      <c r="G2224">
        <v>1</v>
      </c>
      <c r="H2224" t="s">
        <v>42</v>
      </c>
      <c r="I2224" t="s">
        <v>43</v>
      </c>
      <c r="J2224" t="s">
        <v>73</v>
      </c>
      <c r="K2224" t="s">
        <v>127</v>
      </c>
      <c r="L2224">
        <v>122525.38</v>
      </c>
      <c r="M2224" s="1">
        <v>43339</v>
      </c>
      <c r="N2224" t="s">
        <v>45</v>
      </c>
      <c r="O2224" t="s">
        <v>46</v>
      </c>
      <c r="P2224" t="s">
        <v>47</v>
      </c>
      <c r="Q2224" s="1">
        <v>43852</v>
      </c>
      <c r="R2224" t="s">
        <v>48</v>
      </c>
    </row>
    <row r="2225" spans="1:18" x14ac:dyDescent="0.25">
      <c r="A2225" t="s">
        <v>522</v>
      </c>
      <c r="B2225" t="s">
        <v>559</v>
      </c>
      <c r="C2225" t="s">
        <v>40</v>
      </c>
      <c r="D2225" s="1">
        <v>43339</v>
      </c>
      <c r="E2225" s="1">
        <v>44069</v>
      </c>
      <c r="F2225" t="s">
        <v>306</v>
      </c>
      <c r="G2225">
        <v>1</v>
      </c>
      <c r="H2225" t="s">
        <v>42</v>
      </c>
      <c r="I2225" t="s">
        <v>43</v>
      </c>
      <c r="J2225" t="s">
        <v>73</v>
      </c>
      <c r="K2225" t="s">
        <v>127</v>
      </c>
      <c r="L2225">
        <v>0</v>
      </c>
      <c r="M2225" s="1">
        <v>43888</v>
      </c>
      <c r="N2225" t="s">
        <v>45</v>
      </c>
      <c r="O2225" t="s">
        <v>46</v>
      </c>
      <c r="P2225" t="s">
        <v>47</v>
      </c>
      <c r="Q2225" s="1">
        <v>43852</v>
      </c>
      <c r="R2225" t="s">
        <v>48</v>
      </c>
    </row>
    <row r="2226" spans="1:18" x14ac:dyDescent="0.25">
      <c r="A2226" t="s">
        <v>522</v>
      </c>
      <c r="B2226" t="s">
        <v>559</v>
      </c>
      <c r="C2226" t="s">
        <v>40</v>
      </c>
      <c r="D2226" s="1">
        <v>43339</v>
      </c>
      <c r="E2226" s="1">
        <v>44069</v>
      </c>
      <c r="F2226" t="s">
        <v>306</v>
      </c>
      <c r="G2226">
        <v>1</v>
      </c>
      <c r="H2226" t="s">
        <v>42</v>
      </c>
      <c r="I2226" t="s">
        <v>43</v>
      </c>
      <c r="J2226" t="s">
        <v>73</v>
      </c>
      <c r="K2226" t="s">
        <v>127</v>
      </c>
      <c r="L2226">
        <v>0</v>
      </c>
      <c r="M2226" s="1">
        <v>43431</v>
      </c>
      <c r="N2226" t="s">
        <v>45</v>
      </c>
      <c r="O2226" t="s">
        <v>46</v>
      </c>
      <c r="P2226" t="s">
        <v>47</v>
      </c>
      <c r="Q2226" s="1">
        <v>43852</v>
      </c>
      <c r="R2226" t="s">
        <v>48</v>
      </c>
    </row>
    <row r="2227" spans="1:18" x14ac:dyDescent="0.25">
      <c r="A2227" t="s">
        <v>522</v>
      </c>
      <c r="B2227" t="s">
        <v>559</v>
      </c>
      <c r="C2227" t="s">
        <v>40</v>
      </c>
      <c r="D2227" s="1">
        <v>43339</v>
      </c>
      <c r="E2227" s="1">
        <v>44069</v>
      </c>
      <c r="F2227" t="s">
        <v>306</v>
      </c>
      <c r="G2227">
        <v>1</v>
      </c>
      <c r="H2227" t="s">
        <v>42</v>
      </c>
      <c r="I2227" t="s">
        <v>43</v>
      </c>
      <c r="J2227" t="s">
        <v>73</v>
      </c>
      <c r="K2227" t="s">
        <v>127</v>
      </c>
      <c r="L2227">
        <v>0</v>
      </c>
      <c r="M2227" s="1">
        <v>43523</v>
      </c>
      <c r="N2227" t="s">
        <v>45</v>
      </c>
      <c r="O2227" t="s">
        <v>46</v>
      </c>
      <c r="P2227" t="s">
        <v>47</v>
      </c>
      <c r="Q2227" s="1">
        <v>43852</v>
      </c>
      <c r="R2227" t="s">
        <v>48</v>
      </c>
    </row>
    <row r="2228" spans="1:18" x14ac:dyDescent="0.25">
      <c r="A2228" t="s">
        <v>522</v>
      </c>
      <c r="B2228" t="s">
        <v>559</v>
      </c>
      <c r="C2228" t="s">
        <v>40</v>
      </c>
      <c r="D2228" s="1">
        <v>43339</v>
      </c>
      <c r="E2228" s="1">
        <v>44069</v>
      </c>
      <c r="F2228" t="s">
        <v>306</v>
      </c>
      <c r="G2228">
        <v>1</v>
      </c>
      <c r="H2228" t="s">
        <v>42</v>
      </c>
      <c r="I2228" t="s">
        <v>43</v>
      </c>
      <c r="J2228" t="s">
        <v>73</v>
      </c>
      <c r="K2228" t="s">
        <v>127</v>
      </c>
      <c r="L2228">
        <v>0</v>
      </c>
      <c r="M2228" s="1">
        <v>43612</v>
      </c>
      <c r="N2228" t="s">
        <v>45</v>
      </c>
      <c r="O2228" t="s">
        <v>46</v>
      </c>
      <c r="P2228" t="s">
        <v>47</v>
      </c>
      <c r="Q2228" s="1">
        <v>43852</v>
      </c>
      <c r="R2228" t="s">
        <v>48</v>
      </c>
    </row>
    <row r="2229" spans="1:18" x14ac:dyDescent="0.25">
      <c r="A2229" t="s">
        <v>522</v>
      </c>
      <c r="B2229" t="s">
        <v>559</v>
      </c>
      <c r="C2229" t="s">
        <v>40</v>
      </c>
      <c r="D2229" s="1">
        <v>43339</v>
      </c>
      <c r="E2229" s="1">
        <v>44069</v>
      </c>
      <c r="F2229" t="s">
        <v>306</v>
      </c>
      <c r="G2229">
        <v>1</v>
      </c>
      <c r="H2229" t="s">
        <v>42</v>
      </c>
      <c r="I2229" t="s">
        <v>43</v>
      </c>
      <c r="J2229" t="s">
        <v>73</v>
      </c>
      <c r="K2229" t="s">
        <v>127</v>
      </c>
      <c r="L2229">
        <v>0</v>
      </c>
      <c r="M2229" s="1">
        <v>43704</v>
      </c>
      <c r="N2229" t="s">
        <v>45</v>
      </c>
      <c r="O2229" t="s">
        <v>46</v>
      </c>
      <c r="P2229" t="s">
        <v>47</v>
      </c>
      <c r="Q2229" s="1">
        <v>43852</v>
      </c>
      <c r="R2229" t="s">
        <v>48</v>
      </c>
    </row>
    <row r="2230" spans="1:18" x14ac:dyDescent="0.25">
      <c r="A2230" t="s">
        <v>522</v>
      </c>
      <c r="B2230" t="s">
        <v>559</v>
      </c>
      <c r="C2230" t="s">
        <v>40</v>
      </c>
      <c r="D2230" s="1">
        <v>43339</v>
      </c>
      <c r="E2230" s="1">
        <v>44069</v>
      </c>
      <c r="F2230" t="s">
        <v>306</v>
      </c>
      <c r="G2230">
        <v>1</v>
      </c>
      <c r="H2230" t="s">
        <v>42</v>
      </c>
      <c r="I2230" t="s">
        <v>43</v>
      </c>
      <c r="J2230" t="s">
        <v>73</v>
      </c>
      <c r="K2230" t="s">
        <v>127</v>
      </c>
      <c r="L2230">
        <v>0</v>
      </c>
      <c r="M2230" s="1">
        <v>43796</v>
      </c>
      <c r="N2230" t="s">
        <v>45</v>
      </c>
      <c r="O2230" t="s">
        <v>46</v>
      </c>
      <c r="P2230" t="s">
        <v>47</v>
      </c>
      <c r="Q2230" s="1">
        <v>43852</v>
      </c>
      <c r="R2230" t="s">
        <v>48</v>
      </c>
    </row>
    <row r="2231" spans="1:18" x14ac:dyDescent="0.25">
      <c r="A2231" t="s">
        <v>522</v>
      </c>
      <c r="B2231" t="s">
        <v>559</v>
      </c>
      <c r="C2231" t="s">
        <v>40</v>
      </c>
      <c r="D2231" s="1">
        <v>43339</v>
      </c>
      <c r="E2231" s="1">
        <v>44069</v>
      </c>
      <c r="F2231" t="s">
        <v>306</v>
      </c>
      <c r="G2231">
        <v>1</v>
      </c>
      <c r="H2231" t="s">
        <v>42</v>
      </c>
      <c r="I2231" t="s">
        <v>43</v>
      </c>
      <c r="J2231" t="s">
        <v>73</v>
      </c>
      <c r="K2231" t="s">
        <v>127</v>
      </c>
      <c r="L2231">
        <v>0</v>
      </c>
      <c r="M2231" s="1">
        <v>43339</v>
      </c>
      <c r="N2231" t="s">
        <v>45</v>
      </c>
      <c r="O2231" t="s">
        <v>46</v>
      </c>
      <c r="P2231" t="s">
        <v>47</v>
      </c>
      <c r="Q2231" s="1">
        <v>43852</v>
      </c>
      <c r="R2231" t="s">
        <v>48</v>
      </c>
    </row>
    <row r="2232" spans="1:18" x14ac:dyDescent="0.25">
      <c r="A2232" t="s">
        <v>522</v>
      </c>
      <c r="B2232" t="s">
        <v>560</v>
      </c>
      <c r="C2232" t="s">
        <v>40</v>
      </c>
      <c r="D2232" s="1">
        <v>43326</v>
      </c>
      <c r="E2232" s="1">
        <v>44240</v>
      </c>
      <c r="F2232" t="s">
        <v>306</v>
      </c>
      <c r="G2232">
        <v>1</v>
      </c>
      <c r="H2232" t="s">
        <v>42</v>
      </c>
      <c r="I2232" t="s">
        <v>43</v>
      </c>
      <c r="J2232" t="s">
        <v>73</v>
      </c>
      <c r="K2232" t="s">
        <v>127</v>
      </c>
      <c r="L2232">
        <v>62399.23</v>
      </c>
      <c r="M2232" s="1">
        <v>44057</v>
      </c>
      <c r="N2232" t="s">
        <v>45</v>
      </c>
      <c r="O2232" t="s">
        <v>46</v>
      </c>
      <c r="P2232" t="s">
        <v>47</v>
      </c>
      <c r="Q2232" s="1">
        <v>43852</v>
      </c>
      <c r="R2232" t="s">
        <v>48</v>
      </c>
    </row>
    <row r="2233" spans="1:18" x14ac:dyDescent="0.25">
      <c r="A2233" t="s">
        <v>522</v>
      </c>
      <c r="B2233" t="s">
        <v>560</v>
      </c>
      <c r="C2233" t="s">
        <v>40</v>
      </c>
      <c r="D2233" s="1">
        <v>43326</v>
      </c>
      <c r="E2233" s="1">
        <v>44240</v>
      </c>
      <c r="F2233" t="s">
        <v>306</v>
      </c>
      <c r="G2233">
        <v>1</v>
      </c>
      <c r="H2233" t="s">
        <v>42</v>
      </c>
      <c r="I2233" t="s">
        <v>43</v>
      </c>
      <c r="J2233" t="s">
        <v>73</v>
      </c>
      <c r="K2233" t="s">
        <v>127</v>
      </c>
      <c r="L2233">
        <v>62399.4</v>
      </c>
      <c r="M2233" s="1">
        <v>43875</v>
      </c>
      <c r="N2233" t="s">
        <v>45</v>
      </c>
      <c r="O2233" t="s">
        <v>46</v>
      </c>
      <c r="P2233" t="s">
        <v>47</v>
      </c>
      <c r="Q2233" s="1">
        <v>43852</v>
      </c>
      <c r="R2233" t="s">
        <v>48</v>
      </c>
    </row>
    <row r="2234" spans="1:18" x14ac:dyDescent="0.25">
      <c r="A2234" t="s">
        <v>522</v>
      </c>
      <c r="B2234" t="s">
        <v>560</v>
      </c>
      <c r="C2234" t="s">
        <v>40</v>
      </c>
      <c r="D2234" s="1">
        <v>43326</v>
      </c>
      <c r="E2234" s="1">
        <v>44240</v>
      </c>
      <c r="F2234" t="s">
        <v>306</v>
      </c>
      <c r="G2234">
        <v>1</v>
      </c>
      <c r="H2234" t="s">
        <v>42</v>
      </c>
      <c r="I2234" t="s">
        <v>43</v>
      </c>
      <c r="J2234" t="s">
        <v>73</v>
      </c>
      <c r="K2234" t="s">
        <v>127</v>
      </c>
      <c r="L2234">
        <v>62399.4</v>
      </c>
      <c r="M2234" s="1">
        <v>43965</v>
      </c>
      <c r="N2234" t="s">
        <v>45</v>
      </c>
      <c r="O2234" t="s">
        <v>46</v>
      </c>
      <c r="P2234" t="s">
        <v>47</v>
      </c>
      <c r="Q2234" s="1">
        <v>43852</v>
      </c>
      <c r="R2234" t="s">
        <v>48</v>
      </c>
    </row>
    <row r="2235" spans="1:18" x14ac:dyDescent="0.25">
      <c r="A2235" t="s">
        <v>522</v>
      </c>
      <c r="B2235" t="s">
        <v>560</v>
      </c>
      <c r="C2235" t="s">
        <v>40</v>
      </c>
      <c r="D2235" s="1">
        <v>43326</v>
      </c>
      <c r="E2235" s="1">
        <v>44240</v>
      </c>
      <c r="F2235" t="s">
        <v>306</v>
      </c>
      <c r="G2235">
        <v>1</v>
      </c>
      <c r="H2235" t="s">
        <v>42</v>
      </c>
      <c r="I2235" t="s">
        <v>43</v>
      </c>
      <c r="J2235" t="s">
        <v>73</v>
      </c>
      <c r="K2235" t="s">
        <v>127</v>
      </c>
      <c r="L2235">
        <v>62399.4</v>
      </c>
      <c r="M2235" s="1">
        <v>43783</v>
      </c>
      <c r="N2235" t="s">
        <v>45</v>
      </c>
      <c r="O2235" t="s">
        <v>46</v>
      </c>
      <c r="P2235" t="s">
        <v>47</v>
      </c>
      <c r="Q2235" s="1">
        <v>43852</v>
      </c>
      <c r="R2235" t="s">
        <v>48</v>
      </c>
    </row>
    <row r="2236" spans="1:18" x14ac:dyDescent="0.25">
      <c r="A2236" t="s">
        <v>522</v>
      </c>
      <c r="B2236" t="s">
        <v>560</v>
      </c>
      <c r="C2236" t="s">
        <v>40</v>
      </c>
      <c r="D2236" s="1">
        <v>43326</v>
      </c>
      <c r="E2236" s="1">
        <v>44240</v>
      </c>
      <c r="F2236" t="s">
        <v>306</v>
      </c>
      <c r="G2236">
        <v>1</v>
      </c>
      <c r="H2236" t="s">
        <v>42</v>
      </c>
      <c r="I2236" t="s">
        <v>43</v>
      </c>
      <c r="J2236" t="s">
        <v>73</v>
      </c>
      <c r="K2236" t="s">
        <v>127</v>
      </c>
      <c r="L2236">
        <v>68639.38</v>
      </c>
      <c r="M2236" s="1">
        <v>43418</v>
      </c>
      <c r="N2236" t="s">
        <v>45</v>
      </c>
      <c r="O2236" t="s">
        <v>46</v>
      </c>
      <c r="P2236" t="s">
        <v>47</v>
      </c>
      <c r="Q2236" s="1">
        <v>43852</v>
      </c>
      <c r="R2236" t="s">
        <v>48</v>
      </c>
    </row>
    <row r="2237" spans="1:18" x14ac:dyDescent="0.25">
      <c r="A2237" t="s">
        <v>522</v>
      </c>
      <c r="B2237" t="s">
        <v>560</v>
      </c>
      <c r="C2237" t="s">
        <v>40</v>
      </c>
      <c r="D2237" s="1">
        <v>43326</v>
      </c>
      <c r="E2237" s="1">
        <v>44240</v>
      </c>
      <c r="F2237" t="s">
        <v>306</v>
      </c>
      <c r="G2237">
        <v>1</v>
      </c>
      <c r="H2237" t="s">
        <v>42</v>
      </c>
      <c r="I2237" t="s">
        <v>43</v>
      </c>
      <c r="J2237" t="s">
        <v>73</v>
      </c>
      <c r="K2237" t="s">
        <v>127</v>
      </c>
      <c r="L2237">
        <v>68639.38</v>
      </c>
      <c r="M2237" s="1">
        <v>43510</v>
      </c>
      <c r="N2237" t="s">
        <v>45</v>
      </c>
      <c r="O2237" t="s">
        <v>46</v>
      </c>
      <c r="P2237" t="s">
        <v>47</v>
      </c>
      <c r="Q2237" s="1">
        <v>43852</v>
      </c>
      <c r="R2237" t="s">
        <v>48</v>
      </c>
    </row>
    <row r="2238" spans="1:18" x14ac:dyDescent="0.25">
      <c r="A2238" t="s">
        <v>522</v>
      </c>
      <c r="B2238" t="s">
        <v>560</v>
      </c>
      <c r="C2238" t="s">
        <v>40</v>
      </c>
      <c r="D2238" s="1">
        <v>43326</v>
      </c>
      <c r="E2238" s="1">
        <v>44240</v>
      </c>
      <c r="F2238" t="s">
        <v>306</v>
      </c>
      <c r="G2238">
        <v>1</v>
      </c>
      <c r="H2238" t="s">
        <v>42</v>
      </c>
      <c r="I2238" t="s">
        <v>43</v>
      </c>
      <c r="J2238" t="s">
        <v>73</v>
      </c>
      <c r="K2238" t="s">
        <v>127</v>
      </c>
      <c r="L2238">
        <v>68639.38</v>
      </c>
      <c r="M2238" s="1">
        <v>43599</v>
      </c>
      <c r="N2238" t="s">
        <v>45</v>
      </c>
      <c r="O2238" t="s">
        <v>46</v>
      </c>
      <c r="P2238" t="s">
        <v>47</v>
      </c>
      <c r="Q2238" s="1">
        <v>43852</v>
      </c>
      <c r="R2238" t="s">
        <v>48</v>
      </c>
    </row>
    <row r="2239" spans="1:18" x14ac:dyDescent="0.25">
      <c r="A2239" t="s">
        <v>522</v>
      </c>
      <c r="B2239" t="s">
        <v>560</v>
      </c>
      <c r="C2239" t="s">
        <v>40</v>
      </c>
      <c r="D2239" s="1">
        <v>43326</v>
      </c>
      <c r="E2239" s="1">
        <v>44240</v>
      </c>
      <c r="F2239" t="s">
        <v>306</v>
      </c>
      <c r="G2239">
        <v>1</v>
      </c>
      <c r="H2239" t="s">
        <v>42</v>
      </c>
      <c r="I2239" t="s">
        <v>43</v>
      </c>
      <c r="J2239" t="s">
        <v>73</v>
      </c>
      <c r="K2239" t="s">
        <v>127</v>
      </c>
      <c r="L2239">
        <v>68639.38</v>
      </c>
      <c r="M2239" s="1">
        <v>43691</v>
      </c>
      <c r="N2239" t="s">
        <v>45</v>
      </c>
      <c r="O2239" t="s">
        <v>46</v>
      </c>
      <c r="P2239" t="s">
        <v>47</v>
      </c>
      <c r="Q2239" s="1">
        <v>43852</v>
      </c>
      <c r="R2239" t="s">
        <v>48</v>
      </c>
    </row>
    <row r="2240" spans="1:18" x14ac:dyDescent="0.25">
      <c r="A2240" t="s">
        <v>522</v>
      </c>
      <c r="B2240" t="s">
        <v>560</v>
      </c>
      <c r="C2240" t="s">
        <v>40</v>
      </c>
      <c r="D2240" s="1">
        <v>43326</v>
      </c>
      <c r="E2240" s="1">
        <v>44240</v>
      </c>
      <c r="F2240" t="s">
        <v>306</v>
      </c>
      <c r="G2240">
        <v>1</v>
      </c>
      <c r="H2240" t="s">
        <v>42</v>
      </c>
      <c r="I2240" t="s">
        <v>43</v>
      </c>
      <c r="J2240" t="s">
        <v>73</v>
      </c>
      <c r="K2240" t="s">
        <v>127</v>
      </c>
      <c r="L2240">
        <v>99839.08</v>
      </c>
      <c r="M2240" s="1">
        <v>43326</v>
      </c>
      <c r="N2240" t="s">
        <v>45</v>
      </c>
      <c r="O2240" t="s">
        <v>46</v>
      </c>
      <c r="P2240" t="s">
        <v>47</v>
      </c>
      <c r="Q2240" s="1">
        <v>43852</v>
      </c>
      <c r="R2240" t="s">
        <v>48</v>
      </c>
    </row>
    <row r="2241" spans="1:18" x14ac:dyDescent="0.25">
      <c r="A2241" t="s">
        <v>522</v>
      </c>
      <c r="B2241" t="s">
        <v>560</v>
      </c>
      <c r="C2241" t="s">
        <v>40</v>
      </c>
      <c r="D2241" s="1">
        <v>43326</v>
      </c>
      <c r="E2241" s="1">
        <v>44240</v>
      </c>
      <c r="F2241" t="s">
        <v>306</v>
      </c>
      <c r="G2241">
        <v>1</v>
      </c>
      <c r="H2241" t="s">
        <v>42</v>
      </c>
      <c r="I2241" t="s">
        <v>43</v>
      </c>
      <c r="J2241" t="s">
        <v>73</v>
      </c>
      <c r="K2241" t="s">
        <v>127</v>
      </c>
      <c r="L2241">
        <v>0</v>
      </c>
      <c r="M2241" s="1">
        <v>44057</v>
      </c>
      <c r="N2241" t="s">
        <v>45</v>
      </c>
      <c r="O2241" t="s">
        <v>46</v>
      </c>
      <c r="P2241" t="s">
        <v>47</v>
      </c>
      <c r="Q2241" s="1">
        <v>43852</v>
      </c>
      <c r="R2241" t="s">
        <v>48</v>
      </c>
    </row>
    <row r="2242" spans="1:18" x14ac:dyDescent="0.25">
      <c r="A2242" t="s">
        <v>522</v>
      </c>
      <c r="B2242" t="s">
        <v>560</v>
      </c>
      <c r="C2242" t="s">
        <v>40</v>
      </c>
      <c r="D2242" s="1">
        <v>43326</v>
      </c>
      <c r="E2242" s="1">
        <v>44240</v>
      </c>
      <c r="F2242" t="s">
        <v>306</v>
      </c>
      <c r="G2242">
        <v>1</v>
      </c>
      <c r="H2242" t="s">
        <v>42</v>
      </c>
      <c r="I2242" t="s">
        <v>43</v>
      </c>
      <c r="J2242" t="s">
        <v>73</v>
      </c>
      <c r="K2242" t="s">
        <v>127</v>
      </c>
      <c r="L2242">
        <v>0</v>
      </c>
      <c r="M2242" s="1">
        <v>43875</v>
      </c>
      <c r="N2242" t="s">
        <v>45</v>
      </c>
      <c r="O2242" t="s">
        <v>46</v>
      </c>
      <c r="P2242" t="s">
        <v>47</v>
      </c>
      <c r="Q2242" s="1">
        <v>43852</v>
      </c>
      <c r="R2242" t="s">
        <v>48</v>
      </c>
    </row>
    <row r="2243" spans="1:18" x14ac:dyDescent="0.25">
      <c r="A2243" t="s">
        <v>522</v>
      </c>
      <c r="B2243" t="s">
        <v>560</v>
      </c>
      <c r="C2243" t="s">
        <v>40</v>
      </c>
      <c r="D2243" s="1">
        <v>43326</v>
      </c>
      <c r="E2243" s="1">
        <v>44240</v>
      </c>
      <c r="F2243" t="s">
        <v>306</v>
      </c>
      <c r="G2243">
        <v>1</v>
      </c>
      <c r="H2243" t="s">
        <v>42</v>
      </c>
      <c r="I2243" t="s">
        <v>43</v>
      </c>
      <c r="J2243" t="s">
        <v>73</v>
      </c>
      <c r="K2243" t="s">
        <v>127</v>
      </c>
      <c r="L2243">
        <v>0</v>
      </c>
      <c r="M2243" s="1">
        <v>43965</v>
      </c>
      <c r="N2243" t="s">
        <v>45</v>
      </c>
      <c r="O2243" t="s">
        <v>46</v>
      </c>
      <c r="P2243" t="s">
        <v>47</v>
      </c>
      <c r="Q2243" s="1">
        <v>43852</v>
      </c>
      <c r="R2243" t="s">
        <v>48</v>
      </c>
    </row>
    <row r="2244" spans="1:18" x14ac:dyDescent="0.25">
      <c r="A2244" t="s">
        <v>522</v>
      </c>
      <c r="B2244" t="s">
        <v>560</v>
      </c>
      <c r="C2244" t="s">
        <v>40</v>
      </c>
      <c r="D2244" s="1">
        <v>43326</v>
      </c>
      <c r="E2244" s="1">
        <v>44240</v>
      </c>
      <c r="F2244" t="s">
        <v>306</v>
      </c>
      <c r="G2244">
        <v>1</v>
      </c>
      <c r="H2244" t="s">
        <v>42</v>
      </c>
      <c r="I2244" t="s">
        <v>43</v>
      </c>
      <c r="J2244" t="s">
        <v>73</v>
      </c>
      <c r="K2244" t="s">
        <v>127</v>
      </c>
      <c r="L2244">
        <v>0</v>
      </c>
      <c r="M2244" s="1">
        <v>43783</v>
      </c>
      <c r="N2244" t="s">
        <v>45</v>
      </c>
      <c r="O2244" t="s">
        <v>46</v>
      </c>
      <c r="P2244" t="s">
        <v>47</v>
      </c>
      <c r="Q2244" s="1">
        <v>43852</v>
      </c>
      <c r="R2244" t="s">
        <v>48</v>
      </c>
    </row>
    <row r="2245" spans="1:18" x14ac:dyDescent="0.25">
      <c r="A2245" t="s">
        <v>522</v>
      </c>
      <c r="B2245" t="s">
        <v>560</v>
      </c>
      <c r="C2245" t="s">
        <v>40</v>
      </c>
      <c r="D2245" s="1">
        <v>43326</v>
      </c>
      <c r="E2245" s="1">
        <v>44240</v>
      </c>
      <c r="F2245" t="s">
        <v>306</v>
      </c>
      <c r="G2245">
        <v>1</v>
      </c>
      <c r="H2245" t="s">
        <v>42</v>
      </c>
      <c r="I2245" t="s">
        <v>43</v>
      </c>
      <c r="J2245" t="s">
        <v>73</v>
      </c>
      <c r="K2245" t="s">
        <v>127</v>
      </c>
      <c r="L2245">
        <v>0</v>
      </c>
      <c r="M2245" s="1">
        <v>43418</v>
      </c>
      <c r="N2245" t="s">
        <v>45</v>
      </c>
      <c r="O2245" t="s">
        <v>46</v>
      </c>
      <c r="P2245" t="s">
        <v>47</v>
      </c>
      <c r="Q2245" s="1">
        <v>43852</v>
      </c>
      <c r="R2245" t="s">
        <v>48</v>
      </c>
    </row>
    <row r="2246" spans="1:18" x14ac:dyDescent="0.25">
      <c r="A2246" t="s">
        <v>522</v>
      </c>
      <c r="B2246" t="s">
        <v>560</v>
      </c>
      <c r="C2246" t="s">
        <v>40</v>
      </c>
      <c r="D2246" s="1">
        <v>43326</v>
      </c>
      <c r="E2246" s="1">
        <v>44240</v>
      </c>
      <c r="F2246" t="s">
        <v>306</v>
      </c>
      <c r="G2246">
        <v>1</v>
      </c>
      <c r="H2246" t="s">
        <v>42</v>
      </c>
      <c r="I2246" t="s">
        <v>43</v>
      </c>
      <c r="J2246" t="s">
        <v>73</v>
      </c>
      <c r="K2246" t="s">
        <v>127</v>
      </c>
      <c r="L2246">
        <v>0</v>
      </c>
      <c r="M2246" s="1">
        <v>43510</v>
      </c>
      <c r="N2246" t="s">
        <v>45</v>
      </c>
      <c r="O2246" t="s">
        <v>46</v>
      </c>
      <c r="P2246" t="s">
        <v>47</v>
      </c>
      <c r="Q2246" s="1">
        <v>43852</v>
      </c>
      <c r="R2246" t="s">
        <v>48</v>
      </c>
    </row>
    <row r="2247" spans="1:18" x14ac:dyDescent="0.25">
      <c r="A2247" t="s">
        <v>522</v>
      </c>
      <c r="B2247" t="s">
        <v>560</v>
      </c>
      <c r="C2247" t="s">
        <v>40</v>
      </c>
      <c r="D2247" s="1">
        <v>43326</v>
      </c>
      <c r="E2247" s="1">
        <v>44240</v>
      </c>
      <c r="F2247" t="s">
        <v>306</v>
      </c>
      <c r="G2247">
        <v>1</v>
      </c>
      <c r="H2247" t="s">
        <v>42</v>
      </c>
      <c r="I2247" t="s">
        <v>43</v>
      </c>
      <c r="J2247" t="s">
        <v>73</v>
      </c>
      <c r="K2247" t="s">
        <v>127</v>
      </c>
      <c r="L2247">
        <v>0</v>
      </c>
      <c r="M2247" s="1">
        <v>43599</v>
      </c>
      <c r="N2247" t="s">
        <v>45</v>
      </c>
      <c r="O2247" t="s">
        <v>46</v>
      </c>
      <c r="P2247" t="s">
        <v>47</v>
      </c>
      <c r="Q2247" s="1">
        <v>43852</v>
      </c>
      <c r="R2247" t="s">
        <v>48</v>
      </c>
    </row>
    <row r="2248" spans="1:18" x14ac:dyDescent="0.25">
      <c r="A2248" t="s">
        <v>522</v>
      </c>
      <c r="B2248" t="s">
        <v>560</v>
      </c>
      <c r="C2248" t="s">
        <v>40</v>
      </c>
      <c r="D2248" s="1">
        <v>43326</v>
      </c>
      <c r="E2248" s="1">
        <v>44240</v>
      </c>
      <c r="F2248" t="s">
        <v>306</v>
      </c>
      <c r="G2248">
        <v>1</v>
      </c>
      <c r="H2248" t="s">
        <v>42</v>
      </c>
      <c r="I2248" t="s">
        <v>43</v>
      </c>
      <c r="J2248" t="s">
        <v>73</v>
      </c>
      <c r="K2248" t="s">
        <v>127</v>
      </c>
      <c r="L2248">
        <v>0</v>
      </c>
      <c r="M2248" s="1">
        <v>43691</v>
      </c>
      <c r="N2248" t="s">
        <v>45</v>
      </c>
      <c r="O2248" t="s">
        <v>46</v>
      </c>
      <c r="P2248" t="s">
        <v>47</v>
      </c>
      <c r="Q2248" s="1">
        <v>43852</v>
      </c>
      <c r="R2248" t="s">
        <v>48</v>
      </c>
    </row>
    <row r="2249" spans="1:18" x14ac:dyDescent="0.25">
      <c r="A2249" t="s">
        <v>522</v>
      </c>
      <c r="B2249" t="s">
        <v>560</v>
      </c>
      <c r="C2249" t="s">
        <v>40</v>
      </c>
      <c r="D2249" s="1">
        <v>43326</v>
      </c>
      <c r="E2249" s="1">
        <v>44240</v>
      </c>
      <c r="F2249" t="s">
        <v>306</v>
      </c>
      <c r="G2249">
        <v>1</v>
      </c>
      <c r="H2249" t="s">
        <v>42</v>
      </c>
      <c r="I2249" t="s">
        <v>43</v>
      </c>
      <c r="J2249" t="s">
        <v>73</v>
      </c>
      <c r="K2249" t="s">
        <v>127</v>
      </c>
      <c r="L2249">
        <v>0</v>
      </c>
      <c r="M2249" s="1">
        <v>43326</v>
      </c>
      <c r="N2249" t="s">
        <v>45</v>
      </c>
      <c r="O2249" t="s">
        <v>46</v>
      </c>
      <c r="P2249" t="s">
        <v>47</v>
      </c>
      <c r="Q2249" s="1">
        <v>43852</v>
      </c>
      <c r="R2249" t="s">
        <v>48</v>
      </c>
    </row>
    <row r="2250" spans="1:18" x14ac:dyDescent="0.25">
      <c r="A2250" t="s">
        <v>522</v>
      </c>
      <c r="B2250" t="s">
        <v>561</v>
      </c>
      <c r="C2250" t="s">
        <v>40</v>
      </c>
      <c r="D2250" s="1">
        <v>43368</v>
      </c>
      <c r="E2250" s="1">
        <v>44098</v>
      </c>
      <c r="F2250" t="s">
        <v>306</v>
      </c>
      <c r="G2250">
        <v>1</v>
      </c>
      <c r="H2250" t="s">
        <v>42</v>
      </c>
      <c r="I2250" t="s">
        <v>43</v>
      </c>
      <c r="J2250" t="s">
        <v>73</v>
      </c>
      <c r="K2250" t="s">
        <v>127</v>
      </c>
      <c r="L2250">
        <v>65412.72</v>
      </c>
      <c r="M2250" s="1">
        <v>43915</v>
      </c>
      <c r="N2250" t="s">
        <v>45</v>
      </c>
      <c r="O2250" t="s">
        <v>46</v>
      </c>
      <c r="P2250" t="s">
        <v>47</v>
      </c>
      <c r="Q2250" s="1">
        <v>43852</v>
      </c>
      <c r="R2250" t="s">
        <v>48</v>
      </c>
    </row>
    <row r="2251" spans="1:18" x14ac:dyDescent="0.25">
      <c r="A2251" t="s">
        <v>522</v>
      </c>
      <c r="B2251" t="s">
        <v>561</v>
      </c>
      <c r="C2251" t="s">
        <v>40</v>
      </c>
      <c r="D2251" s="1">
        <v>43368</v>
      </c>
      <c r="E2251" s="1">
        <v>44098</v>
      </c>
      <c r="F2251" t="s">
        <v>306</v>
      </c>
      <c r="G2251">
        <v>1</v>
      </c>
      <c r="H2251" t="s">
        <v>42</v>
      </c>
      <c r="I2251" t="s">
        <v>43</v>
      </c>
      <c r="J2251" t="s">
        <v>73</v>
      </c>
      <c r="K2251" t="s">
        <v>127</v>
      </c>
      <c r="L2251">
        <v>83253.179999999993</v>
      </c>
      <c r="M2251" s="1">
        <v>43459</v>
      </c>
      <c r="N2251" t="s">
        <v>45</v>
      </c>
      <c r="O2251" t="s">
        <v>46</v>
      </c>
      <c r="P2251" t="s">
        <v>47</v>
      </c>
      <c r="Q2251" s="1">
        <v>43852</v>
      </c>
      <c r="R2251" t="s">
        <v>48</v>
      </c>
    </row>
    <row r="2252" spans="1:18" x14ac:dyDescent="0.25">
      <c r="A2252" t="s">
        <v>522</v>
      </c>
      <c r="B2252" t="s">
        <v>561</v>
      </c>
      <c r="C2252" t="s">
        <v>40</v>
      </c>
      <c r="D2252" s="1">
        <v>43368</v>
      </c>
      <c r="E2252" s="1">
        <v>44098</v>
      </c>
      <c r="F2252" t="s">
        <v>306</v>
      </c>
      <c r="G2252">
        <v>1</v>
      </c>
      <c r="H2252" t="s">
        <v>42</v>
      </c>
      <c r="I2252" t="s">
        <v>43</v>
      </c>
      <c r="J2252" t="s">
        <v>73</v>
      </c>
      <c r="K2252" t="s">
        <v>127</v>
      </c>
      <c r="L2252">
        <v>83253.179999999993</v>
      </c>
      <c r="M2252" s="1">
        <v>43549</v>
      </c>
      <c r="N2252" t="s">
        <v>45</v>
      </c>
      <c r="O2252" t="s">
        <v>46</v>
      </c>
      <c r="P2252" t="s">
        <v>47</v>
      </c>
      <c r="Q2252" s="1">
        <v>43852</v>
      </c>
      <c r="R2252" t="s">
        <v>48</v>
      </c>
    </row>
    <row r="2253" spans="1:18" x14ac:dyDescent="0.25">
      <c r="A2253" t="s">
        <v>522</v>
      </c>
      <c r="B2253" t="s">
        <v>561</v>
      </c>
      <c r="C2253" t="s">
        <v>40</v>
      </c>
      <c r="D2253" s="1">
        <v>43368</v>
      </c>
      <c r="E2253" s="1">
        <v>44098</v>
      </c>
      <c r="F2253" t="s">
        <v>306</v>
      </c>
      <c r="G2253">
        <v>1</v>
      </c>
      <c r="H2253" t="s">
        <v>42</v>
      </c>
      <c r="I2253" t="s">
        <v>43</v>
      </c>
      <c r="J2253" t="s">
        <v>73</v>
      </c>
      <c r="K2253" t="s">
        <v>127</v>
      </c>
      <c r="L2253">
        <v>83253.179999999993</v>
      </c>
      <c r="M2253" s="1">
        <v>43641</v>
      </c>
      <c r="N2253" t="s">
        <v>45</v>
      </c>
      <c r="O2253" t="s">
        <v>46</v>
      </c>
      <c r="P2253" t="s">
        <v>47</v>
      </c>
      <c r="Q2253" s="1">
        <v>43852</v>
      </c>
      <c r="R2253" t="s">
        <v>48</v>
      </c>
    </row>
    <row r="2254" spans="1:18" x14ac:dyDescent="0.25">
      <c r="A2254" t="s">
        <v>522</v>
      </c>
      <c r="B2254" t="s">
        <v>561</v>
      </c>
      <c r="C2254" t="s">
        <v>40</v>
      </c>
      <c r="D2254" s="1">
        <v>43368</v>
      </c>
      <c r="E2254" s="1">
        <v>44098</v>
      </c>
      <c r="F2254" t="s">
        <v>306</v>
      </c>
      <c r="G2254">
        <v>1</v>
      </c>
      <c r="H2254" t="s">
        <v>42</v>
      </c>
      <c r="I2254" t="s">
        <v>43</v>
      </c>
      <c r="J2254" t="s">
        <v>73</v>
      </c>
      <c r="K2254" t="s">
        <v>127</v>
      </c>
      <c r="L2254">
        <v>83253.179999999993</v>
      </c>
      <c r="M2254" s="1">
        <v>43733</v>
      </c>
      <c r="N2254" t="s">
        <v>45</v>
      </c>
      <c r="O2254" t="s">
        <v>46</v>
      </c>
      <c r="P2254" t="s">
        <v>47</v>
      </c>
      <c r="Q2254" s="1">
        <v>43852</v>
      </c>
      <c r="R2254" t="s">
        <v>48</v>
      </c>
    </row>
    <row r="2255" spans="1:18" x14ac:dyDescent="0.25">
      <c r="A2255" t="s">
        <v>522</v>
      </c>
      <c r="B2255" t="s">
        <v>561</v>
      </c>
      <c r="C2255" t="s">
        <v>40</v>
      </c>
      <c r="D2255" s="1">
        <v>43368</v>
      </c>
      <c r="E2255" s="1">
        <v>44098</v>
      </c>
      <c r="F2255" t="s">
        <v>306</v>
      </c>
      <c r="G2255">
        <v>1</v>
      </c>
      <c r="H2255" t="s">
        <v>42</v>
      </c>
      <c r="I2255" t="s">
        <v>43</v>
      </c>
      <c r="J2255" t="s">
        <v>73</v>
      </c>
      <c r="K2255" t="s">
        <v>127</v>
      </c>
      <c r="L2255">
        <v>83253.179999999993</v>
      </c>
      <c r="M2255" s="1">
        <v>43824</v>
      </c>
      <c r="N2255" t="s">
        <v>45</v>
      </c>
      <c r="O2255" t="s">
        <v>46</v>
      </c>
      <c r="P2255" t="s">
        <v>47</v>
      </c>
      <c r="Q2255" s="1">
        <v>43852</v>
      </c>
      <c r="R2255" t="s">
        <v>48</v>
      </c>
    </row>
    <row r="2256" spans="1:18" x14ac:dyDescent="0.25">
      <c r="A2256" t="s">
        <v>522</v>
      </c>
      <c r="B2256" t="s">
        <v>561</v>
      </c>
      <c r="C2256" t="s">
        <v>40</v>
      </c>
      <c r="D2256" s="1">
        <v>43368</v>
      </c>
      <c r="E2256" s="1">
        <v>44098</v>
      </c>
      <c r="F2256" t="s">
        <v>306</v>
      </c>
      <c r="G2256">
        <v>1</v>
      </c>
      <c r="H2256" t="s">
        <v>42</v>
      </c>
      <c r="I2256" t="s">
        <v>43</v>
      </c>
      <c r="J2256" t="s">
        <v>73</v>
      </c>
      <c r="K2256" t="s">
        <v>127</v>
      </c>
      <c r="L2256">
        <v>112986.38</v>
      </c>
      <c r="M2256" s="1">
        <v>43368</v>
      </c>
      <c r="N2256" t="s">
        <v>45</v>
      </c>
      <c r="O2256" t="s">
        <v>46</v>
      </c>
      <c r="P2256" t="s">
        <v>47</v>
      </c>
      <c r="Q2256" s="1">
        <v>43852</v>
      </c>
      <c r="R2256" t="s">
        <v>48</v>
      </c>
    </row>
    <row r="2257" spans="1:18" x14ac:dyDescent="0.25">
      <c r="A2257" t="s">
        <v>522</v>
      </c>
      <c r="B2257" t="s">
        <v>561</v>
      </c>
      <c r="C2257" t="s">
        <v>40</v>
      </c>
      <c r="D2257" s="1">
        <v>43368</v>
      </c>
      <c r="E2257" s="1">
        <v>44098</v>
      </c>
      <c r="F2257" t="s">
        <v>306</v>
      </c>
      <c r="G2257">
        <v>1</v>
      </c>
      <c r="H2257" t="s">
        <v>42</v>
      </c>
      <c r="I2257" t="s">
        <v>43</v>
      </c>
      <c r="J2257" t="s">
        <v>73</v>
      </c>
      <c r="K2257" t="s">
        <v>127</v>
      </c>
      <c r="L2257">
        <v>0</v>
      </c>
      <c r="M2257" s="1">
        <v>43915</v>
      </c>
      <c r="N2257" t="s">
        <v>45</v>
      </c>
      <c r="O2257" t="s">
        <v>46</v>
      </c>
      <c r="P2257" t="s">
        <v>47</v>
      </c>
      <c r="Q2257" s="1">
        <v>43852</v>
      </c>
      <c r="R2257" t="s">
        <v>48</v>
      </c>
    </row>
    <row r="2258" spans="1:18" x14ac:dyDescent="0.25">
      <c r="A2258" t="s">
        <v>522</v>
      </c>
      <c r="B2258" t="s">
        <v>561</v>
      </c>
      <c r="C2258" t="s">
        <v>40</v>
      </c>
      <c r="D2258" s="1">
        <v>43368</v>
      </c>
      <c r="E2258" s="1">
        <v>44098</v>
      </c>
      <c r="F2258" t="s">
        <v>306</v>
      </c>
      <c r="G2258">
        <v>1</v>
      </c>
      <c r="H2258" t="s">
        <v>42</v>
      </c>
      <c r="I2258" t="s">
        <v>43</v>
      </c>
      <c r="J2258" t="s">
        <v>73</v>
      </c>
      <c r="K2258" t="s">
        <v>127</v>
      </c>
      <c r="L2258">
        <v>0</v>
      </c>
      <c r="M2258" s="1">
        <v>43459</v>
      </c>
      <c r="N2258" t="s">
        <v>45</v>
      </c>
      <c r="O2258" t="s">
        <v>46</v>
      </c>
      <c r="P2258" t="s">
        <v>47</v>
      </c>
      <c r="Q2258" s="1">
        <v>43852</v>
      </c>
      <c r="R2258" t="s">
        <v>48</v>
      </c>
    </row>
    <row r="2259" spans="1:18" x14ac:dyDescent="0.25">
      <c r="A2259" t="s">
        <v>522</v>
      </c>
      <c r="B2259" t="s">
        <v>561</v>
      </c>
      <c r="C2259" t="s">
        <v>40</v>
      </c>
      <c r="D2259" s="1">
        <v>43368</v>
      </c>
      <c r="E2259" s="1">
        <v>44098</v>
      </c>
      <c r="F2259" t="s">
        <v>306</v>
      </c>
      <c r="G2259">
        <v>1</v>
      </c>
      <c r="H2259" t="s">
        <v>42</v>
      </c>
      <c r="I2259" t="s">
        <v>43</v>
      </c>
      <c r="J2259" t="s">
        <v>73</v>
      </c>
      <c r="K2259" t="s">
        <v>127</v>
      </c>
      <c r="L2259">
        <v>0</v>
      </c>
      <c r="M2259" s="1">
        <v>43549</v>
      </c>
      <c r="N2259" t="s">
        <v>45</v>
      </c>
      <c r="O2259" t="s">
        <v>46</v>
      </c>
      <c r="P2259" t="s">
        <v>47</v>
      </c>
      <c r="Q2259" s="1">
        <v>43852</v>
      </c>
      <c r="R2259" t="s">
        <v>48</v>
      </c>
    </row>
    <row r="2260" spans="1:18" x14ac:dyDescent="0.25">
      <c r="A2260" t="s">
        <v>522</v>
      </c>
      <c r="B2260" t="s">
        <v>561</v>
      </c>
      <c r="C2260" t="s">
        <v>40</v>
      </c>
      <c r="D2260" s="1">
        <v>43368</v>
      </c>
      <c r="E2260" s="1">
        <v>44098</v>
      </c>
      <c r="F2260" t="s">
        <v>306</v>
      </c>
      <c r="G2260">
        <v>1</v>
      </c>
      <c r="H2260" t="s">
        <v>42</v>
      </c>
      <c r="I2260" t="s">
        <v>43</v>
      </c>
      <c r="J2260" t="s">
        <v>73</v>
      </c>
      <c r="K2260" t="s">
        <v>127</v>
      </c>
      <c r="L2260">
        <v>0</v>
      </c>
      <c r="M2260" s="1">
        <v>43641</v>
      </c>
      <c r="N2260" t="s">
        <v>45</v>
      </c>
      <c r="O2260" t="s">
        <v>46</v>
      </c>
      <c r="P2260" t="s">
        <v>47</v>
      </c>
      <c r="Q2260" s="1">
        <v>43852</v>
      </c>
      <c r="R2260" t="s">
        <v>48</v>
      </c>
    </row>
    <row r="2261" spans="1:18" x14ac:dyDescent="0.25">
      <c r="A2261" t="s">
        <v>522</v>
      </c>
      <c r="B2261" t="s">
        <v>561</v>
      </c>
      <c r="C2261" t="s">
        <v>40</v>
      </c>
      <c r="D2261" s="1">
        <v>43368</v>
      </c>
      <c r="E2261" s="1">
        <v>44098</v>
      </c>
      <c r="F2261" t="s">
        <v>306</v>
      </c>
      <c r="G2261">
        <v>1</v>
      </c>
      <c r="H2261" t="s">
        <v>42</v>
      </c>
      <c r="I2261" t="s">
        <v>43</v>
      </c>
      <c r="J2261" t="s">
        <v>73</v>
      </c>
      <c r="K2261" t="s">
        <v>127</v>
      </c>
      <c r="L2261">
        <v>0</v>
      </c>
      <c r="M2261" s="1">
        <v>43733</v>
      </c>
      <c r="N2261" t="s">
        <v>45</v>
      </c>
      <c r="O2261" t="s">
        <v>46</v>
      </c>
      <c r="P2261" t="s">
        <v>47</v>
      </c>
      <c r="Q2261" s="1">
        <v>43852</v>
      </c>
      <c r="R2261" t="s">
        <v>48</v>
      </c>
    </row>
    <row r="2262" spans="1:18" x14ac:dyDescent="0.25">
      <c r="A2262" t="s">
        <v>522</v>
      </c>
      <c r="B2262" t="s">
        <v>561</v>
      </c>
      <c r="C2262" t="s">
        <v>40</v>
      </c>
      <c r="D2262" s="1">
        <v>43368</v>
      </c>
      <c r="E2262" s="1">
        <v>44098</v>
      </c>
      <c r="F2262" t="s">
        <v>306</v>
      </c>
      <c r="G2262">
        <v>1</v>
      </c>
      <c r="H2262" t="s">
        <v>42</v>
      </c>
      <c r="I2262" t="s">
        <v>43</v>
      </c>
      <c r="J2262" t="s">
        <v>73</v>
      </c>
      <c r="K2262" t="s">
        <v>127</v>
      </c>
      <c r="L2262">
        <v>0</v>
      </c>
      <c r="M2262" s="1">
        <v>43824</v>
      </c>
      <c r="N2262" t="s">
        <v>45</v>
      </c>
      <c r="O2262" t="s">
        <v>46</v>
      </c>
      <c r="P2262" t="s">
        <v>47</v>
      </c>
      <c r="Q2262" s="1">
        <v>43852</v>
      </c>
      <c r="R2262" t="s">
        <v>48</v>
      </c>
    </row>
    <row r="2263" spans="1:18" x14ac:dyDescent="0.25">
      <c r="A2263" t="s">
        <v>522</v>
      </c>
      <c r="B2263" t="s">
        <v>561</v>
      </c>
      <c r="C2263" t="s">
        <v>40</v>
      </c>
      <c r="D2263" s="1">
        <v>43368</v>
      </c>
      <c r="E2263" s="1">
        <v>44098</v>
      </c>
      <c r="F2263" t="s">
        <v>306</v>
      </c>
      <c r="G2263">
        <v>1</v>
      </c>
      <c r="H2263" t="s">
        <v>42</v>
      </c>
      <c r="I2263" t="s">
        <v>43</v>
      </c>
      <c r="J2263" t="s">
        <v>73</v>
      </c>
      <c r="K2263" t="s">
        <v>127</v>
      </c>
      <c r="L2263">
        <v>0</v>
      </c>
      <c r="M2263" s="1">
        <v>43368</v>
      </c>
      <c r="N2263" t="s">
        <v>45</v>
      </c>
      <c r="O2263" t="s">
        <v>46</v>
      </c>
      <c r="P2263" t="s">
        <v>47</v>
      </c>
      <c r="Q2263" s="1">
        <v>43852</v>
      </c>
      <c r="R2263" t="s">
        <v>48</v>
      </c>
    </row>
    <row r="2264" spans="1:18" x14ac:dyDescent="0.25">
      <c r="A2264" t="s">
        <v>522</v>
      </c>
      <c r="B2264" t="s">
        <v>562</v>
      </c>
      <c r="C2264" t="s">
        <v>71</v>
      </c>
      <c r="D2264" s="1">
        <v>43393</v>
      </c>
      <c r="E2264" s="1">
        <v>43574</v>
      </c>
      <c r="F2264" t="s">
        <v>306</v>
      </c>
      <c r="G2264">
        <v>1</v>
      </c>
      <c r="H2264" t="s">
        <v>42</v>
      </c>
      <c r="I2264" t="s">
        <v>43</v>
      </c>
      <c r="J2264" t="s">
        <v>73</v>
      </c>
      <c r="K2264" t="s">
        <v>127</v>
      </c>
      <c r="L2264">
        <v>101037</v>
      </c>
      <c r="M2264" s="1">
        <v>43393</v>
      </c>
      <c r="N2264" t="s">
        <v>45</v>
      </c>
      <c r="O2264" t="s">
        <v>46</v>
      </c>
      <c r="P2264" t="s">
        <v>47</v>
      </c>
      <c r="Q2264" s="1">
        <v>43852</v>
      </c>
      <c r="R2264" t="s">
        <v>48</v>
      </c>
    </row>
    <row r="2265" spans="1:18" x14ac:dyDescent="0.25">
      <c r="A2265" t="s">
        <v>522</v>
      </c>
      <c r="B2265" t="s">
        <v>563</v>
      </c>
      <c r="C2265" t="s">
        <v>71</v>
      </c>
      <c r="D2265" s="1">
        <v>43474</v>
      </c>
      <c r="E2265" s="1">
        <v>43654</v>
      </c>
      <c r="F2265" t="s">
        <v>306</v>
      </c>
      <c r="G2265">
        <v>1</v>
      </c>
      <c r="H2265" t="s">
        <v>42</v>
      </c>
      <c r="I2265" t="s">
        <v>43</v>
      </c>
      <c r="J2265" t="s">
        <v>73</v>
      </c>
      <c r="K2265" t="s">
        <v>127</v>
      </c>
      <c r="L2265">
        <v>16455</v>
      </c>
      <c r="M2265" s="1">
        <v>43474</v>
      </c>
      <c r="N2265" t="s">
        <v>45</v>
      </c>
      <c r="O2265" t="s">
        <v>46</v>
      </c>
      <c r="P2265" t="s">
        <v>47</v>
      </c>
      <c r="Q2265" s="1">
        <v>43852</v>
      </c>
      <c r="R2265" t="s">
        <v>48</v>
      </c>
    </row>
    <row r="2266" spans="1:18" x14ac:dyDescent="0.25">
      <c r="A2266" t="s">
        <v>522</v>
      </c>
      <c r="B2266" t="s">
        <v>563</v>
      </c>
      <c r="C2266" t="s">
        <v>71</v>
      </c>
      <c r="D2266" s="1">
        <v>43474</v>
      </c>
      <c r="E2266" s="1">
        <v>43654</v>
      </c>
      <c r="F2266" t="s">
        <v>306</v>
      </c>
      <c r="G2266">
        <v>1</v>
      </c>
      <c r="H2266" t="s">
        <v>42</v>
      </c>
      <c r="I2266" t="s">
        <v>43</v>
      </c>
      <c r="J2266" t="s">
        <v>73</v>
      </c>
      <c r="K2266" t="s">
        <v>127</v>
      </c>
      <c r="L2266">
        <v>0</v>
      </c>
      <c r="M2266" s="1">
        <v>43474</v>
      </c>
      <c r="N2266" t="s">
        <v>45</v>
      </c>
      <c r="O2266" t="s">
        <v>46</v>
      </c>
      <c r="P2266" t="s">
        <v>47</v>
      </c>
      <c r="Q2266" s="1">
        <v>43852</v>
      </c>
      <c r="R2266" t="s">
        <v>48</v>
      </c>
    </row>
    <row r="2267" spans="1:18" x14ac:dyDescent="0.25">
      <c r="A2267" t="s">
        <v>522</v>
      </c>
      <c r="B2267" t="s">
        <v>564</v>
      </c>
      <c r="C2267" t="s">
        <v>40</v>
      </c>
      <c r="D2267" s="1">
        <v>43531</v>
      </c>
      <c r="E2267" s="1">
        <v>43988</v>
      </c>
      <c r="F2267" t="s">
        <v>306</v>
      </c>
      <c r="G2267">
        <v>1</v>
      </c>
      <c r="H2267" t="s">
        <v>42</v>
      </c>
      <c r="I2267" t="s">
        <v>43</v>
      </c>
      <c r="J2267" t="s">
        <v>73</v>
      </c>
      <c r="K2267" t="s">
        <v>127</v>
      </c>
      <c r="L2267">
        <v>11360</v>
      </c>
      <c r="M2267" s="1">
        <v>43531</v>
      </c>
      <c r="N2267" t="s">
        <v>45</v>
      </c>
      <c r="O2267" t="s">
        <v>46</v>
      </c>
      <c r="P2267" t="s">
        <v>47</v>
      </c>
      <c r="Q2267" s="1">
        <v>43852</v>
      </c>
      <c r="R2267" t="s">
        <v>48</v>
      </c>
    </row>
    <row r="2268" spans="1:18" x14ac:dyDescent="0.25">
      <c r="A2268" t="s">
        <v>522</v>
      </c>
      <c r="B2268" t="s">
        <v>565</v>
      </c>
      <c r="C2268" t="s">
        <v>71</v>
      </c>
      <c r="D2268" s="1">
        <v>43551</v>
      </c>
      <c r="E2268" s="1">
        <v>43734</v>
      </c>
      <c r="F2268" t="s">
        <v>306</v>
      </c>
      <c r="G2268">
        <v>1</v>
      </c>
      <c r="H2268" t="s">
        <v>42</v>
      </c>
      <c r="I2268" t="s">
        <v>43</v>
      </c>
      <c r="J2268" t="s">
        <v>73</v>
      </c>
      <c r="K2268" t="s">
        <v>127</v>
      </c>
      <c r="L2268">
        <v>67102</v>
      </c>
      <c r="M2268" s="1">
        <v>43551</v>
      </c>
      <c r="N2268" t="s">
        <v>45</v>
      </c>
      <c r="O2268" t="s">
        <v>46</v>
      </c>
      <c r="P2268" t="s">
        <v>47</v>
      </c>
      <c r="Q2268" s="1">
        <v>43852</v>
      </c>
      <c r="R2268" t="s">
        <v>48</v>
      </c>
    </row>
    <row r="2269" spans="1:18" x14ac:dyDescent="0.25">
      <c r="A2269" t="s">
        <v>522</v>
      </c>
      <c r="B2269" t="s">
        <v>565</v>
      </c>
      <c r="C2269" t="s">
        <v>71</v>
      </c>
      <c r="D2269" s="1">
        <v>43551</v>
      </c>
      <c r="E2269" s="1">
        <v>43734</v>
      </c>
      <c r="F2269" t="s">
        <v>306</v>
      </c>
      <c r="G2269">
        <v>1</v>
      </c>
      <c r="H2269" t="s">
        <v>42</v>
      </c>
      <c r="I2269" t="s">
        <v>43</v>
      </c>
      <c r="J2269" t="s">
        <v>73</v>
      </c>
      <c r="K2269" t="s">
        <v>127</v>
      </c>
      <c r="L2269">
        <v>0</v>
      </c>
      <c r="M2269" s="1">
        <v>43551</v>
      </c>
      <c r="N2269" t="s">
        <v>45</v>
      </c>
      <c r="O2269" t="s">
        <v>46</v>
      </c>
      <c r="P2269" t="s">
        <v>47</v>
      </c>
      <c r="Q2269" s="1">
        <v>43852</v>
      </c>
      <c r="R2269" t="s">
        <v>48</v>
      </c>
    </row>
    <row r="2270" spans="1:18" x14ac:dyDescent="0.25">
      <c r="A2270" t="s">
        <v>522</v>
      </c>
      <c r="B2270" t="s">
        <v>566</v>
      </c>
      <c r="C2270" t="s">
        <v>40</v>
      </c>
      <c r="D2270" s="1">
        <v>43549</v>
      </c>
      <c r="E2270" s="1">
        <v>44279</v>
      </c>
      <c r="F2270" t="s">
        <v>306</v>
      </c>
      <c r="G2270">
        <v>1</v>
      </c>
      <c r="H2270" t="s">
        <v>42</v>
      </c>
      <c r="I2270" t="s">
        <v>43</v>
      </c>
      <c r="J2270" t="s">
        <v>73</v>
      </c>
      <c r="K2270" t="s">
        <v>127</v>
      </c>
      <c r="L2270">
        <v>120474.73</v>
      </c>
      <c r="M2270" s="1">
        <v>44173</v>
      </c>
      <c r="N2270" t="s">
        <v>45</v>
      </c>
      <c r="O2270" t="s">
        <v>46</v>
      </c>
      <c r="P2270" t="s">
        <v>47</v>
      </c>
      <c r="Q2270" s="1">
        <v>43852</v>
      </c>
      <c r="R2270" t="s">
        <v>48</v>
      </c>
    </row>
    <row r="2271" spans="1:18" x14ac:dyDescent="0.25">
      <c r="A2271" t="s">
        <v>522</v>
      </c>
      <c r="B2271" t="s">
        <v>566</v>
      </c>
      <c r="C2271" t="s">
        <v>40</v>
      </c>
      <c r="D2271" s="1">
        <v>43549</v>
      </c>
      <c r="E2271" s="1">
        <v>44279</v>
      </c>
      <c r="F2271" t="s">
        <v>306</v>
      </c>
      <c r="G2271">
        <v>1</v>
      </c>
      <c r="H2271" t="s">
        <v>42</v>
      </c>
      <c r="I2271" t="s">
        <v>43</v>
      </c>
      <c r="J2271" t="s">
        <v>73</v>
      </c>
      <c r="K2271" t="s">
        <v>127</v>
      </c>
      <c r="L2271">
        <v>153332.03</v>
      </c>
      <c r="M2271" s="1">
        <v>43861</v>
      </c>
      <c r="N2271" t="s">
        <v>45</v>
      </c>
      <c r="O2271" t="s">
        <v>46</v>
      </c>
      <c r="P2271" t="s">
        <v>47</v>
      </c>
      <c r="Q2271" s="1">
        <v>43852</v>
      </c>
      <c r="R2271" t="s">
        <v>48</v>
      </c>
    </row>
    <row r="2272" spans="1:18" x14ac:dyDescent="0.25">
      <c r="A2272" t="s">
        <v>522</v>
      </c>
      <c r="B2272" t="s">
        <v>566</v>
      </c>
      <c r="C2272" t="s">
        <v>40</v>
      </c>
      <c r="D2272" s="1">
        <v>43549</v>
      </c>
      <c r="E2272" s="1">
        <v>44279</v>
      </c>
      <c r="F2272" t="s">
        <v>306</v>
      </c>
      <c r="G2272">
        <v>1</v>
      </c>
      <c r="H2272" t="s">
        <v>42</v>
      </c>
      <c r="I2272" t="s">
        <v>43</v>
      </c>
      <c r="J2272" t="s">
        <v>73</v>
      </c>
      <c r="K2272" t="s">
        <v>127</v>
      </c>
      <c r="L2272">
        <v>153332.03</v>
      </c>
      <c r="M2272" s="1">
        <v>43965</v>
      </c>
      <c r="N2272" t="s">
        <v>45</v>
      </c>
      <c r="O2272" t="s">
        <v>46</v>
      </c>
      <c r="P2272" t="s">
        <v>47</v>
      </c>
      <c r="Q2272" s="1">
        <v>43852</v>
      </c>
      <c r="R2272" t="s">
        <v>48</v>
      </c>
    </row>
    <row r="2273" spans="1:38" x14ac:dyDescent="0.25">
      <c r="A2273" t="s">
        <v>522</v>
      </c>
      <c r="B2273" t="s">
        <v>566</v>
      </c>
      <c r="C2273" t="s">
        <v>40</v>
      </c>
      <c r="D2273" s="1">
        <v>43549</v>
      </c>
      <c r="E2273" s="1">
        <v>44279</v>
      </c>
      <c r="F2273" t="s">
        <v>306</v>
      </c>
      <c r="G2273">
        <v>1</v>
      </c>
      <c r="H2273" t="s">
        <v>42</v>
      </c>
      <c r="I2273" t="s">
        <v>43</v>
      </c>
      <c r="J2273" t="s">
        <v>73</v>
      </c>
      <c r="K2273" t="s">
        <v>127</v>
      </c>
      <c r="L2273">
        <v>153332.03</v>
      </c>
      <c r="M2273" s="1">
        <v>44069</v>
      </c>
      <c r="N2273" t="s">
        <v>45</v>
      </c>
      <c r="O2273" t="s">
        <v>46</v>
      </c>
      <c r="P2273" t="s">
        <v>47</v>
      </c>
      <c r="Q2273" s="1">
        <v>43852</v>
      </c>
      <c r="R2273" t="s">
        <v>48</v>
      </c>
    </row>
    <row r="2274" spans="1:38" x14ac:dyDescent="0.25">
      <c r="A2274" t="s">
        <v>522</v>
      </c>
      <c r="B2274" t="s">
        <v>566</v>
      </c>
      <c r="C2274" t="s">
        <v>40</v>
      </c>
      <c r="D2274" s="1">
        <v>43549</v>
      </c>
      <c r="E2274" s="1">
        <v>44279</v>
      </c>
      <c r="F2274" t="s">
        <v>306</v>
      </c>
      <c r="G2274">
        <v>1</v>
      </c>
      <c r="H2274" t="s">
        <v>42</v>
      </c>
      <c r="I2274" t="s">
        <v>43</v>
      </c>
      <c r="J2274" t="s">
        <v>73</v>
      </c>
      <c r="K2274" t="s">
        <v>127</v>
      </c>
      <c r="L2274">
        <v>153332.03</v>
      </c>
      <c r="M2274" s="1">
        <v>43653</v>
      </c>
      <c r="N2274" t="s">
        <v>45</v>
      </c>
      <c r="O2274" t="s">
        <v>46</v>
      </c>
      <c r="P2274" t="s">
        <v>47</v>
      </c>
      <c r="Q2274" s="1">
        <v>43852</v>
      </c>
      <c r="R2274" t="s">
        <v>48</v>
      </c>
    </row>
    <row r="2275" spans="1:38" x14ac:dyDescent="0.25">
      <c r="A2275" t="s">
        <v>522</v>
      </c>
      <c r="B2275" t="s">
        <v>566</v>
      </c>
      <c r="C2275" t="s">
        <v>40</v>
      </c>
      <c r="D2275" s="1">
        <v>43549</v>
      </c>
      <c r="E2275" s="1">
        <v>44279</v>
      </c>
      <c r="F2275" t="s">
        <v>306</v>
      </c>
      <c r="G2275">
        <v>1</v>
      </c>
      <c r="H2275" t="s">
        <v>42</v>
      </c>
      <c r="I2275" t="s">
        <v>43</v>
      </c>
      <c r="J2275" t="s">
        <v>73</v>
      </c>
      <c r="K2275" t="s">
        <v>127</v>
      </c>
      <c r="L2275">
        <v>153332.03</v>
      </c>
      <c r="M2275" s="1">
        <v>43757</v>
      </c>
      <c r="N2275" t="s">
        <v>45</v>
      </c>
      <c r="O2275" t="s">
        <v>46</v>
      </c>
      <c r="P2275" t="s">
        <v>47</v>
      </c>
      <c r="Q2275" s="1">
        <v>43852</v>
      </c>
      <c r="R2275" t="s">
        <v>48</v>
      </c>
    </row>
    <row r="2276" spans="1:38" x14ac:dyDescent="0.25">
      <c r="A2276" t="s">
        <v>522</v>
      </c>
      <c r="B2276" t="s">
        <v>566</v>
      </c>
      <c r="C2276" t="s">
        <v>40</v>
      </c>
      <c r="D2276" s="1">
        <v>43549</v>
      </c>
      <c r="E2276" s="1">
        <v>44279</v>
      </c>
      <c r="F2276" t="s">
        <v>306</v>
      </c>
      <c r="G2276">
        <v>1</v>
      </c>
      <c r="H2276" t="s">
        <v>42</v>
      </c>
      <c r="I2276" t="s">
        <v>43</v>
      </c>
      <c r="J2276" t="s">
        <v>73</v>
      </c>
      <c r="K2276" t="s">
        <v>127</v>
      </c>
      <c r="L2276">
        <v>208093.46</v>
      </c>
      <c r="M2276" s="1">
        <v>43549</v>
      </c>
      <c r="N2276" t="s">
        <v>45</v>
      </c>
      <c r="O2276" t="s">
        <v>46</v>
      </c>
      <c r="P2276" t="s">
        <v>47</v>
      </c>
      <c r="Q2276" s="1">
        <v>43852</v>
      </c>
      <c r="R2276" t="s">
        <v>48</v>
      </c>
    </row>
    <row r="2277" spans="1:38" x14ac:dyDescent="0.25">
      <c r="A2277" t="s">
        <v>522</v>
      </c>
      <c r="B2277" t="s">
        <v>566</v>
      </c>
      <c r="C2277" t="s">
        <v>40</v>
      </c>
      <c r="D2277" s="1">
        <v>43549</v>
      </c>
      <c r="E2277" s="1">
        <v>44279</v>
      </c>
      <c r="F2277" t="s">
        <v>306</v>
      </c>
      <c r="G2277">
        <v>1</v>
      </c>
      <c r="H2277" t="s">
        <v>42</v>
      </c>
      <c r="I2277" t="s">
        <v>43</v>
      </c>
      <c r="J2277" t="s">
        <v>73</v>
      </c>
      <c r="K2277" t="s">
        <v>127</v>
      </c>
      <c r="L2277">
        <v>0</v>
      </c>
      <c r="M2277" s="1">
        <v>44173</v>
      </c>
      <c r="N2277" t="s">
        <v>45</v>
      </c>
      <c r="O2277" t="s">
        <v>46</v>
      </c>
      <c r="P2277" t="s">
        <v>47</v>
      </c>
      <c r="Q2277" s="1">
        <v>43852</v>
      </c>
      <c r="R2277" t="s">
        <v>48</v>
      </c>
    </row>
    <row r="2278" spans="1:38" x14ac:dyDescent="0.25">
      <c r="A2278" t="s">
        <v>522</v>
      </c>
      <c r="B2278" t="s">
        <v>566</v>
      </c>
      <c r="C2278" t="s">
        <v>40</v>
      </c>
      <c r="D2278" s="1">
        <v>43549</v>
      </c>
      <c r="E2278" s="1">
        <v>44279</v>
      </c>
      <c r="F2278" t="s">
        <v>306</v>
      </c>
      <c r="G2278">
        <v>1</v>
      </c>
      <c r="H2278" t="s">
        <v>42</v>
      </c>
      <c r="I2278" t="s">
        <v>43</v>
      </c>
      <c r="J2278" t="s">
        <v>73</v>
      </c>
      <c r="K2278" t="s">
        <v>127</v>
      </c>
      <c r="L2278">
        <v>0</v>
      </c>
      <c r="M2278" s="1">
        <v>43861</v>
      </c>
      <c r="N2278" t="s">
        <v>45</v>
      </c>
      <c r="O2278" t="s">
        <v>46</v>
      </c>
      <c r="P2278" t="s">
        <v>47</v>
      </c>
      <c r="Q2278" s="1">
        <v>43852</v>
      </c>
      <c r="R2278" t="s">
        <v>48</v>
      </c>
    </row>
    <row r="2279" spans="1:38" x14ac:dyDescent="0.25">
      <c r="A2279" t="s">
        <v>522</v>
      </c>
      <c r="B2279" t="s">
        <v>566</v>
      </c>
      <c r="C2279" t="s">
        <v>40</v>
      </c>
      <c r="D2279" s="1">
        <v>43549</v>
      </c>
      <c r="E2279" s="1">
        <v>44279</v>
      </c>
      <c r="F2279" t="s">
        <v>306</v>
      </c>
      <c r="G2279">
        <v>1</v>
      </c>
      <c r="H2279" t="s">
        <v>42</v>
      </c>
      <c r="I2279" t="s">
        <v>43</v>
      </c>
      <c r="J2279" t="s">
        <v>73</v>
      </c>
      <c r="K2279" t="s">
        <v>127</v>
      </c>
      <c r="L2279">
        <v>0</v>
      </c>
      <c r="M2279" s="1">
        <v>43965</v>
      </c>
      <c r="N2279" t="s">
        <v>45</v>
      </c>
      <c r="O2279" t="s">
        <v>46</v>
      </c>
      <c r="P2279" t="s">
        <v>47</v>
      </c>
      <c r="Q2279" s="1">
        <v>43852</v>
      </c>
      <c r="R2279" t="s">
        <v>48</v>
      </c>
    </row>
    <row r="2280" spans="1:38" x14ac:dyDescent="0.25">
      <c r="A2280" t="s">
        <v>522</v>
      </c>
      <c r="B2280" t="s">
        <v>566</v>
      </c>
      <c r="C2280" t="s">
        <v>40</v>
      </c>
      <c r="D2280" s="1">
        <v>43549</v>
      </c>
      <c r="E2280" s="1">
        <v>44279</v>
      </c>
      <c r="F2280" t="s">
        <v>306</v>
      </c>
      <c r="G2280">
        <v>1</v>
      </c>
      <c r="H2280" t="s">
        <v>42</v>
      </c>
      <c r="I2280" t="s">
        <v>43</v>
      </c>
      <c r="J2280" t="s">
        <v>73</v>
      </c>
      <c r="K2280" t="s">
        <v>127</v>
      </c>
      <c r="L2280">
        <v>0</v>
      </c>
      <c r="M2280" s="1">
        <v>44069</v>
      </c>
      <c r="N2280" t="s">
        <v>45</v>
      </c>
      <c r="O2280" t="s">
        <v>46</v>
      </c>
      <c r="P2280" t="s">
        <v>47</v>
      </c>
      <c r="Q2280" s="1">
        <v>43852</v>
      </c>
      <c r="R2280" t="s">
        <v>48</v>
      </c>
    </row>
    <row r="2281" spans="1:38" x14ac:dyDescent="0.25">
      <c r="A2281" t="s">
        <v>522</v>
      </c>
      <c r="B2281" t="s">
        <v>566</v>
      </c>
      <c r="C2281" t="s">
        <v>40</v>
      </c>
      <c r="D2281" s="1">
        <v>43549</v>
      </c>
      <c r="E2281" s="1">
        <v>44279</v>
      </c>
      <c r="F2281" t="s">
        <v>306</v>
      </c>
      <c r="G2281">
        <v>1</v>
      </c>
      <c r="H2281" t="s">
        <v>42</v>
      </c>
      <c r="I2281" t="s">
        <v>43</v>
      </c>
      <c r="J2281" t="s">
        <v>73</v>
      </c>
      <c r="K2281" t="s">
        <v>127</v>
      </c>
      <c r="L2281">
        <v>0</v>
      </c>
      <c r="M2281" s="1">
        <v>43653</v>
      </c>
      <c r="N2281" t="s">
        <v>45</v>
      </c>
      <c r="O2281" t="s">
        <v>46</v>
      </c>
      <c r="P2281" t="s">
        <v>47</v>
      </c>
      <c r="Q2281" s="1">
        <v>43852</v>
      </c>
      <c r="R2281" t="s">
        <v>48</v>
      </c>
    </row>
    <row r="2282" spans="1:38" x14ac:dyDescent="0.25">
      <c r="A2282" t="s">
        <v>522</v>
      </c>
      <c r="B2282" t="s">
        <v>566</v>
      </c>
      <c r="C2282" t="s">
        <v>40</v>
      </c>
      <c r="D2282" s="1">
        <v>43549</v>
      </c>
      <c r="E2282" s="1">
        <v>44279</v>
      </c>
      <c r="F2282" t="s">
        <v>306</v>
      </c>
      <c r="G2282">
        <v>1</v>
      </c>
      <c r="H2282" t="s">
        <v>42</v>
      </c>
      <c r="I2282" t="s">
        <v>43</v>
      </c>
      <c r="J2282" t="s">
        <v>73</v>
      </c>
      <c r="K2282" t="s">
        <v>127</v>
      </c>
      <c r="L2282">
        <v>0</v>
      </c>
      <c r="M2282" s="1">
        <v>43757</v>
      </c>
      <c r="N2282" t="s">
        <v>45</v>
      </c>
      <c r="O2282" t="s">
        <v>46</v>
      </c>
      <c r="P2282" t="s">
        <v>47</v>
      </c>
      <c r="Q2282" s="1">
        <v>43852</v>
      </c>
      <c r="R2282" t="s">
        <v>48</v>
      </c>
    </row>
    <row r="2283" spans="1:38" x14ac:dyDescent="0.25">
      <c r="A2283" t="s">
        <v>522</v>
      </c>
      <c r="B2283" t="s">
        <v>566</v>
      </c>
      <c r="C2283" t="s">
        <v>40</v>
      </c>
      <c r="D2283" s="1">
        <v>43549</v>
      </c>
      <c r="E2283" s="1">
        <v>44279</v>
      </c>
      <c r="F2283" t="s">
        <v>306</v>
      </c>
      <c r="G2283">
        <v>1</v>
      </c>
      <c r="H2283" t="s">
        <v>42</v>
      </c>
      <c r="I2283" t="s">
        <v>43</v>
      </c>
      <c r="J2283" t="s">
        <v>73</v>
      </c>
      <c r="K2283" t="s">
        <v>127</v>
      </c>
      <c r="L2283">
        <v>0</v>
      </c>
      <c r="M2283" s="1">
        <v>43549</v>
      </c>
      <c r="N2283" t="s">
        <v>45</v>
      </c>
      <c r="O2283" t="s">
        <v>46</v>
      </c>
      <c r="P2283" t="s">
        <v>47</v>
      </c>
      <c r="Q2283" s="1">
        <v>43852</v>
      </c>
      <c r="R2283" t="s">
        <v>48</v>
      </c>
    </row>
    <row r="2284" spans="1:38" x14ac:dyDescent="0.25">
      <c r="A2284" t="s">
        <v>522</v>
      </c>
      <c r="B2284" s="2">
        <v>9.9E+19</v>
      </c>
      <c r="C2284" t="s">
        <v>71</v>
      </c>
      <c r="D2284" s="1">
        <v>43299</v>
      </c>
      <c r="E2284" s="1">
        <v>43663</v>
      </c>
      <c r="F2284" t="s">
        <v>306</v>
      </c>
      <c r="G2284">
        <v>1</v>
      </c>
      <c r="H2284" t="s">
        <v>42</v>
      </c>
      <c r="I2284" t="s">
        <v>43</v>
      </c>
      <c r="J2284" t="s">
        <v>115</v>
      </c>
      <c r="K2284" t="s">
        <v>44</v>
      </c>
      <c r="L2284">
        <v>8107.49</v>
      </c>
      <c r="M2284" s="1">
        <v>43299</v>
      </c>
      <c r="N2284" t="s">
        <v>45</v>
      </c>
      <c r="O2284" t="s">
        <v>46</v>
      </c>
      <c r="P2284" t="s">
        <v>47</v>
      </c>
      <c r="Q2284" s="1">
        <v>43852</v>
      </c>
      <c r="R2284" t="s">
        <v>48</v>
      </c>
    </row>
    <row r="2285" spans="1:38" x14ac:dyDescent="0.25">
      <c r="A2285" t="s">
        <v>522</v>
      </c>
      <c r="B2285" t="s">
        <v>567</v>
      </c>
      <c r="C2285" t="s">
        <v>40</v>
      </c>
      <c r="D2285" s="1">
        <v>43514</v>
      </c>
      <c r="E2285" s="1">
        <v>43878</v>
      </c>
      <c r="F2285" t="s">
        <v>306</v>
      </c>
      <c r="G2285">
        <v>1</v>
      </c>
      <c r="H2285" t="s">
        <v>42</v>
      </c>
      <c r="I2285" t="s">
        <v>43</v>
      </c>
      <c r="J2285" t="s">
        <v>73</v>
      </c>
      <c r="K2285" t="s">
        <v>127</v>
      </c>
      <c r="L2285">
        <v>19113.41</v>
      </c>
      <c r="M2285" s="1">
        <v>43514</v>
      </c>
      <c r="N2285" t="s">
        <v>45</v>
      </c>
      <c r="O2285" t="s">
        <v>46</v>
      </c>
      <c r="P2285" t="s">
        <v>47</v>
      </c>
      <c r="Q2285" s="1">
        <v>43852</v>
      </c>
      <c r="R2285" t="s">
        <v>48</v>
      </c>
    </row>
    <row r="2286" spans="1:38" x14ac:dyDescent="0.25">
      <c r="A2286" t="s">
        <v>522</v>
      </c>
      <c r="B2286" t="s">
        <v>568</v>
      </c>
      <c r="C2286" t="s">
        <v>40</v>
      </c>
      <c r="D2286" s="1">
        <v>43510</v>
      </c>
      <c r="E2286" s="1">
        <v>43874</v>
      </c>
      <c r="F2286" t="s">
        <v>306</v>
      </c>
      <c r="G2286">
        <v>1</v>
      </c>
      <c r="H2286" t="s">
        <v>42</v>
      </c>
      <c r="I2286" t="s">
        <v>43</v>
      </c>
      <c r="J2286" t="s">
        <v>73</v>
      </c>
      <c r="K2286" t="s">
        <v>44</v>
      </c>
      <c r="L2286">
        <v>12055.25</v>
      </c>
      <c r="M2286" s="1">
        <v>43510</v>
      </c>
      <c r="N2286" t="s">
        <v>45</v>
      </c>
      <c r="O2286" t="s">
        <v>46</v>
      </c>
      <c r="P2286" t="s">
        <v>47</v>
      </c>
      <c r="Q2286" s="1">
        <v>43852</v>
      </c>
      <c r="R2286" t="s">
        <v>48</v>
      </c>
    </row>
    <row r="2287" spans="1:38" x14ac:dyDescent="0.25">
      <c r="A2287" t="s">
        <v>522</v>
      </c>
      <c r="B2287" s="2">
        <v>9.9E+19</v>
      </c>
      <c r="C2287" t="s">
        <v>40</v>
      </c>
      <c r="D2287" s="1">
        <v>43353</v>
      </c>
      <c r="E2287" s="1">
        <v>43717</v>
      </c>
      <c r="F2287" t="s">
        <v>76</v>
      </c>
      <c r="G2287">
        <v>1</v>
      </c>
      <c r="H2287" t="s">
        <v>42</v>
      </c>
      <c r="I2287" t="s">
        <v>43</v>
      </c>
      <c r="J2287" t="s">
        <v>115</v>
      </c>
      <c r="K2287" t="s">
        <v>44</v>
      </c>
      <c r="L2287">
        <v>484.75</v>
      </c>
      <c r="M2287" s="1">
        <v>43353</v>
      </c>
      <c r="N2287" t="s">
        <v>45</v>
      </c>
      <c r="O2287" t="s">
        <v>46</v>
      </c>
      <c r="P2287" t="s">
        <v>47</v>
      </c>
      <c r="Q2287" s="1">
        <v>43852</v>
      </c>
      <c r="R2287" t="s">
        <v>48</v>
      </c>
      <c r="S2287" t="s">
        <v>78</v>
      </c>
      <c r="T2287" t="s">
        <v>79</v>
      </c>
      <c r="U2287" t="s">
        <v>42</v>
      </c>
      <c r="V2287">
        <v>1200000</v>
      </c>
      <c r="W2287">
        <v>100000</v>
      </c>
      <c r="X2287" s="1">
        <v>43921</v>
      </c>
      <c r="Y2287" t="s">
        <v>51</v>
      </c>
      <c r="Z2287" t="s">
        <v>43</v>
      </c>
      <c r="AA2287" t="s">
        <v>80</v>
      </c>
      <c r="AB2287" t="s">
        <v>76</v>
      </c>
      <c r="AC2287" t="s">
        <v>81</v>
      </c>
      <c r="AF2287" t="s">
        <v>54</v>
      </c>
      <c r="AG2287" s="1">
        <v>43832</v>
      </c>
      <c r="AH2287" t="s">
        <v>42</v>
      </c>
      <c r="AI2287" t="s">
        <v>55</v>
      </c>
      <c r="AJ2287">
        <v>12788092</v>
      </c>
      <c r="AK2287">
        <v>250000</v>
      </c>
      <c r="AL2287">
        <v>1500000</v>
      </c>
    </row>
    <row r="2288" spans="1:38" x14ac:dyDescent="0.25">
      <c r="A2288" t="s">
        <v>522</v>
      </c>
      <c r="B2288" s="2">
        <v>9.9E+19</v>
      </c>
      <c r="C2288" t="s">
        <v>40</v>
      </c>
      <c r="D2288" s="1">
        <v>43353</v>
      </c>
      <c r="E2288" s="1">
        <v>43717</v>
      </c>
      <c r="F2288" t="s">
        <v>76</v>
      </c>
      <c r="G2288">
        <v>1</v>
      </c>
      <c r="H2288" t="s">
        <v>42</v>
      </c>
      <c r="I2288" t="s">
        <v>43</v>
      </c>
      <c r="J2288" t="s">
        <v>115</v>
      </c>
      <c r="K2288" t="s">
        <v>44</v>
      </c>
      <c r="L2288">
        <v>484.75</v>
      </c>
      <c r="M2288" s="1">
        <v>43353</v>
      </c>
      <c r="N2288" t="s">
        <v>45</v>
      </c>
      <c r="O2288" t="s">
        <v>46</v>
      </c>
      <c r="P2288" t="s">
        <v>47</v>
      </c>
      <c r="Q2288" s="1">
        <v>43852</v>
      </c>
      <c r="R2288" t="s">
        <v>48</v>
      </c>
      <c r="S2288" t="s">
        <v>78</v>
      </c>
      <c r="T2288" t="s">
        <v>79</v>
      </c>
      <c r="U2288" t="s">
        <v>42</v>
      </c>
      <c r="V2288">
        <v>1200000</v>
      </c>
      <c r="W2288">
        <v>100000</v>
      </c>
      <c r="X2288" s="1">
        <v>43921</v>
      </c>
      <c r="Y2288" t="s">
        <v>51</v>
      </c>
      <c r="Z2288" t="s">
        <v>43</v>
      </c>
      <c r="AA2288" t="s">
        <v>80</v>
      </c>
      <c r="AB2288" t="s">
        <v>76</v>
      </c>
      <c r="AC2288" t="s">
        <v>81</v>
      </c>
      <c r="AF2288" t="s">
        <v>56</v>
      </c>
      <c r="AG2288" s="1">
        <v>43833</v>
      </c>
      <c r="AH2288" t="s">
        <v>42</v>
      </c>
      <c r="AI2288" t="s">
        <v>55</v>
      </c>
      <c r="AJ2288">
        <v>12788092</v>
      </c>
      <c r="AK2288">
        <v>250000</v>
      </c>
      <c r="AL2288">
        <v>1500000</v>
      </c>
    </row>
    <row r="2289" spans="1:38" x14ac:dyDescent="0.25">
      <c r="A2289" t="s">
        <v>522</v>
      </c>
      <c r="B2289" s="2">
        <v>9.9E+19</v>
      </c>
      <c r="C2289" t="s">
        <v>40</v>
      </c>
      <c r="D2289" s="1">
        <v>43353</v>
      </c>
      <c r="E2289" s="1">
        <v>43717</v>
      </c>
      <c r="F2289" t="s">
        <v>76</v>
      </c>
      <c r="G2289">
        <v>1</v>
      </c>
      <c r="H2289" t="s">
        <v>42</v>
      </c>
      <c r="I2289" t="s">
        <v>43</v>
      </c>
      <c r="J2289" t="s">
        <v>115</v>
      </c>
      <c r="K2289" t="s">
        <v>44</v>
      </c>
      <c r="L2289">
        <v>484.75</v>
      </c>
      <c r="M2289" s="1">
        <v>43353</v>
      </c>
      <c r="N2289" t="s">
        <v>45</v>
      </c>
      <c r="O2289" t="s">
        <v>46</v>
      </c>
      <c r="P2289" t="s">
        <v>47</v>
      </c>
      <c r="Q2289" s="1">
        <v>43852</v>
      </c>
      <c r="R2289" t="s">
        <v>48</v>
      </c>
      <c r="S2289" t="s">
        <v>78</v>
      </c>
      <c r="T2289" t="s">
        <v>79</v>
      </c>
      <c r="U2289" t="s">
        <v>42</v>
      </c>
      <c r="V2289">
        <v>1200000</v>
      </c>
      <c r="W2289">
        <v>100000</v>
      </c>
      <c r="X2289" s="1">
        <v>43921</v>
      </c>
      <c r="Y2289" t="s">
        <v>51</v>
      </c>
      <c r="Z2289" t="s">
        <v>43</v>
      </c>
      <c r="AA2289" t="s">
        <v>80</v>
      </c>
      <c r="AB2289" t="s">
        <v>76</v>
      </c>
      <c r="AC2289" t="s">
        <v>81</v>
      </c>
      <c r="AF2289" t="s">
        <v>57</v>
      </c>
      <c r="AG2289" s="1">
        <v>43836</v>
      </c>
      <c r="AH2289" t="s">
        <v>42</v>
      </c>
      <c r="AI2289" t="s">
        <v>55</v>
      </c>
      <c r="AJ2289">
        <v>12788092</v>
      </c>
      <c r="AK2289">
        <v>250000</v>
      </c>
      <c r="AL2289">
        <v>1500000</v>
      </c>
    </row>
    <row r="2290" spans="1:38" x14ac:dyDescent="0.25">
      <c r="A2290" t="s">
        <v>522</v>
      </c>
      <c r="B2290" s="2">
        <v>9.9E+19</v>
      </c>
      <c r="C2290" t="s">
        <v>40</v>
      </c>
      <c r="D2290" s="1">
        <v>43353</v>
      </c>
      <c r="E2290" s="1">
        <v>43717</v>
      </c>
      <c r="F2290" t="s">
        <v>76</v>
      </c>
      <c r="G2290">
        <v>1</v>
      </c>
      <c r="H2290" t="s">
        <v>42</v>
      </c>
      <c r="I2290" t="s">
        <v>43</v>
      </c>
      <c r="J2290" t="s">
        <v>115</v>
      </c>
      <c r="K2290" t="s">
        <v>44</v>
      </c>
      <c r="L2290">
        <v>484.75</v>
      </c>
      <c r="M2290" s="1">
        <v>43353</v>
      </c>
      <c r="N2290" t="s">
        <v>45</v>
      </c>
      <c r="O2290" t="s">
        <v>46</v>
      </c>
      <c r="P2290" t="s">
        <v>47</v>
      </c>
      <c r="Q2290" s="1">
        <v>43852</v>
      </c>
      <c r="R2290" t="s">
        <v>48</v>
      </c>
      <c r="S2290" t="s">
        <v>78</v>
      </c>
      <c r="T2290" t="s">
        <v>79</v>
      </c>
      <c r="U2290" t="s">
        <v>42</v>
      </c>
      <c r="V2290">
        <v>1200000</v>
      </c>
      <c r="W2290">
        <v>100000</v>
      </c>
      <c r="X2290" s="1">
        <v>43921</v>
      </c>
      <c r="Y2290" t="s">
        <v>51</v>
      </c>
      <c r="Z2290" t="s">
        <v>43</v>
      </c>
      <c r="AA2290" t="s">
        <v>80</v>
      </c>
      <c r="AB2290" t="s">
        <v>76</v>
      </c>
      <c r="AC2290" t="s">
        <v>81</v>
      </c>
      <c r="AF2290" t="s">
        <v>58</v>
      </c>
      <c r="AG2290" s="1">
        <v>43837</v>
      </c>
      <c r="AH2290" t="s">
        <v>42</v>
      </c>
      <c r="AI2290" t="s">
        <v>55</v>
      </c>
      <c r="AJ2290">
        <v>12788092</v>
      </c>
      <c r="AK2290">
        <v>250000</v>
      </c>
      <c r="AL2290">
        <v>1500000</v>
      </c>
    </row>
    <row r="2291" spans="1:38" x14ac:dyDescent="0.25">
      <c r="A2291" t="s">
        <v>522</v>
      </c>
      <c r="B2291" s="2">
        <v>9.9E+19</v>
      </c>
      <c r="C2291" t="s">
        <v>40</v>
      </c>
      <c r="D2291" s="1">
        <v>43353</v>
      </c>
      <c r="E2291" s="1">
        <v>43717</v>
      </c>
      <c r="F2291" t="s">
        <v>76</v>
      </c>
      <c r="G2291">
        <v>1</v>
      </c>
      <c r="H2291" t="s">
        <v>42</v>
      </c>
      <c r="I2291" t="s">
        <v>43</v>
      </c>
      <c r="J2291" t="s">
        <v>115</v>
      </c>
      <c r="K2291" t="s">
        <v>44</v>
      </c>
      <c r="L2291">
        <v>484.75</v>
      </c>
      <c r="M2291" s="1">
        <v>43353</v>
      </c>
      <c r="N2291" t="s">
        <v>45</v>
      </c>
      <c r="O2291" t="s">
        <v>46</v>
      </c>
      <c r="P2291" t="s">
        <v>47</v>
      </c>
      <c r="Q2291" s="1">
        <v>43852</v>
      </c>
      <c r="R2291" t="s">
        <v>48</v>
      </c>
      <c r="S2291" t="s">
        <v>78</v>
      </c>
      <c r="T2291" t="s">
        <v>79</v>
      </c>
      <c r="U2291" t="s">
        <v>42</v>
      </c>
      <c r="V2291">
        <v>1200000</v>
      </c>
      <c r="W2291">
        <v>100000</v>
      </c>
      <c r="X2291" s="1">
        <v>43921</v>
      </c>
      <c r="Y2291" t="s">
        <v>51</v>
      </c>
      <c r="Z2291" t="s">
        <v>43</v>
      </c>
      <c r="AA2291" t="s">
        <v>80</v>
      </c>
      <c r="AB2291" t="s">
        <v>76</v>
      </c>
      <c r="AC2291" t="s">
        <v>81</v>
      </c>
      <c r="AF2291" t="s">
        <v>59</v>
      </c>
      <c r="AG2291" s="1">
        <v>43838</v>
      </c>
      <c r="AH2291" t="s">
        <v>42</v>
      </c>
      <c r="AI2291" t="s">
        <v>55</v>
      </c>
      <c r="AJ2291">
        <v>12788092</v>
      </c>
      <c r="AK2291">
        <v>250000</v>
      </c>
      <c r="AL2291">
        <v>1500000</v>
      </c>
    </row>
    <row r="2292" spans="1:38" x14ac:dyDescent="0.25">
      <c r="A2292" t="s">
        <v>522</v>
      </c>
      <c r="B2292" s="2">
        <v>9.9E+19</v>
      </c>
      <c r="C2292" t="s">
        <v>40</v>
      </c>
      <c r="D2292" s="1">
        <v>43353</v>
      </c>
      <c r="E2292" s="1">
        <v>43717</v>
      </c>
      <c r="F2292" t="s">
        <v>76</v>
      </c>
      <c r="G2292">
        <v>1</v>
      </c>
      <c r="H2292" t="s">
        <v>42</v>
      </c>
      <c r="I2292" t="s">
        <v>43</v>
      </c>
      <c r="J2292" t="s">
        <v>73</v>
      </c>
      <c r="K2292" t="s">
        <v>44</v>
      </c>
      <c r="L2292">
        <v>109.88</v>
      </c>
      <c r="M2292" s="1">
        <v>43353</v>
      </c>
      <c r="N2292" t="s">
        <v>45</v>
      </c>
      <c r="O2292" t="s">
        <v>46</v>
      </c>
      <c r="P2292" t="s">
        <v>47</v>
      </c>
      <c r="Q2292" s="1">
        <v>43852</v>
      </c>
      <c r="R2292" t="s">
        <v>48</v>
      </c>
      <c r="S2292" t="s">
        <v>78</v>
      </c>
      <c r="T2292" t="s">
        <v>79</v>
      </c>
      <c r="U2292" t="s">
        <v>42</v>
      </c>
      <c r="V2292">
        <v>1200000</v>
      </c>
      <c r="W2292">
        <v>100000</v>
      </c>
      <c r="X2292" s="1">
        <v>43921</v>
      </c>
      <c r="Y2292" t="s">
        <v>51</v>
      </c>
      <c r="Z2292" t="s">
        <v>43</v>
      </c>
      <c r="AA2292" t="s">
        <v>80</v>
      </c>
      <c r="AB2292" t="s">
        <v>76</v>
      </c>
      <c r="AC2292" t="s">
        <v>81</v>
      </c>
      <c r="AF2292" t="s">
        <v>54</v>
      </c>
      <c r="AG2292" s="1">
        <v>43832</v>
      </c>
      <c r="AH2292" t="s">
        <v>42</v>
      </c>
      <c r="AI2292" t="s">
        <v>55</v>
      </c>
      <c r="AJ2292">
        <v>12788092</v>
      </c>
      <c r="AK2292">
        <v>250000</v>
      </c>
      <c r="AL2292">
        <v>1500000</v>
      </c>
    </row>
    <row r="2293" spans="1:38" x14ac:dyDescent="0.25">
      <c r="A2293" t="s">
        <v>522</v>
      </c>
      <c r="B2293" s="2">
        <v>9.9E+19</v>
      </c>
      <c r="C2293" t="s">
        <v>40</v>
      </c>
      <c r="D2293" s="1">
        <v>43353</v>
      </c>
      <c r="E2293" s="1">
        <v>43717</v>
      </c>
      <c r="F2293" t="s">
        <v>76</v>
      </c>
      <c r="G2293">
        <v>1</v>
      </c>
      <c r="H2293" t="s">
        <v>42</v>
      </c>
      <c r="I2293" t="s">
        <v>43</v>
      </c>
      <c r="J2293" t="s">
        <v>73</v>
      </c>
      <c r="K2293" t="s">
        <v>44</v>
      </c>
      <c r="L2293">
        <v>109.88</v>
      </c>
      <c r="M2293" s="1">
        <v>43353</v>
      </c>
      <c r="N2293" t="s">
        <v>45</v>
      </c>
      <c r="O2293" t="s">
        <v>46</v>
      </c>
      <c r="P2293" t="s">
        <v>47</v>
      </c>
      <c r="Q2293" s="1">
        <v>43852</v>
      </c>
      <c r="R2293" t="s">
        <v>48</v>
      </c>
      <c r="S2293" t="s">
        <v>78</v>
      </c>
      <c r="T2293" t="s">
        <v>79</v>
      </c>
      <c r="U2293" t="s">
        <v>42</v>
      </c>
      <c r="V2293">
        <v>1200000</v>
      </c>
      <c r="W2293">
        <v>100000</v>
      </c>
      <c r="X2293" s="1">
        <v>43921</v>
      </c>
      <c r="Y2293" t="s">
        <v>51</v>
      </c>
      <c r="Z2293" t="s">
        <v>43</v>
      </c>
      <c r="AA2293" t="s">
        <v>80</v>
      </c>
      <c r="AB2293" t="s">
        <v>76</v>
      </c>
      <c r="AC2293" t="s">
        <v>81</v>
      </c>
      <c r="AF2293" t="s">
        <v>56</v>
      </c>
      <c r="AG2293" s="1">
        <v>43833</v>
      </c>
      <c r="AH2293" t="s">
        <v>42</v>
      </c>
      <c r="AI2293" t="s">
        <v>55</v>
      </c>
      <c r="AJ2293">
        <v>12788092</v>
      </c>
      <c r="AK2293">
        <v>250000</v>
      </c>
      <c r="AL2293">
        <v>1500000</v>
      </c>
    </row>
    <row r="2294" spans="1:38" x14ac:dyDescent="0.25">
      <c r="A2294" t="s">
        <v>522</v>
      </c>
      <c r="B2294" s="2">
        <v>9.9E+19</v>
      </c>
      <c r="C2294" t="s">
        <v>40</v>
      </c>
      <c r="D2294" s="1">
        <v>43353</v>
      </c>
      <c r="E2294" s="1">
        <v>43717</v>
      </c>
      <c r="F2294" t="s">
        <v>76</v>
      </c>
      <c r="G2294">
        <v>1</v>
      </c>
      <c r="H2294" t="s">
        <v>42</v>
      </c>
      <c r="I2294" t="s">
        <v>43</v>
      </c>
      <c r="J2294" t="s">
        <v>73</v>
      </c>
      <c r="K2294" t="s">
        <v>44</v>
      </c>
      <c r="L2294">
        <v>109.88</v>
      </c>
      <c r="M2294" s="1">
        <v>43353</v>
      </c>
      <c r="N2294" t="s">
        <v>45</v>
      </c>
      <c r="O2294" t="s">
        <v>46</v>
      </c>
      <c r="P2294" t="s">
        <v>47</v>
      </c>
      <c r="Q2294" s="1">
        <v>43852</v>
      </c>
      <c r="R2294" t="s">
        <v>48</v>
      </c>
      <c r="S2294" t="s">
        <v>78</v>
      </c>
      <c r="T2294" t="s">
        <v>79</v>
      </c>
      <c r="U2294" t="s">
        <v>42</v>
      </c>
      <c r="V2294">
        <v>1200000</v>
      </c>
      <c r="W2294">
        <v>100000</v>
      </c>
      <c r="X2294" s="1">
        <v>43921</v>
      </c>
      <c r="Y2294" t="s">
        <v>51</v>
      </c>
      <c r="Z2294" t="s">
        <v>43</v>
      </c>
      <c r="AA2294" t="s">
        <v>80</v>
      </c>
      <c r="AB2294" t="s">
        <v>76</v>
      </c>
      <c r="AC2294" t="s">
        <v>81</v>
      </c>
      <c r="AF2294" t="s">
        <v>57</v>
      </c>
      <c r="AG2294" s="1">
        <v>43836</v>
      </c>
      <c r="AH2294" t="s">
        <v>42</v>
      </c>
      <c r="AI2294" t="s">
        <v>55</v>
      </c>
      <c r="AJ2294">
        <v>12788092</v>
      </c>
      <c r="AK2294">
        <v>250000</v>
      </c>
      <c r="AL2294">
        <v>1500000</v>
      </c>
    </row>
    <row r="2295" spans="1:38" x14ac:dyDescent="0.25">
      <c r="A2295" t="s">
        <v>522</v>
      </c>
      <c r="B2295" s="2">
        <v>9.9E+19</v>
      </c>
      <c r="C2295" t="s">
        <v>40</v>
      </c>
      <c r="D2295" s="1">
        <v>43353</v>
      </c>
      <c r="E2295" s="1">
        <v>43717</v>
      </c>
      <c r="F2295" t="s">
        <v>76</v>
      </c>
      <c r="G2295">
        <v>1</v>
      </c>
      <c r="H2295" t="s">
        <v>42</v>
      </c>
      <c r="I2295" t="s">
        <v>43</v>
      </c>
      <c r="J2295" t="s">
        <v>73</v>
      </c>
      <c r="K2295" t="s">
        <v>44</v>
      </c>
      <c r="L2295">
        <v>109.88</v>
      </c>
      <c r="M2295" s="1">
        <v>43353</v>
      </c>
      <c r="N2295" t="s">
        <v>45</v>
      </c>
      <c r="O2295" t="s">
        <v>46</v>
      </c>
      <c r="P2295" t="s">
        <v>47</v>
      </c>
      <c r="Q2295" s="1">
        <v>43852</v>
      </c>
      <c r="R2295" t="s">
        <v>48</v>
      </c>
      <c r="S2295" t="s">
        <v>78</v>
      </c>
      <c r="T2295" t="s">
        <v>79</v>
      </c>
      <c r="U2295" t="s">
        <v>42</v>
      </c>
      <c r="V2295">
        <v>1200000</v>
      </c>
      <c r="W2295">
        <v>100000</v>
      </c>
      <c r="X2295" s="1">
        <v>43921</v>
      </c>
      <c r="Y2295" t="s">
        <v>51</v>
      </c>
      <c r="Z2295" t="s">
        <v>43</v>
      </c>
      <c r="AA2295" t="s">
        <v>80</v>
      </c>
      <c r="AB2295" t="s">
        <v>76</v>
      </c>
      <c r="AC2295" t="s">
        <v>81</v>
      </c>
      <c r="AF2295" t="s">
        <v>58</v>
      </c>
      <c r="AG2295" s="1">
        <v>43837</v>
      </c>
      <c r="AH2295" t="s">
        <v>42</v>
      </c>
      <c r="AI2295" t="s">
        <v>55</v>
      </c>
      <c r="AJ2295">
        <v>12788092</v>
      </c>
      <c r="AK2295">
        <v>250000</v>
      </c>
      <c r="AL2295">
        <v>1500000</v>
      </c>
    </row>
    <row r="2296" spans="1:38" x14ac:dyDescent="0.25">
      <c r="A2296" t="s">
        <v>522</v>
      </c>
      <c r="B2296" s="2">
        <v>9.9E+19</v>
      </c>
      <c r="C2296" t="s">
        <v>40</v>
      </c>
      <c r="D2296" s="1">
        <v>43353</v>
      </c>
      <c r="E2296" s="1">
        <v>43717</v>
      </c>
      <c r="F2296" t="s">
        <v>76</v>
      </c>
      <c r="G2296">
        <v>1</v>
      </c>
      <c r="H2296" t="s">
        <v>42</v>
      </c>
      <c r="I2296" t="s">
        <v>43</v>
      </c>
      <c r="J2296" t="s">
        <v>73</v>
      </c>
      <c r="K2296" t="s">
        <v>44</v>
      </c>
      <c r="L2296">
        <v>109.88</v>
      </c>
      <c r="M2296" s="1">
        <v>43353</v>
      </c>
      <c r="N2296" t="s">
        <v>45</v>
      </c>
      <c r="O2296" t="s">
        <v>46</v>
      </c>
      <c r="P2296" t="s">
        <v>47</v>
      </c>
      <c r="Q2296" s="1">
        <v>43852</v>
      </c>
      <c r="R2296" t="s">
        <v>48</v>
      </c>
      <c r="S2296" t="s">
        <v>78</v>
      </c>
      <c r="T2296" t="s">
        <v>79</v>
      </c>
      <c r="U2296" t="s">
        <v>42</v>
      </c>
      <c r="V2296">
        <v>1200000</v>
      </c>
      <c r="W2296">
        <v>100000</v>
      </c>
      <c r="X2296" s="1">
        <v>43921</v>
      </c>
      <c r="Y2296" t="s">
        <v>51</v>
      </c>
      <c r="Z2296" t="s">
        <v>43</v>
      </c>
      <c r="AA2296" t="s">
        <v>80</v>
      </c>
      <c r="AB2296" t="s">
        <v>76</v>
      </c>
      <c r="AC2296" t="s">
        <v>81</v>
      </c>
      <c r="AF2296" t="s">
        <v>59</v>
      </c>
      <c r="AG2296" s="1">
        <v>43838</v>
      </c>
      <c r="AH2296" t="s">
        <v>42</v>
      </c>
      <c r="AI2296" t="s">
        <v>55</v>
      </c>
      <c r="AJ2296">
        <v>12788092</v>
      </c>
      <c r="AK2296">
        <v>250000</v>
      </c>
      <c r="AL2296">
        <v>1500000</v>
      </c>
    </row>
    <row r="2297" spans="1:38" x14ac:dyDescent="0.25">
      <c r="A2297" t="s">
        <v>522</v>
      </c>
      <c r="B2297" t="s">
        <v>569</v>
      </c>
      <c r="C2297" t="s">
        <v>40</v>
      </c>
      <c r="D2297" s="1">
        <v>43510</v>
      </c>
      <c r="E2297" s="1">
        <v>43874</v>
      </c>
      <c r="F2297" t="s">
        <v>76</v>
      </c>
      <c r="G2297">
        <v>1</v>
      </c>
      <c r="H2297" t="s">
        <v>42</v>
      </c>
      <c r="I2297" t="s">
        <v>43</v>
      </c>
      <c r="J2297" t="s">
        <v>73</v>
      </c>
      <c r="K2297" t="s">
        <v>44</v>
      </c>
      <c r="L2297">
        <v>27069</v>
      </c>
      <c r="M2297" s="1">
        <v>43510</v>
      </c>
      <c r="N2297" t="s">
        <v>45</v>
      </c>
      <c r="O2297" t="s">
        <v>44</v>
      </c>
      <c r="P2297" t="s">
        <v>47</v>
      </c>
      <c r="Q2297" s="1">
        <v>43852</v>
      </c>
      <c r="R2297" t="s">
        <v>48</v>
      </c>
      <c r="S2297" t="s">
        <v>78</v>
      </c>
      <c r="T2297" t="s">
        <v>79</v>
      </c>
      <c r="U2297" t="s">
        <v>42</v>
      </c>
      <c r="V2297">
        <v>1200000</v>
      </c>
      <c r="W2297">
        <v>100000</v>
      </c>
      <c r="X2297" s="1">
        <v>43921</v>
      </c>
      <c r="Y2297" t="s">
        <v>51</v>
      </c>
      <c r="Z2297" t="s">
        <v>43</v>
      </c>
      <c r="AA2297" t="s">
        <v>80</v>
      </c>
      <c r="AB2297" t="s">
        <v>76</v>
      </c>
      <c r="AC2297" t="s">
        <v>81</v>
      </c>
      <c r="AF2297" t="s">
        <v>54</v>
      </c>
      <c r="AG2297" s="1">
        <v>43832</v>
      </c>
      <c r="AH2297" t="s">
        <v>42</v>
      </c>
      <c r="AI2297" t="s">
        <v>55</v>
      </c>
      <c r="AJ2297">
        <v>12788092</v>
      </c>
      <c r="AK2297">
        <v>250000</v>
      </c>
      <c r="AL2297">
        <v>1500000</v>
      </c>
    </row>
    <row r="2298" spans="1:38" x14ac:dyDescent="0.25">
      <c r="A2298" t="s">
        <v>522</v>
      </c>
      <c r="B2298" t="s">
        <v>569</v>
      </c>
      <c r="C2298" t="s">
        <v>40</v>
      </c>
      <c r="D2298" s="1">
        <v>43510</v>
      </c>
      <c r="E2298" s="1">
        <v>43874</v>
      </c>
      <c r="F2298" t="s">
        <v>76</v>
      </c>
      <c r="G2298">
        <v>1</v>
      </c>
      <c r="H2298" t="s">
        <v>42</v>
      </c>
      <c r="I2298" t="s">
        <v>43</v>
      </c>
      <c r="J2298" t="s">
        <v>73</v>
      </c>
      <c r="K2298" t="s">
        <v>44</v>
      </c>
      <c r="L2298">
        <v>27069</v>
      </c>
      <c r="M2298" s="1">
        <v>43510</v>
      </c>
      <c r="N2298" t="s">
        <v>45</v>
      </c>
      <c r="O2298" t="s">
        <v>44</v>
      </c>
      <c r="P2298" t="s">
        <v>47</v>
      </c>
      <c r="Q2298" s="1">
        <v>43852</v>
      </c>
      <c r="R2298" t="s">
        <v>48</v>
      </c>
      <c r="S2298" t="s">
        <v>78</v>
      </c>
      <c r="T2298" t="s">
        <v>79</v>
      </c>
      <c r="U2298" t="s">
        <v>42</v>
      </c>
      <c r="V2298">
        <v>1200000</v>
      </c>
      <c r="W2298">
        <v>100000</v>
      </c>
      <c r="X2298" s="1">
        <v>43921</v>
      </c>
      <c r="Y2298" t="s">
        <v>51</v>
      </c>
      <c r="Z2298" t="s">
        <v>43</v>
      </c>
      <c r="AA2298" t="s">
        <v>80</v>
      </c>
      <c r="AB2298" t="s">
        <v>76</v>
      </c>
      <c r="AC2298" t="s">
        <v>81</v>
      </c>
      <c r="AF2298" t="s">
        <v>56</v>
      </c>
      <c r="AG2298" s="1">
        <v>43833</v>
      </c>
      <c r="AH2298" t="s">
        <v>42</v>
      </c>
      <c r="AI2298" t="s">
        <v>55</v>
      </c>
      <c r="AJ2298">
        <v>12788092</v>
      </c>
      <c r="AK2298">
        <v>250000</v>
      </c>
      <c r="AL2298">
        <v>1500000</v>
      </c>
    </row>
    <row r="2299" spans="1:38" x14ac:dyDescent="0.25">
      <c r="A2299" t="s">
        <v>522</v>
      </c>
      <c r="B2299" t="s">
        <v>569</v>
      </c>
      <c r="C2299" t="s">
        <v>40</v>
      </c>
      <c r="D2299" s="1">
        <v>43510</v>
      </c>
      <c r="E2299" s="1">
        <v>43874</v>
      </c>
      <c r="F2299" t="s">
        <v>76</v>
      </c>
      <c r="G2299">
        <v>1</v>
      </c>
      <c r="H2299" t="s">
        <v>42</v>
      </c>
      <c r="I2299" t="s">
        <v>43</v>
      </c>
      <c r="J2299" t="s">
        <v>73</v>
      </c>
      <c r="K2299" t="s">
        <v>44</v>
      </c>
      <c r="L2299">
        <v>27069</v>
      </c>
      <c r="M2299" s="1">
        <v>43510</v>
      </c>
      <c r="N2299" t="s">
        <v>45</v>
      </c>
      <c r="O2299" t="s">
        <v>44</v>
      </c>
      <c r="P2299" t="s">
        <v>47</v>
      </c>
      <c r="Q2299" s="1">
        <v>43852</v>
      </c>
      <c r="R2299" t="s">
        <v>48</v>
      </c>
      <c r="S2299" t="s">
        <v>78</v>
      </c>
      <c r="T2299" t="s">
        <v>79</v>
      </c>
      <c r="U2299" t="s">
        <v>42</v>
      </c>
      <c r="V2299">
        <v>1200000</v>
      </c>
      <c r="W2299">
        <v>100000</v>
      </c>
      <c r="X2299" s="1">
        <v>43921</v>
      </c>
      <c r="Y2299" t="s">
        <v>51</v>
      </c>
      <c r="Z2299" t="s">
        <v>43</v>
      </c>
      <c r="AA2299" t="s">
        <v>80</v>
      </c>
      <c r="AB2299" t="s">
        <v>76</v>
      </c>
      <c r="AC2299" t="s">
        <v>81</v>
      </c>
      <c r="AF2299" t="s">
        <v>57</v>
      </c>
      <c r="AG2299" s="1">
        <v>43836</v>
      </c>
      <c r="AH2299" t="s">
        <v>42</v>
      </c>
      <c r="AI2299" t="s">
        <v>55</v>
      </c>
      <c r="AJ2299">
        <v>12788092</v>
      </c>
      <c r="AK2299">
        <v>250000</v>
      </c>
      <c r="AL2299">
        <v>1500000</v>
      </c>
    </row>
    <row r="2300" spans="1:38" x14ac:dyDescent="0.25">
      <c r="A2300" t="s">
        <v>522</v>
      </c>
      <c r="B2300" t="s">
        <v>569</v>
      </c>
      <c r="C2300" t="s">
        <v>40</v>
      </c>
      <c r="D2300" s="1">
        <v>43510</v>
      </c>
      <c r="E2300" s="1">
        <v>43874</v>
      </c>
      <c r="F2300" t="s">
        <v>76</v>
      </c>
      <c r="G2300">
        <v>1</v>
      </c>
      <c r="H2300" t="s">
        <v>42</v>
      </c>
      <c r="I2300" t="s">
        <v>43</v>
      </c>
      <c r="J2300" t="s">
        <v>73</v>
      </c>
      <c r="K2300" t="s">
        <v>44</v>
      </c>
      <c r="L2300">
        <v>27069</v>
      </c>
      <c r="M2300" s="1">
        <v>43510</v>
      </c>
      <c r="N2300" t="s">
        <v>45</v>
      </c>
      <c r="O2300" t="s">
        <v>44</v>
      </c>
      <c r="P2300" t="s">
        <v>47</v>
      </c>
      <c r="Q2300" s="1">
        <v>43852</v>
      </c>
      <c r="R2300" t="s">
        <v>48</v>
      </c>
      <c r="S2300" t="s">
        <v>78</v>
      </c>
      <c r="T2300" t="s">
        <v>79</v>
      </c>
      <c r="U2300" t="s">
        <v>42</v>
      </c>
      <c r="V2300">
        <v>1200000</v>
      </c>
      <c r="W2300">
        <v>100000</v>
      </c>
      <c r="X2300" s="1">
        <v>43921</v>
      </c>
      <c r="Y2300" t="s">
        <v>51</v>
      </c>
      <c r="Z2300" t="s">
        <v>43</v>
      </c>
      <c r="AA2300" t="s">
        <v>80</v>
      </c>
      <c r="AB2300" t="s">
        <v>76</v>
      </c>
      <c r="AC2300" t="s">
        <v>81</v>
      </c>
      <c r="AF2300" t="s">
        <v>58</v>
      </c>
      <c r="AG2300" s="1">
        <v>43837</v>
      </c>
      <c r="AH2300" t="s">
        <v>42</v>
      </c>
      <c r="AI2300" t="s">
        <v>55</v>
      </c>
      <c r="AJ2300">
        <v>12788092</v>
      </c>
      <c r="AK2300">
        <v>250000</v>
      </c>
      <c r="AL2300">
        <v>1500000</v>
      </c>
    </row>
    <row r="2301" spans="1:38" x14ac:dyDescent="0.25">
      <c r="A2301" t="s">
        <v>522</v>
      </c>
      <c r="B2301" t="s">
        <v>569</v>
      </c>
      <c r="C2301" t="s">
        <v>40</v>
      </c>
      <c r="D2301" s="1">
        <v>43510</v>
      </c>
      <c r="E2301" s="1">
        <v>43874</v>
      </c>
      <c r="F2301" t="s">
        <v>76</v>
      </c>
      <c r="G2301">
        <v>1</v>
      </c>
      <c r="H2301" t="s">
        <v>42</v>
      </c>
      <c r="I2301" t="s">
        <v>43</v>
      </c>
      <c r="J2301" t="s">
        <v>73</v>
      </c>
      <c r="K2301" t="s">
        <v>44</v>
      </c>
      <c r="L2301">
        <v>27069</v>
      </c>
      <c r="M2301" s="1">
        <v>43510</v>
      </c>
      <c r="N2301" t="s">
        <v>45</v>
      </c>
      <c r="O2301" t="s">
        <v>44</v>
      </c>
      <c r="P2301" t="s">
        <v>47</v>
      </c>
      <c r="Q2301" s="1">
        <v>43852</v>
      </c>
      <c r="R2301" t="s">
        <v>48</v>
      </c>
      <c r="S2301" t="s">
        <v>78</v>
      </c>
      <c r="T2301" t="s">
        <v>79</v>
      </c>
      <c r="U2301" t="s">
        <v>42</v>
      </c>
      <c r="V2301">
        <v>1200000</v>
      </c>
      <c r="W2301">
        <v>100000</v>
      </c>
      <c r="X2301" s="1">
        <v>43921</v>
      </c>
      <c r="Y2301" t="s">
        <v>51</v>
      </c>
      <c r="Z2301" t="s">
        <v>43</v>
      </c>
      <c r="AA2301" t="s">
        <v>80</v>
      </c>
      <c r="AB2301" t="s">
        <v>76</v>
      </c>
      <c r="AC2301" t="s">
        <v>81</v>
      </c>
      <c r="AF2301" t="s">
        <v>59</v>
      </c>
      <c r="AG2301" s="1">
        <v>43838</v>
      </c>
      <c r="AH2301" t="s">
        <v>42</v>
      </c>
      <c r="AI2301" t="s">
        <v>55</v>
      </c>
      <c r="AJ2301">
        <v>12788092</v>
      </c>
      <c r="AK2301">
        <v>250000</v>
      </c>
      <c r="AL2301">
        <v>1500000</v>
      </c>
    </row>
    <row r="2302" spans="1:38" x14ac:dyDescent="0.25">
      <c r="A2302" t="s">
        <v>522</v>
      </c>
      <c r="B2302" t="s">
        <v>570</v>
      </c>
      <c r="C2302" t="s">
        <v>40</v>
      </c>
      <c r="D2302" s="1">
        <v>43326</v>
      </c>
      <c r="E2302" s="1">
        <v>44240</v>
      </c>
      <c r="F2302" t="s">
        <v>72</v>
      </c>
      <c r="G2302">
        <v>1</v>
      </c>
      <c r="H2302" t="s">
        <v>42</v>
      </c>
      <c r="I2302" t="s">
        <v>43</v>
      </c>
      <c r="J2302" t="s">
        <v>73</v>
      </c>
      <c r="K2302" t="s">
        <v>127</v>
      </c>
      <c r="L2302">
        <v>66556.88</v>
      </c>
      <c r="M2302" s="1">
        <v>43326</v>
      </c>
      <c r="N2302" t="s">
        <v>45</v>
      </c>
      <c r="O2302" t="s">
        <v>46</v>
      </c>
      <c r="P2302" t="s">
        <v>47</v>
      </c>
      <c r="Q2302" s="1">
        <v>43852</v>
      </c>
      <c r="R2302" t="s">
        <v>48</v>
      </c>
    </row>
    <row r="2303" spans="1:38" x14ac:dyDescent="0.25">
      <c r="A2303" t="s">
        <v>522</v>
      </c>
      <c r="B2303" t="s">
        <v>571</v>
      </c>
      <c r="C2303" t="s">
        <v>40</v>
      </c>
      <c r="D2303" s="1">
        <v>43575</v>
      </c>
      <c r="E2303" s="1">
        <v>43665</v>
      </c>
      <c r="F2303" t="s">
        <v>306</v>
      </c>
      <c r="G2303">
        <v>1</v>
      </c>
      <c r="H2303" t="s">
        <v>42</v>
      </c>
      <c r="I2303" t="s">
        <v>43</v>
      </c>
      <c r="J2303" t="s">
        <v>73</v>
      </c>
      <c r="K2303" t="s">
        <v>127</v>
      </c>
      <c r="L2303">
        <v>40959.629999999997</v>
      </c>
      <c r="M2303" s="1">
        <v>43575</v>
      </c>
      <c r="N2303" t="s">
        <v>45</v>
      </c>
      <c r="O2303" t="s">
        <v>44</v>
      </c>
      <c r="P2303" t="s">
        <v>47</v>
      </c>
      <c r="Q2303" s="1">
        <v>43852</v>
      </c>
      <c r="R2303" t="s">
        <v>48</v>
      </c>
    </row>
    <row r="2304" spans="1:38" x14ac:dyDescent="0.25">
      <c r="A2304" t="s">
        <v>522</v>
      </c>
      <c r="B2304" t="s">
        <v>572</v>
      </c>
      <c r="C2304" t="s">
        <v>40</v>
      </c>
      <c r="D2304" s="1">
        <v>43655</v>
      </c>
      <c r="E2304" s="1">
        <v>43746</v>
      </c>
      <c r="F2304" t="s">
        <v>306</v>
      </c>
      <c r="G2304">
        <v>11</v>
      </c>
      <c r="H2304" t="s">
        <v>223</v>
      </c>
      <c r="I2304" t="s">
        <v>43</v>
      </c>
      <c r="J2304" t="s">
        <v>73</v>
      </c>
      <c r="K2304" t="s">
        <v>127</v>
      </c>
      <c r="L2304">
        <v>8263.94</v>
      </c>
      <c r="M2304" s="1">
        <v>43655</v>
      </c>
      <c r="N2304" t="s">
        <v>45</v>
      </c>
      <c r="O2304" t="s">
        <v>44</v>
      </c>
      <c r="P2304" t="s">
        <v>47</v>
      </c>
      <c r="Q2304" s="1">
        <v>43852</v>
      </c>
      <c r="R2304" t="s">
        <v>48</v>
      </c>
    </row>
    <row r="2305" spans="1:38" x14ac:dyDescent="0.25">
      <c r="A2305" t="s">
        <v>522</v>
      </c>
      <c r="B2305" t="s">
        <v>572</v>
      </c>
      <c r="C2305" t="s">
        <v>40</v>
      </c>
      <c r="D2305" s="1">
        <v>43655</v>
      </c>
      <c r="E2305" s="1">
        <v>43746</v>
      </c>
      <c r="F2305" t="s">
        <v>306</v>
      </c>
      <c r="G2305">
        <v>11</v>
      </c>
      <c r="H2305" t="s">
        <v>223</v>
      </c>
      <c r="I2305" t="s">
        <v>43</v>
      </c>
      <c r="J2305" t="s">
        <v>73</v>
      </c>
      <c r="K2305" t="s">
        <v>127</v>
      </c>
      <c r="L2305">
        <v>0</v>
      </c>
      <c r="M2305" s="1">
        <v>43655</v>
      </c>
      <c r="N2305" t="s">
        <v>45</v>
      </c>
      <c r="O2305" t="s">
        <v>44</v>
      </c>
      <c r="P2305" t="s">
        <v>47</v>
      </c>
      <c r="Q2305" s="1">
        <v>43852</v>
      </c>
      <c r="R2305" t="s">
        <v>48</v>
      </c>
    </row>
    <row r="2306" spans="1:38" x14ac:dyDescent="0.25">
      <c r="A2306" t="s">
        <v>522</v>
      </c>
      <c r="B2306" t="s">
        <v>573</v>
      </c>
      <c r="C2306" t="s">
        <v>40</v>
      </c>
      <c r="D2306" s="1">
        <v>43735</v>
      </c>
      <c r="E2306" s="1">
        <v>43916</v>
      </c>
      <c r="F2306" t="s">
        <v>306</v>
      </c>
      <c r="G2306">
        <v>11</v>
      </c>
      <c r="H2306" t="s">
        <v>223</v>
      </c>
      <c r="I2306" t="s">
        <v>43</v>
      </c>
      <c r="J2306" t="s">
        <v>73</v>
      </c>
      <c r="K2306" t="s">
        <v>127</v>
      </c>
      <c r="L2306">
        <v>67102.13</v>
      </c>
      <c r="M2306" s="1">
        <v>43735</v>
      </c>
      <c r="N2306" t="s">
        <v>45</v>
      </c>
      <c r="O2306" t="s">
        <v>44</v>
      </c>
      <c r="P2306" t="s">
        <v>47</v>
      </c>
      <c r="Q2306" s="1">
        <v>43852</v>
      </c>
      <c r="R2306" t="s">
        <v>48</v>
      </c>
    </row>
    <row r="2307" spans="1:38" x14ac:dyDescent="0.25">
      <c r="A2307" t="s">
        <v>522</v>
      </c>
      <c r="B2307" t="s">
        <v>574</v>
      </c>
      <c r="C2307" t="s">
        <v>71</v>
      </c>
      <c r="D2307" s="1">
        <v>43556</v>
      </c>
      <c r="E2307" s="1">
        <v>43921</v>
      </c>
      <c r="F2307" t="s">
        <v>306</v>
      </c>
      <c r="G2307">
        <v>11</v>
      </c>
      <c r="H2307" t="s">
        <v>223</v>
      </c>
      <c r="I2307" t="s">
        <v>43</v>
      </c>
      <c r="J2307" t="s">
        <v>73</v>
      </c>
      <c r="K2307" t="s">
        <v>44</v>
      </c>
      <c r="L2307">
        <v>90663.25</v>
      </c>
      <c r="M2307" s="1">
        <v>43556</v>
      </c>
      <c r="N2307" t="s">
        <v>45</v>
      </c>
      <c r="O2307" t="s">
        <v>361</v>
      </c>
      <c r="P2307" t="s">
        <v>47</v>
      </c>
      <c r="Q2307" s="1">
        <v>43852</v>
      </c>
      <c r="R2307" t="s">
        <v>48</v>
      </c>
    </row>
    <row r="2308" spans="1:38" x14ac:dyDescent="0.25">
      <c r="A2308" t="s">
        <v>522</v>
      </c>
      <c r="B2308" t="s">
        <v>575</v>
      </c>
      <c r="C2308" t="s">
        <v>40</v>
      </c>
      <c r="D2308" s="1">
        <v>43556</v>
      </c>
      <c r="E2308" s="1">
        <v>43921</v>
      </c>
      <c r="F2308" t="s">
        <v>306</v>
      </c>
      <c r="G2308">
        <v>11</v>
      </c>
      <c r="H2308" t="s">
        <v>223</v>
      </c>
      <c r="I2308" t="s">
        <v>43</v>
      </c>
      <c r="J2308" t="s">
        <v>73</v>
      </c>
      <c r="K2308" t="s">
        <v>127</v>
      </c>
      <c r="L2308">
        <v>90663.25</v>
      </c>
      <c r="M2308" s="1">
        <v>43556</v>
      </c>
      <c r="N2308" t="s">
        <v>45</v>
      </c>
      <c r="O2308" t="s">
        <v>46</v>
      </c>
      <c r="P2308" t="s">
        <v>47</v>
      </c>
      <c r="Q2308" s="1">
        <v>43852</v>
      </c>
      <c r="R2308" t="s">
        <v>48</v>
      </c>
    </row>
    <row r="2309" spans="1:38" x14ac:dyDescent="0.25">
      <c r="A2309" t="s">
        <v>522</v>
      </c>
      <c r="B2309" t="s">
        <v>576</v>
      </c>
      <c r="C2309" t="s">
        <v>40</v>
      </c>
      <c r="D2309" s="1">
        <v>43664</v>
      </c>
      <c r="E2309" s="1">
        <v>44029</v>
      </c>
      <c r="F2309" t="s">
        <v>306</v>
      </c>
      <c r="G2309">
        <v>1</v>
      </c>
      <c r="H2309" t="s">
        <v>42</v>
      </c>
      <c r="I2309" t="s">
        <v>43</v>
      </c>
      <c r="J2309" t="s">
        <v>115</v>
      </c>
      <c r="K2309" t="s">
        <v>44</v>
      </c>
      <c r="L2309">
        <v>8854.8799999999992</v>
      </c>
      <c r="M2309" s="1">
        <v>43664</v>
      </c>
      <c r="N2309" t="s">
        <v>45</v>
      </c>
      <c r="O2309" t="s">
        <v>44</v>
      </c>
      <c r="P2309" t="s">
        <v>47</v>
      </c>
      <c r="Q2309" s="1">
        <v>43852</v>
      </c>
      <c r="R2309" t="s">
        <v>48</v>
      </c>
    </row>
    <row r="2310" spans="1:38" x14ac:dyDescent="0.25">
      <c r="A2310" t="s">
        <v>522</v>
      </c>
      <c r="B2310" t="s">
        <v>577</v>
      </c>
      <c r="C2310" t="s">
        <v>40</v>
      </c>
      <c r="D2310" s="1">
        <v>43556</v>
      </c>
      <c r="E2310" s="1">
        <v>43921</v>
      </c>
      <c r="F2310" t="s">
        <v>306</v>
      </c>
      <c r="G2310">
        <v>1</v>
      </c>
      <c r="H2310" t="s">
        <v>42</v>
      </c>
      <c r="I2310" t="s">
        <v>43</v>
      </c>
      <c r="J2310" t="s">
        <v>73</v>
      </c>
      <c r="K2310" t="s">
        <v>44</v>
      </c>
      <c r="L2310">
        <v>7187.34</v>
      </c>
      <c r="M2310" s="1">
        <v>43556</v>
      </c>
      <c r="N2310" t="s">
        <v>45</v>
      </c>
      <c r="O2310" t="s">
        <v>46</v>
      </c>
      <c r="P2310" t="s">
        <v>47</v>
      </c>
      <c r="Q2310" s="1">
        <v>43852</v>
      </c>
      <c r="R2310" t="s">
        <v>48</v>
      </c>
    </row>
    <row r="2311" spans="1:38" x14ac:dyDescent="0.25">
      <c r="A2311" t="s">
        <v>522</v>
      </c>
      <c r="B2311" t="s">
        <v>577</v>
      </c>
      <c r="C2311" t="s">
        <v>40</v>
      </c>
      <c r="D2311" s="1">
        <v>43556</v>
      </c>
      <c r="E2311" s="1">
        <v>43921</v>
      </c>
      <c r="F2311" t="s">
        <v>306</v>
      </c>
      <c r="G2311">
        <v>1</v>
      </c>
      <c r="H2311" t="s">
        <v>42</v>
      </c>
      <c r="I2311" t="s">
        <v>43</v>
      </c>
      <c r="J2311" t="s">
        <v>73</v>
      </c>
      <c r="K2311" t="s">
        <v>44</v>
      </c>
      <c r="L2311">
        <v>0</v>
      </c>
      <c r="M2311" s="1">
        <v>43556</v>
      </c>
      <c r="N2311" t="s">
        <v>45</v>
      </c>
      <c r="O2311" t="s">
        <v>46</v>
      </c>
      <c r="P2311" t="s">
        <v>47</v>
      </c>
      <c r="Q2311" s="1">
        <v>43852</v>
      </c>
      <c r="R2311" t="s">
        <v>48</v>
      </c>
    </row>
    <row r="2312" spans="1:38" x14ac:dyDescent="0.25">
      <c r="A2312" t="s">
        <v>522</v>
      </c>
      <c r="B2312" s="2">
        <v>9.9E+19</v>
      </c>
      <c r="C2312" t="s">
        <v>71</v>
      </c>
      <c r="D2312" s="1">
        <v>42852</v>
      </c>
      <c r="E2312" s="1">
        <v>43216</v>
      </c>
      <c r="F2312" t="s">
        <v>76</v>
      </c>
      <c r="G2312">
        <v>1</v>
      </c>
      <c r="H2312" t="s">
        <v>42</v>
      </c>
      <c r="I2312" t="s">
        <v>43</v>
      </c>
      <c r="J2312" t="s">
        <v>73</v>
      </c>
      <c r="K2312" t="s">
        <v>127</v>
      </c>
      <c r="L2312">
        <v>121755.9</v>
      </c>
      <c r="M2312" s="1">
        <v>42852</v>
      </c>
      <c r="N2312" t="s">
        <v>45</v>
      </c>
      <c r="O2312" t="s">
        <v>361</v>
      </c>
      <c r="P2312" t="s">
        <v>578</v>
      </c>
      <c r="Q2312" s="1">
        <v>43852</v>
      </c>
      <c r="R2312" t="s">
        <v>578</v>
      </c>
      <c r="S2312" t="s">
        <v>78</v>
      </c>
      <c r="T2312" t="s">
        <v>79</v>
      </c>
      <c r="U2312" t="s">
        <v>42</v>
      </c>
      <c r="V2312">
        <v>1200000</v>
      </c>
      <c r="W2312">
        <v>100000</v>
      </c>
      <c r="X2312" s="1">
        <v>43921</v>
      </c>
      <c r="Y2312" t="s">
        <v>51</v>
      </c>
      <c r="Z2312" t="s">
        <v>43</v>
      </c>
      <c r="AA2312" t="s">
        <v>80</v>
      </c>
      <c r="AB2312" t="s">
        <v>76</v>
      </c>
      <c r="AC2312" t="s">
        <v>81</v>
      </c>
      <c r="AF2312" t="s">
        <v>54</v>
      </c>
      <c r="AG2312" s="1">
        <v>43832</v>
      </c>
      <c r="AH2312" t="s">
        <v>42</v>
      </c>
      <c r="AI2312" t="s">
        <v>55</v>
      </c>
      <c r="AJ2312">
        <v>12788092</v>
      </c>
      <c r="AK2312">
        <v>250000</v>
      </c>
      <c r="AL2312">
        <v>1500000</v>
      </c>
    </row>
    <row r="2313" spans="1:38" x14ac:dyDescent="0.25">
      <c r="A2313" t="s">
        <v>522</v>
      </c>
      <c r="B2313" s="2">
        <v>9.9E+19</v>
      </c>
      <c r="C2313" t="s">
        <v>71</v>
      </c>
      <c r="D2313" s="1">
        <v>42852</v>
      </c>
      <c r="E2313" s="1">
        <v>43216</v>
      </c>
      <c r="F2313" t="s">
        <v>76</v>
      </c>
      <c r="G2313">
        <v>1</v>
      </c>
      <c r="H2313" t="s">
        <v>42</v>
      </c>
      <c r="I2313" t="s">
        <v>43</v>
      </c>
      <c r="J2313" t="s">
        <v>73</v>
      </c>
      <c r="K2313" t="s">
        <v>127</v>
      </c>
      <c r="L2313">
        <v>121755.9</v>
      </c>
      <c r="M2313" s="1">
        <v>42852</v>
      </c>
      <c r="N2313" t="s">
        <v>45</v>
      </c>
      <c r="O2313" t="s">
        <v>361</v>
      </c>
      <c r="P2313" t="s">
        <v>578</v>
      </c>
      <c r="Q2313" s="1">
        <v>43852</v>
      </c>
      <c r="R2313" t="s">
        <v>578</v>
      </c>
      <c r="S2313" t="s">
        <v>78</v>
      </c>
      <c r="T2313" t="s">
        <v>79</v>
      </c>
      <c r="U2313" t="s">
        <v>42</v>
      </c>
      <c r="V2313">
        <v>1200000</v>
      </c>
      <c r="W2313">
        <v>100000</v>
      </c>
      <c r="X2313" s="1">
        <v>43921</v>
      </c>
      <c r="Y2313" t="s">
        <v>51</v>
      </c>
      <c r="Z2313" t="s">
        <v>43</v>
      </c>
      <c r="AA2313" t="s">
        <v>80</v>
      </c>
      <c r="AB2313" t="s">
        <v>76</v>
      </c>
      <c r="AC2313" t="s">
        <v>81</v>
      </c>
      <c r="AF2313" t="s">
        <v>56</v>
      </c>
      <c r="AG2313" s="1">
        <v>43833</v>
      </c>
      <c r="AH2313" t="s">
        <v>42</v>
      </c>
      <c r="AI2313" t="s">
        <v>55</v>
      </c>
      <c r="AJ2313">
        <v>12788092</v>
      </c>
      <c r="AK2313">
        <v>250000</v>
      </c>
      <c r="AL2313">
        <v>1500000</v>
      </c>
    </row>
    <row r="2314" spans="1:38" x14ac:dyDescent="0.25">
      <c r="A2314" t="s">
        <v>522</v>
      </c>
      <c r="B2314" s="2">
        <v>9.9E+19</v>
      </c>
      <c r="C2314" t="s">
        <v>71</v>
      </c>
      <c r="D2314" s="1">
        <v>42852</v>
      </c>
      <c r="E2314" s="1">
        <v>43216</v>
      </c>
      <c r="F2314" t="s">
        <v>76</v>
      </c>
      <c r="G2314">
        <v>1</v>
      </c>
      <c r="H2314" t="s">
        <v>42</v>
      </c>
      <c r="I2314" t="s">
        <v>43</v>
      </c>
      <c r="J2314" t="s">
        <v>73</v>
      </c>
      <c r="K2314" t="s">
        <v>127</v>
      </c>
      <c r="L2314">
        <v>121755.9</v>
      </c>
      <c r="M2314" s="1">
        <v>42852</v>
      </c>
      <c r="N2314" t="s">
        <v>45</v>
      </c>
      <c r="O2314" t="s">
        <v>361</v>
      </c>
      <c r="P2314" t="s">
        <v>578</v>
      </c>
      <c r="Q2314" s="1">
        <v>43852</v>
      </c>
      <c r="R2314" t="s">
        <v>578</v>
      </c>
      <c r="S2314" t="s">
        <v>78</v>
      </c>
      <c r="T2314" t="s">
        <v>79</v>
      </c>
      <c r="U2314" t="s">
        <v>42</v>
      </c>
      <c r="V2314">
        <v>1200000</v>
      </c>
      <c r="W2314">
        <v>100000</v>
      </c>
      <c r="X2314" s="1">
        <v>43921</v>
      </c>
      <c r="Y2314" t="s">
        <v>51</v>
      </c>
      <c r="Z2314" t="s">
        <v>43</v>
      </c>
      <c r="AA2314" t="s">
        <v>80</v>
      </c>
      <c r="AB2314" t="s">
        <v>76</v>
      </c>
      <c r="AC2314" t="s">
        <v>81</v>
      </c>
      <c r="AF2314" t="s">
        <v>57</v>
      </c>
      <c r="AG2314" s="1">
        <v>43836</v>
      </c>
      <c r="AH2314" t="s">
        <v>42</v>
      </c>
      <c r="AI2314" t="s">
        <v>55</v>
      </c>
      <c r="AJ2314">
        <v>12788092</v>
      </c>
      <c r="AK2314">
        <v>250000</v>
      </c>
      <c r="AL2314">
        <v>1500000</v>
      </c>
    </row>
    <row r="2315" spans="1:38" x14ac:dyDescent="0.25">
      <c r="A2315" t="s">
        <v>522</v>
      </c>
      <c r="B2315" s="2">
        <v>9.9E+19</v>
      </c>
      <c r="C2315" t="s">
        <v>71</v>
      </c>
      <c r="D2315" s="1">
        <v>42852</v>
      </c>
      <c r="E2315" s="1">
        <v>43216</v>
      </c>
      <c r="F2315" t="s">
        <v>76</v>
      </c>
      <c r="G2315">
        <v>1</v>
      </c>
      <c r="H2315" t="s">
        <v>42</v>
      </c>
      <c r="I2315" t="s">
        <v>43</v>
      </c>
      <c r="J2315" t="s">
        <v>73</v>
      </c>
      <c r="K2315" t="s">
        <v>127</v>
      </c>
      <c r="L2315">
        <v>121755.9</v>
      </c>
      <c r="M2315" s="1">
        <v>42852</v>
      </c>
      <c r="N2315" t="s">
        <v>45</v>
      </c>
      <c r="O2315" t="s">
        <v>361</v>
      </c>
      <c r="P2315" t="s">
        <v>578</v>
      </c>
      <c r="Q2315" s="1">
        <v>43852</v>
      </c>
      <c r="R2315" t="s">
        <v>578</v>
      </c>
      <c r="S2315" t="s">
        <v>78</v>
      </c>
      <c r="T2315" t="s">
        <v>79</v>
      </c>
      <c r="U2315" t="s">
        <v>42</v>
      </c>
      <c r="V2315">
        <v>1200000</v>
      </c>
      <c r="W2315">
        <v>100000</v>
      </c>
      <c r="X2315" s="1">
        <v>43921</v>
      </c>
      <c r="Y2315" t="s">
        <v>51</v>
      </c>
      <c r="Z2315" t="s">
        <v>43</v>
      </c>
      <c r="AA2315" t="s">
        <v>80</v>
      </c>
      <c r="AB2315" t="s">
        <v>76</v>
      </c>
      <c r="AC2315" t="s">
        <v>81</v>
      </c>
      <c r="AF2315" t="s">
        <v>58</v>
      </c>
      <c r="AG2315" s="1">
        <v>43837</v>
      </c>
      <c r="AH2315" t="s">
        <v>42</v>
      </c>
      <c r="AI2315" t="s">
        <v>55</v>
      </c>
      <c r="AJ2315">
        <v>12788092</v>
      </c>
      <c r="AK2315">
        <v>250000</v>
      </c>
      <c r="AL2315">
        <v>1500000</v>
      </c>
    </row>
    <row r="2316" spans="1:38" x14ac:dyDescent="0.25">
      <c r="A2316" t="s">
        <v>522</v>
      </c>
      <c r="B2316" s="2">
        <v>9.9E+19</v>
      </c>
      <c r="C2316" t="s">
        <v>71</v>
      </c>
      <c r="D2316" s="1">
        <v>42852</v>
      </c>
      <c r="E2316" s="1">
        <v>43216</v>
      </c>
      <c r="F2316" t="s">
        <v>76</v>
      </c>
      <c r="G2316">
        <v>1</v>
      </c>
      <c r="H2316" t="s">
        <v>42</v>
      </c>
      <c r="I2316" t="s">
        <v>43</v>
      </c>
      <c r="J2316" t="s">
        <v>73</v>
      </c>
      <c r="K2316" t="s">
        <v>127</v>
      </c>
      <c r="L2316">
        <v>121755.9</v>
      </c>
      <c r="M2316" s="1">
        <v>42852</v>
      </c>
      <c r="N2316" t="s">
        <v>45</v>
      </c>
      <c r="O2316" t="s">
        <v>361</v>
      </c>
      <c r="P2316" t="s">
        <v>578</v>
      </c>
      <c r="Q2316" s="1">
        <v>43852</v>
      </c>
      <c r="R2316" t="s">
        <v>578</v>
      </c>
      <c r="S2316" t="s">
        <v>78</v>
      </c>
      <c r="T2316" t="s">
        <v>79</v>
      </c>
      <c r="U2316" t="s">
        <v>42</v>
      </c>
      <c r="V2316">
        <v>1200000</v>
      </c>
      <c r="W2316">
        <v>100000</v>
      </c>
      <c r="X2316" s="1">
        <v>43921</v>
      </c>
      <c r="Y2316" t="s">
        <v>51</v>
      </c>
      <c r="Z2316" t="s">
        <v>43</v>
      </c>
      <c r="AA2316" t="s">
        <v>80</v>
      </c>
      <c r="AB2316" t="s">
        <v>76</v>
      </c>
      <c r="AC2316" t="s">
        <v>81</v>
      </c>
      <c r="AF2316" t="s">
        <v>59</v>
      </c>
      <c r="AG2316" s="1">
        <v>43838</v>
      </c>
      <c r="AH2316" t="s">
        <v>42</v>
      </c>
      <c r="AI2316" t="s">
        <v>55</v>
      </c>
      <c r="AJ2316">
        <v>12788092</v>
      </c>
      <c r="AK2316">
        <v>250000</v>
      </c>
      <c r="AL2316">
        <v>1500000</v>
      </c>
    </row>
    <row r="2317" spans="1:38" x14ac:dyDescent="0.25">
      <c r="A2317" t="s">
        <v>522</v>
      </c>
      <c r="B2317" t="s">
        <v>579</v>
      </c>
      <c r="C2317" t="s">
        <v>71</v>
      </c>
      <c r="D2317" s="1">
        <v>43191</v>
      </c>
      <c r="E2317" s="1">
        <v>43555</v>
      </c>
      <c r="F2317" t="s">
        <v>76</v>
      </c>
      <c r="G2317">
        <v>1</v>
      </c>
      <c r="H2317" t="s">
        <v>42</v>
      </c>
      <c r="I2317" t="s">
        <v>43</v>
      </c>
      <c r="J2317" t="s">
        <v>115</v>
      </c>
      <c r="K2317" t="s">
        <v>127</v>
      </c>
      <c r="L2317">
        <v>96758.81</v>
      </c>
      <c r="M2317" s="1">
        <v>43191</v>
      </c>
      <c r="N2317" t="s">
        <v>45</v>
      </c>
      <c r="O2317" t="s">
        <v>46</v>
      </c>
      <c r="P2317" t="s">
        <v>47</v>
      </c>
      <c r="Q2317" s="1">
        <v>43852</v>
      </c>
      <c r="R2317" t="s">
        <v>48</v>
      </c>
      <c r="S2317" t="s">
        <v>78</v>
      </c>
      <c r="T2317" t="s">
        <v>79</v>
      </c>
      <c r="U2317" t="s">
        <v>42</v>
      </c>
      <c r="V2317">
        <v>1200000</v>
      </c>
      <c r="W2317">
        <v>100000</v>
      </c>
      <c r="X2317" s="1">
        <v>43921</v>
      </c>
      <c r="Y2317" t="s">
        <v>51</v>
      </c>
      <c r="Z2317" t="s">
        <v>43</v>
      </c>
      <c r="AA2317" t="s">
        <v>80</v>
      </c>
      <c r="AB2317" t="s">
        <v>76</v>
      </c>
      <c r="AC2317" t="s">
        <v>81</v>
      </c>
      <c r="AF2317" t="s">
        <v>54</v>
      </c>
      <c r="AG2317" s="1">
        <v>43832</v>
      </c>
      <c r="AH2317" t="s">
        <v>42</v>
      </c>
      <c r="AI2317" t="s">
        <v>55</v>
      </c>
      <c r="AJ2317">
        <v>12788092</v>
      </c>
      <c r="AK2317">
        <v>250000</v>
      </c>
      <c r="AL2317">
        <v>1500000</v>
      </c>
    </row>
    <row r="2318" spans="1:38" x14ac:dyDescent="0.25">
      <c r="A2318" t="s">
        <v>522</v>
      </c>
      <c r="B2318" t="s">
        <v>579</v>
      </c>
      <c r="C2318" t="s">
        <v>71</v>
      </c>
      <c r="D2318" s="1">
        <v>43191</v>
      </c>
      <c r="E2318" s="1">
        <v>43555</v>
      </c>
      <c r="F2318" t="s">
        <v>76</v>
      </c>
      <c r="G2318">
        <v>1</v>
      </c>
      <c r="H2318" t="s">
        <v>42</v>
      </c>
      <c r="I2318" t="s">
        <v>43</v>
      </c>
      <c r="J2318" t="s">
        <v>115</v>
      </c>
      <c r="K2318" t="s">
        <v>127</v>
      </c>
      <c r="L2318">
        <v>96758.81</v>
      </c>
      <c r="M2318" s="1">
        <v>43191</v>
      </c>
      <c r="N2318" t="s">
        <v>45</v>
      </c>
      <c r="O2318" t="s">
        <v>46</v>
      </c>
      <c r="P2318" t="s">
        <v>47</v>
      </c>
      <c r="Q2318" s="1">
        <v>43852</v>
      </c>
      <c r="R2318" t="s">
        <v>48</v>
      </c>
      <c r="S2318" t="s">
        <v>78</v>
      </c>
      <c r="T2318" t="s">
        <v>79</v>
      </c>
      <c r="U2318" t="s">
        <v>42</v>
      </c>
      <c r="V2318">
        <v>1200000</v>
      </c>
      <c r="W2318">
        <v>100000</v>
      </c>
      <c r="X2318" s="1">
        <v>43921</v>
      </c>
      <c r="Y2318" t="s">
        <v>51</v>
      </c>
      <c r="Z2318" t="s">
        <v>43</v>
      </c>
      <c r="AA2318" t="s">
        <v>80</v>
      </c>
      <c r="AB2318" t="s">
        <v>76</v>
      </c>
      <c r="AC2318" t="s">
        <v>81</v>
      </c>
      <c r="AF2318" t="s">
        <v>56</v>
      </c>
      <c r="AG2318" s="1">
        <v>43833</v>
      </c>
      <c r="AH2318" t="s">
        <v>42</v>
      </c>
      <c r="AI2318" t="s">
        <v>55</v>
      </c>
      <c r="AJ2318">
        <v>12788092</v>
      </c>
      <c r="AK2318">
        <v>250000</v>
      </c>
      <c r="AL2318">
        <v>1500000</v>
      </c>
    </row>
    <row r="2319" spans="1:38" x14ac:dyDescent="0.25">
      <c r="A2319" t="s">
        <v>522</v>
      </c>
      <c r="B2319" t="s">
        <v>579</v>
      </c>
      <c r="C2319" t="s">
        <v>71</v>
      </c>
      <c r="D2319" s="1">
        <v>43191</v>
      </c>
      <c r="E2319" s="1">
        <v>43555</v>
      </c>
      <c r="F2319" t="s">
        <v>76</v>
      </c>
      <c r="G2319">
        <v>1</v>
      </c>
      <c r="H2319" t="s">
        <v>42</v>
      </c>
      <c r="I2319" t="s">
        <v>43</v>
      </c>
      <c r="J2319" t="s">
        <v>115</v>
      </c>
      <c r="K2319" t="s">
        <v>127</v>
      </c>
      <c r="L2319">
        <v>96758.81</v>
      </c>
      <c r="M2319" s="1">
        <v>43191</v>
      </c>
      <c r="N2319" t="s">
        <v>45</v>
      </c>
      <c r="O2319" t="s">
        <v>46</v>
      </c>
      <c r="P2319" t="s">
        <v>47</v>
      </c>
      <c r="Q2319" s="1">
        <v>43852</v>
      </c>
      <c r="R2319" t="s">
        <v>48</v>
      </c>
      <c r="S2319" t="s">
        <v>78</v>
      </c>
      <c r="T2319" t="s">
        <v>79</v>
      </c>
      <c r="U2319" t="s">
        <v>42</v>
      </c>
      <c r="V2319">
        <v>1200000</v>
      </c>
      <c r="W2319">
        <v>100000</v>
      </c>
      <c r="X2319" s="1">
        <v>43921</v>
      </c>
      <c r="Y2319" t="s">
        <v>51</v>
      </c>
      <c r="Z2319" t="s">
        <v>43</v>
      </c>
      <c r="AA2319" t="s">
        <v>80</v>
      </c>
      <c r="AB2319" t="s">
        <v>76</v>
      </c>
      <c r="AC2319" t="s">
        <v>81</v>
      </c>
      <c r="AF2319" t="s">
        <v>57</v>
      </c>
      <c r="AG2319" s="1">
        <v>43836</v>
      </c>
      <c r="AH2319" t="s">
        <v>42</v>
      </c>
      <c r="AI2319" t="s">
        <v>55</v>
      </c>
      <c r="AJ2319">
        <v>12788092</v>
      </c>
      <c r="AK2319">
        <v>250000</v>
      </c>
      <c r="AL2319">
        <v>1500000</v>
      </c>
    </row>
    <row r="2320" spans="1:38" x14ac:dyDescent="0.25">
      <c r="A2320" t="s">
        <v>522</v>
      </c>
      <c r="B2320" t="s">
        <v>579</v>
      </c>
      <c r="C2320" t="s">
        <v>71</v>
      </c>
      <c r="D2320" s="1">
        <v>43191</v>
      </c>
      <c r="E2320" s="1">
        <v>43555</v>
      </c>
      <c r="F2320" t="s">
        <v>76</v>
      </c>
      <c r="G2320">
        <v>1</v>
      </c>
      <c r="H2320" t="s">
        <v>42</v>
      </c>
      <c r="I2320" t="s">
        <v>43</v>
      </c>
      <c r="J2320" t="s">
        <v>115</v>
      </c>
      <c r="K2320" t="s">
        <v>127</v>
      </c>
      <c r="L2320">
        <v>96758.81</v>
      </c>
      <c r="M2320" s="1">
        <v>43191</v>
      </c>
      <c r="N2320" t="s">
        <v>45</v>
      </c>
      <c r="O2320" t="s">
        <v>46</v>
      </c>
      <c r="P2320" t="s">
        <v>47</v>
      </c>
      <c r="Q2320" s="1">
        <v>43852</v>
      </c>
      <c r="R2320" t="s">
        <v>48</v>
      </c>
      <c r="S2320" t="s">
        <v>78</v>
      </c>
      <c r="T2320" t="s">
        <v>79</v>
      </c>
      <c r="U2320" t="s">
        <v>42</v>
      </c>
      <c r="V2320">
        <v>1200000</v>
      </c>
      <c r="W2320">
        <v>100000</v>
      </c>
      <c r="X2320" s="1">
        <v>43921</v>
      </c>
      <c r="Y2320" t="s">
        <v>51</v>
      </c>
      <c r="Z2320" t="s">
        <v>43</v>
      </c>
      <c r="AA2320" t="s">
        <v>80</v>
      </c>
      <c r="AB2320" t="s">
        <v>76</v>
      </c>
      <c r="AC2320" t="s">
        <v>81</v>
      </c>
      <c r="AF2320" t="s">
        <v>58</v>
      </c>
      <c r="AG2320" s="1">
        <v>43837</v>
      </c>
      <c r="AH2320" t="s">
        <v>42</v>
      </c>
      <c r="AI2320" t="s">
        <v>55</v>
      </c>
      <c r="AJ2320">
        <v>12788092</v>
      </c>
      <c r="AK2320">
        <v>250000</v>
      </c>
      <c r="AL2320">
        <v>1500000</v>
      </c>
    </row>
    <row r="2321" spans="1:38" x14ac:dyDescent="0.25">
      <c r="A2321" t="s">
        <v>522</v>
      </c>
      <c r="B2321" t="s">
        <v>579</v>
      </c>
      <c r="C2321" t="s">
        <v>71</v>
      </c>
      <c r="D2321" s="1">
        <v>43191</v>
      </c>
      <c r="E2321" s="1">
        <v>43555</v>
      </c>
      <c r="F2321" t="s">
        <v>76</v>
      </c>
      <c r="G2321">
        <v>1</v>
      </c>
      <c r="H2321" t="s">
        <v>42</v>
      </c>
      <c r="I2321" t="s">
        <v>43</v>
      </c>
      <c r="J2321" t="s">
        <v>115</v>
      </c>
      <c r="K2321" t="s">
        <v>127</v>
      </c>
      <c r="L2321">
        <v>96758.81</v>
      </c>
      <c r="M2321" s="1">
        <v>43191</v>
      </c>
      <c r="N2321" t="s">
        <v>45</v>
      </c>
      <c r="O2321" t="s">
        <v>46</v>
      </c>
      <c r="P2321" t="s">
        <v>47</v>
      </c>
      <c r="Q2321" s="1">
        <v>43852</v>
      </c>
      <c r="R2321" t="s">
        <v>48</v>
      </c>
      <c r="S2321" t="s">
        <v>78</v>
      </c>
      <c r="T2321" t="s">
        <v>79</v>
      </c>
      <c r="U2321" t="s">
        <v>42</v>
      </c>
      <c r="V2321">
        <v>1200000</v>
      </c>
      <c r="W2321">
        <v>100000</v>
      </c>
      <c r="X2321" s="1">
        <v>43921</v>
      </c>
      <c r="Y2321" t="s">
        <v>51</v>
      </c>
      <c r="Z2321" t="s">
        <v>43</v>
      </c>
      <c r="AA2321" t="s">
        <v>80</v>
      </c>
      <c r="AB2321" t="s">
        <v>76</v>
      </c>
      <c r="AC2321" t="s">
        <v>81</v>
      </c>
      <c r="AF2321" t="s">
        <v>59</v>
      </c>
      <c r="AG2321" s="1">
        <v>43838</v>
      </c>
      <c r="AH2321" t="s">
        <v>42</v>
      </c>
      <c r="AI2321" t="s">
        <v>55</v>
      </c>
      <c r="AJ2321">
        <v>12788092</v>
      </c>
      <c r="AK2321">
        <v>250000</v>
      </c>
      <c r="AL2321">
        <v>1500000</v>
      </c>
    </row>
    <row r="2322" spans="1:38" x14ac:dyDescent="0.25">
      <c r="A2322" t="s">
        <v>522</v>
      </c>
      <c r="B2322" s="2">
        <v>9.9E+19</v>
      </c>
      <c r="C2322" t="s">
        <v>71</v>
      </c>
      <c r="D2322" s="1">
        <v>43217</v>
      </c>
      <c r="E2322" s="1">
        <v>43581</v>
      </c>
      <c r="F2322" t="s">
        <v>76</v>
      </c>
      <c r="G2322">
        <v>1</v>
      </c>
      <c r="H2322" t="s">
        <v>42</v>
      </c>
      <c r="I2322" t="s">
        <v>43</v>
      </c>
      <c r="J2322" t="s">
        <v>73</v>
      </c>
      <c r="K2322" t="s">
        <v>44</v>
      </c>
      <c r="L2322">
        <v>149758.53</v>
      </c>
      <c r="M2322" s="1">
        <v>43247</v>
      </c>
      <c r="N2322" t="s">
        <v>45</v>
      </c>
      <c r="O2322" t="s">
        <v>46</v>
      </c>
      <c r="P2322" t="s">
        <v>47</v>
      </c>
      <c r="Q2322" s="1">
        <v>43852</v>
      </c>
      <c r="R2322" t="s">
        <v>48</v>
      </c>
      <c r="S2322" t="s">
        <v>78</v>
      </c>
      <c r="T2322" t="s">
        <v>79</v>
      </c>
      <c r="U2322" t="s">
        <v>42</v>
      </c>
      <c r="V2322">
        <v>1200000</v>
      </c>
      <c r="W2322">
        <v>100000</v>
      </c>
      <c r="X2322" s="1">
        <v>43921</v>
      </c>
      <c r="Y2322" t="s">
        <v>51</v>
      </c>
      <c r="Z2322" t="s">
        <v>43</v>
      </c>
      <c r="AA2322" t="s">
        <v>80</v>
      </c>
      <c r="AB2322" t="s">
        <v>76</v>
      </c>
      <c r="AC2322" t="s">
        <v>81</v>
      </c>
      <c r="AF2322" t="s">
        <v>54</v>
      </c>
      <c r="AG2322" s="1">
        <v>43832</v>
      </c>
      <c r="AH2322" t="s">
        <v>42</v>
      </c>
      <c r="AI2322" t="s">
        <v>55</v>
      </c>
      <c r="AJ2322">
        <v>12788092</v>
      </c>
      <c r="AK2322">
        <v>250000</v>
      </c>
      <c r="AL2322">
        <v>1500000</v>
      </c>
    </row>
    <row r="2323" spans="1:38" x14ac:dyDescent="0.25">
      <c r="A2323" t="s">
        <v>522</v>
      </c>
      <c r="B2323" s="2">
        <v>9.9E+19</v>
      </c>
      <c r="C2323" t="s">
        <v>71</v>
      </c>
      <c r="D2323" s="1">
        <v>43217</v>
      </c>
      <c r="E2323" s="1">
        <v>43581</v>
      </c>
      <c r="F2323" t="s">
        <v>76</v>
      </c>
      <c r="G2323">
        <v>1</v>
      </c>
      <c r="H2323" t="s">
        <v>42</v>
      </c>
      <c r="I2323" t="s">
        <v>43</v>
      </c>
      <c r="J2323" t="s">
        <v>73</v>
      </c>
      <c r="K2323" t="s">
        <v>44</v>
      </c>
      <c r="L2323">
        <v>149758.53</v>
      </c>
      <c r="M2323" s="1">
        <v>43247</v>
      </c>
      <c r="N2323" t="s">
        <v>45</v>
      </c>
      <c r="O2323" t="s">
        <v>46</v>
      </c>
      <c r="P2323" t="s">
        <v>47</v>
      </c>
      <c r="Q2323" s="1">
        <v>43852</v>
      </c>
      <c r="R2323" t="s">
        <v>48</v>
      </c>
      <c r="S2323" t="s">
        <v>78</v>
      </c>
      <c r="T2323" t="s">
        <v>79</v>
      </c>
      <c r="U2323" t="s">
        <v>42</v>
      </c>
      <c r="V2323">
        <v>1200000</v>
      </c>
      <c r="W2323">
        <v>100000</v>
      </c>
      <c r="X2323" s="1">
        <v>43921</v>
      </c>
      <c r="Y2323" t="s">
        <v>51</v>
      </c>
      <c r="Z2323" t="s">
        <v>43</v>
      </c>
      <c r="AA2323" t="s">
        <v>80</v>
      </c>
      <c r="AB2323" t="s">
        <v>76</v>
      </c>
      <c r="AC2323" t="s">
        <v>81</v>
      </c>
      <c r="AF2323" t="s">
        <v>56</v>
      </c>
      <c r="AG2323" s="1">
        <v>43833</v>
      </c>
      <c r="AH2323" t="s">
        <v>42</v>
      </c>
      <c r="AI2323" t="s">
        <v>55</v>
      </c>
      <c r="AJ2323">
        <v>12788092</v>
      </c>
      <c r="AK2323">
        <v>250000</v>
      </c>
      <c r="AL2323">
        <v>1500000</v>
      </c>
    </row>
    <row r="2324" spans="1:38" x14ac:dyDescent="0.25">
      <c r="A2324" t="s">
        <v>522</v>
      </c>
      <c r="B2324" s="2">
        <v>9.9E+19</v>
      </c>
      <c r="C2324" t="s">
        <v>71</v>
      </c>
      <c r="D2324" s="1">
        <v>43217</v>
      </c>
      <c r="E2324" s="1">
        <v>43581</v>
      </c>
      <c r="F2324" t="s">
        <v>76</v>
      </c>
      <c r="G2324">
        <v>1</v>
      </c>
      <c r="H2324" t="s">
        <v>42</v>
      </c>
      <c r="I2324" t="s">
        <v>43</v>
      </c>
      <c r="J2324" t="s">
        <v>73</v>
      </c>
      <c r="K2324" t="s">
        <v>44</v>
      </c>
      <c r="L2324">
        <v>149758.53</v>
      </c>
      <c r="M2324" s="1">
        <v>43247</v>
      </c>
      <c r="N2324" t="s">
        <v>45</v>
      </c>
      <c r="O2324" t="s">
        <v>46</v>
      </c>
      <c r="P2324" t="s">
        <v>47</v>
      </c>
      <c r="Q2324" s="1">
        <v>43852</v>
      </c>
      <c r="R2324" t="s">
        <v>48</v>
      </c>
      <c r="S2324" t="s">
        <v>78</v>
      </c>
      <c r="T2324" t="s">
        <v>79</v>
      </c>
      <c r="U2324" t="s">
        <v>42</v>
      </c>
      <c r="V2324">
        <v>1200000</v>
      </c>
      <c r="W2324">
        <v>100000</v>
      </c>
      <c r="X2324" s="1">
        <v>43921</v>
      </c>
      <c r="Y2324" t="s">
        <v>51</v>
      </c>
      <c r="Z2324" t="s">
        <v>43</v>
      </c>
      <c r="AA2324" t="s">
        <v>80</v>
      </c>
      <c r="AB2324" t="s">
        <v>76</v>
      </c>
      <c r="AC2324" t="s">
        <v>81</v>
      </c>
      <c r="AF2324" t="s">
        <v>57</v>
      </c>
      <c r="AG2324" s="1">
        <v>43836</v>
      </c>
      <c r="AH2324" t="s">
        <v>42</v>
      </c>
      <c r="AI2324" t="s">
        <v>55</v>
      </c>
      <c r="AJ2324">
        <v>12788092</v>
      </c>
      <c r="AK2324">
        <v>250000</v>
      </c>
      <c r="AL2324">
        <v>1500000</v>
      </c>
    </row>
    <row r="2325" spans="1:38" x14ac:dyDescent="0.25">
      <c r="A2325" t="s">
        <v>522</v>
      </c>
      <c r="B2325" s="2">
        <v>9.9E+19</v>
      </c>
      <c r="C2325" t="s">
        <v>71</v>
      </c>
      <c r="D2325" s="1">
        <v>43217</v>
      </c>
      <c r="E2325" s="1">
        <v>43581</v>
      </c>
      <c r="F2325" t="s">
        <v>76</v>
      </c>
      <c r="G2325">
        <v>1</v>
      </c>
      <c r="H2325" t="s">
        <v>42</v>
      </c>
      <c r="I2325" t="s">
        <v>43</v>
      </c>
      <c r="J2325" t="s">
        <v>73</v>
      </c>
      <c r="K2325" t="s">
        <v>44</v>
      </c>
      <c r="L2325">
        <v>149758.53</v>
      </c>
      <c r="M2325" s="1">
        <v>43247</v>
      </c>
      <c r="N2325" t="s">
        <v>45</v>
      </c>
      <c r="O2325" t="s">
        <v>46</v>
      </c>
      <c r="P2325" t="s">
        <v>47</v>
      </c>
      <c r="Q2325" s="1">
        <v>43852</v>
      </c>
      <c r="R2325" t="s">
        <v>48</v>
      </c>
      <c r="S2325" t="s">
        <v>78</v>
      </c>
      <c r="T2325" t="s">
        <v>79</v>
      </c>
      <c r="U2325" t="s">
        <v>42</v>
      </c>
      <c r="V2325">
        <v>1200000</v>
      </c>
      <c r="W2325">
        <v>100000</v>
      </c>
      <c r="X2325" s="1">
        <v>43921</v>
      </c>
      <c r="Y2325" t="s">
        <v>51</v>
      </c>
      <c r="Z2325" t="s">
        <v>43</v>
      </c>
      <c r="AA2325" t="s">
        <v>80</v>
      </c>
      <c r="AB2325" t="s">
        <v>76</v>
      </c>
      <c r="AC2325" t="s">
        <v>81</v>
      </c>
      <c r="AF2325" t="s">
        <v>58</v>
      </c>
      <c r="AG2325" s="1">
        <v>43837</v>
      </c>
      <c r="AH2325" t="s">
        <v>42</v>
      </c>
      <c r="AI2325" t="s">
        <v>55</v>
      </c>
      <c r="AJ2325">
        <v>12788092</v>
      </c>
      <c r="AK2325">
        <v>250000</v>
      </c>
      <c r="AL2325">
        <v>1500000</v>
      </c>
    </row>
    <row r="2326" spans="1:38" x14ac:dyDescent="0.25">
      <c r="A2326" t="s">
        <v>522</v>
      </c>
      <c r="B2326" s="2">
        <v>9.9E+19</v>
      </c>
      <c r="C2326" t="s">
        <v>71</v>
      </c>
      <c r="D2326" s="1">
        <v>43217</v>
      </c>
      <c r="E2326" s="1">
        <v>43581</v>
      </c>
      <c r="F2326" t="s">
        <v>76</v>
      </c>
      <c r="G2326">
        <v>1</v>
      </c>
      <c r="H2326" t="s">
        <v>42</v>
      </c>
      <c r="I2326" t="s">
        <v>43</v>
      </c>
      <c r="J2326" t="s">
        <v>73</v>
      </c>
      <c r="K2326" t="s">
        <v>44</v>
      </c>
      <c r="L2326">
        <v>149758.53</v>
      </c>
      <c r="M2326" s="1">
        <v>43247</v>
      </c>
      <c r="N2326" t="s">
        <v>45</v>
      </c>
      <c r="O2326" t="s">
        <v>46</v>
      </c>
      <c r="P2326" t="s">
        <v>47</v>
      </c>
      <c r="Q2326" s="1">
        <v>43852</v>
      </c>
      <c r="R2326" t="s">
        <v>48</v>
      </c>
      <c r="S2326" t="s">
        <v>78</v>
      </c>
      <c r="T2326" t="s">
        <v>79</v>
      </c>
      <c r="U2326" t="s">
        <v>42</v>
      </c>
      <c r="V2326">
        <v>1200000</v>
      </c>
      <c r="W2326">
        <v>100000</v>
      </c>
      <c r="X2326" s="1">
        <v>43921</v>
      </c>
      <c r="Y2326" t="s">
        <v>51</v>
      </c>
      <c r="Z2326" t="s">
        <v>43</v>
      </c>
      <c r="AA2326" t="s">
        <v>80</v>
      </c>
      <c r="AB2326" t="s">
        <v>76</v>
      </c>
      <c r="AC2326" t="s">
        <v>81</v>
      </c>
      <c r="AF2326" t="s">
        <v>59</v>
      </c>
      <c r="AG2326" s="1">
        <v>43838</v>
      </c>
      <c r="AH2326" t="s">
        <v>42</v>
      </c>
      <c r="AI2326" t="s">
        <v>55</v>
      </c>
      <c r="AJ2326">
        <v>12788092</v>
      </c>
      <c r="AK2326">
        <v>250000</v>
      </c>
      <c r="AL2326">
        <v>1500000</v>
      </c>
    </row>
    <row r="2327" spans="1:38" x14ac:dyDescent="0.25">
      <c r="A2327" t="s">
        <v>522</v>
      </c>
      <c r="B2327" t="s">
        <v>580</v>
      </c>
      <c r="C2327" t="s">
        <v>71</v>
      </c>
      <c r="D2327" s="1">
        <v>43258</v>
      </c>
      <c r="E2327" s="1">
        <v>43622</v>
      </c>
      <c r="F2327" t="s">
        <v>76</v>
      </c>
      <c r="G2327">
        <v>1</v>
      </c>
      <c r="H2327" t="s">
        <v>42</v>
      </c>
      <c r="I2327" t="s">
        <v>43</v>
      </c>
      <c r="J2327" t="s">
        <v>115</v>
      </c>
      <c r="K2327" t="s">
        <v>127</v>
      </c>
      <c r="L2327">
        <v>9277.1</v>
      </c>
      <c r="M2327" s="1">
        <v>43258</v>
      </c>
      <c r="N2327" t="s">
        <v>45</v>
      </c>
      <c r="O2327" t="s">
        <v>46</v>
      </c>
      <c r="P2327" t="s">
        <v>47</v>
      </c>
      <c r="Q2327" s="1">
        <v>43852</v>
      </c>
      <c r="R2327" t="s">
        <v>48</v>
      </c>
      <c r="S2327" t="s">
        <v>78</v>
      </c>
      <c r="T2327" t="s">
        <v>79</v>
      </c>
      <c r="U2327" t="s">
        <v>42</v>
      </c>
      <c r="V2327">
        <v>1200000</v>
      </c>
      <c r="W2327">
        <v>100000</v>
      </c>
      <c r="X2327" s="1">
        <v>43921</v>
      </c>
      <c r="Y2327" t="s">
        <v>51</v>
      </c>
      <c r="Z2327" t="s">
        <v>43</v>
      </c>
      <c r="AA2327" t="s">
        <v>80</v>
      </c>
      <c r="AB2327" t="s">
        <v>76</v>
      </c>
      <c r="AC2327" t="s">
        <v>81</v>
      </c>
      <c r="AF2327" t="s">
        <v>54</v>
      </c>
      <c r="AG2327" s="1">
        <v>43832</v>
      </c>
      <c r="AH2327" t="s">
        <v>42</v>
      </c>
      <c r="AI2327" t="s">
        <v>55</v>
      </c>
      <c r="AJ2327">
        <v>12788092</v>
      </c>
      <c r="AK2327">
        <v>250000</v>
      </c>
      <c r="AL2327">
        <v>1500000</v>
      </c>
    </row>
    <row r="2328" spans="1:38" x14ac:dyDescent="0.25">
      <c r="A2328" t="s">
        <v>522</v>
      </c>
      <c r="B2328" t="s">
        <v>580</v>
      </c>
      <c r="C2328" t="s">
        <v>71</v>
      </c>
      <c r="D2328" s="1">
        <v>43258</v>
      </c>
      <c r="E2328" s="1">
        <v>43622</v>
      </c>
      <c r="F2328" t="s">
        <v>76</v>
      </c>
      <c r="G2328">
        <v>1</v>
      </c>
      <c r="H2328" t="s">
        <v>42</v>
      </c>
      <c r="I2328" t="s">
        <v>43</v>
      </c>
      <c r="J2328" t="s">
        <v>115</v>
      </c>
      <c r="K2328" t="s">
        <v>127</v>
      </c>
      <c r="L2328">
        <v>9277.1</v>
      </c>
      <c r="M2328" s="1">
        <v>43258</v>
      </c>
      <c r="N2328" t="s">
        <v>45</v>
      </c>
      <c r="O2328" t="s">
        <v>46</v>
      </c>
      <c r="P2328" t="s">
        <v>47</v>
      </c>
      <c r="Q2328" s="1">
        <v>43852</v>
      </c>
      <c r="R2328" t="s">
        <v>48</v>
      </c>
      <c r="S2328" t="s">
        <v>78</v>
      </c>
      <c r="T2328" t="s">
        <v>79</v>
      </c>
      <c r="U2328" t="s">
        <v>42</v>
      </c>
      <c r="V2328">
        <v>1200000</v>
      </c>
      <c r="W2328">
        <v>100000</v>
      </c>
      <c r="X2328" s="1">
        <v>43921</v>
      </c>
      <c r="Y2328" t="s">
        <v>51</v>
      </c>
      <c r="Z2328" t="s">
        <v>43</v>
      </c>
      <c r="AA2328" t="s">
        <v>80</v>
      </c>
      <c r="AB2328" t="s">
        <v>76</v>
      </c>
      <c r="AC2328" t="s">
        <v>81</v>
      </c>
      <c r="AF2328" t="s">
        <v>56</v>
      </c>
      <c r="AG2328" s="1">
        <v>43833</v>
      </c>
      <c r="AH2328" t="s">
        <v>42</v>
      </c>
      <c r="AI2328" t="s">
        <v>55</v>
      </c>
      <c r="AJ2328">
        <v>12788092</v>
      </c>
      <c r="AK2328">
        <v>250000</v>
      </c>
      <c r="AL2328">
        <v>1500000</v>
      </c>
    </row>
    <row r="2329" spans="1:38" x14ac:dyDescent="0.25">
      <c r="A2329" t="s">
        <v>522</v>
      </c>
      <c r="B2329" t="s">
        <v>580</v>
      </c>
      <c r="C2329" t="s">
        <v>71</v>
      </c>
      <c r="D2329" s="1">
        <v>43258</v>
      </c>
      <c r="E2329" s="1">
        <v>43622</v>
      </c>
      <c r="F2329" t="s">
        <v>76</v>
      </c>
      <c r="G2329">
        <v>1</v>
      </c>
      <c r="H2329" t="s">
        <v>42</v>
      </c>
      <c r="I2329" t="s">
        <v>43</v>
      </c>
      <c r="J2329" t="s">
        <v>115</v>
      </c>
      <c r="K2329" t="s">
        <v>127</v>
      </c>
      <c r="L2329">
        <v>9277.1</v>
      </c>
      <c r="M2329" s="1">
        <v>43258</v>
      </c>
      <c r="N2329" t="s">
        <v>45</v>
      </c>
      <c r="O2329" t="s">
        <v>46</v>
      </c>
      <c r="P2329" t="s">
        <v>47</v>
      </c>
      <c r="Q2329" s="1">
        <v>43852</v>
      </c>
      <c r="R2329" t="s">
        <v>48</v>
      </c>
      <c r="S2329" t="s">
        <v>78</v>
      </c>
      <c r="T2329" t="s">
        <v>79</v>
      </c>
      <c r="U2329" t="s">
        <v>42</v>
      </c>
      <c r="V2329">
        <v>1200000</v>
      </c>
      <c r="W2329">
        <v>100000</v>
      </c>
      <c r="X2329" s="1">
        <v>43921</v>
      </c>
      <c r="Y2329" t="s">
        <v>51</v>
      </c>
      <c r="Z2329" t="s">
        <v>43</v>
      </c>
      <c r="AA2329" t="s">
        <v>80</v>
      </c>
      <c r="AB2329" t="s">
        <v>76</v>
      </c>
      <c r="AC2329" t="s">
        <v>81</v>
      </c>
      <c r="AF2329" t="s">
        <v>57</v>
      </c>
      <c r="AG2329" s="1">
        <v>43836</v>
      </c>
      <c r="AH2329" t="s">
        <v>42</v>
      </c>
      <c r="AI2329" t="s">
        <v>55</v>
      </c>
      <c r="AJ2329">
        <v>12788092</v>
      </c>
      <c r="AK2329">
        <v>250000</v>
      </c>
      <c r="AL2329">
        <v>1500000</v>
      </c>
    </row>
    <row r="2330" spans="1:38" x14ac:dyDescent="0.25">
      <c r="A2330" t="s">
        <v>522</v>
      </c>
      <c r="B2330" t="s">
        <v>580</v>
      </c>
      <c r="C2330" t="s">
        <v>71</v>
      </c>
      <c r="D2330" s="1">
        <v>43258</v>
      </c>
      <c r="E2330" s="1">
        <v>43622</v>
      </c>
      <c r="F2330" t="s">
        <v>76</v>
      </c>
      <c r="G2330">
        <v>1</v>
      </c>
      <c r="H2330" t="s">
        <v>42</v>
      </c>
      <c r="I2330" t="s">
        <v>43</v>
      </c>
      <c r="J2330" t="s">
        <v>115</v>
      </c>
      <c r="K2330" t="s">
        <v>127</v>
      </c>
      <c r="L2330">
        <v>9277.1</v>
      </c>
      <c r="M2330" s="1">
        <v>43258</v>
      </c>
      <c r="N2330" t="s">
        <v>45</v>
      </c>
      <c r="O2330" t="s">
        <v>46</v>
      </c>
      <c r="P2330" t="s">
        <v>47</v>
      </c>
      <c r="Q2330" s="1">
        <v>43852</v>
      </c>
      <c r="R2330" t="s">
        <v>48</v>
      </c>
      <c r="S2330" t="s">
        <v>78</v>
      </c>
      <c r="T2330" t="s">
        <v>79</v>
      </c>
      <c r="U2330" t="s">
        <v>42</v>
      </c>
      <c r="V2330">
        <v>1200000</v>
      </c>
      <c r="W2330">
        <v>100000</v>
      </c>
      <c r="X2330" s="1">
        <v>43921</v>
      </c>
      <c r="Y2330" t="s">
        <v>51</v>
      </c>
      <c r="Z2330" t="s">
        <v>43</v>
      </c>
      <c r="AA2330" t="s">
        <v>80</v>
      </c>
      <c r="AB2330" t="s">
        <v>76</v>
      </c>
      <c r="AC2330" t="s">
        <v>81</v>
      </c>
      <c r="AF2330" t="s">
        <v>58</v>
      </c>
      <c r="AG2330" s="1">
        <v>43837</v>
      </c>
      <c r="AH2330" t="s">
        <v>42</v>
      </c>
      <c r="AI2330" t="s">
        <v>55</v>
      </c>
      <c r="AJ2330">
        <v>12788092</v>
      </c>
      <c r="AK2330">
        <v>250000</v>
      </c>
      <c r="AL2330">
        <v>1500000</v>
      </c>
    </row>
    <row r="2331" spans="1:38" x14ac:dyDescent="0.25">
      <c r="A2331" t="s">
        <v>522</v>
      </c>
      <c r="B2331" t="s">
        <v>580</v>
      </c>
      <c r="C2331" t="s">
        <v>71</v>
      </c>
      <c r="D2331" s="1">
        <v>43258</v>
      </c>
      <c r="E2331" s="1">
        <v>43622</v>
      </c>
      <c r="F2331" t="s">
        <v>76</v>
      </c>
      <c r="G2331">
        <v>1</v>
      </c>
      <c r="H2331" t="s">
        <v>42</v>
      </c>
      <c r="I2331" t="s">
        <v>43</v>
      </c>
      <c r="J2331" t="s">
        <v>115</v>
      </c>
      <c r="K2331" t="s">
        <v>127</v>
      </c>
      <c r="L2331">
        <v>9277.1</v>
      </c>
      <c r="M2331" s="1">
        <v>43258</v>
      </c>
      <c r="N2331" t="s">
        <v>45</v>
      </c>
      <c r="O2331" t="s">
        <v>46</v>
      </c>
      <c r="P2331" t="s">
        <v>47</v>
      </c>
      <c r="Q2331" s="1">
        <v>43852</v>
      </c>
      <c r="R2331" t="s">
        <v>48</v>
      </c>
      <c r="S2331" t="s">
        <v>78</v>
      </c>
      <c r="T2331" t="s">
        <v>79</v>
      </c>
      <c r="U2331" t="s">
        <v>42</v>
      </c>
      <c r="V2331">
        <v>1200000</v>
      </c>
      <c r="W2331">
        <v>100000</v>
      </c>
      <c r="X2331" s="1">
        <v>43921</v>
      </c>
      <c r="Y2331" t="s">
        <v>51</v>
      </c>
      <c r="Z2331" t="s">
        <v>43</v>
      </c>
      <c r="AA2331" t="s">
        <v>80</v>
      </c>
      <c r="AB2331" t="s">
        <v>76</v>
      </c>
      <c r="AC2331" t="s">
        <v>81</v>
      </c>
      <c r="AF2331" t="s">
        <v>59</v>
      </c>
      <c r="AG2331" s="1">
        <v>43838</v>
      </c>
      <c r="AH2331" t="s">
        <v>42</v>
      </c>
      <c r="AI2331" t="s">
        <v>55</v>
      </c>
      <c r="AJ2331">
        <v>12788092</v>
      </c>
      <c r="AK2331">
        <v>250000</v>
      </c>
      <c r="AL2331">
        <v>1500000</v>
      </c>
    </row>
    <row r="2332" spans="1:38" x14ac:dyDescent="0.25">
      <c r="A2332" t="s">
        <v>522</v>
      </c>
      <c r="B2332" t="s">
        <v>581</v>
      </c>
      <c r="C2332" t="s">
        <v>71</v>
      </c>
      <c r="D2332" s="1">
        <v>43297</v>
      </c>
      <c r="E2332" s="1">
        <v>43661</v>
      </c>
      <c r="F2332" t="s">
        <v>76</v>
      </c>
      <c r="G2332">
        <v>1</v>
      </c>
      <c r="H2332" t="s">
        <v>42</v>
      </c>
      <c r="I2332" t="s">
        <v>43</v>
      </c>
      <c r="J2332" t="s">
        <v>73</v>
      </c>
      <c r="K2332" t="s">
        <v>127</v>
      </c>
      <c r="L2332">
        <v>16533.25</v>
      </c>
      <c r="M2332" s="1">
        <v>43297</v>
      </c>
      <c r="N2332" t="s">
        <v>45</v>
      </c>
      <c r="O2332" t="s">
        <v>46</v>
      </c>
      <c r="P2332" t="s">
        <v>47</v>
      </c>
      <c r="Q2332" s="1">
        <v>43852</v>
      </c>
      <c r="R2332" t="s">
        <v>48</v>
      </c>
      <c r="S2332" t="s">
        <v>78</v>
      </c>
      <c r="T2332" t="s">
        <v>79</v>
      </c>
      <c r="U2332" t="s">
        <v>42</v>
      </c>
      <c r="V2332">
        <v>1200000</v>
      </c>
      <c r="W2332">
        <v>100000</v>
      </c>
      <c r="X2332" s="1">
        <v>43921</v>
      </c>
      <c r="Y2332" t="s">
        <v>51</v>
      </c>
      <c r="Z2332" t="s">
        <v>43</v>
      </c>
      <c r="AA2332" t="s">
        <v>80</v>
      </c>
      <c r="AB2332" t="s">
        <v>76</v>
      </c>
      <c r="AC2332" t="s">
        <v>81</v>
      </c>
      <c r="AF2332" t="s">
        <v>54</v>
      </c>
      <c r="AG2332" s="1">
        <v>43832</v>
      </c>
      <c r="AH2332" t="s">
        <v>42</v>
      </c>
      <c r="AI2332" t="s">
        <v>55</v>
      </c>
      <c r="AJ2332">
        <v>12788092</v>
      </c>
      <c r="AK2332">
        <v>250000</v>
      </c>
      <c r="AL2332">
        <v>1500000</v>
      </c>
    </row>
    <row r="2333" spans="1:38" x14ac:dyDescent="0.25">
      <c r="A2333" t="s">
        <v>522</v>
      </c>
      <c r="B2333" t="s">
        <v>581</v>
      </c>
      <c r="C2333" t="s">
        <v>71</v>
      </c>
      <c r="D2333" s="1">
        <v>43297</v>
      </c>
      <c r="E2333" s="1">
        <v>43661</v>
      </c>
      <c r="F2333" t="s">
        <v>76</v>
      </c>
      <c r="G2333">
        <v>1</v>
      </c>
      <c r="H2333" t="s">
        <v>42</v>
      </c>
      <c r="I2333" t="s">
        <v>43</v>
      </c>
      <c r="J2333" t="s">
        <v>73</v>
      </c>
      <c r="K2333" t="s">
        <v>127</v>
      </c>
      <c r="L2333">
        <v>16533.25</v>
      </c>
      <c r="M2333" s="1">
        <v>43297</v>
      </c>
      <c r="N2333" t="s">
        <v>45</v>
      </c>
      <c r="O2333" t="s">
        <v>46</v>
      </c>
      <c r="P2333" t="s">
        <v>47</v>
      </c>
      <c r="Q2333" s="1">
        <v>43852</v>
      </c>
      <c r="R2333" t="s">
        <v>48</v>
      </c>
      <c r="S2333" t="s">
        <v>78</v>
      </c>
      <c r="T2333" t="s">
        <v>79</v>
      </c>
      <c r="U2333" t="s">
        <v>42</v>
      </c>
      <c r="V2333">
        <v>1200000</v>
      </c>
      <c r="W2333">
        <v>100000</v>
      </c>
      <c r="X2333" s="1">
        <v>43921</v>
      </c>
      <c r="Y2333" t="s">
        <v>51</v>
      </c>
      <c r="Z2333" t="s">
        <v>43</v>
      </c>
      <c r="AA2333" t="s">
        <v>80</v>
      </c>
      <c r="AB2333" t="s">
        <v>76</v>
      </c>
      <c r="AC2333" t="s">
        <v>81</v>
      </c>
      <c r="AF2333" t="s">
        <v>56</v>
      </c>
      <c r="AG2333" s="1">
        <v>43833</v>
      </c>
      <c r="AH2333" t="s">
        <v>42</v>
      </c>
      <c r="AI2333" t="s">
        <v>55</v>
      </c>
      <c r="AJ2333">
        <v>12788092</v>
      </c>
      <c r="AK2333">
        <v>250000</v>
      </c>
      <c r="AL2333">
        <v>1500000</v>
      </c>
    </row>
    <row r="2334" spans="1:38" x14ac:dyDescent="0.25">
      <c r="A2334" t="s">
        <v>522</v>
      </c>
      <c r="B2334" t="s">
        <v>581</v>
      </c>
      <c r="C2334" t="s">
        <v>71</v>
      </c>
      <c r="D2334" s="1">
        <v>43297</v>
      </c>
      <c r="E2334" s="1">
        <v>43661</v>
      </c>
      <c r="F2334" t="s">
        <v>76</v>
      </c>
      <c r="G2334">
        <v>1</v>
      </c>
      <c r="H2334" t="s">
        <v>42</v>
      </c>
      <c r="I2334" t="s">
        <v>43</v>
      </c>
      <c r="J2334" t="s">
        <v>73</v>
      </c>
      <c r="K2334" t="s">
        <v>127</v>
      </c>
      <c r="L2334">
        <v>16533.25</v>
      </c>
      <c r="M2334" s="1">
        <v>43297</v>
      </c>
      <c r="N2334" t="s">
        <v>45</v>
      </c>
      <c r="O2334" t="s">
        <v>46</v>
      </c>
      <c r="P2334" t="s">
        <v>47</v>
      </c>
      <c r="Q2334" s="1">
        <v>43852</v>
      </c>
      <c r="R2334" t="s">
        <v>48</v>
      </c>
      <c r="S2334" t="s">
        <v>78</v>
      </c>
      <c r="T2334" t="s">
        <v>79</v>
      </c>
      <c r="U2334" t="s">
        <v>42</v>
      </c>
      <c r="V2334">
        <v>1200000</v>
      </c>
      <c r="W2334">
        <v>100000</v>
      </c>
      <c r="X2334" s="1">
        <v>43921</v>
      </c>
      <c r="Y2334" t="s">
        <v>51</v>
      </c>
      <c r="Z2334" t="s">
        <v>43</v>
      </c>
      <c r="AA2334" t="s">
        <v>80</v>
      </c>
      <c r="AB2334" t="s">
        <v>76</v>
      </c>
      <c r="AC2334" t="s">
        <v>81</v>
      </c>
      <c r="AF2334" t="s">
        <v>57</v>
      </c>
      <c r="AG2334" s="1">
        <v>43836</v>
      </c>
      <c r="AH2334" t="s">
        <v>42</v>
      </c>
      <c r="AI2334" t="s">
        <v>55</v>
      </c>
      <c r="AJ2334">
        <v>12788092</v>
      </c>
      <c r="AK2334">
        <v>250000</v>
      </c>
      <c r="AL2334">
        <v>1500000</v>
      </c>
    </row>
    <row r="2335" spans="1:38" x14ac:dyDescent="0.25">
      <c r="A2335" t="s">
        <v>522</v>
      </c>
      <c r="B2335" t="s">
        <v>581</v>
      </c>
      <c r="C2335" t="s">
        <v>71</v>
      </c>
      <c r="D2335" s="1">
        <v>43297</v>
      </c>
      <c r="E2335" s="1">
        <v>43661</v>
      </c>
      <c r="F2335" t="s">
        <v>76</v>
      </c>
      <c r="G2335">
        <v>1</v>
      </c>
      <c r="H2335" t="s">
        <v>42</v>
      </c>
      <c r="I2335" t="s">
        <v>43</v>
      </c>
      <c r="J2335" t="s">
        <v>73</v>
      </c>
      <c r="K2335" t="s">
        <v>127</v>
      </c>
      <c r="L2335">
        <v>16533.25</v>
      </c>
      <c r="M2335" s="1">
        <v>43297</v>
      </c>
      <c r="N2335" t="s">
        <v>45</v>
      </c>
      <c r="O2335" t="s">
        <v>46</v>
      </c>
      <c r="P2335" t="s">
        <v>47</v>
      </c>
      <c r="Q2335" s="1">
        <v>43852</v>
      </c>
      <c r="R2335" t="s">
        <v>48</v>
      </c>
      <c r="S2335" t="s">
        <v>78</v>
      </c>
      <c r="T2335" t="s">
        <v>79</v>
      </c>
      <c r="U2335" t="s">
        <v>42</v>
      </c>
      <c r="V2335">
        <v>1200000</v>
      </c>
      <c r="W2335">
        <v>100000</v>
      </c>
      <c r="X2335" s="1">
        <v>43921</v>
      </c>
      <c r="Y2335" t="s">
        <v>51</v>
      </c>
      <c r="Z2335" t="s">
        <v>43</v>
      </c>
      <c r="AA2335" t="s">
        <v>80</v>
      </c>
      <c r="AB2335" t="s">
        <v>76</v>
      </c>
      <c r="AC2335" t="s">
        <v>81</v>
      </c>
      <c r="AF2335" t="s">
        <v>58</v>
      </c>
      <c r="AG2335" s="1">
        <v>43837</v>
      </c>
      <c r="AH2335" t="s">
        <v>42</v>
      </c>
      <c r="AI2335" t="s">
        <v>55</v>
      </c>
      <c r="AJ2335">
        <v>12788092</v>
      </c>
      <c r="AK2335">
        <v>250000</v>
      </c>
      <c r="AL2335">
        <v>1500000</v>
      </c>
    </row>
    <row r="2336" spans="1:38" x14ac:dyDescent="0.25">
      <c r="A2336" t="s">
        <v>522</v>
      </c>
      <c r="B2336" t="s">
        <v>581</v>
      </c>
      <c r="C2336" t="s">
        <v>71</v>
      </c>
      <c r="D2336" s="1">
        <v>43297</v>
      </c>
      <c r="E2336" s="1">
        <v>43661</v>
      </c>
      <c r="F2336" t="s">
        <v>76</v>
      </c>
      <c r="G2336">
        <v>1</v>
      </c>
      <c r="H2336" t="s">
        <v>42</v>
      </c>
      <c r="I2336" t="s">
        <v>43</v>
      </c>
      <c r="J2336" t="s">
        <v>73</v>
      </c>
      <c r="K2336" t="s">
        <v>127</v>
      </c>
      <c r="L2336">
        <v>16533.25</v>
      </c>
      <c r="M2336" s="1">
        <v>43297</v>
      </c>
      <c r="N2336" t="s">
        <v>45</v>
      </c>
      <c r="O2336" t="s">
        <v>46</v>
      </c>
      <c r="P2336" t="s">
        <v>47</v>
      </c>
      <c r="Q2336" s="1">
        <v>43852</v>
      </c>
      <c r="R2336" t="s">
        <v>48</v>
      </c>
      <c r="S2336" t="s">
        <v>78</v>
      </c>
      <c r="T2336" t="s">
        <v>79</v>
      </c>
      <c r="U2336" t="s">
        <v>42</v>
      </c>
      <c r="V2336">
        <v>1200000</v>
      </c>
      <c r="W2336">
        <v>100000</v>
      </c>
      <c r="X2336" s="1">
        <v>43921</v>
      </c>
      <c r="Y2336" t="s">
        <v>51</v>
      </c>
      <c r="Z2336" t="s">
        <v>43</v>
      </c>
      <c r="AA2336" t="s">
        <v>80</v>
      </c>
      <c r="AB2336" t="s">
        <v>76</v>
      </c>
      <c r="AC2336" t="s">
        <v>81</v>
      </c>
      <c r="AF2336" t="s">
        <v>59</v>
      </c>
      <c r="AG2336" s="1">
        <v>43838</v>
      </c>
      <c r="AH2336" t="s">
        <v>42</v>
      </c>
      <c r="AI2336" t="s">
        <v>55</v>
      </c>
      <c r="AJ2336">
        <v>12788092</v>
      </c>
      <c r="AK2336">
        <v>250000</v>
      </c>
      <c r="AL2336">
        <v>1500000</v>
      </c>
    </row>
    <row r="2337" spans="1:38" x14ac:dyDescent="0.25">
      <c r="A2337" t="s">
        <v>522</v>
      </c>
      <c r="B2337" t="s">
        <v>582</v>
      </c>
      <c r="C2337" t="s">
        <v>71</v>
      </c>
      <c r="D2337" s="1">
        <v>43297</v>
      </c>
      <c r="E2337" s="1">
        <v>43661</v>
      </c>
      <c r="F2337" t="s">
        <v>76</v>
      </c>
      <c r="G2337">
        <v>1</v>
      </c>
      <c r="H2337" t="s">
        <v>42</v>
      </c>
      <c r="I2337" t="s">
        <v>43</v>
      </c>
      <c r="J2337" t="s">
        <v>115</v>
      </c>
      <c r="K2337" t="s">
        <v>127</v>
      </c>
      <c r="L2337">
        <v>15408.4</v>
      </c>
      <c r="M2337" s="1">
        <v>43297</v>
      </c>
      <c r="N2337" t="s">
        <v>45</v>
      </c>
      <c r="O2337" t="s">
        <v>46</v>
      </c>
      <c r="P2337" t="s">
        <v>47</v>
      </c>
      <c r="Q2337" s="1">
        <v>43852</v>
      </c>
      <c r="R2337" t="s">
        <v>48</v>
      </c>
      <c r="S2337" t="s">
        <v>78</v>
      </c>
      <c r="T2337" t="s">
        <v>79</v>
      </c>
      <c r="U2337" t="s">
        <v>42</v>
      </c>
      <c r="V2337">
        <v>1200000</v>
      </c>
      <c r="W2337">
        <v>100000</v>
      </c>
      <c r="X2337" s="1">
        <v>43921</v>
      </c>
      <c r="Y2337" t="s">
        <v>51</v>
      </c>
      <c r="Z2337" t="s">
        <v>43</v>
      </c>
      <c r="AA2337" t="s">
        <v>80</v>
      </c>
      <c r="AB2337" t="s">
        <v>76</v>
      </c>
      <c r="AC2337" t="s">
        <v>81</v>
      </c>
      <c r="AF2337" t="s">
        <v>54</v>
      </c>
      <c r="AG2337" s="1">
        <v>43832</v>
      </c>
      <c r="AH2337" t="s">
        <v>42</v>
      </c>
      <c r="AI2337" t="s">
        <v>55</v>
      </c>
      <c r="AJ2337">
        <v>12788092</v>
      </c>
      <c r="AK2337">
        <v>250000</v>
      </c>
      <c r="AL2337">
        <v>1500000</v>
      </c>
    </row>
    <row r="2338" spans="1:38" x14ac:dyDescent="0.25">
      <c r="A2338" t="s">
        <v>522</v>
      </c>
      <c r="B2338" t="s">
        <v>582</v>
      </c>
      <c r="C2338" t="s">
        <v>71</v>
      </c>
      <c r="D2338" s="1">
        <v>43297</v>
      </c>
      <c r="E2338" s="1">
        <v>43661</v>
      </c>
      <c r="F2338" t="s">
        <v>76</v>
      </c>
      <c r="G2338">
        <v>1</v>
      </c>
      <c r="H2338" t="s">
        <v>42</v>
      </c>
      <c r="I2338" t="s">
        <v>43</v>
      </c>
      <c r="J2338" t="s">
        <v>115</v>
      </c>
      <c r="K2338" t="s">
        <v>127</v>
      </c>
      <c r="L2338">
        <v>15408.4</v>
      </c>
      <c r="M2338" s="1">
        <v>43297</v>
      </c>
      <c r="N2338" t="s">
        <v>45</v>
      </c>
      <c r="O2338" t="s">
        <v>46</v>
      </c>
      <c r="P2338" t="s">
        <v>47</v>
      </c>
      <c r="Q2338" s="1">
        <v>43852</v>
      </c>
      <c r="R2338" t="s">
        <v>48</v>
      </c>
      <c r="S2338" t="s">
        <v>78</v>
      </c>
      <c r="T2338" t="s">
        <v>79</v>
      </c>
      <c r="U2338" t="s">
        <v>42</v>
      </c>
      <c r="V2338">
        <v>1200000</v>
      </c>
      <c r="W2338">
        <v>100000</v>
      </c>
      <c r="X2338" s="1">
        <v>43921</v>
      </c>
      <c r="Y2338" t="s">
        <v>51</v>
      </c>
      <c r="Z2338" t="s">
        <v>43</v>
      </c>
      <c r="AA2338" t="s">
        <v>80</v>
      </c>
      <c r="AB2338" t="s">
        <v>76</v>
      </c>
      <c r="AC2338" t="s">
        <v>81</v>
      </c>
      <c r="AF2338" t="s">
        <v>56</v>
      </c>
      <c r="AG2338" s="1">
        <v>43833</v>
      </c>
      <c r="AH2338" t="s">
        <v>42</v>
      </c>
      <c r="AI2338" t="s">
        <v>55</v>
      </c>
      <c r="AJ2338">
        <v>12788092</v>
      </c>
      <c r="AK2338">
        <v>250000</v>
      </c>
      <c r="AL2338">
        <v>1500000</v>
      </c>
    </row>
    <row r="2339" spans="1:38" x14ac:dyDescent="0.25">
      <c r="A2339" t="s">
        <v>522</v>
      </c>
      <c r="B2339" t="s">
        <v>582</v>
      </c>
      <c r="C2339" t="s">
        <v>71</v>
      </c>
      <c r="D2339" s="1">
        <v>43297</v>
      </c>
      <c r="E2339" s="1">
        <v>43661</v>
      </c>
      <c r="F2339" t="s">
        <v>76</v>
      </c>
      <c r="G2339">
        <v>1</v>
      </c>
      <c r="H2339" t="s">
        <v>42</v>
      </c>
      <c r="I2339" t="s">
        <v>43</v>
      </c>
      <c r="J2339" t="s">
        <v>115</v>
      </c>
      <c r="K2339" t="s">
        <v>127</v>
      </c>
      <c r="L2339">
        <v>15408.4</v>
      </c>
      <c r="M2339" s="1">
        <v>43297</v>
      </c>
      <c r="N2339" t="s">
        <v>45</v>
      </c>
      <c r="O2339" t="s">
        <v>46</v>
      </c>
      <c r="P2339" t="s">
        <v>47</v>
      </c>
      <c r="Q2339" s="1">
        <v>43852</v>
      </c>
      <c r="R2339" t="s">
        <v>48</v>
      </c>
      <c r="S2339" t="s">
        <v>78</v>
      </c>
      <c r="T2339" t="s">
        <v>79</v>
      </c>
      <c r="U2339" t="s">
        <v>42</v>
      </c>
      <c r="V2339">
        <v>1200000</v>
      </c>
      <c r="W2339">
        <v>100000</v>
      </c>
      <c r="X2339" s="1">
        <v>43921</v>
      </c>
      <c r="Y2339" t="s">
        <v>51</v>
      </c>
      <c r="Z2339" t="s">
        <v>43</v>
      </c>
      <c r="AA2339" t="s">
        <v>80</v>
      </c>
      <c r="AB2339" t="s">
        <v>76</v>
      </c>
      <c r="AC2339" t="s">
        <v>81</v>
      </c>
      <c r="AF2339" t="s">
        <v>57</v>
      </c>
      <c r="AG2339" s="1">
        <v>43836</v>
      </c>
      <c r="AH2339" t="s">
        <v>42</v>
      </c>
      <c r="AI2339" t="s">
        <v>55</v>
      </c>
      <c r="AJ2339">
        <v>12788092</v>
      </c>
      <c r="AK2339">
        <v>250000</v>
      </c>
      <c r="AL2339">
        <v>1500000</v>
      </c>
    </row>
    <row r="2340" spans="1:38" x14ac:dyDescent="0.25">
      <c r="A2340" t="s">
        <v>522</v>
      </c>
      <c r="B2340" t="s">
        <v>582</v>
      </c>
      <c r="C2340" t="s">
        <v>71</v>
      </c>
      <c r="D2340" s="1">
        <v>43297</v>
      </c>
      <c r="E2340" s="1">
        <v>43661</v>
      </c>
      <c r="F2340" t="s">
        <v>76</v>
      </c>
      <c r="G2340">
        <v>1</v>
      </c>
      <c r="H2340" t="s">
        <v>42</v>
      </c>
      <c r="I2340" t="s">
        <v>43</v>
      </c>
      <c r="J2340" t="s">
        <v>115</v>
      </c>
      <c r="K2340" t="s">
        <v>127</v>
      </c>
      <c r="L2340">
        <v>15408.4</v>
      </c>
      <c r="M2340" s="1">
        <v>43297</v>
      </c>
      <c r="N2340" t="s">
        <v>45</v>
      </c>
      <c r="O2340" t="s">
        <v>46</v>
      </c>
      <c r="P2340" t="s">
        <v>47</v>
      </c>
      <c r="Q2340" s="1">
        <v>43852</v>
      </c>
      <c r="R2340" t="s">
        <v>48</v>
      </c>
      <c r="S2340" t="s">
        <v>78</v>
      </c>
      <c r="T2340" t="s">
        <v>79</v>
      </c>
      <c r="U2340" t="s">
        <v>42</v>
      </c>
      <c r="V2340">
        <v>1200000</v>
      </c>
      <c r="W2340">
        <v>100000</v>
      </c>
      <c r="X2340" s="1">
        <v>43921</v>
      </c>
      <c r="Y2340" t="s">
        <v>51</v>
      </c>
      <c r="Z2340" t="s">
        <v>43</v>
      </c>
      <c r="AA2340" t="s">
        <v>80</v>
      </c>
      <c r="AB2340" t="s">
        <v>76</v>
      </c>
      <c r="AC2340" t="s">
        <v>81</v>
      </c>
      <c r="AF2340" t="s">
        <v>58</v>
      </c>
      <c r="AG2340" s="1">
        <v>43837</v>
      </c>
      <c r="AH2340" t="s">
        <v>42</v>
      </c>
      <c r="AI2340" t="s">
        <v>55</v>
      </c>
      <c r="AJ2340">
        <v>12788092</v>
      </c>
      <c r="AK2340">
        <v>250000</v>
      </c>
      <c r="AL2340">
        <v>1500000</v>
      </c>
    </row>
    <row r="2341" spans="1:38" x14ac:dyDescent="0.25">
      <c r="A2341" t="s">
        <v>522</v>
      </c>
      <c r="B2341" t="s">
        <v>582</v>
      </c>
      <c r="C2341" t="s">
        <v>71</v>
      </c>
      <c r="D2341" s="1">
        <v>43297</v>
      </c>
      <c r="E2341" s="1">
        <v>43661</v>
      </c>
      <c r="F2341" t="s">
        <v>76</v>
      </c>
      <c r="G2341">
        <v>1</v>
      </c>
      <c r="H2341" t="s">
        <v>42</v>
      </c>
      <c r="I2341" t="s">
        <v>43</v>
      </c>
      <c r="J2341" t="s">
        <v>115</v>
      </c>
      <c r="K2341" t="s">
        <v>127</v>
      </c>
      <c r="L2341">
        <v>15408.4</v>
      </c>
      <c r="M2341" s="1">
        <v>43297</v>
      </c>
      <c r="N2341" t="s">
        <v>45</v>
      </c>
      <c r="O2341" t="s">
        <v>46</v>
      </c>
      <c r="P2341" t="s">
        <v>47</v>
      </c>
      <c r="Q2341" s="1">
        <v>43852</v>
      </c>
      <c r="R2341" t="s">
        <v>48</v>
      </c>
      <c r="S2341" t="s">
        <v>78</v>
      </c>
      <c r="T2341" t="s">
        <v>79</v>
      </c>
      <c r="U2341" t="s">
        <v>42</v>
      </c>
      <c r="V2341">
        <v>1200000</v>
      </c>
      <c r="W2341">
        <v>100000</v>
      </c>
      <c r="X2341" s="1">
        <v>43921</v>
      </c>
      <c r="Y2341" t="s">
        <v>51</v>
      </c>
      <c r="Z2341" t="s">
        <v>43</v>
      </c>
      <c r="AA2341" t="s">
        <v>80</v>
      </c>
      <c r="AB2341" t="s">
        <v>76</v>
      </c>
      <c r="AC2341" t="s">
        <v>81</v>
      </c>
      <c r="AF2341" t="s">
        <v>59</v>
      </c>
      <c r="AG2341" s="1">
        <v>43838</v>
      </c>
      <c r="AH2341" t="s">
        <v>42</v>
      </c>
      <c r="AI2341" t="s">
        <v>55</v>
      </c>
      <c r="AJ2341">
        <v>12788092</v>
      </c>
      <c r="AK2341">
        <v>250000</v>
      </c>
      <c r="AL2341">
        <v>1500000</v>
      </c>
    </row>
    <row r="2342" spans="1:38" x14ac:dyDescent="0.25">
      <c r="A2342" t="s">
        <v>522</v>
      </c>
      <c r="B2342" t="s">
        <v>583</v>
      </c>
      <c r="C2342" t="s">
        <v>71</v>
      </c>
      <c r="D2342" s="1">
        <v>43297</v>
      </c>
      <c r="E2342" s="1">
        <v>43661</v>
      </c>
      <c r="F2342" t="s">
        <v>76</v>
      </c>
      <c r="G2342">
        <v>1</v>
      </c>
      <c r="H2342" t="s">
        <v>42</v>
      </c>
      <c r="I2342" t="s">
        <v>43</v>
      </c>
      <c r="J2342" t="s">
        <v>115</v>
      </c>
      <c r="K2342" t="s">
        <v>127</v>
      </c>
      <c r="L2342">
        <v>56757.75</v>
      </c>
      <c r="M2342" s="1">
        <v>43297</v>
      </c>
      <c r="N2342" t="s">
        <v>45</v>
      </c>
      <c r="O2342" t="s">
        <v>46</v>
      </c>
      <c r="P2342" t="s">
        <v>47</v>
      </c>
      <c r="Q2342" s="1">
        <v>43852</v>
      </c>
      <c r="R2342" t="s">
        <v>48</v>
      </c>
      <c r="S2342" t="s">
        <v>78</v>
      </c>
      <c r="T2342" t="s">
        <v>79</v>
      </c>
      <c r="U2342" t="s">
        <v>42</v>
      </c>
      <c r="V2342">
        <v>1200000</v>
      </c>
      <c r="W2342">
        <v>100000</v>
      </c>
      <c r="X2342" s="1">
        <v>43921</v>
      </c>
      <c r="Y2342" t="s">
        <v>51</v>
      </c>
      <c r="Z2342" t="s">
        <v>43</v>
      </c>
      <c r="AA2342" t="s">
        <v>80</v>
      </c>
      <c r="AB2342" t="s">
        <v>76</v>
      </c>
      <c r="AC2342" t="s">
        <v>81</v>
      </c>
      <c r="AF2342" t="s">
        <v>54</v>
      </c>
      <c r="AG2342" s="1">
        <v>43832</v>
      </c>
      <c r="AH2342" t="s">
        <v>42</v>
      </c>
      <c r="AI2342" t="s">
        <v>55</v>
      </c>
      <c r="AJ2342">
        <v>12788092</v>
      </c>
      <c r="AK2342">
        <v>250000</v>
      </c>
      <c r="AL2342">
        <v>1500000</v>
      </c>
    </row>
    <row r="2343" spans="1:38" x14ac:dyDescent="0.25">
      <c r="A2343" t="s">
        <v>522</v>
      </c>
      <c r="B2343" t="s">
        <v>583</v>
      </c>
      <c r="C2343" t="s">
        <v>71</v>
      </c>
      <c r="D2343" s="1">
        <v>43297</v>
      </c>
      <c r="E2343" s="1">
        <v>43661</v>
      </c>
      <c r="F2343" t="s">
        <v>76</v>
      </c>
      <c r="G2343">
        <v>1</v>
      </c>
      <c r="H2343" t="s">
        <v>42</v>
      </c>
      <c r="I2343" t="s">
        <v>43</v>
      </c>
      <c r="J2343" t="s">
        <v>115</v>
      </c>
      <c r="K2343" t="s">
        <v>127</v>
      </c>
      <c r="L2343">
        <v>56757.75</v>
      </c>
      <c r="M2343" s="1">
        <v>43297</v>
      </c>
      <c r="N2343" t="s">
        <v>45</v>
      </c>
      <c r="O2343" t="s">
        <v>46</v>
      </c>
      <c r="P2343" t="s">
        <v>47</v>
      </c>
      <c r="Q2343" s="1">
        <v>43852</v>
      </c>
      <c r="R2343" t="s">
        <v>48</v>
      </c>
      <c r="S2343" t="s">
        <v>78</v>
      </c>
      <c r="T2343" t="s">
        <v>79</v>
      </c>
      <c r="U2343" t="s">
        <v>42</v>
      </c>
      <c r="V2343">
        <v>1200000</v>
      </c>
      <c r="W2343">
        <v>100000</v>
      </c>
      <c r="X2343" s="1">
        <v>43921</v>
      </c>
      <c r="Y2343" t="s">
        <v>51</v>
      </c>
      <c r="Z2343" t="s">
        <v>43</v>
      </c>
      <c r="AA2343" t="s">
        <v>80</v>
      </c>
      <c r="AB2343" t="s">
        <v>76</v>
      </c>
      <c r="AC2343" t="s">
        <v>81</v>
      </c>
      <c r="AF2343" t="s">
        <v>56</v>
      </c>
      <c r="AG2343" s="1">
        <v>43833</v>
      </c>
      <c r="AH2343" t="s">
        <v>42</v>
      </c>
      <c r="AI2343" t="s">
        <v>55</v>
      </c>
      <c r="AJ2343">
        <v>12788092</v>
      </c>
      <c r="AK2343">
        <v>250000</v>
      </c>
      <c r="AL2343">
        <v>1500000</v>
      </c>
    </row>
    <row r="2344" spans="1:38" x14ac:dyDescent="0.25">
      <c r="A2344" t="s">
        <v>522</v>
      </c>
      <c r="B2344" t="s">
        <v>583</v>
      </c>
      <c r="C2344" t="s">
        <v>71</v>
      </c>
      <c r="D2344" s="1">
        <v>43297</v>
      </c>
      <c r="E2344" s="1">
        <v>43661</v>
      </c>
      <c r="F2344" t="s">
        <v>76</v>
      </c>
      <c r="G2344">
        <v>1</v>
      </c>
      <c r="H2344" t="s">
        <v>42</v>
      </c>
      <c r="I2344" t="s">
        <v>43</v>
      </c>
      <c r="J2344" t="s">
        <v>115</v>
      </c>
      <c r="K2344" t="s">
        <v>127</v>
      </c>
      <c r="L2344">
        <v>56757.75</v>
      </c>
      <c r="M2344" s="1">
        <v>43297</v>
      </c>
      <c r="N2344" t="s">
        <v>45</v>
      </c>
      <c r="O2344" t="s">
        <v>46</v>
      </c>
      <c r="P2344" t="s">
        <v>47</v>
      </c>
      <c r="Q2344" s="1">
        <v>43852</v>
      </c>
      <c r="R2344" t="s">
        <v>48</v>
      </c>
      <c r="S2344" t="s">
        <v>78</v>
      </c>
      <c r="T2344" t="s">
        <v>79</v>
      </c>
      <c r="U2344" t="s">
        <v>42</v>
      </c>
      <c r="V2344">
        <v>1200000</v>
      </c>
      <c r="W2344">
        <v>100000</v>
      </c>
      <c r="X2344" s="1">
        <v>43921</v>
      </c>
      <c r="Y2344" t="s">
        <v>51</v>
      </c>
      <c r="Z2344" t="s">
        <v>43</v>
      </c>
      <c r="AA2344" t="s">
        <v>80</v>
      </c>
      <c r="AB2344" t="s">
        <v>76</v>
      </c>
      <c r="AC2344" t="s">
        <v>81</v>
      </c>
      <c r="AF2344" t="s">
        <v>57</v>
      </c>
      <c r="AG2344" s="1">
        <v>43836</v>
      </c>
      <c r="AH2344" t="s">
        <v>42</v>
      </c>
      <c r="AI2344" t="s">
        <v>55</v>
      </c>
      <c r="AJ2344">
        <v>12788092</v>
      </c>
      <c r="AK2344">
        <v>250000</v>
      </c>
      <c r="AL2344">
        <v>1500000</v>
      </c>
    </row>
    <row r="2345" spans="1:38" x14ac:dyDescent="0.25">
      <c r="A2345" t="s">
        <v>522</v>
      </c>
      <c r="B2345" t="s">
        <v>583</v>
      </c>
      <c r="C2345" t="s">
        <v>71</v>
      </c>
      <c r="D2345" s="1">
        <v>43297</v>
      </c>
      <c r="E2345" s="1">
        <v>43661</v>
      </c>
      <c r="F2345" t="s">
        <v>76</v>
      </c>
      <c r="G2345">
        <v>1</v>
      </c>
      <c r="H2345" t="s">
        <v>42</v>
      </c>
      <c r="I2345" t="s">
        <v>43</v>
      </c>
      <c r="J2345" t="s">
        <v>115</v>
      </c>
      <c r="K2345" t="s">
        <v>127</v>
      </c>
      <c r="L2345">
        <v>56757.75</v>
      </c>
      <c r="M2345" s="1">
        <v>43297</v>
      </c>
      <c r="N2345" t="s">
        <v>45</v>
      </c>
      <c r="O2345" t="s">
        <v>46</v>
      </c>
      <c r="P2345" t="s">
        <v>47</v>
      </c>
      <c r="Q2345" s="1">
        <v>43852</v>
      </c>
      <c r="R2345" t="s">
        <v>48</v>
      </c>
      <c r="S2345" t="s">
        <v>78</v>
      </c>
      <c r="T2345" t="s">
        <v>79</v>
      </c>
      <c r="U2345" t="s">
        <v>42</v>
      </c>
      <c r="V2345">
        <v>1200000</v>
      </c>
      <c r="W2345">
        <v>100000</v>
      </c>
      <c r="X2345" s="1">
        <v>43921</v>
      </c>
      <c r="Y2345" t="s">
        <v>51</v>
      </c>
      <c r="Z2345" t="s">
        <v>43</v>
      </c>
      <c r="AA2345" t="s">
        <v>80</v>
      </c>
      <c r="AB2345" t="s">
        <v>76</v>
      </c>
      <c r="AC2345" t="s">
        <v>81</v>
      </c>
      <c r="AF2345" t="s">
        <v>58</v>
      </c>
      <c r="AG2345" s="1">
        <v>43837</v>
      </c>
      <c r="AH2345" t="s">
        <v>42</v>
      </c>
      <c r="AI2345" t="s">
        <v>55</v>
      </c>
      <c r="AJ2345">
        <v>12788092</v>
      </c>
      <c r="AK2345">
        <v>250000</v>
      </c>
      <c r="AL2345">
        <v>1500000</v>
      </c>
    </row>
    <row r="2346" spans="1:38" x14ac:dyDescent="0.25">
      <c r="A2346" t="s">
        <v>522</v>
      </c>
      <c r="B2346" t="s">
        <v>583</v>
      </c>
      <c r="C2346" t="s">
        <v>71</v>
      </c>
      <c r="D2346" s="1">
        <v>43297</v>
      </c>
      <c r="E2346" s="1">
        <v>43661</v>
      </c>
      <c r="F2346" t="s">
        <v>76</v>
      </c>
      <c r="G2346">
        <v>1</v>
      </c>
      <c r="H2346" t="s">
        <v>42</v>
      </c>
      <c r="I2346" t="s">
        <v>43</v>
      </c>
      <c r="J2346" t="s">
        <v>115</v>
      </c>
      <c r="K2346" t="s">
        <v>127</v>
      </c>
      <c r="L2346">
        <v>56757.75</v>
      </c>
      <c r="M2346" s="1">
        <v>43297</v>
      </c>
      <c r="N2346" t="s">
        <v>45</v>
      </c>
      <c r="O2346" t="s">
        <v>46</v>
      </c>
      <c r="P2346" t="s">
        <v>47</v>
      </c>
      <c r="Q2346" s="1">
        <v>43852</v>
      </c>
      <c r="R2346" t="s">
        <v>48</v>
      </c>
      <c r="S2346" t="s">
        <v>78</v>
      </c>
      <c r="T2346" t="s">
        <v>79</v>
      </c>
      <c r="U2346" t="s">
        <v>42</v>
      </c>
      <c r="V2346">
        <v>1200000</v>
      </c>
      <c r="W2346">
        <v>100000</v>
      </c>
      <c r="X2346" s="1">
        <v>43921</v>
      </c>
      <c r="Y2346" t="s">
        <v>51</v>
      </c>
      <c r="Z2346" t="s">
        <v>43</v>
      </c>
      <c r="AA2346" t="s">
        <v>80</v>
      </c>
      <c r="AB2346" t="s">
        <v>76</v>
      </c>
      <c r="AC2346" t="s">
        <v>81</v>
      </c>
      <c r="AF2346" t="s">
        <v>59</v>
      </c>
      <c r="AG2346" s="1">
        <v>43838</v>
      </c>
      <c r="AH2346" t="s">
        <v>42</v>
      </c>
      <c r="AI2346" t="s">
        <v>55</v>
      </c>
      <c r="AJ2346">
        <v>12788092</v>
      </c>
      <c r="AK2346">
        <v>250000</v>
      </c>
      <c r="AL2346">
        <v>1500000</v>
      </c>
    </row>
    <row r="2347" spans="1:38" x14ac:dyDescent="0.25">
      <c r="A2347" t="s">
        <v>522</v>
      </c>
      <c r="B2347" t="s">
        <v>584</v>
      </c>
      <c r="C2347" t="s">
        <v>40</v>
      </c>
      <c r="D2347" s="1">
        <v>43556</v>
      </c>
      <c r="E2347" s="1">
        <v>43921</v>
      </c>
      <c r="F2347" t="s">
        <v>76</v>
      </c>
      <c r="G2347">
        <v>1</v>
      </c>
      <c r="H2347" t="s">
        <v>42</v>
      </c>
      <c r="I2347" t="s">
        <v>43</v>
      </c>
      <c r="J2347" t="s">
        <v>115</v>
      </c>
      <c r="K2347" t="s">
        <v>44</v>
      </c>
      <c r="L2347">
        <v>60229.25</v>
      </c>
      <c r="M2347" s="1">
        <v>43556</v>
      </c>
      <c r="N2347" t="s">
        <v>45</v>
      </c>
      <c r="O2347" t="s">
        <v>44</v>
      </c>
      <c r="P2347" t="s">
        <v>47</v>
      </c>
      <c r="Q2347" s="1">
        <v>43852</v>
      </c>
      <c r="R2347" t="s">
        <v>48</v>
      </c>
      <c r="S2347" t="s">
        <v>78</v>
      </c>
      <c r="T2347" t="s">
        <v>79</v>
      </c>
      <c r="U2347" t="s">
        <v>42</v>
      </c>
      <c r="V2347">
        <v>1200000</v>
      </c>
      <c r="W2347">
        <v>100000</v>
      </c>
      <c r="X2347" s="1">
        <v>43921</v>
      </c>
      <c r="Y2347" t="s">
        <v>51</v>
      </c>
      <c r="Z2347" t="s">
        <v>43</v>
      </c>
      <c r="AA2347" t="s">
        <v>80</v>
      </c>
      <c r="AB2347" t="s">
        <v>76</v>
      </c>
      <c r="AC2347" t="s">
        <v>81</v>
      </c>
      <c r="AF2347" t="s">
        <v>54</v>
      </c>
      <c r="AG2347" s="1">
        <v>43832</v>
      </c>
      <c r="AH2347" t="s">
        <v>42</v>
      </c>
      <c r="AI2347" t="s">
        <v>55</v>
      </c>
      <c r="AJ2347">
        <v>12788092</v>
      </c>
      <c r="AK2347">
        <v>250000</v>
      </c>
      <c r="AL2347">
        <v>1500000</v>
      </c>
    </row>
    <row r="2348" spans="1:38" x14ac:dyDescent="0.25">
      <c r="A2348" t="s">
        <v>522</v>
      </c>
      <c r="B2348" t="s">
        <v>584</v>
      </c>
      <c r="C2348" t="s">
        <v>40</v>
      </c>
      <c r="D2348" s="1">
        <v>43556</v>
      </c>
      <c r="E2348" s="1">
        <v>43921</v>
      </c>
      <c r="F2348" t="s">
        <v>76</v>
      </c>
      <c r="G2348">
        <v>1</v>
      </c>
      <c r="H2348" t="s">
        <v>42</v>
      </c>
      <c r="I2348" t="s">
        <v>43</v>
      </c>
      <c r="J2348" t="s">
        <v>115</v>
      </c>
      <c r="K2348" t="s">
        <v>44</v>
      </c>
      <c r="L2348">
        <v>60229.25</v>
      </c>
      <c r="M2348" s="1">
        <v>43556</v>
      </c>
      <c r="N2348" t="s">
        <v>45</v>
      </c>
      <c r="O2348" t="s">
        <v>44</v>
      </c>
      <c r="P2348" t="s">
        <v>47</v>
      </c>
      <c r="Q2348" s="1">
        <v>43852</v>
      </c>
      <c r="R2348" t="s">
        <v>48</v>
      </c>
      <c r="S2348" t="s">
        <v>78</v>
      </c>
      <c r="T2348" t="s">
        <v>79</v>
      </c>
      <c r="U2348" t="s">
        <v>42</v>
      </c>
      <c r="V2348">
        <v>1200000</v>
      </c>
      <c r="W2348">
        <v>100000</v>
      </c>
      <c r="X2348" s="1">
        <v>43921</v>
      </c>
      <c r="Y2348" t="s">
        <v>51</v>
      </c>
      <c r="Z2348" t="s">
        <v>43</v>
      </c>
      <c r="AA2348" t="s">
        <v>80</v>
      </c>
      <c r="AB2348" t="s">
        <v>76</v>
      </c>
      <c r="AC2348" t="s">
        <v>81</v>
      </c>
      <c r="AF2348" t="s">
        <v>56</v>
      </c>
      <c r="AG2348" s="1">
        <v>43833</v>
      </c>
      <c r="AH2348" t="s">
        <v>42</v>
      </c>
      <c r="AI2348" t="s">
        <v>55</v>
      </c>
      <c r="AJ2348">
        <v>12788092</v>
      </c>
      <c r="AK2348">
        <v>250000</v>
      </c>
      <c r="AL2348">
        <v>1500000</v>
      </c>
    </row>
    <row r="2349" spans="1:38" x14ac:dyDescent="0.25">
      <c r="A2349" t="s">
        <v>522</v>
      </c>
      <c r="B2349" t="s">
        <v>584</v>
      </c>
      <c r="C2349" t="s">
        <v>40</v>
      </c>
      <c r="D2349" s="1">
        <v>43556</v>
      </c>
      <c r="E2349" s="1">
        <v>43921</v>
      </c>
      <c r="F2349" t="s">
        <v>76</v>
      </c>
      <c r="G2349">
        <v>1</v>
      </c>
      <c r="H2349" t="s">
        <v>42</v>
      </c>
      <c r="I2349" t="s">
        <v>43</v>
      </c>
      <c r="J2349" t="s">
        <v>115</v>
      </c>
      <c r="K2349" t="s">
        <v>44</v>
      </c>
      <c r="L2349">
        <v>60229.25</v>
      </c>
      <c r="M2349" s="1">
        <v>43556</v>
      </c>
      <c r="N2349" t="s">
        <v>45</v>
      </c>
      <c r="O2349" t="s">
        <v>44</v>
      </c>
      <c r="P2349" t="s">
        <v>47</v>
      </c>
      <c r="Q2349" s="1">
        <v>43852</v>
      </c>
      <c r="R2349" t="s">
        <v>48</v>
      </c>
      <c r="S2349" t="s">
        <v>78</v>
      </c>
      <c r="T2349" t="s">
        <v>79</v>
      </c>
      <c r="U2349" t="s">
        <v>42</v>
      </c>
      <c r="V2349">
        <v>1200000</v>
      </c>
      <c r="W2349">
        <v>100000</v>
      </c>
      <c r="X2349" s="1">
        <v>43921</v>
      </c>
      <c r="Y2349" t="s">
        <v>51</v>
      </c>
      <c r="Z2349" t="s">
        <v>43</v>
      </c>
      <c r="AA2349" t="s">
        <v>80</v>
      </c>
      <c r="AB2349" t="s">
        <v>76</v>
      </c>
      <c r="AC2349" t="s">
        <v>81</v>
      </c>
      <c r="AF2349" t="s">
        <v>57</v>
      </c>
      <c r="AG2349" s="1">
        <v>43836</v>
      </c>
      <c r="AH2349" t="s">
        <v>42</v>
      </c>
      <c r="AI2349" t="s">
        <v>55</v>
      </c>
      <c r="AJ2349">
        <v>12788092</v>
      </c>
      <c r="AK2349">
        <v>250000</v>
      </c>
      <c r="AL2349">
        <v>1500000</v>
      </c>
    </row>
    <row r="2350" spans="1:38" x14ac:dyDescent="0.25">
      <c r="A2350" t="s">
        <v>522</v>
      </c>
      <c r="B2350" t="s">
        <v>584</v>
      </c>
      <c r="C2350" t="s">
        <v>40</v>
      </c>
      <c r="D2350" s="1">
        <v>43556</v>
      </c>
      <c r="E2350" s="1">
        <v>43921</v>
      </c>
      <c r="F2350" t="s">
        <v>76</v>
      </c>
      <c r="G2350">
        <v>1</v>
      </c>
      <c r="H2350" t="s">
        <v>42</v>
      </c>
      <c r="I2350" t="s">
        <v>43</v>
      </c>
      <c r="J2350" t="s">
        <v>115</v>
      </c>
      <c r="K2350" t="s">
        <v>44</v>
      </c>
      <c r="L2350">
        <v>60229.25</v>
      </c>
      <c r="M2350" s="1">
        <v>43556</v>
      </c>
      <c r="N2350" t="s">
        <v>45</v>
      </c>
      <c r="O2350" t="s">
        <v>44</v>
      </c>
      <c r="P2350" t="s">
        <v>47</v>
      </c>
      <c r="Q2350" s="1">
        <v>43852</v>
      </c>
      <c r="R2350" t="s">
        <v>48</v>
      </c>
      <c r="S2350" t="s">
        <v>78</v>
      </c>
      <c r="T2350" t="s">
        <v>79</v>
      </c>
      <c r="U2350" t="s">
        <v>42</v>
      </c>
      <c r="V2350">
        <v>1200000</v>
      </c>
      <c r="W2350">
        <v>100000</v>
      </c>
      <c r="X2350" s="1">
        <v>43921</v>
      </c>
      <c r="Y2350" t="s">
        <v>51</v>
      </c>
      <c r="Z2350" t="s">
        <v>43</v>
      </c>
      <c r="AA2350" t="s">
        <v>80</v>
      </c>
      <c r="AB2350" t="s">
        <v>76</v>
      </c>
      <c r="AC2350" t="s">
        <v>81</v>
      </c>
      <c r="AF2350" t="s">
        <v>58</v>
      </c>
      <c r="AG2350" s="1">
        <v>43837</v>
      </c>
      <c r="AH2350" t="s">
        <v>42</v>
      </c>
      <c r="AI2350" t="s">
        <v>55</v>
      </c>
      <c r="AJ2350">
        <v>12788092</v>
      </c>
      <c r="AK2350">
        <v>250000</v>
      </c>
      <c r="AL2350">
        <v>1500000</v>
      </c>
    </row>
    <row r="2351" spans="1:38" x14ac:dyDescent="0.25">
      <c r="A2351" t="s">
        <v>522</v>
      </c>
      <c r="B2351" t="s">
        <v>584</v>
      </c>
      <c r="C2351" t="s">
        <v>40</v>
      </c>
      <c r="D2351" s="1">
        <v>43556</v>
      </c>
      <c r="E2351" s="1">
        <v>43921</v>
      </c>
      <c r="F2351" t="s">
        <v>76</v>
      </c>
      <c r="G2351">
        <v>1</v>
      </c>
      <c r="H2351" t="s">
        <v>42</v>
      </c>
      <c r="I2351" t="s">
        <v>43</v>
      </c>
      <c r="J2351" t="s">
        <v>115</v>
      </c>
      <c r="K2351" t="s">
        <v>44</v>
      </c>
      <c r="L2351">
        <v>60229.25</v>
      </c>
      <c r="M2351" s="1">
        <v>43556</v>
      </c>
      <c r="N2351" t="s">
        <v>45</v>
      </c>
      <c r="O2351" t="s">
        <v>44</v>
      </c>
      <c r="P2351" t="s">
        <v>47</v>
      </c>
      <c r="Q2351" s="1">
        <v>43852</v>
      </c>
      <c r="R2351" t="s">
        <v>48</v>
      </c>
      <c r="S2351" t="s">
        <v>78</v>
      </c>
      <c r="T2351" t="s">
        <v>79</v>
      </c>
      <c r="U2351" t="s">
        <v>42</v>
      </c>
      <c r="V2351">
        <v>1200000</v>
      </c>
      <c r="W2351">
        <v>100000</v>
      </c>
      <c r="X2351" s="1">
        <v>43921</v>
      </c>
      <c r="Y2351" t="s">
        <v>51</v>
      </c>
      <c r="Z2351" t="s">
        <v>43</v>
      </c>
      <c r="AA2351" t="s">
        <v>80</v>
      </c>
      <c r="AB2351" t="s">
        <v>76</v>
      </c>
      <c r="AC2351" t="s">
        <v>81</v>
      </c>
      <c r="AF2351" t="s">
        <v>59</v>
      </c>
      <c r="AG2351" s="1">
        <v>43838</v>
      </c>
      <c r="AH2351" t="s">
        <v>42</v>
      </c>
      <c r="AI2351" t="s">
        <v>55</v>
      </c>
      <c r="AJ2351">
        <v>12788092</v>
      </c>
      <c r="AK2351">
        <v>250000</v>
      </c>
      <c r="AL2351">
        <v>1500000</v>
      </c>
    </row>
    <row r="2352" spans="1:38" x14ac:dyDescent="0.25">
      <c r="A2352" t="s">
        <v>522</v>
      </c>
      <c r="B2352" t="s">
        <v>585</v>
      </c>
      <c r="C2352" t="s">
        <v>40</v>
      </c>
      <c r="D2352" s="1">
        <v>43582</v>
      </c>
      <c r="E2352" s="1">
        <v>43611</v>
      </c>
      <c r="F2352" t="s">
        <v>76</v>
      </c>
      <c r="G2352">
        <v>1</v>
      </c>
      <c r="H2352" t="s">
        <v>42</v>
      </c>
      <c r="I2352" t="s">
        <v>43</v>
      </c>
      <c r="J2352" t="s">
        <v>73</v>
      </c>
      <c r="K2352" t="s">
        <v>44</v>
      </c>
      <c r="L2352">
        <v>21358.38</v>
      </c>
      <c r="M2352" s="1">
        <v>43582</v>
      </c>
      <c r="N2352" t="s">
        <v>45</v>
      </c>
      <c r="O2352" t="s">
        <v>44</v>
      </c>
      <c r="P2352" t="s">
        <v>47</v>
      </c>
      <c r="Q2352" s="1">
        <v>43852</v>
      </c>
      <c r="R2352" t="s">
        <v>48</v>
      </c>
      <c r="S2352" t="s">
        <v>78</v>
      </c>
      <c r="T2352" t="s">
        <v>79</v>
      </c>
      <c r="U2352" t="s">
        <v>42</v>
      </c>
      <c r="V2352">
        <v>1200000</v>
      </c>
      <c r="W2352">
        <v>100000</v>
      </c>
      <c r="X2352" s="1">
        <v>43921</v>
      </c>
      <c r="Y2352" t="s">
        <v>51</v>
      </c>
      <c r="Z2352" t="s">
        <v>43</v>
      </c>
      <c r="AA2352" t="s">
        <v>80</v>
      </c>
      <c r="AB2352" t="s">
        <v>76</v>
      </c>
      <c r="AC2352" t="s">
        <v>81</v>
      </c>
      <c r="AF2352" t="s">
        <v>54</v>
      </c>
      <c r="AG2352" s="1">
        <v>43832</v>
      </c>
      <c r="AH2352" t="s">
        <v>42</v>
      </c>
      <c r="AI2352" t="s">
        <v>55</v>
      </c>
      <c r="AJ2352">
        <v>12788092</v>
      </c>
      <c r="AK2352">
        <v>250000</v>
      </c>
      <c r="AL2352">
        <v>1500000</v>
      </c>
    </row>
    <row r="2353" spans="1:38" x14ac:dyDescent="0.25">
      <c r="A2353" t="s">
        <v>522</v>
      </c>
      <c r="B2353" t="s">
        <v>585</v>
      </c>
      <c r="C2353" t="s">
        <v>40</v>
      </c>
      <c r="D2353" s="1">
        <v>43582</v>
      </c>
      <c r="E2353" s="1">
        <v>43611</v>
      </c>
      <c r="F2353" t="s">
        <v>76</v>
      </c>
      <c r="G2353">
        <v>1</v>
      </c>
      <c r="H2353" t="s">
        <v>42</v>
      </c>
      <c r="I2353" t="s">
        <v>43</v>
      </c>
      <c r="J2353" t="s">
        <v>73</v>
      </c>
      <c r="K2353" t="s">
        <v>44</v>
      </c>
      <c r="L2353">
        <v>21358.38</v>
      </c>
      <c r="M2353" s="1">
        <v>43582</v>
      </c>
      <c r="N2353" t="s">
        <v>45</v>
      </c>
      <c r="O2353" t="s">
        <v>44</v>
      </c>
      <c r="P2353" t="s">
        <v>47</v>
      </c>
      <c r="Q2353" s="1">
        <v>43852</v>
      </c>
      <c r="R2353" t="s">
        <v>48</v>
      </c>
      <c r="S2353" t="s">
        <v>78</v>
      </c>
      <c r="T2353" t="s">
        <v>79</v>
      </c>
      <c r="U2353" t="s">
        <v>42</v>
      </c>
      <c r="V2353">
        <v>1200000</v>
      </c>
      <c r="W2353">
        <v>100000</v>
      </c>
      <c r="X2353" s="1">
        <v>43921</v>
      </c>
      <c r="Y2353" t="s">
        <v>51</v>
      </c>
      <c r="Z2353" t="s">
        <v>43</v>
      </c>
      <c r="AA2353" t="s">
        <v>80</v>
      </c>
      <c r="AB2353" t="s">
        <v>76</v>
      </c>
      <c r="AC2353" t="s">
        <v>81</v>
      </c>
      <c r="AF2353" t="s">
        <v>56</v>
      </c>
      <c r="AG2353" s="1">
        <v>43833</v>
      </c>
      <c r="AH2353" t="s">
        <v>42</v>
      </c>
      <c r="AI2353" t="s">
        <v>55</v>
      </c>
      <c r="AJ2353">
        <v>12788092</v>
      </c>
      <c r="AK2353">
        <v>250000</v>
      </c>
      <c r="AL2353">
        <v>1500000</v>
      </c>
    </row>
    <row r="2354" spans="1:38" x14ac:dyDescent="0.25">
      <c r="A2354" t="s">
        <v>522</v>
      </c>
      <c r="B2354" t="s">
        <v>585</v>
      </c>
      <c r="C2354" t="s">
        <v>40</v>
      </c>
      <c r="D2354" s="1">
        <v>43582</v>
      </c>
      <c r="E2354" s="1">
        <v>43611</v>
      </c>
      <c r="F2354" t="s">
        <v>76</v>
      </c>
      <c r="G2354">
        <v>1</v>
      </c>
      <c r="H2354" t="s">
        <v>42</v>
      </c>
      <c r="I2354" t="s">
        <v>43</v>
      </c>
      <c r="J2354" t="s">
        <v>73</v>
      </c>
      <c r="K2354" t="s">
        <v>44</v>
      </c>
      <c r="L2354">
        <v>21358.38</v>
      </c>
      <c r="M2354" s="1">
        <v>43582</v>
      </c>
      <c r="N2354" t="s">
        <v>45</v>
      </c>
      <c r="O2354" t="s">
        <v>44</v>
      </c>
      <c r="P2354" t="s">
        <v>47</v>
      </c>
      <c r="Q2354" s="1">
        <v>43852</v>
      </c>
      <c r="R2354" t="s">
        <v>48</v>
      </c>
      <c r="S2354" t="s">
        <v>78</v>
      </c>
      <c r="T2354" t="s">
        <v>79</v>
      </c>
      <c r="U2354" t="s">
        <v>42</v>
      </c>
      <c r="V2354">
        <v>1200000</v>
      </c>
      <c r="W2354">
        <v>100000</v>
      </c>
      <c r="X2354" s="1">
        <v>43921</v>
      </c>
      <c r="Y2354" t="s">
        <v>51</v>
      </c>
      <c r="Z2354" t="s">
        <v>43</v>
      </c>
      <c r="AA2354" t="s">
        <v>80</v>
      </c>
      <c r="AB2354" t="s">
        <v>76</v>
      </c>
      <c r="AC2354" t="s">
        <v>81</v>
      </c>
      <c r="AF2354" t="s">
        <v>57</v>
      </c>
      <c r="AG2354" s="1">
        <v>43836</v>
      </c>
      <c r="AH2354" t="s">
        <v>42</v>
      </c>
      <c r="AI2354" t="s">
        <v>55</v>
      </c>
      <c r="AJ2354">
        <v>12788092</v>
      </c>
      <c r="AK2354">
        <v>250000</v>
      </c>
      <c r="AL2354">
        <v>1500000</v>
      </c>
    </row>
    <row r="2355" spans="1:38" x14ac:dyDescent="0.25">
      <c r="A2355" t="s">
        <v>522</v>
      </c>
      <c r="B2355" t="s">
        <v>585</v>
      </c>
      <c r="C2355" t="s">
        <v>40</v>
      </c>
      <c r="D2355" s="1">
        <v>43582</v>
      </c>
      <c r="E2355" s="1">
        <v>43611</v>
      </c>
      <c r="F2355" t="s">
        <v>76</v>
      </c>
      <c r="G2355">
        <v>1</v>
      </c>
      <c r="H2355" t="s">
        <v>42</v>
      </c>
      <c r="I2355" t="s">
        <v>43</v>
      </c>
      <c r="J2355" t="s">
        <v>73</v>
      </c>
      <c r="K2355" t="s">
        <v>44</v>
      </c>
      <c r="L2355">
        <v>21358.38</v>
      </c>
      <c r="M2355" s="1">
        <v>43582</v>
      </c>
      <c r="N2355" t="s">
        <v>45</v>
      </c>
      <c r="O2355" t="s">
        <v>44</v>
      </c>
      <c r="P2355" t="s">
        <v>47</v>
      </c>
      <c r="Q2355" s="1">
        <v>43852</v>
      </c>
      <c r="R2355" t="s">
        <v>48</v>
      </c>
      <c r="S2355" t="s">
        <v>78</v>
      </c>
      <c r="T2355" t="s">
        <v>79</v>
      </c>
      <c r="U2355" t="s">
        <v>42</v>
      </c>
      <c r="V2355">
        <v>1200000</v>
      </c>
      <c r="W2355">
        <v>100000</v>
      </c>
      <c r="X2355" s="1">
        <v>43921</v>
      </c>
      <c r="Y2355" t="s">
        <v>51</v>
      </c>
      <c r="Z2355" t="s">
        <v>43</v>
      </c>
      <c r="AA2355" t="s">
        <v>80</v>
      </c>
      <c r="AB2355" t="s">
        <v>76</v>
      </c>
      <c r="AC2355" t="s">
        <v>81</v>
      </c>
      <c r="AF2355" t="s">
        <v>58</v>
      </c>
      <c r="AG2355" s="1">
        <v>43837</v>
      </c>
      <c r="AH2355" t="s">
        <v>42</v>
      </c>
      <c r="AI2355" t="s">
        <v>55</v>
      </c>
      <c r="AJ2355">
        <v>12788092</v>
      </c>
      <c r="AK2355">
        <v>250000</v>
      </c>
      <c r="AL2355">
        <v>1500000</v>
      </c>
    </row>
    <row r="2356" spans="1:38" x14ac:dyDescent="0.25">
      <c r="A2356" t="s">
        <v>522</v>
      </c>
      <c r="B2356" t="s">
        <v>585</v>
      </c>
      <c r="C2356" t="s">
        <v>40</v>
      </c>
      <c r="D2356" s="1">
        <v>43582</v>
      </c>
      <c r="E2356" s="1">
        <v>43611</v>
      </c>
      <c r="F2356" t="s">
        <v>76</v>
      </c>
      <c r="G2356">
        <v>1</v>
      </c>
      <c r="H2356" t="s">
        <v>42</v>
      </c>
      <c r="I2356" t="s">
        <v>43</v>
      </c>
      <c r="J2356" t="s">
        <v>73</v>
      </c>
      <c r="K2356" t="s">
        <v>44</v>
      </c>
      <c r="L2356">
        <v>21358.38</v>
      </c>
      <c r="M2356" s="1">
        <v>43582</v>
      </c>
      <c r="N2356" t="s">
        <v>45</v>
      </c>
      <c r="O2356" t="s">
        <v>44</v>
      </c>
      <c r="P2356" t="s">
        <v>47</v>
      </c>
      <c r="Q2356" s="1">
        <v>43852</v>
      </c>
      <c r="R2356" t="s">
        <v>48</v>
      </c>
      <c r="S2356" t="s">
        <v>78</v>
      </c>
      <c r="T2356" t="s">
        <v>79</v>
      </c>
      <c r="U2356" t="s">
        <v>42</v>
      </c>
      <c r="V2356">
        <v>1200000</v>
      </c>
      <c r="W2356">
        <v>100000</v>
      </c>
      <c r="X2356" s="1">
        <v>43921</v>
      </c>
      <c r="Y2356" t="s">
        <v>51</v>
      </c>
      <c r="Z2356" t="s">
        <v>43</v>
      </c>
      <c r="AA2356" t="s">
        <v>80</v>
      </c>
      <c r="AB2356" t="s">
        <v>76</v>
      </c>
      <c r="AC2356" t="s">
        <v>81</v>
      </c>
      <c r="AF2356" t="s">
        <v>59</v>
      </c>
      <c r="AG2356" s="1">
        <v>43838</v>
      </c>
      <c r="AH2356" t="s">
        <v>42</v>
      </c>
      <c r="AI2356" t="s">
        <v>55</v>
      </c>
      <c r="AJ2356">
        <v>12788092</v>
      </c>
      <c r="AK2356">
        <v>250000</v>
      </c>
      <c r="AL2356">
        <v>1500000</v>
      </c>
    </row>
    <row r="2357" spans="1:38" x14ac:dyDescent="0.25">
      <c r="A2357" t="s">
        <v>522</v>
      </c>
      <c r="B2357" t="s">
        <v>586</v>
      </c>
      <c r="C2357" t="s">
        <v>40</v>
      </c>
      <c r="D2357" s="1">
        <v>43628</v>
      </c>
      <c r="E2357" s="1">
        <v>43993</v>
      </c>
      <c r="F2357" t="s">
        <v>76</v>
      </c>
      <c r="G2357">
        <v>1</v>
      </c>
      <c r="H2357" t="s">
        <v>42</v>
      </c>
      <c r="I2357" t="s">
        <v>43</v>
      </c>
      <c r="J2357" t="s">
        <v>115</v>
      </c>
      <c r="K2357" t="s">
        <v>127</v>
      </c>
      <c r="L2357">
        <v>10937.5</v>
      </c>
      <c r="M2357" s="1">
        <v>43628</v>
      </c>
      <c r="N2357" t="s">
        <v>45</v>
      </c>
      <c r="O2357" t="s">
        <v>44</v>
      </c>
      <c r="P2357" t="s">
        <v>47</v>
      </c>
      <c r="Q2357" s="1">
        <v>43852</v>
      </c>
      <c r="R2357" t="s">
        <v>48</v>
      </c>
      <c r="S2357" t="s">
        <v>78</v>
      </c>
      <c r="T2357" t="s">
        <v>79</v>
      </c>
      <c r="U2357" t="s">
        <v>42</v>
      </c>
      <c r="V2357">
        <v>1200000</v>
      </c>
      <c r="W2357">
        <v>100000</v>
      </c>
      <c r="X2357" s="1">
        <v>43921</v>
      </c>
      <c r="Y2357" t="s">
        <v>51</v>
      </c>
      <c r="Z2357" t="s">
        <v>43</v>
      </c>
      <c r="AA2357" t="s">
        <v>80</v>
      </c>
      <c r="AB2357" t="s">
        <v>76</v>
      </c>
      <c r="AC2357" t="s">
        <v>81</v>
      </c>
      <c r="AF2357" t="s">
        <v>54</v>
      </c>
      <c r="AG2357" s="1">
        <v>43832</v>
      </c>
      <c r="AH2357" t="s">
        <v>42</v>
      </c>
      <c r="AI2357" t="s">
        <v>55</v>
      </c>
      <c r="AJ2357">
        <v>12788092</v>
      </c>
      <c r="AK2357">
        <v>250000</v>
      </c>
      <c r="AL2357">
        <v>1500000</v>
      </c>
    </row>
    <row r="2358" spans="1:38" x14ac:dyDescent="0.25">
      <c r="A2358" t="s">
        <v>522</v>
      </c>
      <c r="B2358" t="s">
        <v>586</v>
      </c>
      <c r="C2358" t="s">
        <v>40</v>
      </c>
      <c r="D2358" s="1">
        <v>43628</v>
      </c>
      <c r="E2358" s="1">
        <v>43993</v>
      </c>
      <c r="F2358" t="s">
        <v>76</v>
      </c>
      <c r="G2358">
        <v>1</v>
      </c>
      <c r="H2358" t="s">
        <v>42</v>
      </c>
      <c r="I2358" t="s">
        <v>43</v>
      </c>
      <c r="J2358" t="s">
        <v>115</v>
      </c>
      <c r="K2358" t="s">
        <v>127</v>
      </c>
      <c r="L2358">
        <v>10937.5</v>
      </c>
      <c r="M2358" s="1">
        <v>43628</v>
      </c>
      <c r="N2358" t="s">
        <v>45</v>
      </c>
      <c r="O2358" t="s">
        <v>44</v>
      </c>
      <c r="P2358" t="s">
        <v>47</v>
      </c>
      <c r="Q2358" s="1">
        <v>43852</v>
      </c>
      <c r="R2358" t="s">
        <v>48</v>
      </c>
      <c r="S2358" t="s">
        <v>78</v>
      </c>
      <c r="T2358" t="s">
        <v>79</v>
      </c>
      <c r="U2358" t="s">
        <v>42</v>
      </c>
      <c r="V2358">
        <v>1200000</v>
      </c>
      <c r="W2358">
        <v>100000</v>
      </c>
      <c r="X2358" s="1">
        <v>43921</v>
      </c>
      <c r="Y2358" t="s">
        <v>51</v>
      </c>
      <c r="Z2358" t="s">
        <v>43</v>
      </c>
      <c r="AA2358" t="s">
        <v>80</v>
      </c>
      <c r="AB2358" t="s">
        <v>76</v>
      </c>
      <c r="AC2358" t="s">
        <v>81</v>
      </c>
      <c r="AF2358" t="s">
        <v>56</v>
      </c>
      <c r="AG2358" s="1">
        <v>43833</v>
      </c>
      <c r="AH2358" t="s">
        <v>42</v>
      </c>
      <c r="AI2358" t="s">
        <v>55</v>
      </c>
      <c r="AJ2358">
        <v>12788092</v>
      </c>
      <c r="AK2358">
        <v>250000</v>
      </c>
      <c r="AL2358">
        <v>1500000</v>
      </c>
    </row>
    <row r="2359" spans="1:38" x14ac:dyDescent="0.25">
      <c r="A2359" t="s">
        <v>522</v>
      </c>
      <c r="B2359" t="s">
        <v>586</v>
      </c>
      <c r="C2359" t="s">
        <v>40</v>
      </c>
      <c r="D2359" s="1">
        <v>43628</v>
      </c>
      <c r="E2359" s="1">
        <v>43993</v>
      </c>
      <c r="F2359" t="s">
        <v>76</v>
      </c>
      <c r="G2359">
        <v>1</v>
      </c>
      <c r="H2359" t="s">
        <v>42</v>
      </c>
      <c r="I2359" t="s">
        <v>43</v>
      </c>
      <c r="J2359" t="s">
        <v>115</v>
      </c>
      <c r="K2359" t="s">
        <v>127</v>
      </c>
      <c r="L2359">
        <v>10937.5</v>
      </c>
      <c r="M2359" s="1">
        <v>43628</v>
      </c>
      <c r="N2359" t="s">
        <v>45</v>
      </c>
      <c r="O2359" t="s">
        <v>44</v>
      </c>
      <c r="P2359" t="s">
        <v>47</v>
      </c>
      <c r="Q2359" s="1">
        <v>43852</v>
      </c>
      <c r="R2359" t="s">
        <v>48</v>
      </c>
      <c r="S2359" t="s">
        <v>78</v>
      </c>
      <c r="T2359" t="s">
        <v>79</v>
      </c>
      <c r="U2359" t="s">
        <v>42</v>
      </c>
      <c r="V2359">
        <v>1200000</v>
      </c>
      <c r="W2359">
        <v>100000</v>
      </c>
      <c r="X2359" s="1">
        <v>43921</v>
      </c>
      <c r="Y2359" t="s">
        <v>51</v>
      </c>
      <c r="Z2359" t="s">
        <v>43</v>
      </c>
      <c r="AA2359" t="s">
        <v>80</v>
      </c>
      <c r="AB2359" t="s">
        <v>76</v>
      </c>
      <c r="AC2359" t="s">
        <v>81</v>
      </c>
      <c r="AF2359" t="s">
        <v>57</v>
      </c>
      <c r="AG2359" s="1">
        <v>43836</v>
      </c>
      <c r="AH2359" t="s">
        <v>42</v>
      </c>
      <c r="AI2359" t="s">
        <v>55</v>
      </c>
      <c r="AJ2359">
        <v>12788092</v>
      </c>
      <c r="AK2359">
        <v>250000</v>
      </c>
      <c r="AL2359">
        <v>1500000</v>
      </c>
    </row>
    <row r="2360" spans="1:38" x14ac:dyDescent="0.25">
      <c r="A2360" t="s">
        <v>522</v>
      </c>
      <c r="B2360" t="s">
        <v>586</v>
      </c>
      <c r="C2360" t="s">
        <v>40</v>
      </c>
      <c r="D2360" s="1">
        <v>43628</v>
      </c>
      <c r="E2360" s="1">
        <v>43993</v>
      </c>
      <c r="F2360" t="s">
        <v>76</v>
      </c>
      <c r="G2360">
        <v>1</v>
      </c>
      <c r="H2360" t="s">
        <v>42</v>
      </c>
      <c r="I2360" t="s">
        <v>43</v>
      </c>
      <c r="J2360" t="s">
        <v>115</v>
      </c>
      <c r="K2360" t="s">
        <v>127</v>
      </c>
      <c r="L2360">
        <v>10937.5</v>
      </c>
      <c r="M2360" s="1">
        <v>43628</v>
      </c>
      <c r="N2360" t="s">
        <v>45</v>
      </c>
      <c r="O2360" t="s">
        <v>44</v>
      </c>
      <c r="P2360" t="s">
        <v>47</v>
      </c>
      <c r="Q2360" s="1">
        <v>43852</v>
      </c>
      <c r="R2360" t="s">
        <v>48</v>
      </c>
      <c r="S2360" t="s">
        <v>78</v>
      </c>
      <c r="T2360" t="s">
        <v>79</v>
      </c>
      <c r="U2360" t="s">
        <v>42</v>
      </c>
      <c r="V2360">
        <v>1200000</v>
      </c>
      <c r="W2360">
        <v>100000</v>
      </c>
      <c r="X2360" s="1">
        <v>43921</v>
      </c>
      <c r="Y2360" t="s">
        <v>51</v>
      </c>
      <c r="Z2360" t="s">
        <v>43</v>
      </c>
      <c r="AA2360" t="s">
        <v>80</v>
      </c>
      <c r="AB2360" t="s">
        <v>76</v>
      </c>
      <c r="AC2360" t="s">
        <v>81</v>
      </c>
      <c r="AF2360" t="s">
        <v>58</v>
      </c>
      <c r="AG2360" s="1">
        <v>43837</v>
      </c>
      <c r="AH2360" t="s">
        <v>42</v>
      </c>
      <c r="AI2360" t="s">
        <v>55</v>
      </c>
      <c r="AJ2360">
        <v>12788092</v>
      </c>
      <c r="AK2360">
        <v>250000</v>
      </c>
      <c r="AL2360">
        <v>1500000</v>
      </c>
    </row>
    <row r="2361" spans="1:38" x14ac:dyDescent="0.25">
      <c r="A2361" t="s">
        <v>522</v>
      </c>
      <c r="B2361" t="s">
        <v>586</v>
      </c>
      <c r="C2361" t="s">
        <v>40</v>
      </c>
      <c r="D2361" s="1">
        <v>43628</v>
      </c>
      <c r="E2361" s="1">
        <v>43993</v>
      </c>
      <c r="F2361" t="s">
        <v>76</v>
      </c>
      <c r="G2361">
        <v>1</v>
      </c>
      <c r="H2361" t="s">
        <v>42</v>
      </c>
      <c r="I2361" t="s">
        <v>43</v>
      </c>
      <c r="J2361" t="s">
        <v>115</v>
      </c>
      <c r="K2361" t="s">
        <v>127</v>
      </c>
      <c r="L2361">
        <v>10937.5</v>
      </c>
      <c r="M2361" s="1">
        <v>43628</v>
      </c>
      <c r="N2361" t="s">
        <v>45</v>
      </c>
      <c r="O2361" t="s">
        <v>44</v>
      </c>
      <c r="P2361" t="s">
        <v>47</v>
      </c>
      <c r="Q2361" s="1">
        <v>43852</v>
      </c>
      <c r="R2361" t="s">
        <v>48</v>
      </c>
      <c r="S2361" t="s">
        <v>78</v>
      </c>
      <c r="T2361" t="s">
        <v>79</v>
      </c>
      <c r="U2361" t="s">
        <v>42</v>
      </c>
      <c r="V2361">
        <v>1200000</v>
      </c>
      <c r="W2361">
        <v>100000</v>
      </c>
      <c r="X2361" s="1">
        <v>43921</v>
      </c>
      <c r="Y2361" t="s">
        <v>51</v>
      </c>
      <c r="Z2361" t="s">
        <v>43</v>
      </c>
      <c r="AA2361" t="s">
        <v>80</v>
      </c>
      <c r="AB2361" t="s">
        <v>76</v>
      </c>
      <c r="AC2361" t="s">
        <v>81</v>
      </c>
      <c r="AF2361" t="s">
        <v>59</v>
      </c>
      <c r="AG2361" s="1">
        <v>43838</v>
      </c>
      <c r="AH2361" t="s">
        <v>42</v>
      </c>
      <c r="AI2361" t="s">
        <v>55</v>
      </c>
      <c r="AJ2361">
        <v>12788092</v>
      </c>
      <c r="AK2361">
        <v>250000</v>
      </c>
      <c r="AL2361">
        <v>1500000</v>
      </c>
    </row>
    <row r="2362" spans="1:38" x14ac:dyDescent="0.25">
      <c r="A2362" t="s">
        <v>522</v>
      </c>
      <c r="B2362" t="s">
        <v>587</v>
      </c>
      <c r="C2362" t="s">
        <v>40</v>
      </c>
      <c r="D2362" s="1">
        <v>43662</v>
      </c>
      <c r="E2362" s="1">
        <v>44027</v>
      </c>
      <c r="F2362" t="s">
        <v>76</v>
      </c>
      <c r="G2362">
        <v>1</v>
      </c>
      <c r="H2362" t="s">
        <v>42</v>
      </c>
      <c r="I2362" t="s">
        <v>43</v>
      </c>
      <c r="J2362" t="s">
        <v>115</v>
      </c>
      <c r="K2362" t="s">
        <v>127</v>
      </c>
      <c r="L2362">
        <v>16474.5</v>
      </c>
      <c r="M2362" s="1">
        <v>43662</v>
      </c>
      <c r="N2362" t="s">
        <v>45</v>
      </c>
      <c r="O2362" t="s">
        <v>44</v>
      </c>
      <c r="P2362" t="s">
        <v>47</v>
      </c>
      <c r="Q2362" s="1">
        <v>43852</v>
      </c>
      <c r="R2362" t="s">
        <v>48</v>
      </c>
      <c r="S2362" t="s">
        <v>78</v>
      </c>
      <c r="T2362" t="s">
        <v>79</v>
      </c>
      <c r="U2362" t="s">
        <v>42</v>
      </c>
      <c r="V2362">
        <v>1200000</v>
      </c>
      <c r="W2362">
        <v>100000</v>
      </c>
      <c r="X2362" s="1">
        <v>43921</v>
      </c>
      <c r="Y2362" t="s">
        <v>51</v>
      </c>
      <c r="Z2362" t="s">
        <v>43</v>
      </c>
      <c r="AA2362" t="s">
        <v>80</v>
      </c>
      <c r="AB2362" t="s">
        <v>76</v>
      </c>
      <c r="AC2362" t="s">
        <v>81</v>
      </c>
      <c r="AF2362" t="s">
        <v>54</v>
      </c>
      <c r="AG2362" s="1">
        <v>43832</v>
      </c>
      <c r="AH2362" t="s">
        <v>42</v>
      </c>
      <c r="AI2362" t="s">
        <v>55</v>
      </c>
      <c r="AJ2362">
        <v>12788092</v>
      </c>
      <c r="AK2362">
        <v>250000</v>
      </c>
      <c r="AL2362">
        <v>1500000</v>
      </c>
    </row>
    <row r="2363" spans="1:38" x14ac:dyDescent="0.25">
      <c r="A2363" t="s">
        <v>522</v>
      </c>
      <c r="B2363" t="s">
        <v>587</v>
      </c>
      <c r="C2363" t="s">
        <v>40</v>
      </c>
      <c r="D2363" s="1">
        <v>43662</v>
      </c>
      <c r="E2363" s="1">
        <v>44027</v>
      </c>
      <c r="F2363" t="s">
        <v>76</v>
      </c>
      <c r="G2363">
        <v>1</v>
      </c>
      <c r="H2363" t="s">
        <v>42</v>
      </c>
      <c r="I2363" t="s">
        <v>43</v>
      </c>
      <c r="J2363" t="s">
        <v>115</v>
      </c>
      <c r="K2363" t="s">
        <v>127</v>
      </c>
      <c r="L2363">
        <v>16474.5</v>
      </c>
      <c r="M2363" s="1">
        <v>43662</v>
      </c>
      <c r="N2363" t="s">
        <v>45</v>
      </c>
      <c r="O2363" t="s">
        <v>44</v>
      </c>
      <c r="P2363" t="s">
        <v>47</v>
      </c>
      <c r="Q2363" s="1">
        <v>43852</v>
      </c>
      <c r="R2363" t="s">
        <v>48</v>
      </c>
      <c r="S2363" t="s">
        <v>78</v>
      </c>
      <c r="T2363" t="s">
        <v>79</v>
      </c>
      <c r="U2363" t="s">
        <v>42</v>
      </c>
      <c r="V2363">
        <v>1200000</v>
      </c>
      <c r="W2363">
        <v>100000</v>
      </c>
      <c r="X2363" s="1">
        <v>43921</v>
      </c>
      <c r="Y2363" t="s">
        <v>51</v>
      </c>
      <c r="Z2363" t="s">
        <v>43</v>
      </c>
      <c r="AA2363" t="s">
        <v>80</v>
      </c>
      <c r="AB2363" t="s">
        <v>76</v>
      </c>
      <c r="AC2363" t="s">
        <v>81</v>
      </c>
      <c r="AF2363" t="s">
        <v>56</v>
      </c>
      <c r="AG2363" s="1">
        <v>43833</v>
      </c>
      <c r="AH2363" t="s">
        <v>42</v>
      </c>
      <c r="AI2363" t="s">
        <v>55</v>
      </c>
      <c r="AJ2363">
        <v>12788092</v>
      </c>
      <c r="AK2363">
        <v>250000</v>
      </c>
      <c r="AL2363">
        <v>1500000</v>
      </c>
    </row>
    <row r="2364" spans="1:38" x14ac:dyDescent="0.25">
      <c r="A2364" t="s">
        <v>522</v>
      </c>
      <c r="B2364" t="s">
        <v>587</v>
      </c>
      <c r="C2364" t="s">
        <v>40</v>
      </c>
      <c r="D2364" s="1">
        <v>43662</v>
      </c>
      <c r="E2364" s="1">
        <v>44027</v>
      </c>
      <c r="F2364" t="s">
        <v>76</v>
      </c>
      <c r="G2364">
        <v>1</v>
      </c>
      <c r="H2364" t="s">
        <v>42</v>
      </c>
      <c r="I2364" t="s">
        <v>43</v>
      </c>
      <c r="J2364" t="s">
        <v>115</v>
      </c>
      <c r="K2364" t="s">
        <v>127</v>
      </c>
      <c r="L2364">
        <v>16474.5</v>
      </c>
      <c r="M2364" s="1">
        <v>43662</v>
      </c>
      <c r="N2364" t="s">
        <v>45</v>
      </c>
      <c r="O2364" t="s">
        <v>44</v>
      </c>
      <c r="P2364" t="s">
        <v>47</v>
      </c>
      <c r="Q2364" s="1">
        <v>43852</v>
      </c>
      <c r="R2364" t="s">
        <v>48</v>
      </c>
      <c r="S2364" t="s">
        <v>78</v>
      </c>
      <c r="T2364" t="s">
        <v>79</v>
      </c>
      <c r="U2364" t="s">
        <v>42</v>
      </c>
      <c r="V2364">
        <v>1200000</v>
      </c>
      <c r="W2364">
        <v>100000</v>
      </c>
      <c r="X2364" s="1">
        <v>43921</v>
      </c>
      <c r="Y2364" t="s">
        <v>51</v>
      </c>
      <c r="Z2364" t="s">
        <v>43</v>
      </c>
      <c r="AA2364" t="s">
        <v>80</v>
      </c>
      <c r="AB2364" t="s">
        <v>76</v>
      </c>
      <c r="AC2364" t="s">
        <v>81</v>
      </c>
      <c r="AF2364" t="s">
        <v>57</v>
      </c>
      <c r="AG2364" s="1">
        <v>43836</v>
      </c>
      <c r="AH2364" t="s">
        <v>42</v>
      </c>
      <c r="AI2364" t="s">
        <v>55</v>
      </c>
      <c r="AJ2364">
        <v>12788092</v>
      </c>
      <c r="AK2364">
        <v>250000</v>
      </c>
      <c r="AL2364">
        <v>1500000</v>
      </c>
    </row>
    <row r="2365" spans="1:38" x14ac:dyDescent="0.25">
      <c r="A2365" t="s">
        <v>522</v>
      </c>
      <c r="B2365" t="s">
        <v>587</v>
      </c>
      <c r="C2365" t="s">
        <v>40</v>
      </c>
      <c r="D2365" s="1">
        <v>43662</v>
      </c>
      <c r="E2365" s="1">
        <v>44027</v>
      </c>
      <c r="F2365" t="s">
        <v>76</v>
      </c>
      <c r="G2365">
        <v>1</v>
      </c>
      <c r="H2365" t="s">
        <v>42</v>
      </c>
      <c r="I2365" t="s">
        <v>43</v>
      </c>
      <c r="J2365" t="s">
        <v>115</v>
      </c>
      <c r="K2365" t="s">
        <v>127</v>
      </c>
      <c r="L2365">
        <v>16474.5</v>
      </c>
      <c r="M2365" s="1">
        <v>43662</v>
      </c>
      <c r="N2365" t="s">
        <v>45</v>
      </c>
      <c r="O2365" t="s">
        <v>44</v>
      </c>
      <c r="P2365" t="s">
        <v>47</v>
      </c>
      <c r="Q2365" s="1">
        <v>43852</v>
      </c>
      <c r="R2365" t="s">
        <v>48</v>
      </c>
      <c r="S2365" t="s">
        <v>78</v>
      </c>
      <c r="T2365" t="s">
        <v>79</v>
      </c>
      <c r="U2365" t="s">
        <v>42</v>
      </c>
      <c r="V2365">
        <v>1200000</v>
      </c>
      <c r="W2365">
        <v>100000</v>
      </c>
      <c r="X2365" s="1">
        <v>43921</v>
      </c>
      <c r="Y2365" t="s">
        <v>51</v>
      </c>
      <c r="Z2365" t="s">
        <v>43</v>
      </c>
      <c r="AA2365" t="s">
        <v>80</v>
      </c>
      <c r="AB2365" t="s">
        <v>76</v>
      </c>
      <c r="AC2365" t="s">
        <v>81</v>
      </c>
      <c r="AF2365" t="s">
        <v>58</v>
      </c>
      <c r="AG2365" s="1">
        <v>43837</v>
      </c>
      <c r="AH2365" t="s">
        <v>42</v>
      </c>
      <c r="AI2365" t="s">
        <v>55</v>
      </c>
      <c r="AJ2365">
        <v>12788092</v>
      </c>
      <c r="AK2365">
        <v>250000</v>
      </c>
      <c r="AL2365">
        <v>1500000</v>
      </c>
    </row>
    <row r="2366" spans="1:38" x14ac:dyDescent="0.25">
      <c r="A2366" t="s">
        <v>522</v>
      </c>
      <c r="B2366" t="s">
        <v>587</v>
      </c>
      <c r="C2366" t="s">
        <v>40</v>
      </c>
      <c r="D2366" s="1">
        <v>43662</v>
      </c>
      <c r="E2366" s="1">
        <v>44027</v>
      </c>
      <c r="F2366" t="s">
        <v>76</v>
      </c>
      <c r="G2366">
        <v>1</v>
      </c>
      <c r="H2366" t="s">
        <v>42</v>
      </c>
      <c r="I2366" t="s">
        <v>43</v>
      </c>
      <c r="J2366" t="s">
        <v>115</v>
      </c>
      <c r="K2366" t="s">
        <v>127</v>
      </c>
      <c r="L2366">
        <v>16474.5</v>
      </c>
      <c r="M2366" s="1">
        <v>43662</v>
      </c>
      <c r="N2366" t="s">
        <v>45</v>
      </c>
      <c r="O2366" t="s">
        <v>44</v>
      </c>
      <c r="P2366" t="s">
        <v>47</v>
      </c>
      <c r="Q2366" s="1">
        <v>43852</v>
      </c>
      <c r="R2366" t="s">
        <v>48</v>
      </c>
      <c r="S2366" t="s">
        <v>78</v>
      </c>
      <c r="T2366" t="s">
        <v>79</v>
      </c>
      <c r="U2366" t="s">
        <v>42</v>
      </c>
      <c r="V2366">
        <v>1200000</v>
      </c>
      <c r="W2366">
        <v>100000</v>
      </c>
      <c r="X2366" s="1">
        <v>43921</v>
      </c>
      <c r="Y2366" t="s">
        <v>51</v>
      </c>
      <c r="Z2366" t="s">
        <v>43</v>
      </c>
      <c r="AA2366" t="s">
        <v>80</v>
      </c>
      <c r="AB2366" t="s">
        <v>76</v>
      </c>
      <c r="AC2366" t="s">
        <v>81</v>
      </c>
      <c r="AF2366" t="s">
        <v>59</v>
      </c>
      <c r="AG2366" s="1">
        <v>43838</v>
      </c>
      <c r="AH2366" t="s">
        <v>42</v>
      </c>
      <c r="AI2366" t="s">
        <v>55</v>
      </c>
      <c r="AJ2366">
        <v>12788092</v>
      </c>
      <c r="AK2366">
        <v>250000</v>
      </c>
      <c r="AL2366">
        <v>1500000</v>
      </c>
    </row>
    <row r="2367" spans="1:38" x14ac:dyDescent="0.25">
      <c r="A2367" t="s">
        <v>522</v>
      </c>
      <c r="B2367" t="s">
        <v>588</v>
      </c>
      <c r="C2367" t="s">
        <v>40</v>
      </c>
      <c r="D2367" s="1">
        <v>43662</v>
      </c>
      <c r="E2367" s="1">
        <v>44027</v>
      </c>
      <c r="F2367" t="s">
        <v>76</v>
      </c>
      <c r="G2367">
        <v>1</v>
      </c>
      <c r="H2367" t="s">
        <v>42</v>
      </c>
      <c r="I2367" t="s">
        <v>43</v>
      </c>
      <c r="J2367" t="s">
        <v>73</v>
      </c>
      <c r="K2367" t="s">
        <v>127</v>
      </c>
      <c r="L2367">
        <v>10776.25</v>
      </c>
      <c r="M2367" s="1">
        <v>43662</v>
      </c>
      <c r="N2367" t="s">
        <v>45</v>
      </c>
      <c r="O2367" t="s">
        <v>44</v>
      </c>
      <c r="P2367" t="s">
        <v>47</v>
      </c>
      <c r="Q2367" s="1">
        <v>43852</v>
      </c>
      <c r="R2367" t="s">
        <v>48</v>
      </c>
      <c r="S2367" t="s">
        <v>78</v>
      </c>
      <c r="T2367" t="s">
        <v>79</v>
      </c>
      <c r="U2367" t="s">
        <v>42</v>
      </c>
      <c r="V2367">
        <v>1200000</v>
      </c>
      <c r="W2367">
        <v>100000</v>
      </c>
      <c r="X2367" s="1">
        <v>43921</v>
      </c>
      <c r="Y2367" t="s">
        <v>51</v>
      </c>
      <c r="Z2367" t="s">
        <v>43</v>
      </c>
      <c r="AA2367" t="s">
        <v>80</v>
      </c>
      <c r="AB2367" t="s">
        <v>76</v>
      </c>
      <c r="AC2367" t="s">
        <v>81</v>
      </c>
      <c r="AF2367" t="s">
        <v>54</v>
      </c>
      <c r="AG2367" s="1">
        <v>43832</v>
      </c>
      <c r="AH2367" t="s">
        <v>42</v>
      </c>
      <c r="AI2367" t="s">
        <v>55</v>
      </c>
      <c r="AJ2367">
        <v>12788092</v>
      </c>
      <c r="AK2367">
        <v>250000</v>
      </c>
      <c r="AL2367">
        <v>1500000</v>
      </c>
    </row>
    <row r="2368" spans="1:38" x14ac:dyDescent="0.25">
      <c r="A2368" t="s">
        <v>522</v>
      </c>
      <c r="B2368" t="s">
        <v>588</v>
      </c>
      <c r="C2368" t="s">
        <v>40</v>
      </c>
      <c r="D2368" s="1">
        <v>43662</v>
      </c>
      <c r="E2368" s="1">
        <v>44027</v>
      </c>
      <c r="F2368" t="s">
        <v>76</v>
      </c>
      <c r="G2368">
        <v>1</v>
      </c>
      <c r="H2368" t="s">
        <v>42</v>
      </c>
      <c r="I2368" t="s">
        <v>43</v>
      </c>
      <c r="J2368" t="s">
        <v>73</v>
      </c>
      <c r="K2368" t="s">
        <v>127</v>
      </c>
      <c r="L2368">
        <v>10776.25</v>
      </c>
      <c r="M2368" s="1">
        <v>43662</v>
      </c>
      <c r="N2368" t="s">
        <v>45</v>
      </c>
      <c r="O2368" t="s">
        <v>44</v>
      </c>
      <c r="P2368" t="s">
        <v>47</v>
      </c>
      <c r="Q2368" s="1">
        <v>43852</v>
      </c>
      <c r="R2368" t="s">
        <v>48</v>
      </c>
      <c r="S2368" t="s">
        <v>78</v>
      </c>
      <c r="T2368" t="s">
        <v>79</v>
      </c>
      <c r="U2368" t="s">
        <v>42</v>
      </c>
      <c r="V2368">
        <v>1200000</v>
      </c>
      <c r="W2368">
        <v>100000</v>
      </c>
      <c r="X2368" s="1">
        <v>43921</v>
      </c>
      <c r="Y2368" t="s">
        <v>51</v>
      </c>
      <c r="Z2368" t="s">
        <v>43</v>
      </c>
      <c r="AA2368" t="s">
        <v>80</v>
      </c>
      <c r="AB2368" t="s">
        <v>76</v>
      </c>
      <c r="AC2368" t="s">
        <v>81</v>
      </c>
      <c r="AF2368" t="s">
        <v>56</v>
      </c>
      <c r="AG2368" s="1">
        <v>43833</v>
      </c>
      <c r="AH2368" t="s">
        <v>42</v>
      </c>
      <c r="AI2368" t="s">
        <v>55</v>
      </c>
      <c r="AJ2368">
        <v>12788092</v>
      </c>
      <c r="AK2368">
        <v>250000</v>
      </c>
      <c r="AL2368">
        <v>1500000</v>
      </c>
    </row>
    <row r="2369" spans="1:38" x14ac:dyDescent="0.25">
      <c r="A2369" t="s">
        <v>522</v>
      </c>
      <c r="B2369" t="s">
        <v>588</v>
      </c>
      <c r="C2369" t="s">
        <v>40</v>
      </c>
      <c r="D2369" s="1">
        <v>43662</v>
      </c>
      <c r="E2369" s="1">
        <v>44027</v>
      </c>
      <c r="F2369" t="s">
        <v>76</v>
      </c>
      <c r="G2369">
        <v>1</v>
      </c>
      <c r="H2369" t="s">
        <v>42</v>
      </c>
      <c r="I2369" t="s">
        <v>43</v>
      </c>
      <c r="J2369" t="s">
        <v>73</v>
      </c>
      <c r="K2369" t="s">
        <v>127</v>
      </c>
      <c r="L2369">
        <v>10776.25</v>
      </c>
      <c r="M2369" s="1">
        <v>43662</v>
      </c>
      <c r="N2369" t="s">
        <v>45</v>
      </c>
      <c r="O2369" t="s">
        <v>44</v>
      </c>
      <c r="P2369" t="s">
        <v>47</v>
      </c>
      <c r="Q2369" s="1">
        <v>43852</v>
      </c>
      <c r="R2369" t="s">
        <v>48</v>
      </c>
      <c r="S2369" t="s">
        <v>78</v>
      </c>
      <c r="T2369" t="s">
        <v>79</v>
      </c>
      <c r="U2369" t="s">
        <v>42</v>
      </c>
      <c r="V2369">
        <v>1200000</v>
      </c>
      <c r="W2369">
        <v>100000</v>
      </c>
      <c r="X2369" s="1">
        <v>43921</v>
      </c>
      <c r="Y2369" t="s">
        <v>51</v>
      </c>
      <c r="Z2369" t="s">
        <v>43</v>
      </c>
      <c r="AA2369" t="s">
        <v>80</v>
      </c>
      <c r="AB2369" t="s">
        <v>76</v>
      </c>
      <c r="AC2369" t="s">
        <v>81</v>
      </c>
      <c r="AF2369" t="s">
        <v>57</v>
      </c>
      <c r="AG2369" s="1">
        <v>43836</v>
      </c>
      <c r="AH2369" t="s">
        <v>42</v>
      </c>
      <c r="AI2369" t="s">
        <v>55</v>
      </c>
      <c r="AJ2369">
        <v>12788092</v>
      </c>
      <c r="AK2369">
        <v>250000</v>
      </c>
      <c r="AL2369">
        <v>1500000</v>
      </c>
    </row>
    <row r="2370" spans="1:38" x14ac:dyDescent="0.25">
      <c r="A2370" t="s">
        <v>522</v>
      </c>
      <c r="B2370" t="s">
        <v>588</v>
      </c>
      <c r="C2370" t="s">
        <v>40</v>
      </c>
      <c r="D2370" s="1">
        <v>43662</v>
      </c>
      <c r="E2370" s="1">
        <v>44027</v>
      </c>
      <c r="F2370" t="s">
        <v>76</v>
      </c>
      <c r="G2370">
        <v>1</v>
      </c>
      <c r="H2370" t="s">
        <v>42</v>
      </c>
      <c r="I2370" t="s">
        <v>43</v>
      </c>
      <c r="J2370" t="s">
        <v>73</v>
      </c>
      <c r="K2370" t="s">
        <v>127</v>
      </c>
      <c r="L2370">
        <v>10776.25</v>
      </c>
      <c r="M2370" s="1">
        <v>43662</v>
      </c>
      <c r="N2370" t="s">
        <v>45</v>
      </c>
      <c r="O2370" t="s">
        <v>44</v>
      </c>
      <c r="P2370" t="s">
        <v>47</v>
      </c>
      <c r="Q2370" s="1">
        <v>43852</v>
      </c>
      <c r="R2370" t="s">
        <v>48</v>
      </c>
      <c r="S2370" t="s">
        <v>78</v>
      </c>
      <c r="T2370" t="s">
        <v>79</v>
      </c>
      <c r="U2370" t="s">
        <v>42</v>
      </c>
      <c r="V2370">
        <v>1200000</v>
      </c>
      <c r="W2370">
        <v>100000</v>
      </c>
      <c r="X2370" s="1">
        <v>43921</v>
      </c>
      <c r="Y2370" t="s">
        <v>51</v>
      </c>
      <c r="Z2370" t="s">
        <v>43</v>
      </c>
      <c r="AA2370" t="s">
        <v>80</v>
      </c>
      <c r="AB2370" t="s">
        <v>76</v>
      </c>
      <c r="AC2370" t="s">
        <v>81</v>
      </c>
      <c r="AF2370" t="s">
        <v>58</v>
      </c>
      <c r="AG2370" s="1">
        <v>43837</v>
      </c>
      <c r="AH2370" t="s">
        <v>42</v>
      </c>
      <c r="AI2370" t="s">
        <v>55</v>
      </c>
      <c r="AJ2370">
        <v>12788092</v>
      </c>
      <c r="AK2370">
        <v>250000</v>
      </c>
      <c r="AL2370">
        <v>1500000</v>
      </c>
    </row>
    <row r="2371" spans="1:38" x14ac:dyDescent="0.25">
      <c r="A2371" t="s">
        <v>522</v>
      </c>
      <c r="B2371" t="s">
        <v>588</v>
      </c>
      <c r="C2371" t="s">
        <v>40</v>
      </c>
      <c r="D2371" s="1">
        <v>43662</v>
      </c>
      <c r="E2371" s="1">
        <v>44027</v>
      </c>
      <c r="F2371" t="s">
        <v>76</v>
      </c>
      <c r="G2371">
        <v>1</v>
      </c>
      <c r="H2371" t="s">
        <v>42</v>
      </c>
      <c r="I2371" t="s">
        <v>43</v>
      </c>
      <c r="J2371" t="s">
        <v>73</v>
      </c>
      <c r="K2371" t="s">
        <v>127</v>
      </c>
      <c r="L2371">
        <v>10776.25</v>
      </c>
      <c r="M2371" s="1">
        <v>43662</v>
      </c>
      <c r="N2371" t="s">
        <v>45</v>
      </c>
      <c r="O2371" t="s">
        <v>44</v>
      </c>
      <c r="P2371" t="s">
        <v>47</v>
      </c>
      <c r="Q2371" s="1">
        <v>43852</v>
      </c>
      <c r="R2371" t="s">
        <v>48</v>
      </c>
      <c r="S2371" t="s">
        <v>78</v>
      </c>
      <c r="T2371" t="s">
        <v>79</v>
      </c>
      <c r="U2371" t="s">
        <v>42</v>
      </c>
      <c r="V2371">
        <v>1200000</v>
      </c>
      <c r="W2371">
        <v>100000</v>
      </c>
      <c r="X2371" s="1">
        <v>43921</v>
      </c>
      <c r="Y2371" t="s">
        <v>51</v>
      </c>
      <c r="Z2371" t="s">
        <v>43</v>
      </c>
      <c r="AA2371" t="s">
        <v>80</v>
      </c>
      <c r="AB2371" t="s">
        <v>76</v>
      </c>
      <c r="AC2371" t="s">
        <v>81</v>
      </c>
      <c r="AF2371" t="s">
        <v>59</v>
      </c>
      <c r="AG2371" s="1">
        <v>43838</v>
      </c>
      <c r="AH2371" t="s">
        <v>42</v>
      </c>
      <c r="AI2371" t="s">
        <v>55</v>
      </c>
      <c r="AJ2371">
        <v>12788092</v>
      </c>
      <c r="AK2371">
        <v>250000</v>
      </c>
      <c r="AL2371">
        <v>1500000</v>
      </c>
    </row>
    <row r="2372" spans="1:38" x14ac:dyDescent="0.25">
      <c r="A2372" t="s">
        <v>522</v>
      </c>
      <c r="B2372" t="s">
        <v>589</v>
      </c>
      <c r="C2372" t="s">
        <v>40</v>
      </c>
      <c r="D2372" s="1">
        <v>43662</v>
      </c>
      <c r="E2372" s="1">
        <v>44027</v>
      </c>
      <c r="F2372" t="s">
        <v>76</v>
      </c>
      <c r="G2372">
        <v>1</v>
      </c>
      <c r="H2372" t="s">
        <v>42</v>
      </c>
      <c r="I2372" t="s">
        <v>43</v>
      </c>
      <c r="J2372" t="s">
        <v>115</v>
      </c>
      <c r="K2372" t="s">
        <v>127</v>
      </c>
      <c r="L2372">
        <v>61042.25</v>
      </c>
      <c r="M2372" s="1">
        <v>43662</v>
      </c>
      <c r="N2372" t="s">
        <v>45</v>
      </c>
      <c r="O2372" t="s">
        <v>44</v>
      </c>
      <c r="P2372" t="s">
        <v>47</v>
      </c>
      <c r="Q2372" s="1">
        <v>43852</v>
      </c>
      <c r="R2372" t="s">
        <v>48</v>
      </c>
      <c r="S2372" t="s">
        <v>78</v>
      </c>
      <c r="T2372" t="s">
        <v>79</v>
      </c>
      <c r="U2372" t="s">
        <v>42</v>
      </c>
      <c r="V2372">
        <v>1200000</v>
      </c>
      <c r="W2372">
        <v>100000</v>
      </c>
      <c r="X2372" s="1">
        <v>43921</v>
      </c>
      <c r="Y2372" t="s">
        <v>51</v>
      </c>
      <c r="Z2372" t="s">
        <v>43</v>
      </c>
      <c r="AA2372" t="s">
        <v>80</v>
      </c>
      <c r="AB2372" t="s">
        <v>76</v>
      </c>
      <c r="AC2372" t="s">
        <v>81</v>
      </c>
      <c r="AF2372" t="s">
        <v>54</v>
      </c>
      <c r="AG2372" s="1">
        <v>43832</v>
      </c>
      <c r="AH2372" t="s">
        <v>42</v>
      </c>
      <c r="AI2372" t="s">
        <v>55</v>
      </c>
      <c r="AJ2372">
        <v>12788092</v>
      </c>
      <c r="AK2372">
        <v>250000</v>
      </c>
      <c r="AL2372">
        <v>1500000</v>
      </c>
    </row>
    <row r="2373" spans="1:38" x14ac:dyDescent="0.25">
      <c r="A2373" t="s">
        <v>522</v>
      </c>
      <c r="B2373" t="s">
        <v>589</v>
      </c>
      <c r="C2373" t="s">
        <v>40</v>
      </c>
      <c r="D2373" s="1">
        <v>43662</v>
      </c>
      <c r="E2373" s="1">
        <v>44027</v>
      </c>
      <c r="F2373" t="s">
        <v>76</v>
      </c>
      <c r="G2373">
        <v>1</v>
      </c>
      <c r="H2373" t="s">
        <v>42</v>
      </c>
      <c r="I2373" t="s">
        <v>43</v>
      </c>
      <c r="J2373" t="s">
        <v>115</v>
      </c>
      <c r="K2373" t="s">
        <v>127</v>
      </c>
      <c r="L2373">
        <v>61042.25</v>
      </c>
      <c r="M2373" s="1">
        <v>43662</v>
      </c>
      <c r="N2373" t="s">
        <v>45</v>
      </c>
      <c r="O2373" t="s">
        <v>44</v>
      </c>
      <c r="P2373" t="s">
        <v>47</v>
      </c>
      <c r="Q2373" s="1">
        <v>43852</v>
      </c>
      <c r="R2373" t="s">
        <v>48</v>
      </c>
      <c r="S2373" t="s">
        <v>78</v>
      </c>
      <c r="T2373" t="s">
        <v>79</v>
      </c>
      <c r="U2373" t="s">
        <v>42</v>
      </c>
      <c r="V2373">
        <v>1200000</v>
      </c>
      <c r="W2373">
        <v>100000</v>
      </c>
      <c r="X2373" s="1">
        <v>43921</v>
      </c>
      <c r="Y2373" t="s">
        <v>51</v>
      </c>
      <c r="Z2373" t="s">
        <v>43</v>
      </c>
      <c r="AA2373" t="s">
        <v>80</v>
      </c>
      <c r="AB2373" t="s">
        <v>76</v>
      </c>
      <c r="AC2373" t="s">
        <v>81</v>
      </c>
      <c r="AF2373" t="s">
        <v>56</v>
      </c>
      <c r="AG2373" s="1">
        <v>43833</v>
      </c>
      <c r="AH2373" t="s">
        <v>42</v>
      </c>
      <c r="AI2373" t="s">
        <v>55</v>
      </c>
      <c r="AJ2373">
        <v>12788092</v>
      </c>
      <c r="AK2373">
        <v>250000</v>
      </c>
      <c r="AL2373">
        <v>1500000</v>
      </c>
    </row>
    <row r="2374" spans="1:38" x14ac:dyDescent="0.25">
      <c r="A2374" t="s">
        <v>522</v>
      </c>
      <c r="B2374" t="s">
        <v>589</v>
      </c>
      <c r="C2374" t="s">
        <v>40</v>
      </c>
      <c r="D2374" s="1">
        <v>43662</v>
      </c>
      <c r="E2374" s="1">
        <v>44027</v>
      </c>
      <c r="F2374" t="s">
        <v>76</v>
      </c>
      <c r="G2374">
        <v>1</v>
      </c>
      <c r="H2374" t="s">
        <v>42</v>
      </c>
      <c r="I2374" t="s">
        <v>43</v>
      </c>
      <c r="J2374" t="s">
        <v>115</v>
      </c>
      <c r="K2374" t="s">
        <v>127</v>
      </c>
      <c r="L2374">
        <v>61042.25</v>
      </c>
      <c r="M2374" s="1">
        <v>43662</v>
      </c>
      <c r="N2374" t="s">
        <v>45</v>
      </c>
      <c r="O2374" t="s">
        <v>44</v>
      </c>
      <c r="P2374" t="s">
        <v>47</v>
      </c>
      <c r="Q2374" s="1">
        <v>43852</v>
      </c>
      <c r="R2374" t="s">
        <v>48</v>
      </c>
      <c r="S2374" t="s">
        <v>78</v>
      </c>
      <c r="T2374" t="s">
        <v>79</v>
      </c>
      <c r="U2374" t="s">
        <v>42</v>
      </c>
      <c r="V2374">
        <v>1200000</v>
      </c>
      <c r="W2374">
        <v>100000</v>
      </c>
      <c r="X2374" s="1">
        <v>43921</v>
      </c>
      <c r="Y2374" t="s">
        <v>51</v>
      </c>
      <c r="Z2374" t="s">
        <v>43</v>
      </c>
      <c r="AA2374" t="s">
        <v>80</v>
      </c>
      <c r="AB2374" t="s">
        <v>76</v>
      </c>
      <c r="AC2374" t="s">
        <v>81</v>
      </c>
      <c r="AF2374" t="s">
        <v>57</v>
      </c>
      <c r="AG2374" s="1">
        <v>43836</v>
      </c>
      <c r="AH2374" t="s">
        <v>42</v>
      </c>
      <c r="AI2374" t="s">
        <v>55</v>
      </c>
      <c r="AJ2374">
        <v>12788092</v>
      </c>
      <c r="AK2374">
        <v>250000</v>
      </c>
      <c r="AL2374">
        <v>1500000</v>
      </c>
    </row>
    <row r="2375" spans="1:38" x14ac:dyDescent="0.25">
      <c r="A2375" t="s">
        <v>522</v>
      </c>
      <c r="B2375" t="s">
        <v>589</v>
      </c>
      <c r="C2375" t="s">
        <v>40</v>
      </c>
      <c r="D2375" s="1">
        <v>43662</v>
      </c>
      <c r="E2375" s="1">
        <v>44027</v>
      </c>
      <c r="F2375" t="s">
        <v>76</v>
      </c>
      <c r="G2375">
        <v>1</v>
      </c>
      <c r="H2375" t="s">
        <v>42</v>
      </c>
      <c r="I2375" t="s">
        <v>43</v>
      </c>
      <c r="J2375" t="s">
        <v>115</v>
      </c>
      <c r="K2375" t="s">
        <v>127</v>
      </c>
      <c r="L2375">
        <v>61042.25</v>
      </c>
      <c r="M2375" s="1">
        <v>43662</v>
      </c>
      <c r="N2375" t="s">
        <v>45</v>
      </c>
      <c r="O2375" t="s">
        <v>44</v>
      </c>
      <c r="P2375" t="s">
        <v>47</v>
      </c>
      <c r="Q2375" s="1">
        <v>43852</v>
      </c>
      <c r="R2375" t="s">
        <v>48</v>
      </c>
      <c r="S2375" t="s">
        <v>78</v>
      </c>
      <c r="T2375" t="s">
        <v>79</v>
      </c>
      <c r="U2375" t="s">
        <v>42</v>
      </c>
      <c r="V2375">
        <v>1200000</v>
      </c>
      <c r="W2375">
        <v>100000</v>
      </c>
      <c r="X2375" s="1">
        <v>43921</v>
      </c>
      <c r="Y2375" t="s">
        <v>51</v>
      </c>
      <c r="Z2375" t="s">
        <v>43</v>
      </c>
      <c r="AA2375" t="s">
        <v>80</v>
      </c>
      <c r="AB2375" t="s">
        <v>76</v>
      </c>
      <c r="AC2375" t="s">
        <v>81</v>
      </c>
      <c r="AF2375" t="s">
        <v>58</v>
      </c>
      <c r="AG2375" s="1">
        <v>43837</v>
      </c>
      <c r="AH2375" t="s">
        <v>42</v>
      </c>
      <c r="AI2375" t="s">
        <v>55</v>
      </c>
      <c r="AJ2375">
        <v>12788092</v>
      </c>
      <c r="AK2375">
        <v>250000</v>
      </c>
      <c r="AL2375">
        <v>1500000</v>
      </c>
    </row>
    <row r="2376" spans="1:38" x14ac:dyDescent="0.25">
      <c r="A2376" t="s">
        <v>522</v>
      </c>
      <c r="B2376" t="s">
        <v>589</v>
      </c>
      <c r="C2376" t="s">
        <v>40</v>
      </c>
      <c r="D2376" s="1">
        <v>43662</v>
      </c>
      <c r="E2376" s="1">
        <v>44027</v>
      </c>
      <c r="F2376" t="s">
        <v>76</v>
      </c>
      <c r="G2376">
        <v>1</v>
      </c>
      <c r="H2376" t="s">
        <v>42</v>
      </c>
      <c r="I2376" t="s">
        <v>43</v>
      </c>
      <c r="J2376" t="s">
        <v>115</v>
      </c>
      <c r="K2376" t="s">
        <v>127</v>
      </c>
      <c r="L2376">
        <v>61042.25</v>
      </c>
      <c r="M2376" s="1">
        <v>43662</v>
      </c>
      <c r="N2376" t="s">
        <v>45</v>
      </c>
      <c r="O2376" t="s">
        <v>44</v>
      </c>
      <c r="P2376" t="s">
        <v>47</v>
      </c>
      <c r="Q2376" s="1">
        <v>43852</v>
      </c>
      <c r="R2376" t="s">
        <v>48</v>
      </c>
      <c r="S2376" t="s">
        <v>78</v>
      </c>
      <c r="T2376" t="s">
        <v>79</v>
      </c>
      <c r="U2376" t="s">
        <v>42</v>
      </c>
      <c r="V2376">
        <v>1200000</v>
      </c>
      <c r="W2376">
        <v>100000</v>
      </c>
      <c r="X2376" s="1">
        <v>43921</v>
      </c>
      <c r="Y2376" t="s">
        <v>51</v>
      </c>
      <c r="Z2376" t="s">
        <v>43</v>
      </c>
      <c r="AA2376" t="s">
        <v>80</v>
      </c>
      <c r="AB2376" t="s">
        <v>76</v>
      </c>
      <c r="AC2376" t="s">
        <v>81</v>
      </c>
      <c r="AF2376" t="s">
        <v>59</v>
      </c>
      <c r="AG2376" s="1">
        <v>43838</v>
      </c>
      <c r="AH2376" t="s">
        <v>42</v>
      </c>
      <c r="AI2376" t="s">
        <v>55</v>
      </c>
      <c r="AJ2376">
        <v>12788092</v>
      </c>
      <c r="AK2376">
        <v>250000</v>
      </c>
      <c r="AL2376">
        <v>1500000</v>
      </c>
    </row>
    <row r="2377" spans="1:38" x14ac:dyDescent="0.25">
      <c r="A2377" t="s">
        <v>522</v>
      </c>
      <c r="B2377" t="s">
        <v>590</v>
      </c>
      <c r="C2377" t="s">
        <v>40</v>
      </c>
      <c r="D2377" s="1">
        <v>43661</v>
      </c>
      <c r="E2377" s="1">
        <v>44026</v>
      </c>
      <c r="F2377" t="s">
        <v>72</v>
      </c>
      <c r="G2377">
        <v>11</v>
      </c>
      <c r="H2377" t="s">
        <v>223</v>
      </c>
      <c r="I2377" t="s">
        <v>43</v>
      </c>
      <c r="J2377" t="s">
        <v>115</v>
      </c>
      <c r="K2377" t="s">
        <v>127</v>
      </c>
      <c r="L2377">
        <v>15601.02</v>
      </c>
      <c r="M2377" s="1">
        <v>43661</v>
      </c>
      <c r="N2377" t="s">
        <v>45</v>
      </c>
      <c r="O2377" t="s">
        <v>46</v>
      </c>
      <c r="P2377" t="s">
        <v>47</v>
      </c>
      <c r="Q2377" s="1">
        <v>43852</v>
      </c>
      <c r="R2377" t="s">
        <v>48</v>
      </c>
    </row>
    <row r="2378" spans="1:38" x14ac:dyDescent="0.25">
      <c r="A2378" t="s">
        <v>522</v>
      </c>
      <c r="B2378" t="s">
        <v>591</v>
      </c>
      <c r="C2378" t="s">
        <v>40</v>
      </c>
      <c r="D2378" s="1">
        <v>42852</v>
      </c>
      <c r="E2378" s="1">
        <v>43216</v>
      </c>
      <c r="F2378" t="s">
        <v>76</v>
      </c>
      <c r="G2378">
        <v>1</v>
      </c>
      <c r="H2378" t="s">
        <v>42</v>
      </c>
      <c r="I2378" t="s">
        <v>43</v>
      </c>
      <c r="J2378" t="s">
        <v>73</v>
      </c>
      <c r="K2378" t="s">
        <v>127</v>
      </c>
      <c r="L2378">
        <v>7000</v>
      </c>
      <c r="M2378" s="1">
        <v>43216</v>
      </c>
      <c r="N2378" t="s">
        <v>45</v>
      </c>
      <c r="O2378" t="s">
        <v>46</v>
      </c>
      <c r="P2378" t="s">
        <v>47</v>
      </c>
      <c r="Q2378" s="1">
        <v>43852</v>
      </c>
      <c r="R2378" t="s">
        <v>48</v>
      </c>
      <c r="S2378" t="s">
        <v>78</v>
      </c>
      <c r="T2378" t="s">
        <v>79</v>
      </c>
      <c r="U2378" t="s">
        <v>42</v>
      </c>
      <c r="V2378">
        <v>1200000</v>
      </c>
      <c r="W2378">
        <v>100000</v>
      </c>
      <c r="X2378" s="1">
        <v>43921</v>
      </c>
      <c r="Y2378" t="s">
        <v>51</v>
      </c>
      <c r="Z2378" t="s">
        <v>43</v>
      </c>
      <c r="AA2378" t="s">
        <v>80</v>
      </c>
      <c r="AB2378" t="s">
        <v>76</v>
      </c>
      <c r="AC2378" t="s">
        <v>81</v>
      </c>
      <c r="AF2378" t="s">
        <v>54</v>
      </c>
      <c r="AG2378" s="1">
        <v>43832</v>
      </c>
      <c r="AH2378" t="s">
        <v>42</v>
      </c>
      <c r="AI2378" t="s">
        <v>55</v>
      </c>
      <c r="AJ2378">
        <v>12788092</v>
      </c>
      <c r="AK2378">
        <v>250000</v>
      </c>
      <c r="AL2378">
        <v>1500000</v>
      </c>
    </row>
    <row r="2379" spans="1:38" x14ac:dyDescent="0.25">
      <c r="A2379" t="s">
        <v>522</v>
      </c>
      <c r="B2379" t="s">
        <v>591</v>
      </c>
      <c r="C2379" t="s">
        <v>40</v>
      </c>
      <c r="D2379" s="1">
        <v>42852</v>
      </c>
      <c r="E2379" s="1">
        <v>43216</v>
      </c>
      <c r="F2379" t="s">
        <v>76</v>
      </c>
      <c r="G2379">
        <v>1</v>
      </c>
      <c r="H2379" t="s">
        <v>42</v>
      </c>
      <c r="I2379" t="s">
        <v>43</v>
      </c>
      <c r="J2379" t="s">
        <v>73</v>
      </c>
      <c r="K2379" t="s">
        <v>127</v>
      </c>
      <c r="L2379">
        <v>7000</v>
      </c>
      <c r="M2379" s="1">
        <v>43216</v>
      </c>
      <c r="N2379" t="s">
        <v>45</v>
      </c>
      <c r="O2379" t="s">
        <v>46</v>
      </c>
      <c r="P2379" t="s">
        <v>47</v>
      </c>
      <c r="Q2379" s="1">
        <v>43852</v>
      </c>
      <c r="R2379" t="s">
        <v>48</v>
      </c>
      <c r="S2379" t="s">
        <v>78</v>
      </c>
      <c r="T2379" t="s">
        <v>79</v>
      </c>
      <c r="U2379" t="s">
        <v>42</v>
      </c>
      <c r="V2379">
        <v>1200000</v>
      </c>
      <c r="W2379">
        <v>100000</v>
      </c>
      <c r="X2379" s="1">
        <v>43921</v>
      </c>
      <c r="Y2379" t="s">
        <v>51</v>
      </c>
      <c r="Z2379" t="s">
        <v>43</v>
      </c>
      <c r="AA2379" t="s">
        <v>80</v>
      </c>
      <c r="AB2379" t="s">
        <v>76</v>
      </c>
      <c r="AC2379" t="s">
        <v>81</v>
      </c>
      <c r="AF2379" t="s">
        <v>56</v>
      </c>
      <c r="AG2379" s="1">
        <v>43833</v>
      </c>
      <c r="AH2379" t="s">
        <v>42</v>
      </c>
      <c r="AI2379" t="s">
        <v>55</v>
      </c>
      <c r="AJ2379">
        <v>12788092</v>
      </c>
      <c r="AK2379">
        <v>250000</v>
      </c>
      <c r="AL2379">
        <v>1500000</v>
      </c>
    </row>
    <row r="2380" spans="1:38" x14ac:dyDescent="0.25">
      <c r="A2380" t="s">
        <v>522</v>
      </c>
      <c r="B2380" t="s">
        <v>591</v>
      </c>
      <c r="C2380" t="s">
        <v>40</v>
      </c>
      <c r="D2380" s="1">
        <v>42852</v>
      </c>
      <c r="E2380" s="1">
        <v>43216</v>
      </c>
      <c r="F2380" t="s">
        <v>76</v>
      </c>
      <c r="G2380">
        <v>1</v>
      </c>
      <c r="H2380" t="s">
        <v>42</v>
      </c>
      <c r="I2380" t="s">
        <v>43</v>
      </c>
      <c r="J2380" t="s">
        <v>73</v>
      </c>
      <c r="K2380" t="s">
        <v>127</v>
      </c>
      <c r="L2380">
        <v>7000</v>
      </c>
      <c r="M2380" s="1">
        <v>43216</v>
      </c>
      <c r="N2380" t="s">
        <v>45</v>
      </c>
      <c r="O2380" t="s">
        <v>46</v>
      </c>
      <c r="P2380" t="s">
        <v>47</v>
      </c>
      <c r="Q2380" s="1">
        <v>43852</v>
      </c>
      <c r="R2380" t="s">
        <v>48</v>
      </c>
      <c r="S2380" t="s">
        <v>78</v>
      </c>
      <c r="T2380" t="s">
        <v>79</v>
      </c>
      <c r="U2380" t="s">
        <v>42</v>
      </c>
      <c r="V2380">
        <v>1200000</v>
      </c>
      <c r="W2380">
        <v>100000</v>
      </c>
      <c r="X2380" s="1">
        <v>43921</v>
      </c>
      <c r="Y2380" t="s">
        <v>51</v>
      </c>
      <c r="Z2380" t="s">
        <v>43</v>
      </c>
      <c r="AA2380" t="s">
        <v>80</v>
      </c>
      <c r="AB2380" t="s">
        <v>76</v>
      </c>
      <c r="AC2380" t="s">
        <v>81</v>
      </c>
      <c r="AF2380" t="s">
        <v>57</v>
      </c>
      <c r="AG2380" s="1">
        <v>43836</v>
      </c>
      <c r="AH2380" t="s">
        <v>42</v>
      </c>
      <c r="AI2380" t="s">
        <v>55</v>
      </c>
      <c r="AJ2380">
        <v>12788092</v>
      </c>
      <c r="AK2380">
        <v>250000</v>
      </c>
      <c r="AL2380">
        <v>1500000</v>
      </c>
    </row>
    <row r="2381" spans="1:38" x14ac:dyDescent="0.25">
      <c r="A2381" t="s">
        <v>522</v>
      </c>
      <c r="B2381" t="s">
        <v>591</v>
      </c>
      <c r="C2381" t="s">
        <v>40</v>
      </c>
      <c r="D2381" s="1">
        <v>42852</v>
      </c>
      <c r="E2381" s="1">
        <v>43216</v>
      </c>
      <c r="F2381" t="s">
        <v>76</v>
      </c>
      <c r="G2381">
        <v>1</v>
      </c>
      <c r="H2381" t="s">
        <v>42</v>
      </c>
      <c r="I2381" t="s">
        <v>43</v>
      </c>
      <c r="J2381" t="s">
        <v>73</v>
      </c>
      <c r="K2381" t="s">
        <v>127</v>
      </c>
      <c r="L2381">
        <v>7000</v>
      </c>
      <c r="M2381" s="1">
        <v>43216</v>
      </c>
      <c r="N2381" t="s">
        <v>45</v>
      </c>
      <c r="O2381" t="s">
        <v>46</v>
      </c>
      <c r="P2381" t="s">
        <v>47</v>
      </c>
      <c r="Q2381" s="1">
        <v>43852</v>
      </c>
      <c r="R2381" t="s">
        <v>48</v>
      </c>
      <c r="S2381" t="s">
        <v>78</v>
      </c>
      <c r="T2381" t="s">
        <v>79</v>
      </c>
      <c r="U2381" t="s">
        <v>42</v>
      </c>
      <c r="V2381">
        <v>1200000</v>
      </c>
      <c r="W2381">
        <v>100000</v>
      </c>
      <c r="X2381" s="1">
        <v>43921</v>
      </c>
      <c r="Y2381" t="s">
        <v>51</v>
      </c>
      <c r="Z2381" t="s">
        <v>43</v>
      </c>
      <c r="AA2381" t="s">
        <v>80</v>
      </c>
      <c r="AB2381" t="s">
        <v>76</v>
      </c>
      <c r="AC2381" t="s">
        <v>81</v>
      </c>
      <c r="AF2381" t="s">
        <v>58</v>
      </c>
      <c r="AG2381" s="1">
        <v>43837</v>
      </c>
      <c r="AH2381" t="s">
        <v>42</v>
      </c>
      <c r="AI2381" t="s">
        <v>55</v>
      </c>
      <c r="AJ2381">
        <v>12788092</v>
      </c>
      <c r="AK2381">
        <v>250000</v>
      </c>
      <c r="AL2381">
        <v>1500000</v>
      </c>
    </row>
    <row r="2382" spans="1:38" x14ac:dyDescent="0.25">
      <c r="A2382" t="s">
        <v>522</v>
      </c>
      <c r="B2382" t="s">
        <v>591</v>
      </c>
      <c r="C2382" t="s">
        <v>40</v>
      </c>
      <c r="D2382" s="1">
        <v>42852</v>
      </c>
      <c r="E2382" s="1">
        <v>43216</v>
      </c>
      <c r="F2382" t="s">
        <v>76</v>
      </c>
      <c r="G2382">
        <v>1</v>
      </c>
      <c r="H2382" t="s">
        <v>42</v>
      </c>
      <c r="I2382" t="s">
        <v>43</v>
      </c>
      <c r="J2382" t="s">
        <v>73</v>
      </c>
      <c r="K2382" t="s">
        <v>127</v>
      </c>
      <c r="L2382">
        <v>7000</v>
      </c>
      <c r="M2382" s="1">
        <v>43216</v>
      </c>
      <c r="N2382" t="s">
        <v>45</v>
      </c>
      <c r="O2382" t="s">
        <v>46</v>
      </c>
      <c r="P2382" t="s">
        <v>47</v>
      </c>
      <c r="Q2382" s="1">
        <v>43852</v>
      </c>
      <c r="R2382" t="s">
        <v>48</v>
      </c>
      <c r="S2382" t="s">
        <v>78</v>
      </c>
      <c r="T2382" t="s">
        <v>79</v>
      </c>
      <c r="U2382" t="s">
        <v>42</v>
      </c>
      <c r="V2382">
        <v>1200000</v>
      </c>
      <c r="W2382">
        <v>100000</v>
      </c>
      <c r="X2382" s="1">
        <v>43921</v>
      </c>
      <c r="Y2382" t="s">
        <v>51</v>
      </c>
      <c r="Z2382" t="s">
        <v>43</v>
      </c>
      <c r="AA2382" t="s">
        <v>80</v>
      </c>
      <c r="AB2382" t="s">
        <v>76</v>
      </c>
      <c r="AC2382" t="s">
        <v>81</v>
      </c>
      <c r="AF2382" t="s">
        <v>59</v>
      </c>
      <c r="AG2382" s="1">
        <v>43838</v>
      </c>
      <c r="AH2382" t="s">
        <v>42</v>
      </c>
      <c r="AI2382" t="s">
        <v>55</v>
      </c>
      <c r="AJ2382">
        <v>12788092</v>
      </c>
      <c r="AK2382">
        <v>250000</v>
      </c>
      <c r="AL2382">
        <v>1500000</v>
      </c>
    </row>
    <row r="2383" spans="1:38" x14ac:dyDescent="0.25">
      <c r="A2383" t="s">
        <v>522</v>
      </c>
      <c r="B2383" s="2">
        <v>1.60232E+17</v>
      </c>
      <c r="C2383" t="s">
        <v>71</v>
      </c>
      <c r="D2383" s="1">
        <v>43318</v>
      </c>
      <c r="E2383" s="1">
        <v>43682</v>
      </c>
      <c r="F2383" t="s">
        <v>84</v>
      </c>
      <c r="G2383">
        <v>13</v>
      </c>
      <c r="H2383" t="s">
        <v>316</v>
      </c>
      <c r="I2383" t="s">
        <v>43</v>
      </c>
      <c r="J2383" t="s">
        <v>86</v>
      </c>
      <c r="K2383" t="s">
        <v>44</v>
      </c>
      <c r="L2383">
        <v>21000</v>
      </c>
      <c r="M2383" s="1">
        <v>43318</v>
      </c>
      <c r="N2383" t="s">
        <v>45</v>
      </c>
      <c r="O2383" t="s">
        <v>361</v>
      </c>
      <c r="P2383" t="s">
        <v>47</v>
      </c>
      <c r="Q2383" s="1">
        <v>43852</v>
      </c>
      <c r="R2383" t="s">
        <v>48</v>
      </c>
    </row>
    <row r="2384" spans="1:38" x14ac:dyDescent="0.25">
      <c r="A2384" t="s">
        <v>522</v>
      </c>
      <c r="B2384" t="s">
        <v>592</v>
      </c>
      <c r="C2384" t="s">
        <v>40</v>
      </c>
      <c r="D2384" s="1">
        <v>43687</v>
      </c>
      <c r="E2384" s="1">
        <v>44052</v>
      </c>
      <c r="F2384" t="s">
        <v>84</v>
      </c>
      <c r="G2384">
        <v>13</v>
      </c>
      <c r="H2384" t="s">
        <v>316</v>
      </c>
      <c r="I2384" t="s">
        <v>43</v>
      </c>
      <c r="J2384" t="s">
        <v>86</v>
      </c>
      <c r="K2384" t="s">
        <v>127</v>
      </c>
      <c r="L2384">
        <v>28069.13</v>
      </c>
      <c r="M2384" s="1">
        <v>43687</v>
      </c>
      <c r="N2384" t="s">
        <v>45</v>
      </c>
      <c r="O2384" t="s">
        <v>46</v>
      </c>
      <c r="P2384" t="s">
        <v>47</v>
      </c>
      <c r="Q2384" s="1">
        <v>43852</v>
      </c>
      <c r="R2384" t="s">
        <v>48</v>
      </c>
    </row>
    <row r="2385" spans="1:38" x14ac:dyDescent="0.25">
      <c r="A2385" t="s">
        <v>66</v>
      </c>
      <c r="B2385">
        <v>41047870</v>
      </c>
      <c r="C2385" t="s">
        <v>40</v>
      </c>
      <c r="D2385" s="1">
        <v>43651</v>
      </c>
      <c r="E2385" s="1">
        <v>44016</v>
      </c>
      <c r="F2385" t="s">
        <v>77</v>
      </c>
      <c r="G2385">
        <v>2</v>
      </c>
      <c r="H2385" t="s">
        <v>67</v>
      </c>
      <c r="I2385" t="s">
        <v>43</v>
      </c>
      <c r="J2385" t="s">
        <v>77</v>
      </c>
      <c r="K2385" t="s">
        <v>68</v>
      </c>
      <c r="L2385">
        <v>72675</v>
      </c>
      <c r="M2385" s="1">
        <v>43651</v>
      </c>
      <c r="N2385" t="s">
        <v>45</v>
      </c>
      <c r="O2385" t="s">
        <v>46</v>
      </c>
      <c r="P2385" t="s">
        <v>47</v>
      </c>
      <c r="Q2385" s="1">
        <v>43852</v>
      </c>
      <c r="R2385" t="s">
        <v>48</v>
      </c>
    </row>
    <row r="2386" spans="1:38" x14ac:dyDescent="0.25">
      <c r="A2386" t="s">
        <v>69</v>
      </c>
      <c r="B2386">
        <v>41047870</v>
      </c>
      <c r="C2386" t="s">
        <v>40</v>
      </c>
      <c r="D2386" s="1">
        <v>43651</v>
      </c>
      <c r="E2386" s="1">
        <v>44016</v>
      </c>
      <c r="F2386" t="s">
        <v>77</v>
      </c>
      <c r="G2386">
        <v>2</v>
      </c>
      <c r="H2386" t="s">
        <v>67</v>
      </c>
      <c r="I2386" t="s">
        <v>43</v>
      </c>
      <c r="J2386" t="s">
        <v>77</v>
      </c>
      <c r="K2386" t="s">
        <v>68</v>
      </c>
      <c r="L2386">
        <v>72675</v>
      </c>
      <c r="M2386" s="1">
        <v>43651</v>
      </c>
      <c r="N2386" t="s">
        <v>45</v>
      </c>
      <c r="O2386" t="s">
        <v>46</v>
      </c>
      <c r="P2386" t="s">
        <v>47</v>
      </c>
      <c r="Q2386" s="1">
        <v>43852</v>
      </c>
      <c r="R2386" t="s">
        <v>48</v>
      </c>
    </row>
    <row r="2387" spans="1:38" x14ac:dyDescent="0.25">
      <c r="A2387" t="s">
        <v>74</v>
      </c>
      <c r="B2387" t="s">
        <v>593</v>
      </c>
      <c r="C2387" t="s">
        <v>71</v>
      </c>
      <c r="D2387" s="1">
        <v>43191</v>
      </c>
      <c r="E2387" s="1">
        <v>43555</v>
      </c>
      <c r="F2387" t="s">
        <v>41</v>
      </c>
      <c r="G2387">
        <v>6</v>
      </c>
      <c r="H2387" t="s">
        <v>187</v>
      </c>
      <c r="I2387" t="s">
        <v>43</v>
      </c>
      <c r="J2387" t="s">
        <v>41</v>
      </c>
      <c r="K2387" t="s">
        <v>44</v>
      </c>
      <c r="L2387">
        <v>23771.05</v>
      </c>
      <c r="M2387" s="1">
        <v>43191</v>
      </c>
      <c r="N2387" t="s">
        <v>45</v>
      </c>
      <c r="O2387" t="s">
        <v>46</v>
      </c>
      <c r="P2387" t="s">
        <v>47</v>
      </c>
      <c r="Q2387" s="1">
        <v>43852</v>
      </c>
      <c r="R2387" t="s">
        <v>48</v>
      </c>
    </row>
    <row r="2388" spans="1:38" x14ac:dyDescent="0.25">
      <c r="A2388" t="s">
        <v>75</v>
      </c>
      <c r="B2388" t="s">
        <v>594</v>
      </c>
      <c r="C2388" t="s">
        <v>40</v>
      </c>
      <c r="D2388" s="1">
        <v>43556</v>
      </c>
      <c r="E2388" s="1">
        <v>43921</v>
      </c>
      <c r="F2388" t="s">
        <v>41</v>
      </c>
      <c r="G2388">
        <v>6</v>
      </c>
      <c r="H2388" t="s">
        <v>187</v>
      </c>
      <c r="I2388" t="s">
        <v>43</v>
      </c>
      <c r="J2388" t="s">
        <v>41</v>
      </c>
      <c r="K2388" t="s">
        <v>44</v>
      </c>
      <c r="L2388">
        <v>21399.439999999999</v>
      </c>
      <c r="M2388" s="1">
        <v>43616</v>
      </c>
      <c r="N2388" t="s">
        <v>45</v>
      </c>
      <c r="O2388" t="s">
        <v>44</v>
      </c>
      <c r="P2388" t="s">
        <v>47</v>
      </c>
      <c r="Q2388" s="1">
        <v>43852</v>
      </c>
      <c r="R2388" t="s">
        <v>48</v>
      </c>
    </row>
    <row r="2389" spans="1:38" x14ac:dyDescent="0.25">
      <c r="A2389" t="s">
        <v>82</v>
      </c>
      <c r="B2389">
        <v>22364363</v>
      </c>
      <c r="C2389" t="s">
        <v>40</v>
      </c>
      <c r="D2389" s="1">
        <v>43405</v>
      </c>
      <c r="E2389" s="1">
        <v>43769</v>
      </c>
      <c r="F2389" t="s">
        <v>41</v>
      </c>
      <c r="G2389">
        <v>1</v>
      </c>
      <c r="H2389" t="s">
        <v>42</v>
      </c>
      <c r="I2389" t="s">
        <v>43</v>
      </c>
      <c r="J2389" t="s">
        <v>595</v>
      </c>
      <c r="K2389" t="s">
        <v>44</v>
      </c>
      <c r="L2389">
        <v>23100.17</v>
      </c>
      <c r="M2389" s="1">
        <v>43769</v>
      </c>
      <c r="N2389" t="s">
        <v>45</v>
      </c>
      <c r="O2389" t="s">
        <v>46</v>
      </c>
      <c r="P2389" t="s">
        <v>47</v>
      </c>
      <c r="Q2389" s="1">
        <v>43852</v>
      </c>
      <c r="R2389" t="s">
        <v>48</v>
      </c>
      <c r="S2389" t="s">
        <v>49</v>
      </c>
      <c r="T2389" t="s">
        <v>50</v>
      </c>
      <c r="U2389" t="s">
        <v>42</v>
      </c>
      <c r="V2389">
        <v>0</v>
      </c>
      <c r="W2389">
        <v>100000</v>
      </c>
      <c r="X2389" s="1">
        <v>44012</v>
      </c>
      <c r="Y2389" t="s">
        <v>51</v>
      </c>
      <c r="Z2389" t="s">
        <v>43</v>
      </c>
      <c r="AA2389" t="s">
        <v>41</v>
      </c>
      <c r="AB2389" t="s">
        <v>52</v>
      </c>
      <c r="AC2389" t="s">
        <v>53</v>
      </c>
      <c r="AF2389" t="s">
        <v>54</v>
      </c>
      <c r="AG2389" s="1">
        <v>43832</v>
      </c>
      <c r="AH2389" t="s">
        <v>42</v>
      </c>
      <c r="AI2389" t="s">
        <v>55</v>
      </c>
      <c r="AJ2389">
        <v>12788092</v>
      </c>
      <c r="AK2389">
        <v>250000</v>
      </c>
      <c r="AL2389">
        <v>1500000</v>
      </c>
    </row>
    <row r="2390" spans="1:38" x14ac:dyDescent="0.25">
      <c r="A2390" t="s">
        <v>82</v>
      </c>
      <c r="B2390">
        <v>22364363</v>
      </c>
      <c r="C2390" t="s">
        <v>40</v>
      </c>
      <c r="D2390" s="1">
        <v>43405</v>
      </c>
      <c r="E2390" s="1">
        <v>43769</v>
      </c>
      <c r="F2390" t="s">
        <v>41</v>
      </c>
      <c r="G2390">
        <v>1</v>
      </c>
      <c r="H2390" t="s">
        <v>42</v>
      </c>
      <c r="I2390" t="s">
        <v>43</v>
      </c>
      <c r="J2390" t="s">
        <v>595</v>
      </c>
      <c r="K2390" t="s">
        <v>44</v>
      </c>
      <c r="L2390">
        <v>23100.17</v>
      </c>
      <c r="M2390" s="1">
        <v>43769</v>
      </c>
      <c r="N2390" t="s">
        <v>45</v>
      </c>
      <c r="O2390" t="s">
        <v>46</v>
      </c>
      <c r="P2390" t="s">
        <v>47</v>
      </c>
      <c r="Q2390" s="1">
        <v>43852</v>
      </c>
      <c r="R2390" t="s">
        <v>48</v>
      </c>
      <c r="S2390" t="s">
        <v>49</v>
      </c>
      <c r="T2390" t="s">
        <v>50</v>
      </c>
      <c r="U2390" t="s">
        <v>42</v>
      </c>
      <c r="V2390">
        <v>0</v>
      </c>
      <c r="W2390">
        <v>100000</v>
      </c>
      <c r="X2390" s="1">
        <v>44012</v>
      </c>
      <c r="Y2390" t="s">
        <v>51</v>
      </c>
      <c r="Z2390" t="s">
        <v>43</v>
      </c>
      <c r="AA2390" t="s">
        <v>41</v>
      </c>
      <c r="AB2390" t="s">
        <v>52</v>
      </c>
      <c r="AC2390" t="s">
        <v>53</v>
      </c>
      <c r="AF2390" t="s">
        <v>56</v>
      </c>
      <c r="AG2390" s="1">
        <v>43833</v>
      </c>
      <c r="AH2390" t="s">
        <v>42</v>
      </c>
      <c r="AI2390" t="s">
        <v>55</v>
      </c>
      <c r="AJ2390">
        <v>12788092</v>
      </c>
      <c r="AK2390">
        <v>250000</v>
      </c>
      <c r="AL2390">
        <v>1500000</v>
      </c>
    </row>
    <row r="2391" spans="1:38" x14ac:dyDescent="0.25">
      <c r="A2391" t="s">
        <v>82</v>
      </c>
      <c r="B2391">
        <v>22364363</v>
      </c>
      <c r="C2391" t="s">
        <v>40</v>
      </c>
      <c r="D2391" s="1">
        <v>43405</v>
      </c>
      <c r="E2391" s="1">
        <v>43769</v>
      </c>
      <c r="F2391" t="s">
        <v>41</v>
      </c>
      <c r="G2391">
        <v>1</v>
      </c>
      <c r="H2391" t="s">
        <v>42</v>
      </c>
      <c r="I2391" t="s">
        <v>43</v>
      </c>
      <c r="J2391" t="s">
        <v>595</v>
      </c>
      <c r="K2391" t="s">
        <v>44</v>
      </c>
      <c r="L2391">
        <v>23100.17</v>
      </c>
      <c r="M2391" s="1">
        <v>43769</v>
      </c>
      <c r="N2391" t="s">
        <v>45</v>
      </c>
      <c r="O2391" t="s">
        <v>46</v>
      </c>
      <c r="P2391" t="s">
        <v>47</v>
      </c>
      <c r="Q2391" s="1">
        <v>43852</v>
      </c>
      <c r="R2391" t="s">
        <v>48</v>
      </c>
      <c r="S2391" t="s">
        <v>49</v>
      </c>
      <c r="T2391" t="s">
        <v>50</v>
      </c>
      <c r="U2391" t="s">
        <v>42</v>
      </c>
      <c r="V2391">
        <v>0</v>
      </c>
      <c r="W2391">
        <v>100000</v>
      </c>
      <c r="X2391" s="1">
        <v>44012</v>
      </c>
      <c r="Y2391" t="s">
        <v>51</v>
      </c>
      <c r="Z2391" t="s">
        <v>43</v>
      </c>
      <c r="AA2391" t="s">
        <v>41</v>
      </c>
      <c r="AB2391" t="s">
        <v>52</v>
      </c>
      <c r="AC2391" t="s">
        <v>53</v>
      </c>
      <c r="AF2391" t="s">
        <v>57</v>
      </c>
      <c r="AG2391" s="1">
        <v>43836</v>
      </c>
      <c r="AH2391" t="s">
        <v>42</v>
      </c>
      <c r="AI2391" t="s">
        <v>55</v>
      </c>
      <c r="AJ2391">
        <v>12788092</v>
      </c>
      <c r="AK2391">
        <v>250000</v>
      </c>
      <c r="AL2391">
        <v>1500000</v>
      </c>
    </row>
    <row r="2392" spans="1:38" x14ac:dyDescent="0.25">
      <c r="A2392" t="s">
        <v>82</v>
      </c>
      <c r="B2392">
        <v>22364363</v>
      </c>
      <c r="C2392" t="s">
        <v>40</v>
      </c>
      <c r="D2392" s="1">
        <v>43405</v>
      </c>
      <c r="E2392" s="1">
        <v>43769</v>
      </c>
      <c r="F2392" t="s">
        <v>41</v>
      </c>
      <c r="G2392">
        <v>1</v>
      </c>
      <c r="H2392" t="s">
        <v>42</v>
      </c>
      <c r="I2392" t="s">
        <v>43</v>
      </c>
      <c r="J2392" t="s">
        <v>595</v>
      </c>
      <c r="K2392" t="s">
        <v>44</v>
      </c>
      <c r="L2392">
        <v>23100.17</v>
      </c>
      <c r="M2392" s="1">
        <v>43769</v>
      </c>
      <c r="N2392" t="s">
        <v>45</v>
      </c>
      <c r="O2392" t="s">
        <v>46</v>
      </c>
      <c r="P2392" t="s">
        <v>47</v>
      </c>
      <c r="Q2392" s="1">
        <v>43852</v>
      </c>
      <c r="R2392" t="s">
        <v>48</v>
      </c>
      <c r="S2392" t="s">
        <v>49</v>
      </c>
      <c r="T2392" t="s">
        <v>50</v>
      </c>
      <c r="U2392" t="s">
        <v>42</v>
      </c>
      <c r="V2392">
        <v>0</v>
      </c>
      <c r="W2392">
        <v>100000</v>
      </c>
      <c r="X2392" s="1">
        <v>44012</v>
      </c>
      <c r="Y2392" t="s">
        <v>51</v>
      </c>
      <c r="Z2392" t="s">
        <v>43</v>
      </c>
      <c r="AA2392" t="s">
        <v>41</v>
      </c>
      <c r="AB2392" t="s">
        <v>52</v>
      </c>
      <c r="AC2392" t="s">
        <v>53</v>
      </c>
      <c r="AF2392" t="s">
        <v>58</v>
      </c>
      <c r="AG2392" s="1">
        <v>43837</v>
      </c>
      <c r="AH2392" t="s">
        <v>42</v>
      </c>
      <c r="AI2392" t="s">
        <v>55</v>
      </c>
      <c r="AJ2392">
        <v>12788092</v>
      </c>
      <c r="AK2392">
        <v>250000</v>
      </c>
      <c r="AL2392">
        <v>1500000</v>
      </c>
    </row>
    <row r="2393" spans="1:38" x14ac:dyDescent="0.25">
      <c r="A2393" t="s">
        <v>82</v>
      </c>
      <c r="B2393">
        <v>22364363</v>
      </c>
      <c r="C2393" t="s">
        <v>40</v>
      </c>
      <c r="D2393" s="1">
        <v>43405</v>
      </c>
      <c r="E2393" s="1">
        <v>43769</v>
      </c>
      <c r="F2393" t="s">
        <v>41</v>
      </c>
      <c r="G2393">
        <v>1</v>
      </c>
      <c r="H2393" t="s">
        <v>42</v>
      </c>
      <c r="I2393" t="s">
        <v>43</v>
      </c>
      <c r="J2393" t="s">
        <v>595</v>
      </c>
      <c r="K2393" t="s">
        <v>44</v>
      </c>
      <c r="L2393">
        <v>23100.17</v>
      </c>
      <c r="M2393" s="1">
        <v>43769</v>
      </c>
      <c r="N2393" t="s">
        <v>45</v>
      </c>
      <c r="O2393" t="s">
        <v>46</v>
      </c>
      <c r="P2393" t="s">
        <v>47</v>
      </c>
      <c r="Q2393" s="1">
        <v>43852</v>
      </c>
      <c r="R2393" t="s">
        <v>48</v>
      </c>
      <c r="S2393" t="s">
        <v>49</v>
      </c>
      <c r="T2393" t="s">
        <v>50</v>
      </c>
      <c r="U2393" t="s">
        <v>42</v>
      </c>
      <c r="V2393">
        <v>0</v>
      </c>
      <c r="W2393">
        <v>100000</v>
      </c>
      <c r="X2393" s="1">
        <v>44012</v>
      </c>
      <c r="Y2393" t="s">
        <v>51</v>
      </c>
      <c r="Z2393" t="s">
        <v>43</v>
      </c>
      <c r="AA2393" t="s">
        <v>41</v>
      </c>
      <c r="AB2393" t="s">
        <v>52</v>
      </c>
      <c r="AC2393" t="s">
        <v>53</v>
      </c>
      <c r="AF2393" t="s">
        <v>59</v>
      </c>
      <c r="AG2393" s="1">
        <v>43838</v>
      </c>
      <c r="AH2393" t="s">
        <v>42</v>
      </c>
      <c r="AI2393" t="s">
        <v>55</v>
      </c>
      <c r="AJ2393">
        <v>12788092</v>
      </c>
      <c r="AK2393">
        <v>250000</v>
      </c>
      <c r="AL2393">
        <v>1500000</v>
      </c>
    </row>
    <row r="2394" spans="1:38" x14ac:dyDescent="0.25">
      <c r="A2394" t="s">
        <v>82</v>
      </c>
      <c r="B2394">
        <v>22364363</v>
      </c>
      <c r="C2394" t="s">
        <v>40</v>
      </c>
      <c r="D2394" s="1">
        <v>43405</v>
      </c>
      <c r="E2394" s="1">
        <v>43769</v>
      </c>
      <c r="F2394" t="s">
        <v>41</v>
      </c>
      <c r="G2394">
        <v>1</v>
      </c>
      <c r="H2394" t="s">
        <v>42</v>
      </c>
      <c r="I2394" t="s">
        <v>43</v>
      </c>
      <c r="J2394" t="s">
        <v>595</v>
      </c>
      <c r="K2394" t="s">
        <v>44</v>
      </c>
      <c r="L2394">
        <v>23100.17</v>
      </c>
      <c r="M2394" s="1">
        <v>43769</v>
      </c>
      <c r="N2394" t="s">
        <v>45</v>
      </c>
      <c r="O2394" t="s">
        <v>46</v>
      </c>
      <c r="P2394" t="s">
        <v>47</v>
      </c>
      <c r="Q2394" s="1">
        <v>43852</v>
      </c>
      <c r="R2394" t="s">
        <v>48</v>
      </c>
      <c r="S2394" t="s">
        <v>60</v>
      </c>
      <c r="T2394" t="s">
        <v>61</v>
      </c>
      <c r="U2394" t="s">
        <v>42</v>
      </c>
      <c r="V2394">
        <v>0</v>
      </c>
      <c r="W2394">
        <v>100000</v>
      </c>
      <c r="X2394" s="1">
        <v>43921</v>
      </c>
      <c r="Y2394" t="s">
        <v>51</v>
      </c>
      <c r="Z2394" t="s">
        <v>43</v>
      </c>
      <c r="AA2394" t="s">
        <v>41</v>
      </c>
      <c r="AB2394" t="s">
        <v>52</v>
      </c>
      <c r="AC2394" t="s">
        <v>53</v>
      </c>
      <c r="AF2394" t="s">
        <v>54</v>
      </c>
      <c r="AG2394" s="1">
        <v>43832</v>
      </c>
      <c r="AH2394" t="s">
        <v>42</v>
      </c>
      <c r="AI2394" t="s">
        <v>55</v>
      </c>
      <c r="AJ2394">
        <v>12788092</v>
      </c>
      <c r="AK2394">
        <v>250000</v>
      </c>
      <c r="AL2394">
        <v>1500000</v>
      </c>
    </row>
    <row r="2395" spans="1:38" x14ac:dyDescent="0.25">
      <c r="A2395" t="s">
        <v>82</v>
      </c>
      <c r="B2395">
        <v>22364363</v>
      </c>
      <c r="C2395" t="s">
        <v>40</v>
      </c>
      <c r="D2395" s="1">
        <v>43405</v>
      </c>
      <c r="E2395" s="1">
        <v>43769</v>
      </c>
      <c r="F2395" t="s">
        <v>41</v>
      </c>
      <c r="G2395">
        <v>1</v>
      </c>
      <c r="H2395" t="s">
        <v>42</v>
      </c>
      <c r="I2395" t="s">
        <v>43</v>
      </c>
      <c r="J2395" t="s">
        <v>595</v>
      </c>
      <c r="K2395" t="s">
        <v>44</v>
      </c>
      <c r="L2395">
        <v>23100.17</v>
      </c>
      <c r="M2395" s="1">
        <v>43769</v>
      </c>
      <c r="N2395" t="s">
        <v>45</v>
      </c>
      <c r="O2395" t="s">
        <v>46</v>
      </c>
      <c r="P2395" t="s">
        <v>47</v>
      </c>
      <c r="Q2395" s="1">
        <v>43852</v>
      </c>
      <c r="R2395" t="s">
        <v>48</v>
      </c>
      <c r="S2395" t="s">
        <v>60</v>
      </c>
      <c r="T2395" t="s">
        <v>61</v>
      </c>
      <c r="U2395" t="s">
        <v>42</v>
      </c>
      <c r="V2395">
        <v>0</v>
      </c>
      <c r="W2395">
        <v>100000</v>
      </c>
      <c r="X2395" s="1">
        <v>43921</v>
      </c>
      <c r="Y2395" t="s">
        <v>51</v>
      </c>
      <c r="Z2395" t="s">
        <v>43</v>
      </c>
      <c r="AA2395" t="s">
        <v>41</v>
      </c>
      <c r="AB2395" t="s">
        <v>52</v>
      </c>
      <c r="AC2395" t="s">
        <v>53</v>
      </c>
      <c r="AF2395" t="s">
        <v>56</v>
      </c>
      <c r="AG2395" s="1">
        <v>43833</v>
      </c>
      <c r="AH2395" t="s">
        <v>42</v>
      </c>
      <c r="AI2395" t="s">
        <v>55</v>
      </c>
      <c r="AJ2395">
        <v>12788092</v>
      </c>
      <c r="AK2395">
        <v>250000</v>
      </c>
      <c r="AL2395">
        <v>1500000</v>
      </c>
    </row>
    <row r="2396" spans="1:38" x14ac:dyDescent="0.25">
      <c r="A2396" t="s">
        <v>82</v>
      </c>
      <c r="B2396">
        <v>22364363</v>
      </c>
      <c r="C2396" t="s">
        <v>40</v>
      </c>
      <c r="D2396" s="1">
        <v>43405</v>
      </c>
      <c r="E2396" s="1">
        <v>43769</v>
      </c>
      <c r="F2396" t="s">
        <v>41</v>
      </c>
      <c r="G2396">
        <v>1</v>
      </c>
      <c r="H2396" t="s">
        <v>42</v>
      </c>
      <c r="I2396" t="s">
        <v>43</v>
      </c>
      <c r="J2396" t="s">
        <v>595</v>
      </c>
      <c r="K2396" t="s">
        <v>44</v>
      </c>
      <c r="L2396">
        <v>23100.17</v>
      </c>
      <c r="M2396" s="1">
        <v>43769</v>
      </c>
      <c r="N2396" t="s">
        <v>45</v>
      </c>
      <c r="O2396" t="s">
        <v>46</v>
      </c>
      <c r="P2396" t="s">
        <v>47</v>
      </c>
      <c r="Q2396" s="1">
        <v>43852</v>
      </c>
      <c r="R2396" t="s">
        <v>48</v>
      </c>
      <c r="S2396" t="s">
        <v>60</v>
      </c>
      <c r="T2396" t="s">
        <v>61</v>
      </c>
      <c r="U2396" t="s">
        <v>42</v>
      </c>
      <c r="V2396">
        <v>0</v>
      </c>
      <c r="W2396">
        <v>100000</v>
      </c>
      <c r="X2396" s="1">
        <v>43921</v>
      </c>
      <c r="Y2396" t="s">
        <v>51</v>
      </c>
      <c r="Z2396" t="s">
        <v>43</v>
      </c>
      <c r="AA2396" t="s">
        <v>41</v>
      </c>
      <c r="AB2396" t="s">
        <v>52</v>
      </c>
      <c r="AC2396" t="s">
        <v>53</v>
      </c>
      <c r="AF2396" t="s">
        <v>57</v>
      </c>
      <c r="AG2396" s="1">
        <v>43836</v>
      </c>
      <c r="AH2396" t="s">
        <v>42</v>
      </c>
      <c r="AI2396" t="s">
        <v>55</v>
      </c>
      <c r="AJ2396">
        <v>12788092</v>
      </c>
      <c r="AK2396">
        <v>250000</v>
      </c>
      <c r="AL2396">
        <v>1500000</v>
      </c>
    </row>
    <row r="2397" spans="1:38" x14ac:dyDescent="0.25">
      <c r="A2397" t="s">
        <v>82</v>
      </c>
      <c r="B2397">
        <v>22364363</v>
      </c>
      <c r="C2397" t="s">
        <v>40</v>
      </c>
      <c r="D2397" s="1">
        <v>43405</v>
      </c>
      <c r="E2397" s="1">
        <v>43769</v>
      </c>
      <c r="F2397" t="s">
        <v>41</v>
      </c>
      <c r="G2397">
        <v>1</v>
      </c>
      <c r="H2397" t="s">
        <v>42</v>
      </c>
      <c r="I2397" t="s">
        <v>43</v>
      </c>
      <c r="J2397" t="s">
        <v>595</v>
      </c>
      <c r="K2397" t="s">
        <v>44</v>
      </c>
      <c r="L2397">
        <v>23100.17</v>
      </c>
      <c r="M2397" s="1">
        <v>43769</v>
      </c>
      <c r="N2397" t="s">
        <v>45</v>
      </c>
      <c r="O2397" t="s">
        <v>46</v>
      </c>
      <c r="P2397" t="s">
        <v>47</v>
      </c>
      <c r="Q2397" s="1">
        <v>43852</v>
      </c>
      <c r="R2397" t="s">
        <v>48</v>
      </c>
      <c r="S2397" t="s">
        <v>60</v>
      </c>
      <c r="T2397" t="s">
        <v>61</v>
      </c>
      <c r="U2397" t="s">
        <v>42</v>
      </c>
      <c r="V2397">
        <v>0</v>
      </c>
      <c r="W2397">
        <v>100000</v>
      </c>
      <c r="X2397" s="1">
        <v>43921</v>
      </c>
      <c r="Y2397" t="s">
        <v>51</v>
      </c>
      <c r="Z2397" t="s">
        <v>43</v>
      </c>
      <c r="AA2397" t="s">
        <v>41</v>
      </c>
      <c r="AB2397" t="s">
        <v>52</v>
      </c>
      <c r="AC2397" t="s">
        <v>53</v>
      </c>
      <c r="AF2397" t="s">
        <v>58</v>
      </c>
      <c r="AG2397" s="1">
        <v>43837</v>
      </c>
      <c r="AH2397" t="s">
        <v>42</v>
      </c>
      <c r="AI2397" t="s">
        <v>55</v>
      </c>
      <c r="AJ2397">
        <v>12788092</v>
      </c>
      <c r="AK2397">
        <v>250000</v>
      </c>
      <c r="AL2397">
        <v>1500000</v>
      </c>
    </row>
    <row r="2398" spans="1:38" x14ac:dyDescent="0.25">
      <c r="A2398" t="s">
        <v>82</v>
      </c>
      <c r="B2398">
        <v>22364363</v>
      </c>
      <c r="C2398" t="s">
        <v>40</v>
      </c>
      <c r="D2398" s="1">
        <v>43405</v>
      </c>
      <c r="E2398" s="1">
        <v>43769</v>
      </c>
      <c r="F2398" t="s">
        <v>41</v>
      </c>
      <c r="G2398">
        <v>1</v>
      </c>
      <c r="H2398" t="s">
        <v>42</v>
      </c>
      <c r="I2398" t="s">
        <v>43</v>
      </c>
      <c r="J2398" t="s">
        <v>595</v>
      </c>
      <c r="K2398" t="s">
        <v>44</v>
      </c>
      <c r="L2398">
        <v>23100.17</v>
      </c>
      <c r="M2398" s="1">
        <v>43769</v>
      </c>
      <c r="N2398" t="s">
        <v>45</v>
      </c>
      <c r="O2398" t="s">
        <v>46</v>
      </c>
      <c r="P2398" t="s">
        <v>47</v>
      </c>
      <c r="Q2398" s="1">
        <v>43852</v>
      </c>
      <c r="R2398" t="s">
        <v>48</v>
      </c>
      <c r="S2398" t="s">
        <v>60</v>
      </c>
      <c r="T2398" t="s">
        <v>61</v>
      </c>
      <c r="U2398" t="s">
        <v>42</v>
      </c>
      <c r="V2398">
        <v>0</v>
      </c>
      <c r="W2398">
        <v>100000</v>
      </c>
      <c r="X2398" s="1">
        <v>43921</v>
      </c>
      <c r="Y2398" t="s">
        <v>51</v>
      </c>
      <c r="Z2398" t="s">
        <v>43</v>
      </c>
      <c r="AA2398" t="s">
        <v>41</v>
      </c>
      <c r="AB2398" t="s">
        <v>52</v>
      </c>
      <c r="AC2398" t="s">
        <v>53</v>
      </c>
      <c r="AF2398" t="s">
        <v>59</v>
      </c>
      <c r="AG2398" s="1">
        <v>43838</v>
      </c>
      <c r="AH2398" t="s">
        <v>42</v>
      </c>
      <c r="AI2398" t="s">
        <v>55</v>
      </c>
      <c r="AJ2398">
        <v>12788092</v>
      </c>
      <c r="AK2398">
        <v>250000</v>
      </c>
      <c r="AL2398">
        <v>1500000</v>
      </c>
    </row>
    <row r="2399" spans="1:38" x14ac:dyDescent="0.25">
      <c r="A2399" t="s">
        <v>82</v>
      </c>
      <c r="B2399">
        <v>22364363</v>
      </c>
      <c r="C2399" t="s">
        <v>40</v>
      </c>
      <c r="D2399" s="1">
        <v>43405</v>
      </c>
      <c r="E2399" s="1">
        <v>43769</v>
      </c>
      <c r="F2399" t="s">
        <v>41</v>
      </c>
      <c r="G2399">
        <v>1</v>
      </c>
      <c r="H2399" t="s">
        <v>42</v>
      </c>
      <c r="I2399" t="s">
        <v>43</v>
      </c>
      <c r="J2399" t="s">
        <v>595</v>
      </c>
      <c r="K2399" t="s">
        <v>44</v>
      </c>
      <c r="L2399">
        <v>23100.17</v>
      </c>
      <c r="M2399" s="1">
        <v>43769</v>
      </c>
      <c r="N2399" t="s">
        <v>45</v>
      </c>
      <c r="O2399" t="s">
        <v>46</v>
      </c>
      <c r="P2399" t="s">
        <v>47</v>
      </c>
      <c r="Q2399" s="1">
        <v>43852</v>
      </c>
      <c r="R2399" t="s">
        <v>48</v>
      </c>
      <c r="S2399" t="s">
        <v>62</v>
      </c>
      <c r="T2399" t="s">
        <v>63</v>
      </c>
      <c r="U2399" t="s">
        <v>42</v>
      </c>
      <c r="V2399">
        <v>0</v>
      </c>
      <c r="W2399">
        <v>100000</v>
      </c>
      <c r="X2399" s="1">
        <v>43982</v>
      </c>
      <c r="Y2399" t="s">
        <v>51</v>
      </c>
      <c r="Z2399" t="s">
        <v>43</v>
      </c>
      <c r="AA2399" t="s">
        <v>41</v>
      </c>
      <c r="AB2399" t="s">
        <v>52</v>
      </c>
      <c r="AC2399" t="s">
        <v>53</v>
      </c>
      <c r="AF2399" t="s">
        <v>54</v>
      </c>
      <c r="AG2399" s="1">
        <v>43832</v>
      </c>
      <c r="AH2399" t="s">
        <v>42</v>
      </c>
      <c r="AI2399" t="s">
        <v>55</v>
      </c>
      <c r="AJ2399">
        <v>12788092</v>
      </c>
      <c r="AK2399">
        <v>250000</v>
      </c>
      <c r="AL2399">
        <v>1500000</v>
      </c>
    </row>
    <row r="2400" spans="1:38" x14ac:dyDescent="0.25">
      <c r="A2400" t="s">
        <v>82</v>
      </c>
      <c r="B2400">
        <v>22364363</v>
      </c>
      <c r="C2400" t="s">
        <v>40</v>
      </c>
      <c r="D2400" s="1">
        <v>43405</v>
      </c>
      <c r="E2400" s="1">
        <v>43769</v>
      </c>
      <c r="F2400" t="s">
        <v>41</v>
      </c>
      <c r="G2400">
        <v>1</v>
      </c>
      <c r="H2400" t="s">
        <v>42</v>
      </c>
      <c r="I2400" t="s">
        <v>43</v>
      </c>
      <c r="J2400" t="s">
        <v>595</v>
      </c>
      <c r="K2400" t="s">
        <v>44</v>
      </c>
      <c r="L2400">
        <v>23100.17</v>
      </c>
      <c r="M2400" s="1">
        <v>43769</v>
      </c>
      <c r="N2400" t="s">
        <v>45</v>
      </c>
      <c r="O2400" t="s">
        <v>46</v>
      </c>
      <c r="P2400" t="s">
        <v>47</v>
      </c>
      <c r="Q2400" s="1">
        <v>43852</v>
      </c>
      <c r="R2400" t="s">
        <v>48</v>
      </c>
      <c r="S2400" t="s">
        <v>62</v>
      </c>
      <c r="T2400" t="s">
        <v>63</v>
      </c>
      <c r="U2400" t="s">
        <v>42</v>
      </c>
      <c r="V2400">
        <v>0</v>
      </c>
      <c r="W2400">
        <v>100000</v>
      </c>
      <c r="X2400" s="1">
        <v>43982</v>
      </c>
      <c r="Y2400" t="s">
        <v>51</v>
      </c>
      <c r="Z2400" t="s">
        <v>43</v>
      </c>
      <c r="AA2400" t="s">
        <v>41</v>
      </c>
      <c r="AB2400" t="s">
        <v>52</v>
      </c>
      <c r="AC2400" t="s">
        <v>53</v>
      </c>
      <c r="AF2400" t="s">
        <v>56</v>
      </c>
      <c r="AG2400" s="1">
        <v>43833</v>
      </c>
      <c r="AH2400" t="s">
        <v>42</v>
      </c>
      <c r="AI2400" t="s">
        <v>55</v>
      </c>
      <c r="AJ2400">
        <v>12788092</v>
      </c>
      <c r="AK2400">
        <v>250000</v>
      </c>
      <c r="AL2400">
        <v>1500000</v>
      </c>
    </row>
    <row r="2401" spans="1:38" x14ac:dyDescent="0.25">
      <c r="A2401" t="s">
        <v>82</v>
      </c>
      <c r="B2401">
        <v>22364363</v>
      </c>
      <c r="C2401" t="s">
        <v>40</v>
      </c>
      <c r="D2401" s="1">
        <v>43405</v>
      </c>
      <c r="E2401" s="1">
        <v>43769</v>
      </c>
      <c r="F2401" t="s">
        <v>41</v>
      </c>
      <c r="G2401">
        <v>1</v>
      </c>
      <c r="H2401" t="s">
        <v>42</v>
      </c>
      <c r="I2401" t="s">
        <v>43</v>
      </c>
      <c r="J2401" t="s">
        <v>595</v>
      </c>
      <c r="K2401" t="s">
        <v>44</v>
      </c>
      <c r="L2401">
        <v>23100.17</v>
      </c>
      <c r="M2401" s="1">
        <v>43769</v>
      </c>
      <c r="N2401" t="s">
        <v>45</v>
      </c>
      <c r="O2401" t="s">
        <v>46</v>
      </c>
      <c r="P2401" t="s">
        <v>47</v>
      </c>
      <c r="Q2401" s="1">
        <v>43852</v>
      </c>
      <c r="R2401" t="s">
        <v>48</v>
      </c>
      <c r="S2401" t="s">
        <v>62</v>
      </c>
      <c r="T2401" t="s">
        <v>63</v>
      </c>
      <c r="U2401" t="s">
        <v>42</v>
      </c>
      <c r="V2401">
        <v>0</v>
      </c>
      <c r="W2401">
        <v>100000</v>
      </c>
      <c r="X2401" s="1">
        <v>43982</v>
      </c>
      <c r="Y2401" t="s">
        <v>51</v>
      </c>
      <c r="Z2401" t="s">
        <v>43</v>
      </c>
      <c r="AA2401" t="s">
        <v>41</v>
      </c>
      <c r="AB2401" t="s">
        <v>52</v>
      </c>
      <c r="AC2401" t="s">
        <v>53</v>
      </c>
      <c r="AF2401" t="s">
        <v>57</v>
      </c>
      <c r="AG2401" s="1">
        <v>43836</v>
      </c>
      <c r="AH2401" t="s">
        <v>42</v>
      </c>
      <c r="AI2401" t="s">
        <v>55</v>
      </c>
      <c r="AJ2401">
        <v>12788092</v>
      </c>
      <c r="AK2401">
        <v>250000</v>
      </c>
      <c r="AL2401">
        <v>1500000</v>
      </c>
    </row>
    <row r="2402" spans="1:38" x14ac:dyDescent="0.25">
      <c r="A2402" t="s">
        <v>82</v>
      </c>
      <c r="B2402">
        <v>22364363</v>
      </c>
      <c r="C2402" t="s">
        <v>40</v>
      </c>
      <c r="D2402" s="1">
        <v>43405</v>
      </c>
      <c r="E2402" s="1">
        <v>43769</v>
      </c>
      <c r="F2402" t="s">
        <v>41</v>
      </c>
      <c r="G2402">
        <v>1</v>
      </c>
      <c r="H2402" t="s">
        <v>42</v>
      </c>
      <c r="I2402" t="s">
        <v>43</v>
      </c>
      <c r="J2402" t="s">
        <v>595</v>
      </c>
      <c r="K2402" t="s">
        <v>44</v>
      </c>
      <c r="L2402">
        <v>23100.17</v>
      </c>
      <c r="M2402" s="1">
        <v>43769</v>
      </c>
      <c r="N2402" t="s">
        <v>45</v>
      </c>
      <c r="O2402" t="s">
        <v>46</v>
      </c>
      <c r="P2402" t="s">
        <v>47</v>
      </c>
      <c r="Q2402" s="1">
        <v>43852</v>
      </c>
      <c r="R2402" t="s">
        <v>48</v>
      </c>
      <c r="S2402" t="s">
        <v>62</v>
      </c>
      <c r="T2402" t="s">
        <v>63</v>
      </c>
      <c r="U2402" t="s">
        <v>42</v>
      </c>
      <c r="V2402">
        <v>0</v>
      </c>
      <c r="W2402">
        <v>100000</v>
      </c>
      <c r="X2402" s="1">
        <v>43982</v>
      </c>
      <c r="Y2402" t="s">
        <v>51</v>
      </c>
      <c r="Z2402" t="s">
        <v>43</v>
      </c>
      <c r="AA2402" t="s">
        <v>41</v>
      </c>
      <c r="AB2402" t="s">
        <v>52</v>
      </c>
      <c r="AC2402" t="s">
        <v>53</v>
      </c>
      <c r="AF2402" t="s">
        <v>58</v>
      </c>
      <c r="AG2402" s="1">
        <v>43837</v>
      </c>
      <c r="AH2402" t="s">
        <v>42</v>
      </c>
      <c r="AI2402" t="s">
        <v>55</v>
      </c>
      <c r="AJ2402">
        <v>12788092</v>
      </c>
      <c r="AK2402">
        <v>250000</v>
      </c>
      <c r="AL2402">
        <v>1500000</v>
      </c>
    </row>
    <row r="2403" spans="1:38" x14ac:dyDescent="0.25">
      <c r="A2403" t="s">
        <v>82</v>
      </c>
      <c r="B2403">
        <v>22364363</v>
      </c>
      <c r="C2403" t="s">
        <v>40</v>
      </c>
      <c r="D2403" s="1">
        <v>43405</v>
      </c>
      <c r="E2403" s="1">
        <v>43769</v>
      </c>
      <c r="F2403" t="s">
        <v>41</v>
      </c>
      <c r="G2403">
        <v>1</v>
      </c>
      <c r="H2403" t="s">
        <v>42</v>
      </c>
      <c r="I2403" t="s">
        <v>43</v>
      </c>
      <c r="J2403" t="s">
        <v>595</v>
      </c>
      <c r="K2403" t="s">
        <v>44</v>
      </c>
      <c r="L2403">
        <v>23100.17</v>
      </c>
      <c r="M2403" s="1">
        <v>43769</v>
      </c>
      <c r="N2403" t="s">
        <v>45</v>
      </c>
      <c r="O2403" t="s">
        <v>46</v>
      </c>
      <c r="P2403" t="s">
        <v>47</v>
      </c>
      <c r="Q2403" s="1">
        <v>43852</v>
      </c>
      <c r="R2403" t="s">
        <v>48</v>
      </c>
      <c r="S2403" t="s">
        <v>62</v>
      </c>
      <c r="T2403" t="s">
        <v>63</v>
      </c>
      <c r="U2403" t="s">
        <v>42</v>
      </c>
      <c r="V2403">
        <v>0</v>
      </c>
      <c r="W2403">
        <v>100000</v>
      </c>
      <c r="X2403" s="1">
        <v>43982</v>
      </c>
      <c r="Y2403" t="s">
        <v>51</v>
      </c>
      <c r="Z2403" t="s">
        <v>43</v>
      </c>
      <c r="AA2403" t="s">
        <v>41</v>
      </c>
      <c r="AB2403" t="s">
        <v>52</v>
      </c>
      <c r="AC2403" t="s">
        <v>53</v>
      </c>
      <c r="AF2403" t="s">
        <v>59</v>
      </c>
      <c r="AG2403" s="1">
        <v>43838</v>
      </c>
      <c r="AH2403" t="s">
        <v>42</v>
      </c>
      <c r="AI2403" t="s">
        <v>55</v>
      </c>
      <c r="AJ2403">
        <v>12788092</v>
      </c>
      <c r="AK2403">
        <v>250000</v>
      </c>
      <c r="AL2403">
        <v>1500000</v>
      </c>
    </row>
    <row r="2404" spans="1:38" x14ac:dyDescent="0.25">
      <c r="A2404" t="s">
        <v>82</v>
      </c>
      <c r="B2404">
        <v>22364363</v>
      </c>
      <c r="C2404" t="s">
        <v>40</v>
      </c>
      <c r="D2404" s="1">
        <v>43405</v>
      </c>
      <c r="E2404" s="1">
        <v>43769</v>
      </c>
      <c r="F2404" t="s">
        <v>41</v>
      </c>
      <c r="G2404">
        <v>1</v>
      </c>
      <c r="H2404" t="s">
        <v>42</v>
      </c>
      <c r="I2404" t="s">
        <v>43</v>
      </c>
      <c r="J2404" t="s">
        <v>595</v>
      </c>
      <c r="K2404" t="s">
        <v>44</v>
      </c>
      <c r="L2404">
        <v>23100.17</v>
      </c>
      <c r="M2404" s="1">
        <v>43769</v>
      </c>
      <c r="N2404" t="s">
        <v>45</v>
      </c>
      <c r="O2404" t="s">
        <v>46</v>
      </c>
      <c r="P2404" t="s">
        <v>47</v>
      </c>
      <c r="Q2404" s="1">
        <v>43852</v>
      </c>
      <c r="R2404" t="s">
        <v>48</v>
      </c>
      <c r="S2404" t="s">
        <v>64</v>
      </c>
      <c r="T2404" t="s">
        <v>65</v>
      </c>
      <c r="U2404" t="s">
        <v>42</v>
      </c>
      <c r="V2404">
        <v>0</v>
      </c>
      <c r="W2404">
        <v>100000</v>
      </c>
      <c r="X2404" s="1">
        <v>43921</v>
      </c>
      <c r="Y2404" t="s">
        <v>51</v>
      </c>
      <c r="Z2404" t="s">
        <v>43</v>
      </c>
      <c r="AA2404" t="s">
        <v>41</v>
      </c>
      <c r="AB2404" t="s">
        <v>52</v>
      </c>
      <c r="AC2404" t="s">
        <v>53</v>
      </c>
      <c r="AF2404" t="s">
        <v>54</v>
      </c>
      <c r="AG2404" s="1">
        <v>43832</v>
      </c>
      <c r="AH2404" t="s">
        <v>42</v>
      </c>
      <c r="AI2404" t="s">
        <v>55</v>
      </c>
      <c r="AJ2404">
        <v>12788092</v>
      </c>
      <c r="AK2404">
        <v>250000</v>
      </c>
      <c r="AL2404">
        <v>1500000</v>
      </c>
    </row>
    <row r="2405" spans="1:38" x14ac:dyDescent="0.25">
      <c r="A2405" t="s">
        <v>82</v>
      </c>
      <c r="B2405">
        <v>22364363</v>
      </c>
      <c r="C2405" t="s">
        <v>40</v>
      </c>
      <c r="D2405" s="1">
        <v>43405</v>
      </c>
      <c r="E2405" s="1">
        <v>43769</v>
      </c>
      <c r="F2405" t="s">
        <v>41</v>
      </c>
      <c r="G2405">
        <v>1</v>
      </c>
      <c r="H2405" t="s">
        <v>42</v>
      </c>
      <c r="I2405" t="s">
        <v>43</v>
      </c>
      <c r="J2405" t="s">
        <v>595</v>
      </c>
      <c r="K2405" t="s">
        <v>44</v>
      </c>
      <c r="L2405">
        <v>23100.17</v>
      </c>
      <c r="M2405" s="1">
        <v>43769</v>
      </c>
      <c r="N2405" t="s">
        <v>45</v>
      </c>
      <c r="O2405" t="s">
        <v>46</v>
      </c>
      <c r="P2405" t="s">
        <v>47</v>
      </c>
      <c r="Q2405" s="1">
        <v>43852</v>
      </c>
      <c r="R2405" t="s">
        <v>48</v>
      </c>
      <c r="S2405" t="s">
        <v>64</v>
      </c>
      <c r="T2405" t="s">
        <v>65</v>
      </c>
      <c r="U2405" t="s">
        <v>42</v>
      </c>
      <c r="V2405">
        <v>0</v>
      </c>
      <c r="W2405">
        <v>100000</v>
      </c>
      <c r="X2405" s="1">
        <v>43921</v>
      </c>
      <c r="Y2405" t="s">
        <v>51</v>
      </c>
      <c r="Z2405" t="s">
        <v>43</v>
      </c>
      <c r="AA2405" t="s">
        <v>41</v>
      </c>
      <c r="AB2405" t="s">
        <v>52</v>
      </c>
      <c r="AC2405" t="s">
        <v>53</v>
      </c>
      <c r="AF2405" t="s">
        <v>56</v>
      </c>
      <c r="AG2405" s="1">
        <v>43833</v>
      </c>
      <c r="AH2405" t="s">
        <v>42</v>
      </c>
      <c r="AI2405" t="s">
        <v>55</v>
      </c>
      <c r="AJ2405">
        <v>12788092</v>
      </c>
      <c r="AK2405">
        <v>250000</v>
      </c>
      <c r="AL2405">
        <v>1500000</v>
      </c>
    </row>
    <row r="2406" spans="1:38" x14ac:dyDescent="0.25">
      <c r="A2406" t="s">
        <v>82</v>
      </c>
      <c r="B2406">
        <v>22364363</v>
      </c>
      <c r="C2406" t="s">
        <v>40</v>
      </c>
      <c r="D2406" s="1">
        <v>43405</v>
      </c>
      <c r="E2406" s="1">
        <v>43769</v>
      </c>
      <c r="F2406" t="s">
        <v>41</v>
      </c>
      <c r="G2406">
        <v>1</v>
      </c>
      <c r="H2406" t="s">
        <v>42</v>
      </c>
      <c r="I2406" t="s">
        <v>43</v>
      </c>
      <c r="J2406" t="s">
        <v>595</v>
      </c>
      <c r="K2406" t="s">
        <v>44</v>
      </c>
      <c r="L2406">
        <v>23100.17</v>
      </c>
      <c r="M2406" s="1">
        <v>43769</v>
      </c>
      <c r="N2406" t="s">
        <v>45</v>
      </c>
      <c r="O2406" t="s">
        <v>46</v>
      </c>
      <c r="P2406" t="s">
        <v>47</v>
      </c>
      <c r="Q2406" s="1">
        <v>43852</v>
      </c>
      <c r="R2406" t="s">
        <v>48</v>
      </c>
      <c r="S2406" t="s">
        <v>64</v>
      </c>
      <c r="T2406" t="s">
        <v>65</v>
      </c>
      <c r="U2406" t="s">
        <v>42</v>
      </c>
      <c r="V2406">
        <v>0</v>
      </c>
      <c r="W2406">
        <v>100000</v>
      </c>
      <c r="X2406" s="1">
        <v>43921</v>
      </c>
      <c r="Y2406" t="s">
        <v>51</v>
      </c>
      <c r="Z2406" t="s">
        <v>43</v>
      </c>
      <c r="AA2406" t="s">
        <v>41</v>
      </c>
      <c r="AB2406" t="s">
        <v>52</v>
      </c>
      <c r="AC2406" t="s">
        <v>53</v>
      </c>
      <c r="AF2406" t="s">
        <v>57</v>
      </c>
      <c r="AG2406" s="1">
        <v>43836</v>
      </c>
      <c r="AH2406" t="s">
        <v>42</v>
      </c>
      <c r="AI2406" t="s">
        <v>55</v>
      </c>
      <c r="AJ2406">
        <v>12788092</v>
      </c>
      <c r="AK2406">
        <v>250000</v>
      </c>
      <c r="AL2406">
        <v>1500000</v>
      </c>
    </row>
    <row r="2407" spans="1:38" x14ac:dyDescent="0.25">
      <c r="A2407" t="s">
        <v>82</v>
      </c>
      <c r="B2407">
        <v>22364363</v>
      </c>
      <c r="C2407" t="s">
        <v>40</v>
      </c>
      <c r="D2407" s="1">
        <v>43405</v>
      </c>
      <c r="E2407" s="1">
        <v>43769</v>
      </c>
      <c r="F2407" t="s">
        <v>41</v>
      </c>
      <c r="G2407">
        <v>1</v>
      </c>
      <c r="H2407" t="s">
        <v>42</v>
      </c>
      <c r="I2407" t="s">
        <v>43</v>
      </c>
      <c r="J2407" t="s">
        <v>595</v>
      </c>
      <c r="K2407" t="s">
        <v>44</v>
      </c>
      <c r="L2407">
        <v>23100.17</v>
      </c>
      <c r="M2407" s="1">
        <v>43769</v>
      </c>
      <c r="N2407" t="s">
        <v>45</v>
      </c>
      <c r="O2407" t="s">
        <v>46</v>
      </c>
      <c r="P2407" t="s">
        <v>47</v>
      </c>
      <c r="Q2407" s="1">
        <v>43852</v>
      </c>
      <c r="R2407" t="s">
        <v>48</v>
      </c>
      <c r="S2407" t="s">
        <v>64</v>
      </c>
      <c r="T2407" t="s">
        <v>65</v>
      </c>
      <c r="U2407" t="s">
        <v>42</v>
      </c>
      <c r="V2407">
        <v>0</v>
      </c>
      <c r="W2407">
        <v>100000</v>
      </c>
      <c r="X2407" s="1">
        <v>43921</v>
      </c>
      <c r="Y2407" t="s">
        <v>51</v>
      </c>
      <c r="Z2407" t="s">
        <v>43</v>
      </c>
      <c r="AA2407" t="s">
        <v>41</v>
      </c>
      <c r="AB2407" t="s">
        <v>52</v>
      </c>
      <c r="AC2407" t="s">
        <v>53</v>
      </c>
      <c r="AF2407" t="s">
        <v>58</v>
      </c>
      <c r="AG2407" s="1">
        <v>43837</v>
      </c>
      <c r="AH2407" t="s">
        <v>42</v>
      </c>
      <c r="AI2407" t="s">
        <v>55</v>
      </c>
      <c r="AJ2407">
        <v>12788092</v>
      </c>
      <c r="AK2407">
        <v>250000</v>
      </c>
      <c r="AL2407">
        <v>1500000</v>
      </c>
    </row>
    <row r="2408" spans="1:38" x14ac:dyDescent="0.25">
      <c r="A2408" t="s">
        <v>82</v>
      </c>
      <c r="B2408">
        <v>22364363</v>
      </c>
      <c r="C2408" t="s">
        <v>40</v>
      </c>
      <c r="D2408" s="1">
        <v>43405</v>
      </c>
      <c r="E2408" s="1">
        <v>43769</v>
      </c>
      <c r="F2408" t="s">
        <v>41</v>
      </c>
      <c r="G2408">
        <v>1</v>
      </c>
      <c r="H2408" t="s">
        <v>42</v>
      </c>
      <c r="I2408" t="s">
        <v>43</v>
      </c>
      <c r="J2408" t="s">
        <v>595</v>
      </c>
      <c r="K2408" t="s">
        <v>44</v>
      </c>
      <c r="L2408">
        <v>23100.17</v>
      </c>
      <c r="M2408" s="1">
        <v>43769</v>
      </c>
      <c r="N2408" t="s">
        <v>45</v>
      </c>
      <c r="O2408" t="s">
        <v>46</v>
      </c>
      <c r="P2408" t="s">
        <v>47</v>
      </c>
      <c r="Q2408" s="1">
        <v>43852</v>
      </c>
      <c r="R2408" t="s">
        <v>48</v>
      </c>
      <c r="S2408" t="s">
        <v>64</v>
      </c>
      <c r="T2408" t="s">
        <v>65</v>
      </c>
      <c r="U2408" t="s">
        <v>42</v>
      </c>
      <c r="V2408">
        <v>0</v>
      </c>
      <c r="W2408">
        <v>100000</v>
      </c>
      <c r="X2408" s="1">
        <v>43921</v>
      </c>
      <c r="Y2408" t="s">
        <v>51</v>
      </c>
      <c r="Z2408" t="s">
        <v>43</v>
      </c>
      <c r="AA2408" t="s">
        <v>41</v>
      </c>
      <c r="AB2408" t="s">
        <v>52</v>
      </c>
      <c r="AC2408" t="s">
        <v>53</v>
      </c>
      <c r="AF2408" t="s">
        <v>59</v>
      </c>
      <c r="AG2408" s="1">
        <v>43838</v>
      </c>
      <c r="AH2408" t="s">
        <v>42</v>
      </c>
      <c r="AI2408" t="s">
        <v>55</v>
      </c>
      <c r="AJ2408">
        <v>12788092</v>
      </c>
      <c r="AK2408">
        <v>250000</v>
      </c>
      <c r="AL2408">
        <v>1500000</v>
      </c>
    </row>
    <row r="2409" spans="1:38" x14ac:dyDescent="0.25">
      <c r="A2409" t="s">
        <v>104</v>
      </c>
      <c r="B2409">
        <v>22387698</v>
      </c>
      <c r="C2409" t="s">
        <v>40</v>
      </c>
      <c r="D2409" s="1">
        <v>43458</v>
      </c>
      <c r="E2409" s="1">
        <v>43822</v>
      </c>
      <c r="F2409" t="s">
        <v>41</v>
      </c>
      <c r="G2409">
        <v>1</v>
      </c>
      <c r="H2409" t="s">
        <v>42</v>
      </c>
      <c r="I2409" t="s">
        <v>43</v>
      </c>
      <c r="J2409" t="s">
        <v>41</v>
      </c>
      <c r="K2409" t="s">
        <v>44</v>
      </c>
      <c r="L2409">
        <v>1113.92</v>
      </c>
      <c r="M2409" s="1">
        <v>43458</v>
      </c>
      <c r="N2409" t="s">
        <v>45</v>
      </c>
      <c r="O2409" t="s">
        <v>46</v>
      </c>
      <c r="P2409" t="s">
        <v>47</v>
      </c>
      <c r="Q2409" s="1">
        <v>43852</v>
      </c>
      <c r="R2409" t="s">
        <v>48</v>
      </c>
      <c r="S2409" t="s">
        <v>49</v>
      </c>
      <c r="T2409" t="s">
        <v>50</v>
      </c>
      <c r="U2409" t="s">
        <v>42</v>
      </c>
      <c r="V2409">
        <v>0</v>
      </c>
      <c r="W2409">
        <v>100000</v>
      </c>
      <c r="X2409" s="1">
        <v>44012</v>
      </c>
      <c r="Y2409" t="s">
        <v>51</v>
      </c>
      <c r="Z2409" t="s">
        <v>43</v>
      </c>
      <c r="AA2409" t="s">
        <v>41</v>
      </c>
      <c r="AB2409" t="s">
        <v>52</v>
      </c>
      <c r="AC2409" t="s">
        <v>53</v>
      </c>
      <c r="AF2409" t="s">
        <v>54</v>
      </c>
      <c r="AG2409" s="1">
        <v>43832</v>
      </c>
      <c r="AH2409" t="s">
        <v>42</v>
      </c>
      <c r="AI2409" t="s">
        <v>55</v>
      </c>
      <c r="AJ2409">
        <v>12788092</v>
      </c>
      <c r="AK2409">
        <v>250000</v>
      </c>
      <c r="AL2409">
        <v>1500000</v>
      </c>
    </row>
    <row r="2410" spans="1:38" x14ac:dyDescent="0.25">
      <c r="A2410" t="s">
        <v>104</v>
      </c>
      <c r="B2410">
        <v>22387698</v>
      </c>
      <c r="C2410" t="s">
        <v>40</v>
      </c>
      <c r="D2410" s="1">
        <v>43458</v>
      </c>
      <c r="E2410" s="1">
        <v>43822</v>
      </c>
      <c r="F2410" t="s">
        <v>41</v>
      </c>
      <c r="G2410">
        <v>1</v>
      </c>
      <c r="H2410" t="s">
        <v>42</v>
      </c>
      <c r="I2410" t="s">
        <v>43</v>
      </c>
      <c r="J2410" t="s">
        <v>41</v>
      </c>
      <c r="K2410" t="s">
        <v>44</v>
      </c>
      <c r="L2410">
        <v>1113.92</v>
      </c>
      <c r="M2410" s="1">
        <v>43458</v>
      </c>
      <c r="N2410" t="s">
        <v>45</v>
      </c>
      <c r="O2410" t="s">
        <v>46</v>
      </c>
      <c r="P2410" t="s">
        <v>47</v>
      </c>
      <c r="Q2410" s="1">
        <v>43852</v>
      </c>
      <c r="R2410" t="s">
        <v>48</v>
      </c>
      <c r="S2410" t="s">
        <v>49</v>
      </c>
      <c r="T2410" t="s">
        <v>50</v>
      </c>
      <c r="U2410" t="s">
        <v>42</v>
      </c>
      <c r="V2410">
        <v>0</v>
      </c>
      <c r="W2410">
        <v>100000</v>
      </c>
      <c r="X2410" s="1">
        <v>44012</v>
      </c>
      <c r="Y2410" t="s">
        <v>51</v>
      </c>
      <c r="Z2410" t="s">
        <v>43</v>
      </c>
      <c r="AA2410" t="s">
        <v>41</v>
      </c>
      <c r="AB2410" t="s">
        <v>52</v>
      </c>
      <c r="AC2410" t="s">
        <v>53</v>
      </c>
      <c r="AF2410" t="s">
        <v>56</v>
      </c>
      <c r="AG2410" s="1">
        <v>43833</v>
      </c>
      <c r="AH2410" t="s">
        <v>42</v>
      </c>
      <c r="AI2410" t="s">
        <v>55</v>
      </c>
      <c r="AJ2410">
        <v>12788092</v>
      </c>
      <c r="AK2410">
        <v>250000</v>
      </c>
      <c r="AL2410">
        <v>1500000</v>
      </c>
    </row>
    <row r="2411" spans="1:38" x14ac:dyDescent="0.25">
      <c r="A2411" t="s">
        <v>104</v>
      </c>
      <c r="B2411">
        <v>22387698</v>
      </c>
      <c r="C2411" t="s">
        <v>40</v>
      </c>
      <c r="D2411" s="1">
        <v>43458</v>
      </c>
      <c r="E2411" s="1">
        <v>43822</v>
      </c>
      <c r="F2411" t="s">
        <v>41</v>
      </c>
      <c r="G2411">
        <v>1</v>
      </c>
      <c r="H2411" t="s">
        <v>42</v>
      </c>
      <c r="I2411" t="s">
        <v>43</v>
      </c>
      <c r="J2411" t="s">
        <v>41</v>
      </c>
      <c r="K2411" t="s">
        <v>44</v>
      </c>
      <c r="L2411">
        <v>1113.92</v>
      </c>
      <c r="M2411" s="1">
        <v>43458</v>
      </c>
      <c r="N2411" t="s">
        <v>45</v>
      </c>
      <c r="O2411" t="s">
        <v>46</v>
      </c>
      <c r="P2411" t="s">
        <v>47</v>
      </c>
      <c r="Q2411" s="1">
        <v>43852</v>
      </c>
      <c r="R2411" t="s">
        <v>48</v>
      </c>
      <c r="S2411" t="s">
        <v>49</v>
      </c>
      <c r="T2411" t="s">
        <v>50</v>
      </c>
      <c r="U2411" t="s">
        <v>42</v>
      </c>
      <c r="V2411">
        <v>0</v>
      </c>
      <c r="W2411">
        <v>100000</v>
      </c>
      <c r="X2411" s="1">
        <v>44012</v>
      </c>
      <c r="Y2411" t="s">
        <v>51</v>
      </c>
      <c r="Z2411" t="s">
        <v>43</v>
      </c>
      <c r="AA2411" t="s">
        <v>41</v>
      </c>
      <c r="AB2411" t="s">
        <v>52</v>
      </c>
      <c r="AC2411" t="s">
        <v>53</v>
      </c>
      <c r="AF2411" t="s">
        <v>57</v>
      </c>
      <c r="AG2411" s="1">
        <v>43836</v>
      </c>
      <c r="AH2411" t="s">
        <v>42</v>
      </c>
      <c r="AI2411" t="s">
        <v>55</v>
      </c>
      <c r="AJ2411">
        <v>12788092</v>
      </c>
      <c r="AK2411">
        <v>250000</v>
      </c>
      <c r="AL2411">
        <v>1500000</v>
      </c>
    </row>
    <row r="2412" spans="1:38" x14ac:dyDescent="0.25">
      <c r="A2412" t="s">
        <v>104</v>
      </c>
      <c r="B2412">
        <v>22387698</v>
      </c>
      <c r="C2412" t="s">
        <v>40</v>
      </c>
      <c r="D2412" s="1">
        <v>43458</v>
      </c>
      <c r="E2412" s="1">
        <v>43822</v>
      </c>
      <c r="F2412" t="s">
        <v>41</v>
      </c>
      <c r="G2412">
        <v>1</v>
      </c>
      <c r="H2412" t="s">
        <v>42</v>
      </c>
      <c r="I2412" t="s">
        <v>43</v>
      </c>
      <c r="J2412" t="s">
        <v>41</v>
      </c>
      <c r="K2412" t="s">
        <v>44</v>
      </c>
      <c r="L2412">
        <v>1113.92</v>
      </c>
      <c r="M2412" s="1">
        <v>43458</v>
      </c>
      <c r="N2412" t="s">
        <v>45</v>
      </c>
      <c r="O2412" t="s">
        <v>46</v>
      </c>
      <c r="P2412" t="s">
        <v>47</v>
      </c>
      <c r="Q2412" s="1">
        <v>43852</v>
      </c>
      <c r="R2412" t="s">
        <v>48</v>
      </c>
      <c r="S2412" t="s">
        <v>49</v>
      </c>
      <c r="T2412" t="s">
        <v>50</v>
      </c>
      <c r="U2412" t="s">
        <v>42</v>
      </c>
      <c r="V2412">
        <v>0</v>
      </c>
      <c r="W2412">
        <v>100000</v>
      </c>
      <c r="X2412" s="1">
        <v>44012</v>
      </c>
      <c r="Y2412" t="s">
        <v>51</v>
      </c>
      <c r="Z2412" t="s">
        <v>43</v>
      </c>
      <c r="AA2412" t="s">
        <v>41</v>
      </c>
      <c r="AB2412" t="s">
        <v>52</v>
      </c>
      <c r="AC2412" t="s">
        <v>53</v>
      </c>
      <c r="AF2412" t="s">
        <v>58</v>
      </c>
      <c r="AG2412" s="1">
        <v>43837</v>
      </c>
      <c r="AH2412" t="s">
        <v>42</v>
      </c>
      <c r="AI2412" t="s">
        <v>55</v>
      </c>
      <c r="AJ2412">
        <v>12788092</v>
      </c>
      <c r="AK2412">
        <v>250000</v>
      </c>
      <c r="AL2412">
        <v>1500000</v>
      </c>
    </row>
    <row r="2413" spans="1:38" x14ac:dyDescent="0.25">
      <c r="A2413" t="s">
        <v>104</v>
      </c>
      <c r="B2413">
        <v>22387698</v>
      </c>
      <c r="C2413" t="s">
        <v>40</v>
      </c>
      <c r="D2413" s="1">
        <v>43458</v>
      </c>
      <c r="E2413" s="1">
        <v>43822</v>
      </c>
      <c r="F2413" t="s">
        <v>41</v>
      </c>
      <c r="G2413">
        <v>1</v>
      </c>
      <c r="H2413" t="s">
        <v>42</v>
      </c>
      <c r="I2413" t="s">
        <v>43</v>
      </c>
      <c r="J2413" t="s">
        <v>41</v>
      </c>
      <c r="K2413" t="s">
        <v>44</v>
      </c>
      <c r="L2413">
        <v>1113.92</v>
      </c>
      <c r="M2413" s="1">
        <v>43458</v>
      </c>
      <c r="N2413" t="s">
        <v>45</v>
      </c>
      <c r="O2413" t="s">
        <v>46</v>
      </c>
      <c r="P2413" t="s">
        <v>47</v>
      </c>
      <c r="Q2413" s="1">
        <v>43852</v>
      </c>
      <c r="R2413" t="s">
        <v>48</v>
      </c>
      <c r="S2413" t="s">
        <v>49</v>
      </c>
      <c r="T2413" t="s">
        <v>50</v>
      </c>
      <c r="U2413" t="s">
        <v>42</v>
      </c>
      <c r="V2413">
        <v>0</v>
      </c>
      <c r="W2413">
        <v>100000</v>
      </c>
      <c r="X2413" s="1">
        <v>44012</v>
      </c>
      <c r="Y2413" t="s">
        <v>51</v>
      </c>
      <c r="Z2413" t="s">
        <v>43</v>
      </c>
      <c r="AA2413" t="s">
        <v>41</v>
      </c>
      <c r="AB2413" t="s">
        <v>52</v>
      </c>
      <c r="AC2413" t="s">
        <v>53</v>
      </c>
      <c r="AF2413" t="s">
        <v>59</v>
      </c>
      <c r="AG2413" s="1">
        <v>43838</v>
      </c>
      <c r="AH2413" t="s">
        <v>42</v>
      </c>
      <c r="AI2413" t="s">
        <v>55</v>
      </c>
      <c r="AJ2413">
        <v>12788092</v>
      </c>
      <c r="AK2413">
        <v>250000</v>
      </c>
      <c r="AL2413">
        <v>1500000</v>
      </c>
    </row>
    <row r="2414" spans="1:38" x14ac:dyDescent="0.25">
      <c r="A2414" t="s">
        <v>104</v>
      </c>
      <c r="B2414">
        <v>22387698</v>
      </c>
      <c r="C2414" t="s">
        <v>40</v>
      </c>
      <c r="D2414" s="1">
        <v>43458</v>
      </c>
      <c r="E2414" s="1">
        <v>43822</v>
      </c>
      <c r="F2414" t="s">
        <v>41</v>
      </c>
      <c r="G2414">
        <v>1</v>
      </c>
      <c r="H2414" t="s">
        <v>42</v>
      </c>
      <c r="I2414" t="s">
        <v>43</v>
      </c>
      <c r="J2414" t="s">
        <v>41</v>
      </c>
      <c r="K2414" t="s">
        <v>44</v>
      </c>
      <c r="L2414">
        <v>1113.92</v>
      </c>
      <c r="M2414" s="1">
        <v>43458</v>
      </c>
      <c r="N2414" t="s">
        <v>45</v>
      </c>
      <c r="O2414" t="s">
        <v>46</v>
      </c>
      <c r="P2414" t="s">
        <v>47</v>
      </c>
      <c r="Q2414" s="1">
        <v>43852</v>
      </c>
      <c r="R2414" t="s">
        <v>48</v>
      </c>
      <c r="S2414" t="s">
        <v>60</v>
      </c>
      <c r="T2414" t="s">
        <v>61</v>
      </c>
      <c r="U2414" t="s">
        <v>42</v>
      </c>
      <c r="V2414">
        <v>0</v>
      </c>
      <c r="W2414">
        <v>100000</v>
      </c>
      <c r="X2414" s="1">
        <v>43921</v>
      </c>
      <c r="Y2414" t="s">
        <v>51</v>
      </c>
      <c r="Z2414" t="s">
        <v>43</v>
      </c>
      <c r="AA2414" t="s">
        <v>41</v>
      </c>
      <c r="AB2414" t="s">
        <v>52</v>
      </c>
      <c r="AC2414" t="s">
        <v>53</v>
      </c>
      <c r="AF2414" t="s">
        <v>54</v>
      </c>
      <c r="AG2414" s="1">
        <v>43832</v>
      </c>
      <c r="AH2414" t="s">
        <v>42</v>
      </c>
      <c r="AI2414" t="s">
        <v>55</v>
      </c>
      <c r="AJ2414">
        <v>12788092</v>
      </c>
      <c r="AK2414">
        <v>250000</v>
      </c>
      <c r="AL2414">
        <v>1500000</v>
      </c>
    </row>
    <row r="2415" spans="1:38" x14ac:dyDescent="0.25">
      <c r="A2415" t="s">
        <v>104</v>
      </c>
      <c r="B2415">
        <v>22387698</v>
      </c>
      <c r="C2415" t="s">
        <v>40</v>
      </c>
      <c r="D2415" s="1">
        <v>43458</v>
      </c>
      <c r="E2415" s="1">
        <v>43822</v>
      </c>
      <c r="F2415" t="s">
        <v>41</v>
      </c>
      <c r="G2415">
        <v>1</v>
      </c>
      <c r="H2415" t="s">
        <v>42</v>
      </c>
      <c r="I2415" t="s">
        <v>43</v>
      </c>
      <c r="J2415" t="s">
        <v>41</v>
      </c>
      <c r="K2415" t="s">
        <v>44</v>
      </c>
      <c r="L2415">
        <v>1113.92</v>
      </c>
      <c r="M2415" s="1">
        <v>43458</v>
      </c>
      <c r="N2415" t="s">
        <v>45</v>
      </c>
      <c r="O2415" t="s">
        <v>46</v>
      </c>
      <c r="P2415" t="s">
        <v>47</v>
      </c>
      <c r="Q2415" s="1">
        <v>43852</v>
      </c>
      <c r="R2415" t="s">
        <v>48</v>
      </c>
      <c r="S2415" t="s">
        <v>60</v>
      </c>
      <c r="T2415" t="s">
        <v>61</v>
      </c>
      <c r="U2415" t="s">
        <v>42</v>
      </c>
      <c r="V2415">
        <v>0</v>
      </c>
      <c r="W2415">
        <v>100000</v>
      </c>
      <c r="X2415" s="1">
        <v>43921</v>
      </c>
      <c r="Y2415" t="s">
        <v>51</v>
      </c>
      <c r="Z2415" t="s">
        <v>43</v>
      </c>
      <c r="AA2415" t="s">
        <v>41</v>
      </c>
      <c r="AB2415" t="s">
        <v>52</v>
      </c>
      <c r="AC2415" t="s">
        <v>53</v>
      </c>
      <c r="AF2415" t="s">
        <v>56</v>
      </c>
      <c r="AG2415" s="1">
        <v>43833</v>
      </c>
      <c r="AH2415" t="s">
        <v>42</v>
      </c>
      <c r="AI2415" t="s">
        <v>55</v>
      </c>
      <c r="AJ2415">
        <v>12788092</v>
      </c>
      <c r="AK2415">
        <v>250000</v>
      </c>
      <c r="AL2415">
        <v>1500000</v>
      </c>
    </row>
    <row r="2416" spans="1:38" x14ac:dyDescent="0.25">
      <c r="A2416" t="s">
        <v>104</v>
      </c>
      <c r="B2416">
        <v>22387698</v>
      </c>
      <c r="C2416" t="s">
        <v>40</v>
      </c>
      <c r="D2416" s="1">
        <v>43458</v>
      </c>
      <c r="E2416" s="1">
        <v>43822</v>
      </c>
      <c r="F2416" t="s">
        <v>41</v>
      </c>
      <c r="G2416">
        <v>1</v>
      </c>
      <c r="H2416" t="s">
        <v>42</v>
      </c>
      <c r="I2416" t="s">
        <v>43</v>
      </c>
      <c r="J2416" t="s">
        <v>41</v>
      </c>
      <c r="K2416" t="s">
        <v>44</v>
      </c>
      <c r="L2416">
        <v>1113.92</v>
      </c>
      <c r="M2416" s="1">
        <v>43458</v>
      </c>
      <c r="N2416" t="s">
        <v>45</v>
      </c>
      <c r="O2416" t="s">
        <v>46</v>
      </c>
      <c r="P2416" t="s">
        <v>47</v>
      </c>
      <c r="Q2416" s="1">
        <v>43852</v>
      </c>
      <c r="R2416" t="s">
        <v>48</v>
      </c>
      <c r="S2416" t="s">
        <v>60</v>
      </c>
      <c r="T2416" t="s">
        <v>61</v>
      </c>
      <c r="U2416" t="s">
        <v>42</v>
      </c>
      <c r="V2416">
        <v>0</v>
      </c>
      <c r="W2416">
        <v>100000</v>
      </c>
      <c r="X2416" s="1">
        <v>43921</v>
      </c>
      <c r="Y2416" t="s">
        <v>51</v>
      </c>
      <c r="Z2416" t="s">
        <v>43</v>
      </c>
      <c r="AA2416" t="s">
        <v>41</v>
      </c>
      <c r="AB2416" t="s">
        <v>52</v>
      </c>
      <c r="AC2416" t="s">
        <v>53</v>
      </c>
      <c r="AF2416" t="s">
        <v>57</v>
      </c>
      <c r="AG2416" s="1">
        <v>43836</v>
      </c>
      <c r="AH2416" t="s">
        <v>42</v>
      </c>
      <c r="AI2416" t="s">
        <v>55</v>
      </c>
      <c r="AJ2416">
        <v>12788092</v>
      </c>
      <c r="AK2416">
        <v>250000</v>
      </c>
      <c r="AL2416">
        <v>1500000</v>
      </c>
    </row>
    <row r="2417" spans="1:38" x14ac:dyDescent="0.25">
      <c r="A2417" t="s">
        <v>104</v>
      </c>
      <c r="B2417">
        <v>22387698</v>
      </c>
      <c r="C2417" t="s">
        <v>40</v>
      </c>
      <c r="D2417" s="1">
        <v>43458</v>
      </c>
      <c r="E2417" s="1">
        <v>43822</v>
      </c>
      <c r="F2417" t="s">
        <v>41</v>
      </c>
      <c r="G2417">
        <v>1</v>
      </c>
      <c r="H2417" t="s">
        <v>42</v>
      </c>
      <c r="I2417" t="s">
        <v>43</v>
      </c>
      <c r="J2417" t="s">
        <v>41</v>
      </c>
      <c r="K2417" t="s">
        <v>44</v>
      </c>
      <c r="L2417">
        <v>1113.92</v>
      </c>
      <c r="M2417" s="1">
        <v>43458</v>
      </c>
      <c r="N2417" t="s">
        <v>45</v>
      </c>
      <c r="O2417" t="s">
        <v>46</v>
      </c>
      <c r="P2417" t="s">
        <v>47</v>
      </c>
      <c r="Q2417" s="1">
        <v>43852</v>
      </c>
      <c r="R2417" t="s">
        <v>48</v>
      </c>
      <c r="S2417" t="s">
        <v>60</v>
      </c>
      <c r="T2417" t="s">
        <v>61</v>
      </c>
      <c r="U2417" t="s">
        <v>42</v>
      </c>
      <c r="V2417">
        <v>0</v>
      </c>
      <c r="W2417">
        <v>100000</v>
      </c>
      <c r="X2417" s="1">
        <v>43921</v>
      </c>
      <c r="Y2417" t="s">
        <v>51</v>
      </c>
      <c r="Z2417" t="s">
        <v>43</v>
      </c>
      <c r="AA2417" t="s">
        <v>41</v>
      </c>
      <c r="AB2417" t="s">
        <v>52</v>
      </c>
      <c r="AC2417" t="s">
        <v>53</v>
      </c>
      <c r="AF2417" t="s">
        <v>58</v>
      </c>
      <c r="AG2417" s="1">
        <v>43837</v>
      </c>
      <c r="AH2417" t="s">
        <v>42</v>
      </c>
      <c r="AI2417" t="s">
        <v>55</v>
      </c>
      <c r="AJ2417">
        <v>12788092</v>
      </c>
      <c r="AK2417">
        <v>250000</v>
      </c>
      <c r="AL2417">
        <v>1500000</v>
      </c>
    </row>
    <row r="2418" spans="1:38" x14ac:dyDescent="0.25">
      <c r="A2418" t="s">
        <v>104</v>
      </c>
      <c r="B2418">
        <v>22387698</v>
      </c>
      <c r="C2418" t="s">
        <v>40</v>
      </c>
      <c r="D2418" s="1">
        <v>43458</v>
      </c>
      <c r="E2418" s="1">
        <v>43822</v>
      </c>
      <c r="F2418" t="s">
        <v>41</v>
      </c>
      <c r="G2418">
        <v>1</v>
      </c>
      <c r="H2418" t="s">
        <v>42</v>
      </c>
      <c r="I2418" t="s">
        <v>43</v>
      </c>
      <c r="J2418" t="s">
        <v>41</v>
      </c>
      <c r="K2418" t="s">
        <v>44</v>
      </c>
      <c r="L2418">
        <v>1113.92</v>
      </c>
      <c r="M2418" s="1">
        <v>43458</v>
      </c>
      <c r="N2418" t="s">
        <v>45</v>
      </c>
      <c r="O2418" t="s">
        <v>46</v>
      </c>
      <c r="P2418" t="s">
        <v>47</v>
      </c>
      <c r="Q2418" s="1">
        <v>43852</v>
      </c>
      <c r="R2418" t="s">
        <v>48</v>
      </c>
      <c r="S2418" t="s">
        <v>60</v>
      </c>
      <c r="T2418" t="s">
        <v>61</v>
      </c>
      <c r="U2418" t="s">
        <v>42</v>
      </c>
      <c r="V2418">
        <v>0</v>
      </c>
      <c r="W2418">
        <v>100000</v>
      </c>
      <c r="X2418" s="1">
        <v>43921</v>
      </c>
      <c r="Y2418" t="s">
        <v>51</v>
      </c>
      <c r="Z2418" t="s">
        <v>43</v>
      </c>
      <c r="AA2418" t="s">
        <v>41</v>
      </c>
      <c r="AB2418" t="s">
        <v>52</v>
      </c>
      <c r="AC2418" t="s">
        <v>53</v>
      </c>
      <c r="AF2418" t="s">
        <v>59</v>
      </c>
      <c r="AG2418" s="1">
        <v>43838</v>
      </c>
      <c r="AH2418" t="s">
        <v>42</v>
      </c>
      <c r="AI2418" t="s">
        <v>55</v>
      </c>
      <c r="AJ2418">
        <v>12788092</v>
      </c>
      <c r="AK2418">
        <v>250000</v>
      </c>
      <c r="AL2418">
        <v>1500000</v>
      </c>
    </row>
    <row r="2419" spans="1:38" x14ac:dyDescent="0.25">
      <c r="A2419" t="s">
        <v>104</v>
      </c>
      <c r="B2419">
        <v>22387698</v>
      </c>
      <c r="C2419" t="s">
        <v>40</v>
      </c>
      <c r="D2419" s="1">
        <v>43458</v>
      </c>
      <c r="E2419" s="1">
        <v>43822</v>
      </c>
      <c r="F2419" t="s">
        <v>41</v>
      </c>
      <c r="G2419">
        <v>1</v>
      </c>
      <c r="H2419" t="s">
        <v>42</v>
      </c>
      <c r="I2419" t="s">
        <v>43</v>
      </c>
      <c r="J2419" t="s">
        <v>41</v>
      </c>
      <c r="K2419" t="s">
        <v>44</v>
      </c>
      <c r="L2419">
        <v>1113.92</v>
      </c>
      <c r="M2419" s="1">
        <v>43458</v>
      </c>
      <c r="N2419" t="s">
        <v>45</v>
      </c>
      <c r="O2419" t="s">
        <v>46</v>
      </c>
      <c r="P2419" t="s">
        <v>47</v>
      </c>
      <c r="Q2419" s="1">
        <v>43852</v>
      </c>
      <c r="R2419" t="s">
        <v>48</v>
      </c>
      <c r="S2419" t="s">
        <v>62</v>
      </c>
      <c r="T2419" t="s">
        <v>63</v>
      </c>
      <c r="U2419" t="s">
        <v>42</v>
      </c>
      <c r="V2419">
        <v>0</v>
      </c>
      <c r="W2419">
        <v>100000</v>
      </c>
      <c r="X2419" s="1">
        <v>43982</v>
      </c>
      <c r="Y2419" t="s">
        <v>51</v>
      </c>
      <c r="Z2419" t="s">
        <v>43</v>
      </c>
      <c r="AA2419" t="s">
        <v>41</v>
      </c>
      <c r="AB2419" t="s">
        <v>52</v>
      </c>
      <c r="AC2419" t="s">
        <v>53</v>
      </c>
      <c r="AF2419" t="s">
        <v>54</v>
      </c>
      <c r="AG2419" s="1">
        <v>43832</v>
      </c>
      <c r="AH2419" t="s">
        <v>42</v>
      </c>
      <c r="AI2419" t="s">
        <v>55</v>
      </c>
      <c r="AJ2419">
        <v>12788092</v>
      </c>
      <c r="AK2419">
        <v>250000</v>
      </c>
      <c r="AL2419">
        <v>1500000</v>
      </c>
    </row>
    <row r="2420" spans="1:38" x14ac:dyDescent="0.25">
      <c r="A2420" t="s">
        <v>104</v>
      </c>
      <c r="B2420">
        <v>22387698</v>
      </c>
      <c r="C2420" t="s">
        <v>40</v>
      </c>
      <c r="D2420" s="1">
        <v>43458</v>
      </c>
      <c r="E2420" s="1">
        <v>43822</v>
      </c>
      <c r="F2420" t="s">
        <v>41</v>
      </c>
      <c r="G2420">
        <v>1</v>
      </c>
      <c r="H2420" t="s">
        <v>42</v>
      </c>
      <c r="I2420" t="s">
        <v>43</v>
      </c>
      <c r="J2420" t="s">
        <v>41</v>
      </c>
      <c r="K2420" t="s">
        <v>44</v>
      </c>
      <c r="L2420">
        <v>1113.92</v>
      </c>
      <c r="M2420" s="1">
        <v>43458</v>
      </c>
      <c r="N2420" t="s">
        <v>45</v>
      </c>
      <c r="O2420" t="s">
        <v>46</v>
      </c>
      <c r="P2420" t="s">
        <v>47</v>
      </c>
      <c r="Q2420" s="1">
        <v>43852</v>
      </c>
      <c r="R2420" t="s">
        <v>48</v>
      </c>
      <c r="S2420" t="s">
        <v>62</v>
      </c>
      <c r="T2420" t="s">
        <v>63</v>
      </c>
      <c r="U2420" t="s">
        <v>42</v>
      </c>
      <c r="V2420">
        <v>0</v>
      </c>
      <c r="W2420">
        <v>100000</v>
      </c>
      <c r="X2420" s="1">
        <v>43982</v>
      </c>
      <c r="Y2420" t="s">
        <v>51</v>
      </c>
      <c r="Z2420" t="s">
        <v>43</v>
      </c>
      <c r="AA2420" t="s">
        <v>41</v>
      </c>
      <c r="AB2420" t="s">
        <v>52</v>
      </c>
      <c r="AC2420" t="s">
        <v>53</v>
      </c>
      <c r="AF2420" t="s">
        <v>56</v>
      </c>
      <c r="AG2420" s="1">
        <v>43833</v>
      </c>
      <c r="AH2420" t="s">
        <v>42</v>
      </c>
      <c r="AI2420" t="s">
        <v>55</v>
      </c>
      <c r="AJ2420">
        <v>12788092</v>
      </c>
      <c r="AK2420">
        <v>250000</v>
      </c>
      <c r="AL2420">
        <v>1500000</v>
      </c>
    </row>
    <row r="2421" spans="1:38" x14ac:dyDescent="0.25">
      <c r="A2421" t="s">
        <v>104</v>
      </c>
      <c r="B2421">
        <v>22387698</v>
      </c>
      <c r="C2421" t="s">
        <v>40</v>
      </c>
      <c r="D2421" s="1">
        <v>43458</v>
      </c>
      <c r="E2421" s="1">
        <v>43822</v>
      </c>
      <c r="F2421" t="s">
        <v>41</v>
      </c>
      <c r="G2421">
        <v>1</v>
      </c>
      <c r="H2421" t="s">
        <v>42</v>
      </c>
      <c r="I2421" t="s">
        <v>43</v>
      </c>
      <c r="J2421" t="s">
        <v>41</v>
      </c>
      <c r="K2421" t="s">
        <v>44</v>
      </c>
      <c r="L2421">
        <v>1113.92</v>
      </c>
      <c r="M2421" s="1">
        <v>43458</v>
      </c>
      <c r="N2421" t="s">
        <v>45</v>
      </c>
      <c r="O2421" t="s">
        <v>46</v>
      </c>
      <c r="P2421" t="s">
        <v>47</v>
      </c>
      <c r="Q2421" s="1">
        <v>43852</v>
      </c>
      <c r="R2421" t="s">
        <v>48</v>
      </c>
      <c r="S2421" t="s">
        <v>62</v>
      </c>
      <c r="T2421" t="s">
        <v>63</v>
      </c>
      <c r="U2421" t="s">
        <v>42</v>
      </c>
      <c r="V2421">
        <v>0</v>
      </c>
      <c r="W2421">
        <v>100000</v>
      </c>
      <c r="X2421" s="1">
        <v>43982</v>
      </c>
      <c r="Y2421" t="s">
        <v>51</v>
      </c>
      <c r="Z2421" t="s">
        <v>43</v>
      </c>
      <c r="AA2421" t="s">
        <v>41</v>
      </c>
      <c r="AB2421" t="s">
        <v>52</v>
      </c>
      <c r="AC2421" t="s">
        <v>53</v>
      </c>
      <c r="AF2421" t="s">
        <v>57</v>
      </c>
      <c r="AG2421" s="1">
        <v>43836</v>
      </c>
      <c r="AH2421" t="s">
        <v>42</v>
      </c>
      <c r="AI2421" t="s">
        <v>55</v>
      </c>
      <c r="AJ2421">
        <v>12788092</v>
      </c>
      <c r="AK2421">
        <v>250000</v>
      </c>
      <c r="AL2421">
        <v>1500000</v>
      </c>
    </row>
    <row r="2422" spans="1:38" x14ac:dyDescent="0.25">
      <c r="A2422" t="s">
        <v>104</v>
      </c>
      <c r="B2422">
        <v>22387698</v>
      </c>
      <c r="C2422" t="s">
        <v>40</v>
      </c>
      <c r="D2422" s="1">
        <v>43458</v>
      </c>
      <c r="E2422" s="1">
        <v>43822</v>
      </c>
      <c r="F2422" t="s">
        <v>41</v>
      </c>
      <c r="G2422">
        <v>1</v>
      </c>
      <c r="H2422" t="s">
        <v>42</v>
      </c>
      <c r="I2422" t="s">
        <v>43</v>
      </c>
      <c r="J2422" t="s">
        <v>41</v>
      </c>
      <c r="K2422" t="s">
        <v>44</v>
      </c>
      <c r="L2422">
        <v>1113.92</v>
      </c>
      <c r="M2422" s="1">
        <v>43458</v>
      </c>
      <c r="N2422" t="s">
        <v>45</v>
      </c>
      <c r="O2422" t="s">
        <v>46</v>
      </c>
      <c r="P2422" t="s">
        <v>47</v>
      </c>
      <c r="Q2422" s="1">
        <v>43852</v>
      </c>
      <c r="R2422" t="s">
        <v>48</v>
      </c>
      <c r="S2422" t="s">
        <v>62</v>
      </c>
      <c r="T2422" t="s">
        <v>63</v>
      </c>
      <c r="U2422" t="s">
        <v>42</v>
      </c>
      <c r="V2422">
        <v>0</v>
      </c>
      <c r="W2422">
        <v>100000</v>
      </c>
      <c r="X2422" s="1">
        <v>43982</v>
      </c>
      <c r="Y2422" t="s">
        <v>51</v>
      </c>
      <c r="Z2422" t="s">
        <v>43</v>
      </c>
      <c r="AA2422" t="s">
        <v>41</v>
      </c>
      <c r="AB2422" t="s">
        <v>52</v>
      </c>
      <c r="AC2422" t="s">
        <v>53</v>
      </c>
      <c r="AF2422" t="s">
        <v>58</v>
      </c>
      <c r="AG2422" s="1">
        <v>43837</v>
      </c>
      <c r="AH2422" t="s">
        <v>42</v>
      </c>
      <c r="AI2422" t="s">
        <v>55</v>
      </c>
      <c r="AJ2422">
        <v>12788092</v>
      </c>
      <c r="AK2422">
        <v>250000</v>
      </c>
      <c r="AL2422">
        <v>1500000</v>
      </c>
    </row>
    <row r="2423" spans="1:38" x14ac:dyDescent="0.25">
      <c r="A2423" t="s">
        <v>104</v>
      </c>
      <c r="B2423">
        <v>22387698</v>
      </c>
      <c r="C2423" t="s">
        <v>40</v>
      </c>
      <c r="D2423" s="1">
        <v>43458</v>
      </c>
      <c r="E2423" s="1">
        <v>43822</v>
      </c>
      <c r="F2423" t="s">
        <v>41</v>
      </c>
      <c r="G2423">
        <v>1</v>
      </c>
      <c r="H2423" t="s">
        <v>42</v>
      </c>
      <c r="I2423" t="s">
        <v>43</v>
      </c>
      <c r="J2423" t="s">
        <v>41</v>
      </c>
      <c r="K2423" t="s">
        <v>44</v>
      </c>
      <c r="L2423">
        <v>1113.92</v>
      </c>
      <c r="M2423" s="1">
        <v>43458</v>
      </c>
      <c r="N2423" t="s">
        <v>45</v>
      </c>
      <c r="O2423" t="s">
        <v>46</v>
      </c>
      <c r="P2423" t="s">
        <v>47</v>
      </c>
      <c r="Q2423" s="1">
        <v>43852</v>
      </c>
      <c r="R2423" t="s">
        <v>48</v>
      </c>
      <c r="S2423" t="s">
        <v>62</v>
      </c>
      <c r="T2423" t="s">
        <v>63</v>
      </c>
      <c r="U2423" t="s">
        <v>42</v>
      </c>
      <c r="V2423">
        <v>0</v>
      </c>
      <c r="W2423">
        <v>100000</v>
      </c>
      <c r="X2423" s="1">
        <v>43982</v>
      </c>
      <c r="Y2423" t="s">
        <v>51</v>
      </c>
      <c r="Z2423" t="s">
        <v>43</v>
      </c>
      <c r="AA2423" t="s">
        <v>41</v>
      </c>
      <c r="AB2423" t="s">
        <v>52</v>
      </c>
      <c r="AC2423" t="s">
        <v>53</v>
      </c>
      <c r="AF2423" t="s">
        <v>59</v>
      </c>
      <c r="AG2423" s="1">
        <v>43838</v>
      </c>
      <c r="AH2423" t="s">
        <v>42</v>
      </c>
      <c r="AI2423" t="s">
        <v>55</v>
      </c>
      <c r="AJ2423">
        <v>12788092</v>
      </c>
      <c r="AK2423">
        <v>250000</v>
      </c>
      <c r="AL2423">
        <v>1500000</v>
      </c>
    </row>
    <row r="2424" spans="1:38" x14ac:dyDescent="0.25">
      <c r="A2424" t="s">
        <v>104</v>
      </c>
      <c r="B2424">
        <v>22387698</v>
      </c>
      <c r="C2424" t="s">
        <v>40</v>
      </c>
      <c r="D2424" s="1">
        <v>43458</v>
      </c>
      <c r="E2424" s="1">
        <v>43822</v>
      </c>
      <c r="F2424" t="s">
        <v>41</v>
      </c>
      <c r="G2424">
        <v>1</v>
      </c>
      <c r="H2424" t="s">
        <v>42</v>
      </c>
      <c r="I2424" t="s">
        <v>43</v>
      </c>
      <c r="J2424" t="s">
        <v>41</v>
      </c>
      <c r="K2424" t="s">
        <v>44</v>
      </c>
      <c r="L2424">
        <v>1113.92</v>
      </c>
      <c r="M2424" s="1">
        <v>43458</v>
      </c>
      <c r="N2424" t="s">
        <v>45</v>
      </c>
      <c r="O2424" t="s">
        <v>46</v>
      </c>
      <c r="P2424" t="s">
        <v>47</v>
      </c>
      <c r="Q2424" s="1">
        <v>43852</v>
      </c>
      <c r="R2424" t="s">
        <v>48</v>
      </c>
      <c r="S2424" t="s">
        <v>64</v>
      </c>
      <c r="T2424" t="s">
        <v>65</v>
      </c>
      <c r="U2424" t="s">
        <v>42</v>
      </c>
      <c r="V2424">
        <v>0</v>
      </c>
      <c r="W2424">
        <v>100000</v>
      </c>
      <c r="X2424" s="1">
        <v>43921</v>
      </c>
      <c r="Y2424" t="s">
        <v>51</v>
      </c>
      <c r="Z2424" t="s">
        <v>43</v>
      </c>
      <c r="AA2424" t="s">
        <v>41</v>
      </c>
      <c r="AB2424" t="s">
        <v>52</v>
      </c>
      <c r="AC2424" t="s">
        <v>53</v>
      </c>
      <c r="AF2424" t="s">
        <v>54</v>
      </c>
      <c r="AG2424" s="1">
        <v>43832</v>
      </c>
      <c r="AH2424" t="s">
        <v>42</v>
      </c>
      <c r="AI2424" t="s">
        <v>55</v>
      </c>
      <c r="AJ2424">
        <v>12788092</v>
      </c>
      <c r="AK2424">
        <v>250000</v>
      </c>
      <c r="AL2424">
        <v>1500000</v>
      </c>
    </row>
    <row r="2425" spans="1:38" x14ac:dyDescent="0.25">
      <c r="A2425" t="s">
        <v>104</v>
      </c>
      <c r="B2425">
        <v>22387698</v>
      </c>
      <c r="C2425" t="s">
        <v>40</v>
      </c>
      <c r="D2425" s="1">
        <v>43458</v>
      </c>
      <c r="E2425" s="1">
        <v>43822</v>
      </c>
      <c r="F2425" t="s">
        <v>41</v>
      </c>
      <c r="G2425">
        <v>1</v>
      </c>
      <c r="H2425" t="s">
        <v>42</v>
      </c>
      <c r="I2425" t="s">
        <v>43</v>
      </c>
      <c r="J2425" t="s">
        <v>41</v>
      </c>
      <c r="K2425" t="s">
        <v>44</v>
      </c>
      <c r="L2425">
        <v>1113.92</v>
      </c>
      <c r="M2425" s="1">
        <v>43458</v>
      </c>
      <c r="N2425" t="s">
        <v>45</v>
      </c>
      <c r="O2425" t="s">
        <v>46</v>
      </c>
      <c r="P2425" t="s">
        <v>47</v>
      </c>
      <c r="Q2425" s="1">
        <v>43852</v>
      </c>
      <c r="R2425" t="s">
        <v>48</v>
      </c>
      <c r="S2425" t="s">
        <v>64</v>
      </c>
      <c r="T2425" t="s">
        <v>65</v>
      </c>
      <c r="U2425" t="s">
        <v>42</v>
      </c>
      <c r="V2425">
        <v>0</v>
      </c>
      <c r="W2425">
        <v>100000</v>
      </c>
      <c r="X2425" s="1">
        <v>43921</v>
      </c>
      <c r="Y2425" t="s">
        <v>51</v>
      </c>
      <c r="Z2425" t="s">
        <v>43</v>
      </c>
      <c r="AA2425" t="s">
        <v>41</v>
      </c>
      <c r="AB2425" t="s">
        <v>52</v>
      </c>
      <c r="AC2425" t="s">
        <v>53</v>
      </c>
      <c r="AF2425" t="s">
        <v>56</v>
      </c>
      <c r="AG2425" s="1">
        <v>43833</v>
      </c>
      <c r="AH2425" t="s">
        <v>42</v>
      </c>
      <c r="AI2425" t="s">
        <v>55</v>
      </c>
      <c r="AJ2425">
        <v>12788092</v>
      </c>
      <c r="AK2425">
        <v>250000</v>
      </c>
      <c r="AL2425">
        <v>1500000</v>
      </c>
    </row>
    <row r="2426" spans="1:38" x14ac:dyDescent="0.25">
      <c r="A2426" t="s">
        <v>104</v>
      </c>
      <c r="B2426">
        <v>22387698</v>
      </c>
      <c r="C2426" t="s">
        <v>40</v>
      </c>
      <c r="D2426" s="1">
        <v>43458</v>
      </c>
      <c r="E2426" s="1">
        <v>43822</v>
      </c>
      <c r="F2426" t="s">
        <v>41</v>
      </c>
      <c r="G2426">
        <v>1</v>
      </c>
      <c r="H2426" t="s">
        <v>42</v>
      </c>
      <c r="I2426" t="s">
        <v>43</v>
      </c>
      <c r="J2426" t="s">
        <v>41</v>
      </c>
      <c r="K2426" t="s">
        <v>44</v>
      </c>
      <c r="L2426">
        <v>1113.92</v>
      </c>
      <c r="M2426" s="1">
        <v>43458</v>
      </c>
      <c r="N2426" t="s">
        <v>45</v>
      </c>
      <c r="O2426" t="s">
        <v>46</v>
      </c>
      <c r="P2426" t="s">
        <v>47</v>
      </c>
      <c r="Q2426" s="1">
        <v>43852</v>
      </c>
      <c r="R2426" t="s">
        <v>48</v>
      </c>
      <c r="S2426" t="s">
        <v>64</v>
      </c>
      <c r="T2426" t="s">
        <v>65</v>
      </c>
      <c r="U2426" t="s">
        <v>42</v>
      </c>
      <c r="V2426">
        <v>0</v>
      </c>
      <c r="W2426">
        <v>100000</v>
      </c>
      <c r="X2426" s="1">
        <v>43921</v>
      </c>
      <c r="Y2426" t="s">
        <v>51</v>
      </c>
      <c r="Z2426" t="s">
        <v>43</v>
      </c>
      <c r="AA2426" t="s">
        <v>41</v>
      </c>
      <c r="AB2426" t="s">
        <v>52</v>
      </c>
      <c r="AC2426" t="s">
        <v>53</v>
      </c>
      <c r="AF2426" t="s">
        <v>57</v>
      </c>
      <c r="AG2426" s="1">
        <v>43836</v>
      </c>
      <c r="AH2426" t="s">
        <v>42</v>
      </c>
      <c r="AI2426" t="s">
        <v>55</v>
      </c>
      <c r="AJ2426">
        <v>12788092</v>
      </c>
      <c r="AK2426">
        <v>250000</v>
      </c>
      <c r="AL2426">
        <v>1500000</v>
      </c>
    </row>
    <row r="2427" spans="1:38" x14ac:dyDescent="0.25">
      <c r="A2427" t="s">
        <v>104</v>
      </c>
      <c r="B2427">
        <v>22387698</v>
      </c>
      <c r="C2427" t="s">
        <v>40</v>
      </c>
      <c r="D2427" s="1">
        <v>43458</v>
      </c>
      <c r="E2427" s="1">
        <v>43822</v>
      </c>
      <c r="F2427" t="s">
        <v>41</v>
      </c>
      <c r="G2427">
        <v>1</v>
      </c>
      <c r="H2427" t="s">
        <v>42</v>
      </c>
      <c r="I2427" t="s">
        <v>43</v>
      </c>
      <c r="J2427" t="s">
        <v>41</v>
      </c>
      <c r="K2427" t="s">
        <v>44</v>
      </c>
      <c r="L2427">
        <v>1113.92</v>
      </c>
      <c r="M2427" s="1">
        <v>43458</v>
      </c>
      <c r="N2427" t="s">
        <v>45</v>
      </c>
      <c r="O2427" t="s">
        <v>46</v>
      </c>
      <c r="P2427" t="s">
        <v>47</v>
      </c>
      <c r="Q2427" s="1">
        <v>43852</v>
      </c>
      <c r="R2427" t="s">
        <v>48</v>
      </c>
      <c r="S2427" t="s">
        <v>64</v>
      </c>
      <c r="T2427" t="s">
        <v>65</v>
      </c>
      <c r="U2427" t="s">
        <v>42</v>
      </c>
      <c r="V2427">
        <v>0</v>
      </c>
      <c r="W2427">
        <v>100000</v>
      </c>
      <c r="X2427" s="1">
        <v>43921</v>
      </c>
      <c r="Y2427" t="s">
        <v>51</v>
      </c>
      <c r="Z2427" t="s">
        <v>43</v>
      </c>
      <c r="AA2427" t="s">
        <v>41</v>
      </c>
      <c r="AB2427" t="s">
        <v>52</v>
      </c>
      <c r="AC2427" t="s">
        <v>53</v>
      </c>
      <c r="AF2427" t="s">
        <v>58</v>
      </c>
      <c r="AG2427" s="1">
        <v>43837</v>
      </c>
      <c r="AH2427" t="s">
        <v>42</v>
      </c>
      <c r="AI2427" t="s">
        <v>55</v>
      </c>
      <c r="AJ2427">
        <v>12788092</v>
      </c>
      <c r="AK2427">
        <v>250000</v>
      </c>
      <c r="AL2427">
        <v>1500000</v>
      </c>
    </row>
    <row r="2428" spans="1:38" x14ac:dyDescent="0.25">
      <c r="A2428" t="s">
        <v>104</v>
      </c>
      <c r="B2428">
        <v>22387698</v>
      </c>
      <c r="C2428" t="s">
        <v>40</v>
      </c>
      <c r="D2428" s="1">
        <v>43458</v>
      </c>
      <c r="E2428" s="1">
        <v>43822</v>
      </c>
      <c r="F2428" t="s">
        <v>41</v>
      </c>
      <c r="G2428">
        <v>1</v>
      </c>
      <c r="H2428" t="s">
        <v>42</v>
      </c>
      <c r="I2428" t="s">
        <v>43</v>
      </c>
      <c r="J2428" t="s">
        <v>41</v>
      </c>
      <c r="K2428" t="s">
        <v>44</v>
      </c>
      <c r="L2428">
        <v>1113.92</v>
      </c>
      <c r="M2428" s="1">
        <v>43458</v>
      </c>
      <c r="N2428" t="s">
        <v>45</v>
      </c>
      <c r="O2428" t="s">
        <v>46</v>
      </c>
      <c r="P2428" t="s">
        <v>47</v>
      </c>
      <c r="Q2428" s="1">
        <v>43852</v>
      </c>
      <c r="R2428" t="s">
        <v>48</v>
      </c>
      <c r="S2428" t="s">
        <v>64</v>
      </c>
      <c r="T2428" t="s">
        <v>65</v>
      </c>
      <c r="U2428" t="s">
        <v>42</v>
      </c>
      <c r="V2428">
        <v>0</v>
      </c>
      <c r="W2428">
        <v>100000</v>
      </c>
      <c r="X2428" s="1">
        <v>43921</v>
      </c>
      <c r="Y2428" t="s">
        <v>51</v>
      </c>
      <c r="Z2428" t="s">
        <v>43</v>
      </c>
      <c r="AA2428" t="s">
        <v>41</v>
      </c>
      <c r="AB2428" t="s">
        <v>52</v>
      </c>
      <c r="AC2428" t="s">
        <v>53</v>
      </c>
      <c r="AF2428" t="s">
        <v>59</v>
      </c>
      <c r="AG2428" s="1">
        <v>43838</v>
      </c>
      <c r="AH2428" t="s">
        <v>42</v>
      </c>
      <c r="AI2428" t="s">
        <v>55</v>
      </c>
      <c r="AJ2428">
        <v>12788092</v>
      </c>
      <c r="AK2428">
        <v>250000</v>
      </c>
      <c r="AL2428">
        <v>1500000</v>
      </c>
    </row>
    <row r="2429" spans="1:38" x14ac:dyDescent="0.25">
      <c r="A2429" t="s">
        <v>107</v>
      </c>
      <c r="B2429" s="2">
        <v>9.9E+19</v>
      </c>
      <c r="C2429" t="s">
        <v>40</v>
      </c>
      <c r="D2429" s="1">
        <v>43349</v>
      </c>
      <c r="E2429" s="1">
        <v>43713</v>
      </c>
      <c r="F2429" t="s">
        <v>77</v>
      </c>
      <c r="G2429">
        <v>13</v>
      </c>
      <c r="H2429" t="s">
        <v>316</v>
      </c>
      <c r="I2429" t="s">
        <v>43</v>
      </c>
      <c r="J2429" t="s">
        <v>77</v>
      </c>
      <c r="K2429" t="s">
        <v>127</v>
      </c>
      <c r="L2429">
        <v>65000</v>
      </c>
      <c r="M2429" s="1">
        <v>43349</v>
      </c>
      <c r="N2429" t="s">
        <v>45</v>
      </c>
      <c r="O2429" t="s">
        <v>46</v>
      </c>
      <c r="P2429" t="s">
        <v>47</v>
      </c>
      <c r="Q2429" s="1">
        <v>43852</v>
      </c>
      <c r="R2429" t="s">
        <v>48</v>
      </c>
    </row>
    <row r="2430" spans="1:38" x14ac:dyDescent="0.25">
      <c r="A2430" t="s">
        <v>109</v>
      </c>
      <c r="B2430">
        <v>32117648</v>
      </c>
      <c r="C2430" t="s">
        <v>40</v>
      </c>
      <c r="D2430" s="1">
        <v>43522</v>
      </c>
      <c r="E2430" s="1">
        <v>43886</v>
      </c>
      <c r="F2430" t="s">
        <v>306</v>
      </c>
      <c r="G2430">
        <v>13</v>
      </c>
      <c r="H2430" t="s">
        <v>316</v>
      </c>
      <c r="I2430" t="s">
        <v>43</v>
      </c>
      <c r="J2430" t="s">
        <v>73</v>
      </c>
      <c r="K2430" t="s">
        <v>127</v>
      </c>
      <c r="L2430">
        <v>2077.5</v>
      </c>
      <c r="M2430" s="1">
        <v>43522</v>
      </c>
      <c r="N2430" t="s">
        <v>45</v>
      </c>
      <c r="O2430" t="s">
        <v>46</v>
      </c>
      <c r="P2430" t="s">
        <v>47</v>
      </c>
      <c r="Q2430" s="1">
        <v>43852</v>
      </c>
      <c r="R2430" t="s">
        <v>48</v>
      </c>
    </row>
    <row r="2431" spans="1:38" x14ac:dyDescent="0.25">
      <c r="A2431" t="s">
        <v>110</v>
      </c>
      <c r="B2431">
        <v>43152633</v>
      </c>
      <c r="C2431" t="s">
        <v>71</v>
      </c>
      <c r="D2431" s="1">
        <v>43049</v>
      </c>
      <c r="E2431" s="1">
        <v>43229</v>
      </c>
      <c r="F2431" t="s">
        <v>76</v>
      </c>
      <c r="G2431">
        <v>13</v>
      </c>
      <c r="H2431" t="s">
        <v>316</v>
      </c>
      <c r="I2431" t="s">
        <v>43</v>
      </c>
      <c r="J2431" t="s">
        <v>77</v>
      </c>
      <c r="K2431" t="s">
        <v>127</v>
      </c>
      <c r="L2431">
        <v>1566.2</v>
      </c>
      <c r="M2431" s="1">
        <v>43049</v>
      </c>
      <c r="N2431" t="s">
        <v>45</v>
      </c>
      <c r="O2431" t="s">
        <v>361</v>
      </c>
      <c r="P2431" t="s">
        <v>469</v>
      </c>
      <c r="Q2431" s="1">
        <v>43852</v>
      </c>
      <c r="R2431" t="s">
        <v>469</v>
      </c>
    </row>
    <row r="2432" spans="1:38" x14ac:dyDescent="0.25">
      <c r="A2432" t="s">
        <v>112</v>
      </c>
      <c r="B2432">
        <v>43167538</v>
      </c>
      <c r="C2432" t="s">
        <v>71</v>
      </c>
      <c r="D2432" s="1">
        <v>43266</v>
      </c>
      <c r="E2432" s="1">
        <v>43295</v>
      </c>
      <c r="F2432" t="s">
        <v>76</v>
      </c>
      <c r="G2432">
        <v>13</v>
      </c>
      <c r="H2432" t="s">
        <v>316</v>
      </c>
      <c r="I2432" t="s">
        <v>43</v>
      </c>
      <c r="J2432" t="s">
        <v>77</v>
      </c>
      <c r="K2432" t="s">
        <v>127</v>
      </c>
      <c r="L2432">
        <v>639.25</v>
      </c>
      <c r="M2432" s="1">
        <v>43266</v>
      </c>
      <c r="N2432" t="s">
        <v>45</v>
      </c>
      <c r="O2432" t="s">
        <v>361</v>
      </c>
      <c r="P2432" t="s">
        <v>469</v>
      </c>
      <c r="Q2432" s="1">
        <v>43852</v>
      </c>
      <c r="R2432" t="s">
        <v>469</v>
      </c>
    </row>
    <row r="2433" spans="1:18" x14ac:dyDescent="0.25">
      <c r="A2433" t="s">
        <v>114</v>
      </c>
      <c r="B2433">
        <v>43167694</v>
      </c>
      <c r="C2433" t="s">
        <v>71</v>
      </c>
      <c r="D2433" s="1">
        <v>43257</v>
      </c>
      <c r="E2433" s="1">
        <v>43621</v>
      </c>
      <c r="F2433" t="s">
        <v>76</v>
      </c>
      <c r="G2433">
        <v>13</v>
      </c>
      <c r="H2433" t="s">
        <v>316</v>
      </c>
      <c r="I2433" t="s">
        <v>43</v>
      </c>
      <c r="J2433" t="s">
        <v>77</v>
      </c>
      <c r="K2433" t="s">
        <v>127</v>
      </c>
      <c r="L2433">
        <v>1180.8800000000001</v>
      </c>
      <c r="M2433" s="1">
        <v>43257</v>
      </c>
      <c r="N2433" t="s">
        <v>45</v>
      </c>
      <c r="O2433" t="s">
        <v>361</v>
      </c>
      <c r="P2433" t="s">
        <v>469</v>
      </c>
      <c r="Q2433" s="1">
        <v>43852</v>
      </c>
      <c r="R2433" t="s">
        <v>469</v>
      </c>
    </row>
    <row r="2434" spans="1:18" x14ac:dyDescent="0.25">
      <c r="A2434" t="s">
        <v>116</v>
      </c>
      <c r="B2434">
        <v>43191701</v>
      </c>
      <c r="C2434" t="s">
        <v>40</v>
      </c>
      <c r="D2434" s="1">
        <v>43648</v>
      </c>
      <c r="E2434" s="1">
        <v>43831</v>
      </c>
      <c r="F2434" t="s">
        <v>76</v>
      </c>
      <c r="G2434">
        <v>13</v>
      </c>
      <c r="H2434" t="s">
        <v>316</v>
      </c>
      <c r="I2434" t="s">
        <v>43</v>
      </c>
      <c r="J2434" t="s">
        <v>77</v>
      </c>
      <c r="K2434" t="s">
        <v>127</v>
      </c>
      <c r="L2434">
        <v>1558.76</v>
      </c>
      <c r="M2434" s="1">
        <v>43648</v>
      </c>
      <c r="N2434" t="s">
        <v>45</v>
      </c>
      <c r="O2434" t="s">
        <v>46</v>
      </c>
      <c r="P2434" t="s">
        <v>47</v>
      </c>
      <c r="Q2434" s="1">
        <v>43852</v>
      </c>
      <c r="R2434" t="s">
        <v>48</v>
      </c>
    </row>
    <row r="2435" spans="1:18" x14ac:dyDescent="0.25">
      <c r="A2435" t="s">
        <v>117</v>
      </c>
      <c r="B2435" s="2">
        <v>9.9E+19</v>
      </c>
      <c r="C2435" t="s">
        <v>40</v>
      </c>
      <c r="D2435" s="1">
        <v>43349</v>
      </c>
      <c r="E2435" s="1">
        <v>45356</v>
      </c>
      <c r="F2435" t="s">
        <v>77</v>
      </c>
      <c r="G2435">
        <v>13</v>
      </c>
      <c r="H2435" t="s">
        <v>316</v>
      </c>
      <c r="I2435" t="s">
        <v>43</v>
      </c>
      <c r="J2435" t="s">
        <v>77</v>
      </c>
      <c r="K2435" t="s">
        <v>127</v>
      </c>
      <c r="L2435">
        <v>59375</v>
      </c>
      <c r="M2435" s="1">
        <v>43349</v>
      </c>
      <c r="N2435" t="s">
        <v>45</v>
      </c>
      <c r="O2435" t="s">
        <v>46</v>
      </c>
      <c r="P2435" t="s">
        <v>47</v>
      </c>
      <c r="Q2435" s="1">
        <v>43852</v>
      </c>
      <c r="R2435" t="s">
        <v>48</v>
      </c>
    </row>
    <row r="2436" spans="1:18" x14ac:dyDescent="0.25">
      <c r="A2436" t="s">
        <v>119</v>
      </c>
      <c r="B2436" s="2">
        <v>9.9E+19</v>
      </c>
      <c r="C2436" t="s">
        <v>71</v>
      </c>
      <c r="D2436" s="1">
        <v>42744</v>
      </c>
      <c r="E2436" s="1">
        <v>43198</v>
      </c>
      <c r="F2436" t="s">
        <v>306</v>
      </c>
      <c r="G2436">
        <v>13</v>
      </c>
      <c r="H2436" t="s">
        <v>316</v>
      </c>
      <c r="I2436" t="s">
        <v>43</v>
      </c>
      <c r="J2436" t="s">
        <v>73</v>
      </c>
      <c r="K2436" t="s">
        <v>127</v>
      </c>
      <c r="L2436">
        <v>56150.75</v>
      </c>
      <c r="M2436" s="1">
        <v>42744</v>
      </c>
      <c r="N2436" t="s">
        <v>45</v>
      </c>
      <c r="O2436" t="s">
        <v>361</v>
      </c>
      <c r="P2436" t="s">
        <v>469</v>
      </c>
      <c r="Q2436" s="1">
        <v>43852</v>
      </c>
      <c r="R2436" t="s">
        <v>469</v>
      </c>
    </row>
    <row r="2437" spans="1:18" x14ac:dyDescent="0.25">
      <c r="A2437" t="s">
        <v>123</v>
      </c>
      <c r="B2437" s="2">
        <v>9.9E+19</v>
      </c>
      <c r="C2437" t="s">
        <v>71</v>
      </c>
      <c r="D2437" s="1">
        <v>43049</v>
      </c>
      <c r="E2437" s="1">
        <v>43413</v>
      </c>
      <c r="F2437" t="s">
        <v>76</v>
      </c>
      <c r="G2437">
        <v>13</v>
      </c>
      <c r="H2437" t="s">
        <v>316</v>
      </c>
      <c r="I2437" t="s">
        <v>43</v>
      </c>
      <c r="J2437" t="s">
        <v>73</v>
      </c>
      <c r="K2437" t="s">
        <v>127</v>
      </c>
      <c r="L2437">
        <v>3132.5</v>
      </c>
      <c r="M2437" s="1">
        <v>43049</v>
      </c>
      <c r="N2437" t="s">
        <v>45</v>
      </c>
      <c r="O2437" t="s">
        <v>361</v>
      </c>
      <c r="P2437" t="s">
        <v>469</v>
      </c>
      <c r="Q2437" s="1">
        <v>43852</v>
      </c>
      <c r="R2437" t="s">
        <v>469</v>
      </c>
    </row>
    <row r="2438" spans="1:18" x14ac:dyDescent="0.25">
      <c r="A2438" t="s">
        <v>124</v>
      </c>
      <c r="B2438" s="2">
        <v>9.9E+19</v>
      </c>
      <c r="C2438" t="s">
        <v>40</v>
      </c>
      <c r="D2438" s="1">
        <v>43049</v>
      </c>
      <c r="E2438" s="1">
        <v>43778</v>
      </c>
      <c r="F2438" t="s">
        <v>306</v>
      </c>
      <c r="G2438">
        <v>13</v>
      </c>
      <c r="H2438" t="s">
        <v>316</v>
      </c>
      <c r="I2438" t="s">
        <v>43</v>
      </c>
      <c r="J2438" t="s">
        <v>73</v>
      </c>
      <c r="K2438" t="s">
        <v>127</v>
      </c>
      <c r="L2438">
        <v>30978.63</v>
      </c>
      <c r="M2438" s="1">
        <v>43049</v>
      </c>
      <c r="N2438" t="s">
        <v>45</v>
      </c>
      <c r="O2438" t="s">
        <v>46</v>
      </c>
      <c r="P2438" t="s">
        <v>47</v>
      </c>
      <c r="Q2438" s="1">
        <v>43852</v>
      </c>
      <c r="R2438" t="s">
        <v>48</v>
      </c>
    </row>
    <row r="2439" spans="1:18" x14ac:dyDescent="0.25">
      <c r="A2439" t="s">
        <v>128</v>
      </c>
      <c r="B2439" s="2">
        <v>9.9E+19</v>
      </c>
      <c r="C2439" t="s">
        <v>40</v>
      </c>
      <c r="D2439" s="1">
        <v>43133</v>
      </c>
      <c r="E2439" s="1">
        <v>43862</v>
      </c>
      <c r="F2439" t="s">
        <v>306</v>
      </c>
      <c r="G2439">
        <v>13</v>
      </c>
      <c r="H2439" t="s">
        <v>316</v>
      </c>
      <c r="I2439" t="s">
        <v>43</v>
      </c>
      <c r="J2439" t="s">
        <v>77</v>
      </c>
      <c r="K2439" t="s">
        <v>127</v>
      </c>
      <c r="L2439">
        <v>17934.88</v>
      </c>
      <c r="M2439" s="1">
        <v>43133</v>
      </c>
      <c r="N2439" t="s">
        <v>45</v>
      </c>
      <c r="O2439" t="s">
        <v>46</v>
      </c>
      <c r="P2439" t="s">
        <v>47</v>
      </c>
      <c r="Q2439" s="1">
        <v>43852</v>
      </c>
      <c r="R2439" t="s">
        <v>48</v>
      </c>
    </row>
    <row r="2440" spans="1:18" x14ac:dyDescent="0.25">
      <c r="A2440" t="s">
        <v>141</v>
      </c>
      <c r="B2440" s="2">
        <v>9.9E+19</v>
      </c>
      <c r="C2440" t="s">
        <v>40</v>
      </c>
      <c r="D2440" s="1">
        <v>43152</v>
      </c>
      <c r="E2440" s="1">
        <v>43881</v>
      </c>
      <c r="F2440" t="s">
        <v>306</v>
      </c>
      <c r="G2440">
        <v>13</v>
      </c>
      <c r="H2440" t="s">
        <v>316</v>
      </c>
      <c r="I2440" t="s">
        <v>43</v>
      </c>
      <c r="J2440" t="s">
        <v>73</v>
      </c>
      <c r="K2440" t="s">
        <v>127</v>
      </c>
      <c r="L2440">
        <v>15668.25</v>
      </c>
      <c r="M2440" s="1">
        <v>43152</v>
      </c>
      <c r="N2440" t="s">
        <v>45</v>
      </c>
      <c r="O2440" t="s">
        <v>46</v>
      </c>
      <c r="P2440" t="s">
        <v>47</v>
      </c>
      <c r="Q2440" s="1">
        <v>43852</v>
      </c>
      <c r="R2440" t="s">
        <v>48</v>
      </c>
    </row>
    <row r="2441" spans="1:18" x14ac:dyDescent="0.25">
      <c r="A2441" t="s">
        <v>143</v>
      </c>
      <c r="B2441" s="2">
        <v>9.9E+19</v>
      </c>
      <c r="C2441" t="s">
        <v>40</v>
      </c>
      <c r="D2441" s="1">
        <v>43199</v>
      </c>
      <c r="E2441" s="1">
        <v>43654</v>
      </c>
      <c r="F2441" t="s">
        <v>306</v>
      </c>
      <c r="G2441">
        <v>13</v>
      </c>
      <c r="H2441" t="s">
        <v>316</v>
      </c>
      <c r="I2441" t="s">
        <v>43</v>
      </c>
      <c r="J2441" t="s">
        <v>73</v>
      </c>
      <c r="K2441" t="s">
        <v>127</v>
      </c>
      <c r="L2441">
        <v>11239.38</v>
      </c>
      <c r="M2441" s="1">
        <v>43199</v>
      </c>
      <c r="N2441" t="s">
        <v>45</v>
      </c>
      <c r="O2441" t="s">
        <v>46</v>
      </c>
      <c r="P2441" t="s">
        <v>47</v>
      </c>
      <c r="Q2441" s="1">
        <v>43852</v>
      </c>
      <c r="R2441" t="s">
        <v>48</v>
      </c>
    </row>
    <row r="2442" spans="1:18" x14ac:dyDescent="0.25">
      <c r="A2442" t="s">
        <v>144</v>
      </c>
      <c r="B2442" s="2">
        <v>9.9E+19</v>
      </c>
      <c r="C2442" t="s">
        <v>71</v>
      </c>
      <c r="D2442" s="1">
        <v>43290</v>
      </c>
      <c r="E2442" s="1">
        <v>43381</v>
      </c>
      <c r="F2442" t="s">
        <v>306</v>
      </c>
      <c r="G2442">
        <v>13</v>
      </c>
      <c r="H2442" t="s">
        <v>316</v>
      </c>
      <c r="I2442" t="s">
        <v>43</v>
      </c>
      <c r="J2442" t="s">
        <v>73</v>
      </c>
      <c r="K2442" t="s">
        <v>44</v>
      </c>
      <c r="L2442">
        <v>11239.38</v>
      </c>
      <c r="M2442" s="1">
        <v>43290</v>
      </c>
      <c r="N2442" t="s">
        <v>45</v>
      </c>
      <c r="O2442" t="s">
        <v>361</v>
      </c>
      <c r="P2442" t="s">
        <v>469</v>
      </c>
      <c r="Q2442" s="1">
        <v>43852</v>
      </c>
      <c r="R2442" t="s">
        <v>469</v>
      </c>
    </row>
    <row r="2443" spans="1:18" x14ac:dyDescent="0.25">
      <c r="A2443" t="s">
        <v>146</v>
      </c>
      <c r="B2443" s="2">
        <v>9.9E+19</v>
      </c>
      <c r="C2443" t="s">
        <v>40</v>
      </c>
      <c r="D2443" s="1">
        <v>43322</v>
      </c>
      <c r="E2443" s="1">
        <v>43870</v>
      </c>
      <c r="F2443" t="s">
        <v>306</v>
      </c>
      <c r="G2443">
        <v>13</v>
      </c>
      <c r="H2443" t="s">
        <v>316</v>
      </c>
      <c r="I2443" t="s">
        <v>43</v>
      </c>
      <c r="J2443" t="s">
        <v>73</v>
      </c>
      <c r="K2443" t="s">
        <v>127</v>
      </c>
      <c r="L2443">
        <v>21442.38</v>
      </c>
      <c r="M2443" s="1">
        <v>43758</v>
      </c>
      <c r="N2443" t="s">
        <v>45</v>
      </c>
      <c r="O2443" t="s">
        <v>46</v>
      </c>
      <c r="P2443" t="s">
        <v>47</v>
      </c>
      <c r="Q2443" s="1">
        <v>43852</v>
      </c>
      <c r="R2443" t="s">
        <v>48</v>
      </c>
    </row>
    <row r="2444" spans="1:18" x14ac:dyDescent="0.25">
      <c r="A2444" t="s">
        <v>148</v>
      </c>
      <c r="B2444" s="2">
        <v>9.9E+19</v>
      </c>
      <c r="C2444" t="s">
        <v>40</v>
      </c>
      <c r="D2444" s="1">
        <v>43322</v>
      </c>
      <c r="E2444" s="1">
        <v>43870</v>
      </c>
      <c r="F2444" t="s">
        <v>306</v>
      </c>
      <c r="G2444">
        <v>13</v>
      </c>
      <c r="H2444" t="s">
        <v>316</v>
      </c>
      <c r="I2444" t="s">
        <v>43</v>
      </c>
      <c r="J2444" t="s">
        <v>73</v>
      </c>
      <c r="K2444" t="s">
        <v>127</v>
      </c>
      <c r="L2444">
        <v>21442.75</v>
      </c>
      <c r="M2444" s="1">
        <v>43431</v>
      </c>
      <c r="N2444" t="s">
        <v>45</v>
      </c>
      <c r="O2444" t="s">
        <v>46</v>
      </c>
      <c r="P2444" t="s">
        <v>47</v>
      </c>
      <c r="Q2444" s="1">
        <v>43852</v>
      </c>
      <c r="R2444" t="s">
        <v>48</v>
      </c>
    </row>
    <row r="2445" spans="1:18" x14ac:dyDescent="0.25">
      <c r="A2445" t="s">
        <v>150</v>
      </c>
      <c r="B2445" s="2">
        <v>9.9E+19</v>
      </c>
      <c r="C2445" t="s">
        <v>40</v>
      </c>
      <c r="D2445" s="1">
        <v>43322</v>
      </c>
      <c r="E2445" s="1">
        <v>43870</v>
      </c>
      <c r="F2445" t="s">
        <v>306</v>
      </c>
      <c r="G2445">
        <v>13</v>
      </c>
      <c r="H2445" t="s">
        <v>316</v>
      </c>
      <c r="I2445" t="s">
        <v>43</v>
      </c>
      <c r="J2445" t="s">
        <v>73</v>
      </c>
      <c r="K2445" t="s">
        <v>127</v>
      </c>
      <c r="L2445">
        <v>21442.75</v>
      </c>
      <c r="M2445" s="1">
        <v>43540</v>
      </c>
      <c r="N2445" t="s">
        <v>45</v>
      </c>
      <c r="O2445" t="s">
        <v>46</v>
      </c>
      <c r="P2445" t="s">
        <v>47</v>
      </c>
      <c r="Q2445" s="1">
        <v>43852</v>
      </c>
      <c r="R2445" t="s">
        <v>48</v>
      </c>
    </row>
    <row r="2446" spans="1:18" x14ac:dyDescent="0.25">
      <c r="A2446" t="s">
        <v>151</v>
      </c>
      <c r="B2446" s="2">
        <v>9.9E+19</v>
      </c>
      <c r="C2446" t="s">
        <v>40</v>
      </c>
      <c r="D2446" s="1">
        <v>43322</v>
      </c>
      <c r="E2446" s="1">
        <v>43870</v>
      </c>
      <c r="F2446" t="s">
        <v>306</v>
      </c>
      <c r="G2446">
        <v>13</v>
      </c>
      <c r="H2446" t="s">
        <v>316</v>
      </c>
      <c r="I2446" t="s">
        <v>43</v>
      </c>
      <c r="J2446" t="s">
        <v>73</v>
      </c>
      <c r="K2446" t="s">
        <v>127</v>
      </c>
      <c r="L2446">
        <v>21442.75</v>
      </c>
      <c r="M2446" s="1">
        <v>43649</v>
      </c>
      <c r="N2446" t="s">
        <v>45</v>
      </c>
      <c r="O2446" t="s">
        <v>46</v>
      </c>
      <c r="P2446" t="s">
        <v>47</v>
      </c>
      <c r="Q2446" s="1">
        <v>43852</v>
      </c>
      <c r="R2446" t="s">
        <v>48</v>
      </c>
    </row>
    <row r="2447" spans="1:18" x14ac:dyDescent="0.25">
      <c r="A2447" t="s">
        <v>152</v>
      </c>
      <c r="B2447" s="2">
        <v>9.9E+19</v>
      </c>
      <c r="C2447" t="s">
        <v>40</v>
      </c>
      <c r="D2447" s="1">
        <v>43322</v>
      </c>
      <c r="E2447" s="1">
        <v>43870</v>
      </c>
      <c r="F2447" t="s">
        <v>306</v>
      </c>
      <c r="G2447">
        <v>13</v>
      </c>
      <c r="H2447" t="s">
        <v>316</v>
      </c>
      <c r="I2447" t="s">
        <v>43</v>
      </c>
      <c r="J2447" t="s">
        <v>73</v>
      </c>
      <c r="K2447" t="s">
        <v>127</v>
      </c>
      <c r="L2447">
        <v>27085.5</v>
      </c>
      <c r="M2447" s="1">
        <v>43322</v>
      </c>
      <c r="N2447" t="s">
        <v>45</v>
      </c>
      <c r="O2447" t="s">
        <v>46</v>
      </c>
      <c r="P2447" t="s">
        <v>47</v>
      </c>
      <c r="Q2447" s="1">
        <v>43852</v>
      </c>
      <c r="R2447" t="s">
        <v>48</v>
      </c>
    </row>
    <row r="2448" spans="1:18" x14ac:dyDescent="0.25">
      <c r="A2448" t="s">
        <v>153</v>
      </c>
      <c r="B2448" s="2">
        <v>9.9E+19</v>
      </c>
      <c r="C2448" t="s">
        <v>40</v>
      </c>
      <c r="D2448" s="1">
        <v>43322</v>
      </c>
      <c r="E2448" s="1">
        <v>43870</v>
      </c>
      <c r="F2448" t="s">
        <v>306</v>
      </c>
      <c r="G2448">
        <v>13</v>
      </c>
      <c r="H2448" t="s">
        <v>316</v>
      </c>
      <c r="I2448" t="s">
        <v>43</v>
      </c>
      <c r="J2448" t="s">
        <v>73</v>
      </c>
      <c r="K2448" t="s">
        <v>127</v>
      </c>
      <c r="L2448">
        <v>17949.04</v>
      </c>
      <c r="M2448" s="1">
        <v>43431</v>
      </c>
      <c r="N2448" t="s">
        <v>45</v>
      </c>
      <c r="O2448" t="s">
        <v>46</v>
      </c>
      <c r="P2448" t="s">
        <v>47</v>
      </c>
      <c r="Q2448" s="1">
        <v>43852</v>
      </c>
      <c r="R2448" t="s">
        <v>48</v>
      </c>
    </row>
    <row r="2449" spans="1:38" x14ac:dyDescent="0.25">
      <c r="A2449" t="s">
        <v>167</v>
      </c>
      <c r="B2449" s="2">
        <v>9.9E+19</v>
      </c>
      <c r="C2449" t="s">
        <v>40</v>
      </c>
      <c r="D2449" s="1">
        <v>43322</v>
      </c>
      <c r="E2449" s="1">
        <v>43870</v>
      </c>
      <c r="F2449" t="s">
        <v>306</v>
      </c>
      <c r="G2449">
        <v>13</v>
      </c>
      <c r="H2449" t="s">
        <v>316</v>
      </c>
      <c r="I2449" t="s">
        <v>43</v>
      </c>
      <c r="J2449" t="s">
        <v>73</v>
      </c>
      <c r="K2449" t="s">
        <v>127</v>
      </c>
      <c r="L2449">
        <v>17949.04</v>
      </c>
      <c r="M2449" s="1">
        <v>43540</v>
      </c>
      <c r="N2449" t="s">
        <v>45</v>
      </c>
      <c r="O2449" t="s">
        <v>46</v>
      </c>
      <c r="P2449" t="s">
        <v>47</v>
      </c>
      <c r="Q2449" s="1">
        <v>43852</v>
      </c>
      <c r="R2449" t="s">
        <v>48</v>
      </c>
    </row>
    <row r="2450" spans="1:38" x14ac:dyDescent="0.25">
      <c r="A2450" t="s">
        <v>169</v>
      </c>
      <c r="B2450" s="2">
        <v>9.9E+19</v>
      </c>
      <c r="C2450" t="s">
        <v>40</v>
      </c>
      <c r="D2450" s="1">
        <v>43322</v>
      </c>
      <c r="E2450" s="1">
        <v>43870</v>
      </c>
      <c r="F2450" t="s">
        <v>306</v>
      </c>
      <c r="G2450">
        <v>13</v>
      </c>
      <c r="H2450" t="s">
        <v>316</v>
      </c>
      <c r="I2450" t="s">
        <v>43</v>
      </c>
      <c r="J2450" t="s">
        <v>73</v>
      </c>
      <c r="K2450" t="s">
        <v>127</v>
      </c>
      <c r="L2450">
        <v>17949.04</v>
      </c>
      <c r="M2450" s="1">
        <v>43649</v>
      </c>
      <c r="N2450" t="s">
        <v>45</v>
      </c>
      <c r="O2450" t="s">
        <v>46</v>
      </c>
      <c r="P2450" t="s">
        <v>47</v>
      </c>
      <c r="Q2450" s="1">
        <v>43852</v>
      </c>
      <c r="R2450" t="s">
        <v>48</v>
      </c>
    </row>
    <row r="2451" spans="1:38" x14ac:dyDescent="0.25">
      <c r="A2451" t="s">
        <v>170</v>
      </c>
      <c r="B2451" s="2">
        <v>9.9E+19</v>
      </c>
      <c r="C2451" t="s">
        <v>40</v>
      </c>
      <c r="D2451" s="1">
        <v>43322</v>
      </c>
      <c r="E2451" s="1">
        <v>43870</v>
      </c>
      <c r="F2451" t="s">
        <v>306</v>
      </c>
      <c r="G2451">
        <v>13</v>
      </c>
      <c r="H2451" t="s">
        <v>316</v>
      </c>
      <c r="I2451" t="s">
        <v>43</v>
      </c>
      <c r="J2451" t="s">
        <v>73</v>
      </c>
      <c r="K2451" t="s">
        <v>127</v>
      </c>
      <c r="L2451">
        <v>17949.04</v>
      </c>
      <c r="M2451" s="1">
        <v>43758</v>
      </c>
      <c r="N2451" t="s">
        <v>45</v>
      </c>
      <c r="O2451" t="s">
        <v>46</v>
      </c>
      <c r="P2451" t="s">
        <v>47</v>
      </c>
      <c r="Q2451" s="1">
        <v>43852</v>
      </c>
      <c r="R2451" t="s">
        <v>48</v>
      </c>
    </row>
    <row r="2452" spans="1:38" x14ac:dyDescent="0.25">
      <c r="A2452" t="s">
        <v>171</v>
      </c>
      <c r="B2452" s="2">
        <v>9.9E+19</v>
      </c>
      <c r="C2452" t="s">
        <v>40</v>
      </c>
      <c r="D2452" s="1">
        <v>43322</v>
      </c>
      <c r="E2452" s="1">
        <v>43870</v>
      </c>
      <c r="F2452" t="s">
        <v>306</v>
      </c>
      <c r="G2452">
        <v>13</v>
      </c>
      <c r="H2452" t="s">
        <v>316</v>
      </c>
      <c r="I2452" t="s">
        <v>43</v>
      </c>
      <c r="J2452" t="s">
        <v>73</v>
      </c>
      <c r="K2452" t="s">
        <v>127</v>
      </c>
      <c r="L2452">
        <v>22672.47</v>
      </c>
      <c r="M2452" s="1">
        <v>43322</v>
      </c>
      <c r="N2452" t="s">
        <v>45</v>
      </c>
      <c r="O2452" t="s">
        <v>46</v>
      </c>
      <c r="P2452" t="s">
        <v>47</v>
      </c>
      <c r="Q2452" s="1">
        <v>43852</v>
      </c>
      <c r="R2452" t="s">
        <v>48</v>
      </c>
    </row>
    <row r="2453" spans="1:38" x14ac:dyDescent="0.25">
      <c r="A2453" t="s">
        <v>173</v>
      </c>
      <c r="B2453" s="2">
        <v>9.9E+19</v>
      </c>
      <c r="C2453" t="s">
        <v>40</v>
      </c>
      <c r="D2453" s="1">
        <v>43382</v>
      </c>
      <c r="E2453" s="1">
        <v>43746</v>
      </c>
      <c r="F2453" t="s">
        <v>306</v>
      </c>
      <c r="G2453">
        <v>13</v>
      </c>
      <c r="H2453" t="s">
        <v>316</v>
      </c>
      <c r="I2453" t="s">
        <v>43</v>
      </c>
      <c r="J2453" t="s">
        <v>73</v>
      </c>
      <c r="K2453" t="s">
        <v>127</v>
      </c>
      <c r="L2453">
        <v>11239.38</v>
      </c>
      <c r="M2453" s="1">
        <v>43382</v>
      </c>
      <c r="N2453" t="s">
        <v>45</v>
      </c>
      <c r="O2453" t="s">
        <v>46</v>
      </c>
      <c r="P2453" t="s">
        <v>47</v>
      </c>
      <c r="Q2453" s="1">
        <v>43852</v>
      </c>
      <c r="R2453" t="s">
        <v>48</v>
      </c>
    </row>
    <row r="2454" spans="1:38" x14ac:dyDescent="0.25">
      <c r="A2454" t="s">
        <v>175</v>
      </c>
      <c r="B2454" s="2">
        <v>9.9E+17</v>
      </c>
      <c r="C2454" t="s">
        <v>40</v>
      </c>
      <c r="D2454" s="1">
        <v>43565</v>
      </c>
      <c r="E2454" s="1">
        <v>43625</v>
      </c>
      <c r="F2454" t="s">
        <v>306</v>
      </c>
      <c r="G2454">
        <v>13</v>
      </c>
      <c r="H2454" t="s">
        <v>316</v>
      </c>
      <c r="I2454" t="s">
        <v>43</v>
      </c>
      <c r="J2454" t="s">
        <v>73</v>
      </c>
      <c r="K2454" t="s">
        <v>127</v>
      </c>
      <c r="L2454">
        <v>2212.38</v>
      </c>
      <c r="M2454" s="1">
        <v>43565</v>
      </c>
      <c r="N2454" t="s">
        <v>45</v>
      </c>
      <c r="O2454" t="s">
        <v>46</v>
      </c>
      <c r="P2454" t="s">
        <v>47</v>
      </c>
      <c r="Q2454" s="1">
        <v>43852</v>
      </c>
      <c r="R2454" t="s">
        <v>48</v>
      </c>
    </row>
    <row r="2455" spans="1:38" x14ac:dyDescent="0.25">
      <c r="A2455" t="s">
        <v>177</v>
      </c>
      <c r="B2455" t="s">
        <v>596</v>
      </c>
      <c r="C2455" t="s">
        <v>71</v>
      </c>
      <c r="D2455" s="1">
        <v>43291</v>
      </c>
      <c r="E2455" s="1">
        <v>43382</v>
      </c>
      <c r="F2455" t="s">
        <v>76</v>
      </c>
      <c r="G2455">
        <v>13</v>
      </c>
      <c r="H2455" t="s">
        <v>316</v>
      </c>
      <c r="I2455" t="s">
        <v>43</v>
      </c>
      <c r="J2455" t="s">
        <v>77</v>
      </c>
      <c r="K2455" t="s">
        <v>127</v>
      </c>
      <c r="L2455">
        <v>1363</v>
      </c>
      <c r="M2455" s="1">
        <v>43291</v>
      </c>
      <c r="N2455" t="s">
        <v>45</v>
      </c>
      <c r="O2455" t="s">
        <v>361</v>
      </c>
      <c r="P2455" t="s">
        <v>469</v>
      </c>
      <c r="Q2455" s="1">
        <v>43852</v>
      </c>
      <c r="R2455" t="s">
        <v>469</v>
      </c>
    </row>
    <row r="2456" spans="1:38" x14ac:dyDescent="0.25">
      <c r="A2456" t="s">
        <v>179</v>
      </c>
      <c r="B2456" t="s">
        <v>597</v>
      </c>
      <c r="C2456" t="s">
        <v>40</v>
      </c>
      <c r="D2456" s="1">
        <v>43549</v>
      </c>
      <c r="E2456" s="1">
        <v>43914</v>
      </c>
      <c r="F2456" t="s">
        <v>498</v>
      </c>
      <c r="G2456">
        <v>13</v>
      </c>
      <c r="H2456" t="s">
        <v>316</v>
      </c>
      <c r="I2456" t="s">
        <v>43</v>
      </c>
      <c r="J2456" t="s">
        <v>498</v>
      </c>
      <c r="K2456" t="s">
        <v>127</v>
      </c>
      <c r="L2456">
        <v>157.5</v>
      </c>
      <c r="M2456" s="1">
        <v>43549</v>
      </c>
      <c r="N2456" t="s">
        <v>45</v>
      </c>
      <c r="O2456" t="s">
        <v>46</v>
      </c>
      <c r="P2456" t="s">
        <v>47</v>
      </c>
      <c r="Q2456" s="1">
        <v>43852</v>
      </c>
      <c r="R2456" t="s">
        <v>48</v>
      </c>
    </row>
    <row r="2457" spans="1:38" x14ac:dyDescent="0.25">
      <c r="A2457" t="s">
        <v>180</v>
      </c>
      <c r="B2457" t="s">
        <v>598</v>
      </c>
      <c r="C2457" t="s">
        <v>40</v>
      </c>
      <c r="D2457" s="1">
        <v>43553</v>
      </c>
      <c r="E2457" s="1">
        <v>43918</v>
      </c>
      <c r="F2457" t="s">
        <v>498</v>
      </c>
      <c r="G2457">
        <v>13</v>
      </c>
      <c r="H2457" t="s">
        <v>316</v>
      </c>
      <c r="I2457" t="s">
        <v>43</v>
      </c>
      <c r="J2457" t="s">
        <v>498</v>
      </c>
      <c r="K2457" t="s">
        <v>127</v>
      </c>
      <c r="L2457">
        <v>1749.45</v>
      </c>
      <c r="M2457" s="1">
        <v>43553</v>
      </c>
      <c r="N2457" t="s">
        <v>45</v>
      </c>
      <c r="O2457" t="s">
        <v>46</v>
      </c>
      <c r="P2457" t="s">
        <v>47</v>
      </c>
      <c r="Q2457" s="1">
        <v>43852</v>
      </c>
      <c r="R2457" t="s">
        <v>48</v>
      </c>
    </row>
    <row r="2458" spans="1:38" x14ac:dyDescent="0.25">
      <c r="A2458" t="s">
        <v>181</v>
      </c>
      <c r="B2458" t="s">
        <v>599</v>
      </c>
      <c r="C2458" t="s">
        <v>40</v>
      </c>
      <c r="D2458" s="1">
        <v>43184</v>
      </c>
      <c r="E2458" s="1">
        <v>43548</v>
      </c>
      <c r="F2458" t="s">
        <v>77</v>
      </c>
      <c r="G2458">
        <v>1</v>
      </c>
      <c r="H2458" t="s">
        <v>42</v>
      </c>
      <c r="I2458" t="s">
        <v>43</v>
      </c>
      <c r="J2458" t="s">
        <v>77</v>
      </c>
      <c r="K2458" t="s">
        <v>44</v>
      </c>
      <c r="L2458">
        <v>6250</v>
      </c>
      <c r="M2458" s="1">
        <v>43184</v>
      </c>
      <c r="N2458" t="s">
        <v>45</v>
      </c>
      <c r="O2458" t="s">
        <v>46</v>
      </c>
      <c r="P2458" t="s">
        <v>47</v>
      </c>
      <c r="Q2458" s="1">
        <v>43852</v>
      </c>
      <c r="R2458" t="s">
        <v>48</v>
      </c>
      <c r="S2458" t="s">
        <v>233</v>
      </c>
      <c r="T2458" t="s">
        <v>234</v>
      </c>
      <c r="U2458" t="s">
        <v>42</v>
      </c>
      <c r="V2458">
        <v>0</v>
      </c>
      <c r="W2458">
        <v>100000</v>
      </c>
      <c r="X2458" s="1">
        <v>43982</v>
      </c>
      <c r="Y2458" t="s">
        <v>51</v>
      </c>
      <c r="Z2458" t="s">
        <v>43</v>
      </c>
      <c r="AA2458" t="s">
        <v>77</v>
      </c>
      <c r="AB2458" t="s">
        <v>158</v>
      </c>
      <c r="AC2458" t="s">
        <v>235</v>
      </c>
      <c r="AF2458" t="s">
        <v>54</v>
      </c>
      <c r="AG2458" s="1">
        <v>43832</v>
      </c>
      <c r="AH2458" t="s">
        <v>42</v>
      </c>
      <c r="AI2458" t="s">
        <v>55</v>
      </c>
      <c r="AJ2458">
        <v>12788092</v>
      </c>
      <c r="AK2458">
        <v>250000</v>
      </c>
      <c r="AL2458">
        <v>1500000</v>
      </c>
    </row>
    <row r="2459" spans="1:38" x14ac:dyDescent="0.25">
      <c r="A2459" t="s">
        <v>181</v>
      </c>
      <c r="B2459" t="s">
        <v>599</v>
      </c>
      <c r="C2459" t="s">
        <v>40</v>
      </c>
      <c r="D2459" s="1">
        <v>43184</v>
      </c>
      <c r="E2459" s="1">
        <v>43548</v>
      </c>
      <c r="F2459" t="s">
        <v>77</v>
      </c>
      <c r="G2459">
        <v>1</v>
      </c>
      <c r="H2459" t="s">
        <v>42</v>
      </c>
      <c r="I2459" t="s">
        <v>43</v>
      </c>
      <c r="J2459" t="s">
        <v>77</v>
      </c>
      <c r="K2459" t="s">
        <v>44</v>
      </c>
      <c r="L2459">
        <v>6250</v>
      </c>
      <c r="M2459" s="1">
        <v>43184</v>
      </c>
      <c r="N2459" t="s">
        <v>45</v>
      </c>
      <c r="O2459" t="s">
        <v>46</v>
      </c>
      <c r="P2459" t="s">
        <v>47</v>
      </c>
      <c r="Q2459" s="1">
        <v>43852</v>
      </c>
      <c r="R2459" t="s">
        <v>48</v>
      </c>
      <c r="S2459" t="s">
        <v>233</v>
      </c>
      <c r="T2459" t="s">
        <v>234</v>
      </c>
      <c r="U2459" t="s">
        <v>42</v>
      </c>
      <c r="V2459">
        <v>0</v>
      </c>
      <c r="W2459">
        <v>100000</v>
      </c>
      <c r="X2459" s="1">
        <v>43982</v>
      </c>
      <c r="Y2459" t="s">
        <v>51</v>
      </c>
      <c r="Z2459" t="s">
        <v>43</v>
      </c>
      <c r="AA2459" t="s">
        <v>77</v>
      </c>
      <c r="AB2459" t="s">
        <v>158</v>
      </c>
      <c r="AC2459" t="s">
        <v>235</v>
      </c>
      <c r="AF2459" t="s">
        <v>56</v>
      </c>
      <c r="AG2459" s="1">
        <v>43833</v>
      </c>
      <c r="AH2459" t="s">
        <v>42</v>
      </c>
      <c r="AI2459" t="s">
        <v>55</v>
      </c>
      <c r="AJ2459">
        <v>12788092</v>
      </c>
      <c r="AK2459">
        <v>250000</v>
      </c>
      <c r="AL2459">
        <v>1500000</v>
      </c>
    </row>
    <row r="2460" spans="1:38" x14ac:dyDescent="0.25">
      <c r="A2460" t="s">
        <v>181</v>
      </c>
      <c r="B2460" t="s">
        <v>599</v>
      </c>
      <c r="C2460" t="s">
        <v>40</v>
      </c>
      <c r="D2460" s="1">
        <v>43184</v>
      </c>
      <c r="E2460" s="1">
        <v>43548</v>
      </c>
      <c r="F2460" t="s">
        <v>77</v>
      </c>
      <c r="G2460">
        <v>1</v>
      </c>
      <c r="H2460" t="s">
        <v>42</v>
      </c>
      <c r="I2460" t="s">
        <v>43</v>
      </c>
      <c r="J2460" t="s">
        <v>77</v>
      </c>
      <c r="K2460" t="s">
        <v>44</v>
      </c>
      <c r="L2460">
        <v>6250</v>
      </c>
      <c r="M2460" s="1">
        <v>43184</v>
      </c>
      <c r="N2460" t="s">
        <v>45</v>
      </c>
      <c r="O2460" t="s">
        <v>46</v>
      </c>
      <c r="P2460" t="s">
        <v>47</v>
      </c>
      <c r="Q2460" s="1">
        <v>43852</v>
      </c>
      <c r="R2460" t="s">
        <v>48</v>
      </c>
      <c r="S2460" t="s">
        <v>233</v>
      </c>
      <c r="T2460" t="s">
        <v>234</v>
      </c>
      <c r="U2460" t="s">
        <v>42</v>
      </c>
      <c r="V2460">
        <v>0</v>
      </c>
      <c r="W2460">
        <v>100000</v>
      </c>
      <c r="X2460" s="1">
        <v>43982</v>
      </c>
      <c r="Y2460" t="s">
        <v>51</v>
      </c>
      <c r="Z2460" t="s">
        <v>43</v>
      </c>
      <c r="AA2460" t="s">
        <v>77</v>
      </c>
      <c r="AB2460" t="s">
        <v>158</v>
      </c>
      <c r="AC2460" t="s">
        <v>235</v>
      </c>
      <c r="AF2460" t="s">
        <v>57</v>
      </c>
      <c r="AG2460" s="1">
        <v>43836</v>
      </c>
      <c r="AH2460" t="s">
        <v>42</v>
      </c>
      <c r="AI2460" t="s">
        <v>55</v>
      </c>
      <c r="AJ2460">
        <v>12788092</v>
      </c>
      <c r="AK2460">
        <v>250000</v>
      </c>
      <c r="AL2460">
        <v>1500000</v>
      </c>
    </row>
    <row r="2461" spans="1:38" x14ac:dyDescent="0.25">
      <c r="A2461" t="s">
        <v>181</v>
      </c>
      <c r="B2461" t="s">
        <v>599</v>
      </c>
      <c r="C2461" t="s">
        <v>40</v>
      </c>
      <c r="D2461" s="1">
        <v>43184</v>
      </c>
      <c r="E2461" s="1">
        <v>43548</v>
      </c>
      <c r="F2461" t="s">
        <v>77</v>
      </c>
      <c r="G2461">
        <v>1</v>
      </c>
      <c r="H2461" t="s">
        <v>42</v>
      </c>
      <c r="I2461" t="s">
        <v>43</v>
      </c>
      <c r="J2461" t="s">
        <v>77</v>
      </c>
      <c r="K2461" t="s">
        <v>44</v>
      </c>
      <c r="L2461">
        <v>6250</v>
      </c>
      <c r="M2461" s="1">
        <v>43184</v>
      </c>
      <c r="N2461" t="s">
        <v>45</v>
      </c>
      <c r="O2461" t="s">
        <v>46</v>
      </c>
      <c r="P2461" t="s">
        <v>47</v>
      </c>
      <c r="Q2461" s="1">
        <v>43852</v>
      </c>
      <c r="R2461" t="s">
        <v>48</v>
      </c>
      <c r="S2461" t="s">
        <v>233</v>
      </c>
      <c r="T2461" t="s">
        <v>234</v>
      </c>
      <c r="U2461" t="s">
        <v>42</v>
      </c>
      <c r="V2461">
        <v>0</v>
      </c>
      <c r="W2461">
        <v>100000</v>
      </c>
      <c r="X2461" s="1">
        <v>43982</v>
      </c>
      <c r="Y2461" t="s">
        <v>51</v>
      </c>
      <c r="Z2461" t="s">
        <v>43</v>
      </c>
      <c r="AA2461" t="s">
        <v>77</v>
      </c>
      <c r="AB2461" t="s">
        <v>158</v>
      </c>
      <c r="AC2461" t="s">
        <v>235</v>
      </c>
      <c r="AF2461" t="s">
        <v>58</v>
      </c>
      <c r="AG2461" s="1">
        <v>43837</v>
      </c>
      <c r="AH2461" t="s">
        <v>42</v>
      </c>
      <c r="AI2461" t="s">
        <v>55</v>
      </c>
      <c r="AJ2461">
        <v>12788092</v>
      </c>
      <c r="AK2461">
        <v>250000</v>
      </c>
      <c r="AL2461">
        <v>1500000</v>
      </c>
    </row>
    <row r="2462" spans="1:38" x14ac:dyDescent="0.25">
      <c r="A2462" t="s">
        <v>181</v>
      </c>
      <c r="B2462" t="s">
        <v>599</v>
      </c>
      <c r="C2462" t="s">
        <v>40</v>
      </c>
      <c r="D2462" s="1">
        <v>43184</v>
      </c>
      <c r="E2462" s="1">
        <v>43548</v>
      </c>
      <c r="F2462" t="s">
        <v>77</v>
      </c>
      <c r="G2462">
        <v>1</v>
      </c>
      <c r="H2462" t="s">
        <v>42</v>
      </c>
      <c r="I2462" t="s">
        <v>43</v>
      </c>
      <c r="J2462" t="s">
        <v>77</v>
      </c>
      <c r="K2462" t="s">
        <v>44</v>
      </c>
      <c r="L2462">
        <v>6250</v>
      </c>
      <c r="M2462" s="1">
        <v>43184</v>
      </c>
      <c r="N2462" t="s">
        <v>45</v>
      </c>
      <c r="O2462" t="s">
        <v>46</v>
      </c>
      <c r="P2462" t="s">
        <v>47</v>
      </c>
      <c r="Q2462" s="1">
        <v>43852</v>
      </c>
      <c r="R2462" t="s">
        <v>48</v>
      </c>
      <c r="S2462" t="s">
        <v>233</v>
      </c>
      <c r="T2462" t="s">
        <v>234</v>
      </c>
      <c r="U2462" t="s">
        <v>42</v>
      </c>
      <c r="V2462">
        <v>0</v>
      </c>
      <c r="W2462">
        <v>100000</v>
      </c>
      <c r="X2462" s="1">
        <v>43982</v>
      </c>
      <c r="Y2462" t="s">
        <v>51</v>
      </c>
      <c r="Z2462" t="s">
        <v>43</v>
      </c>
      <c r="AA2462" t="s">
        <v>77</v>
      </c>
      <c r="AB2462" t="s">
        <v>158</v>
      </c>
      <c r="AC2462" t="s">
        <v>235</v>
      </c>
      <c r="AF2462" t="s">
        <v>59</v>
      </c>
      <c r="AG2462" s="1">
        <v>43838</v>
      </c>
      <c r="AH2462" t="s">
        <v>42</v>
      </c>
      <c r="AI2462" t="s">
        <v>55</v>
      </c>
      <c r="AJ2462">
        <v>12788092</v>
      </c>
      <c r="AK2462">
        <v>250000</v>
      </c>
      <c r="AL2462">
        <v>1500000</v>
      </c>
    </row>
    <row r="2463" spans="1:38" x14ac:dyDescent="0.25">
      <c r="A2463" t="s">
        <v>183</v>
      </c>
      <c r="B2463" t="s">
        <v>600</v>
      </c>
      <c r="C2463" t="s">
        <v>40</v>
      </c>
      <c r="D2463" s="1">
        <v>43549</v>
      </c>
      <c r="E2463" s="1">
        <v>43914</v>
      </c>
      <c r="F2463" t="s">
        <v>77</v>
      </c>
      <c r="G2463">
        <v>9</v>
      </c>
      <c r="H2463" t="s">
        <v>121</v>
      </c>
      <c r="I2463" t="s">
        <v>43</v>
      </c>
      <c r="J2463" t="s">
        <v>77</v>
      </c>
      <c r="K2463" t="s">
        <v>44</v>
      </c>
      <c r="L2463">
        <v>8125</v>
      </c>
      <c r="M2463" s="1">
        <v>43549</v>
      </c>
      <c r="N2463" t="s">
        <v>45</v>
      </c>
      <c r="O2463" t="s">
        <v>46</v>
      </c>
      <c r="P2463" t="s">
        <v>47</v>
      </c>
      <c r="Q2463" s="1">
        <v>43852</v>
      </c>
      <c r="R2463" t="s">
        <v>48</v>
      </c>
    </row>
    <row r="2464" spans="1:38" x14ac:dyDescent="0.25">
      <c r="A2464" t="s">
        <v>185</v>
      </c>
      <c r="B2464">
        <v>2280038722</v>
      </c>
      <c r="C2464" t="s">
        <v>40</v>
      </c>
      <c r="D2464" s="1">
        <v>43661</v>
      </c>
      <c r="E2464" s="1">
        <v>43844</v>
      </c>
      <c r="F2464" t="s">
        <v>76</v>
      </c>
      <c r="G2464">
        <v>13</v>
      </c>
      <c r="H2464" t="s">
        <v>316</v>
      </c>
      <c r="I2464" t="s">
        <v>43</v>
      </c>
      <c r="J2464" t="s">
        <v>98</v>
      </c>
      <c r="K2464" t="s">
        <v>127</v>
      </c>
      <c r="L2464">
        <v>2788.75</v>
      </c>
      <c r="M2464" s="1">
        <v>43661</v>
      </c>
      <c r="N2464" t="s">
        <v>45</v>
      </c>
      <c r="O2464" t="s">
        <v>46</v>
      </c>
      <c r="P2464" t="s">
        <v>47</v>
      </c>
      <c r="Q2464" s="1">
        <v>43852</v>
      </c>
      <c r="R2464" t="s">
        <v>48</v>
      </c>
    </row>
    <row r="2465" spans="1:18" x14ac:dyDescent="0.25">
      <c r="A2465" t="s">
        <v>186</v>
      </c>
      <c r="B2465">
        <v>43170791</v>
      </c>
      <c r="C2465" t="s">
        <v>40</v>
      </c>
      <c r="D2465" s="1">
        <v>43322</v>
      </c>
      <c r="E2465" s="1">
        <v>43625</v>
      </c>
      <c r="F2465" t="s">
        <v>76</v>
      </c>
      <c r="G2465">
        <v>13</v>
      </c>
      <c r="H2465" t="s">
        <v>316</v>
      </c>
      <c r="I2465" t="s">
        <v>43</v>
      </c>
      <c r="J2465" t="s">
        <v>77</v>
      </c>
      <c r="K2465" t="s">
        <v>68</v>
      </c>
      <c r="L2465">
        <v>7827.77</v>
      </c>
      <c r="M2465" s="1">
        <v>43322</v>
      </c>
      <c r="N2465" t="s">
        <v>45</v>
      </c>
      <c r="O2465" t="s">
        <v>106</v>
      </c>
      <c r="P2465" t="s">
        <v>47</v>
      </c>
      <c r="Q2465" s="1">
        <v>43852</v>
      </c>
      <c r="R2465" t="s">
        <v>48</v>
      </c>
    </row>
    <row r="2466" spans="1:18" x14ac:dyDescent="0.25">
      <c r="A2466" t="s">
        <v>188</v>
      </c>
      <c r="B2466">
        <v>43170791</v>
      </c>
      <c r="C2466" t="s">
        <v>40</v>
      </c>
      <c r="D2466" s="1">
        <v>43322</v>
      </c>
      <c r="E2466" s="1">
        <v>43625</v>
      </c>
      <c r="F2466" t="s">
        <v>76</v>
      </c>
      <c r="G2466">
        <v>13</v>
      </c>
      <c r="H2466" t="s">
        <v>316</v>
      </c>
      <c r="I2466" t="s">
        <v>43</v>
      </c>
      <c r="J2466" t="s">
        <v>77</v>
      </c>
      <c r="K2466" t="s">
        <v>68</v>
      </c>
      <c r="L2466">
        <v>0</v>
      </c>
      <c r="M2466" s="1">
        <v>43398</v>
      </c>
      <c r="N2466" t="s">
        <v>108</v>
      </c>
      <c r="O2466" t="s">
        <v>106</v>
      </c>
      <c r="P2466" t="s">
        <v>47</v>
      </c>
      <c r="Q2466" s="1">
        <v>43852</v>
      </c>
      <c r="R2466" t="s">
        <v>48</v>
      </c>
    </row>
    <row r="2467" spans="1:18" x14ac:dyDescent="0.25">
      <c r="A2467" t="s">
        <v>189</v>
      </c>
      <c r="B2467">
        <v>43170791</v>
      </c>
      <c r="C2467" t="s">
        <v>40</v>
      </c>
      <c r="D2467" s="1">
        <v>43322</v>
      </c>
      <c r="E2467" s="1">
        <v>43625</v>
      </c>
      <c r="F2467" t="s">
        <v>76</v>
      </c>
      <c r="G2467">
        <v>13</v>
      </c>
      <c r="H2467" t="s">
        <v>316</v>
      </c>
      <c r="I2467" t="s">
        <v>43</v>
      </c>
      <c r="J2467" t="s">
        <v>77</v>
      </c>
      <c r="K2467" t="s">
        <v>68</v>
      </c>
      <c r="L2467">
        <v>4194.8</v>
      </c>
      <c r="M2467" s="1">
        <v>43487</v>
      </c>
      <c r="N2467" t="s">
        <v>108</v>
      </c>
      <c r="O2467" t="s">
        <v>106</v>
      </c>
      <c r="P2467" t="s">
        <v>47</v>
      </c>
      <c r="Q2467" s="1">
        <v>43852</v>
      </c>
      <c r="R2467" t="s">
        <v>48</v>
      </c>
    </row>
    <row r="2468" spans="1:18" x14ac:dyDescent="0.25">
      <c r="A2468" t="s">
        <v>191</v>
      </c>
      <c r="B2468">
        <v>43182398</v>
      </c>
      <c r="C2468" t="s">
        <v>71</v>
      </c>
      <c r="D2468" s="1">
        <v>43515</v>
      </c>
      <c r="E2468" s="1">
        <v>43969</v>
      </c>
      <c r="F2468" t="s">
        <v>76</v>
      </c>
      <c r="G2468">
        <v>13</v>
      </c>
      <c r="H2468" t="s">
        <v>316</v>
      </c>
      <c r="I2468" t="s">
        <v>43</v>
      </c>
      <c r="J2468" t="s">
        <v>77</v>
      </c>
      <c r="K2468" t="s">
        <v>127</v>
      </c>
      <c r="L2468">
        <v>1390.13</v>
      </c>
      <c r="M2468" s="1">
        <v>43515</v>
      </c>
      <c r="N2468" t="s">
        <v>45</v>
      </c>
      <c r="O2468" t="s">
        <v>46</v>
      </c>
      <c r="P2468" t="s">
        <v>47</v>
      </c>
      <c r="Q2468" s="1">
        <v>43852</v>
      </c>
      <c r="R2468" t="s">
        <v>48</v>
      </c>
    </row>
    <row r="2469" spans="1:18" x14ac:dyDescent="0.25">
      <c r="A2469" t="s">
        <v>193</v>
      </c>
      <c r="B2469" s="2">
        <v>4318240000000</v>
      </c>
      <c r="C2469" t="s">
        <v>40</v>
      </c>
      <c r="D2469" s="1">
        <v>43969</v>
      </c>
      <c r="E2469" s="1">
        <v>44061</v>
      </c>
      <c r="F2469" t="s">
        <v>76</v>
      </c>
      <c r="G2469">
        <v>13</v>
      </c>
      <c r="H2469" t="s">
        <v>316</v>
      </c>
      <c r="I2469" t="s">
        <v>43</v>
      </c>
      <c r="J2469" t="s">
        <v>77</v>
      </c>
      <c r="K2469" t="s">
        <v>127</v>
      </c>
      <c r="L2469">
        <v>1390.13</v>
      </c>
      <c r="M2469" s="1">
        <v>43969</v>
      </c>
      <c r="N2469" t="s">
        <v>45</v>
      </c>
      <c r="O2469" t="s">
        <v>44</v>
      </c>
      <c r="P2469" t="s">
        <v>47</v>
      </c>
      <c r="Q2469" s="1">
        <v>43852</v>
      </c>
      <c r="R2469" t="s">
        <v>48</v>
      </c>
    </row>
    <row r="2470" spans="1:18" x14ac:dyDescent="0.25">
      <c r="A2470" t="s">
        <v>195</v>
      </c>
      <c r="B2470">
        <v>43189992</v>
      </c>
      <c r="C2470" t="s">
        <v>40</v>
      </c>
      <c r="D2470" s="1">
        <v>43626</v>
      </c>
      <c r="E2470" s="1">
        <v>43808</v>
      </c>
      <c r="F2470" t="s">
        <v>76</v>
      </c>
      <c r="G2470">
        <v>13</v>
      </c>
      <c r="H2470" t="s">
        <v>316</v>
      </c>
      <c r="I2470" t="s">
        <v>43</v>
      </c>
      <c r="J2470" t="s">
        <v>77</v>
      </c>
      <c r="K2470" t="s">
        <v>127</v>
      </c>
      <c r="L2470">
        <v>7835.19</v>
      </c>
      <c r="M2470" s="1">
        <v>43626</v>
      </c>
      <c r="N2470" t="s">
        <v>45</v>
      </c>
      <c r="O2470" t="s">
        <v>46</v>
      </c>
      <c r="P2470" t="s">
        <v>47</v>
      </c>
      <c r="Q2470" s="1">
        <v>43852</v>
      </c>
      <c r="R2470" t="s">
        <v>48</v>
      </c>
    </row>
    <row r="2471" spans="1:18" x14ac:dyDescent="0.25">
      <c r="A2471" t="s">
        <v>197</v>
      </c>
      <c r="B2471">
        <v>43190133</v>
      </c>
      <c r="C2471" t="s">
        <v>40</v>
      </c>
      <c r="D2471" s="1">
        <v>43627</v>
      </c>
      <c r="E2471" s="1">
        <v>43809</v>
      </c>
      <c r="F2471" t="s">
        <v>76</v>
      </c>
      <c r="G2471">
        <v>13</v>
      </c>
      <c r="H2471" t="s">
        <v>316</v>
      </c>
      <c r="I2471" t="s">
        <v>43</v>
      </c>
      <c r="J2471" t="s">
        <v>77</v>
      </c>
      <c r="K2471" t="s">
        <v>127</v>
      </c>
      <c r="L2471">
        <v>7782.56</v>
      </c>
      <c r="M2471" s="1">
        <v>43627</v>
      </c>
      <c r="N2471" t="s">
        <v>45</v>
      </c>
      <c r="O2471" t="s">
        <v>46</v>
      </c>
      <c r="P2471" t="s">
        <v>47</v>
      </c>
      <c r="Q2471" s="1">
        <v>43852</v>
      </c>
      <c r="R2471" t="s">
        <v>48</v>
      </c>
    </row>
    <row r="2472" spans="1:18" x14ac:dyDescent="0.25">
      <c r="A2472" t="s">
        <v>198</v>
      </c>
      <c r="B2472">
        <v>43191701</v>
      </c>
      <c r="C2472" t="s">
        <v>40</v>
      </c>
      <c r="D2472" s="1">
        <v>43648</v>
      </c>
      <c r="E2472" s="1">
        <v>44013</v>
      </c>
      <c r="F2472" t="s">
        <v>76</v>
      </c>
      <c r="G2472">
        <v>13</v>
      </c>
      <c r="H2472" t="s">
        <v>316</v>
      </c>
      <c r="I2472" t="s">
        <v>43</v>
      </c>
      <c r="J2472" t="s">
        <v>77</v>
      </c>
      <c r="K2472" t="s">
        <v>44</v>
      </c>
      <c r="L2472">
        <v>1558.76</v>
      </c>
      <c r="M2472" s="1">
        <v>43648</v>
      </c>
      <c r="N2472" t="s">
        <v>45</v>
      </c>
      <c r="O2472" t="s">
        <v>46</v>
      </c>
      <c r="P2472" t="s">
        <v>47</v>
      </c>
      <c r="Q2472" s="1">
        <v>43852</v>
      </c>
      <c r="R2472" t="s">
        <v>48</v>
      </c>
    </row>
    <row r="2473" spans="1:18" x14ac:dyDescent="0.25">
      <c r="A2473" t="s">
        <v>200</v>
      </c>
      <c r="B2473" s="2">
        <v>9.9E+19</v>
      </c>
      <c r="C2473" t="s">
        <v>40</v>
      </c>
      <c r="D2473" s="1">
        <v>43567</v>
      </c>
      <c r="E2473" s="1">
        <v>43749</v>
      </c>
      <c r="F2473" t="s">
        <v>306</v>
      </c>
      <c r="G2473">
        <v>13</v>
      </c>
      <c r="H2473" t="s">
        <v>316</v>
      </c>
      <c r="I2473" t="s">
        <v>43</v>
      </c>
      <c r="J2473" t="s">
        <v>73</v>
      </c>
      <c r="K2473" t="s">
        <v>127</v>
      </c>
      <c r="L2473">
        <v>3007.5</v>
      </c>
      <c r="M2473" s="1">
        <v>43567</v>
      </c>
      <c r="N2473" t="s">
        <v>45</v>
      </c>
      <c r="O2473" t="s">
        <v>46</v>
      </c>
      <c r="P2473" t="s">
        <v>47</v>
      </c>
      <c r="Q2473" s="1">
        <v>43852</v>
      </c>
      <c r="R2473" t="s">
        <v>48</v>
      </c>
    </row>
    <row r="2474" spans="1:18" x14ac:dyDescent="0.25">
      <c r="A2474" t="s">
        <v>202</v>
      </c>
      <c r="B2474" s="2">
        <v>9.9E+19</v>
      </c>
      <c r="C2474" t="s">
        <v>40</v>
      </c>
      <c r="D2474" s="1">
        <v>43788</v>
      </c>
      <c r="E2474" s="1">
        <v>44153</v>
      </c>
      <c r="F2474" t="s">
        <v>306</v>
      </c>
      <c r="G2474">
        <v>13</v>
      </c>
      <c r="H2474" t="s">
        <v>316</v>
      </c>
      <c r="I2474" t="s">
        <v>43</v>
      </c>
      <c r="J2474" t="s">
        <v>73</v>
      </c>
      <c r="K2474" t="s">
        <v>127</v>
      </c>
      <c r="L2474">
        <v>26804.5</v>
      </c>
      <c r="M2474" s="1">
        <v>43788</v>
      </c>
      <c r="N2474" t="s">
        <v>45</v>
      </c>
      <c r="O2474" t="s">
        <v>46</v>
      </c>
      <c r="P2474" t="s">
        <v>47</v>
      </c>
      <c r="Q2474" s="1">
        <v>43852</v>
      </c>
      <c r="R2474" t="s">
        <v>48</v>
      </c>
    </row>
    <row r="2475" spans="1:18" x14ac:dyDescent="0.25">
      <c r="A2475" t="s">
        <v>203</v>
      </c>
      <c r="B2475" t="s">
        <v>601</v>
      </c>
      <c r="C2475" t="s">
        <v>71</v>
      </c>
      <c r="D2475" s="1">
        <v>43191</v>
      </c>
      <c r="E2475" s="1">
        <v>43555</v>
      </c>
      <c r="F2475" t="s">
        <v>76</v>
      </c>
      <c r="G2475">
        <v>3</v>
      </c>
      <c r="H2475" t="s">
        <v>125</v>
      </c>
      <c r="I2475" t="s">
        <v>43</v>
      </c>
      <c r="J2475" t="s">
        <v>126</v>
      </c>
      <c r="K2475" t="s">
        <v>44</v>
      </c>
      <c r="L2475">
        <v>1771.98</v>
      </c>
      <c r="M2475" s="1">
        <v>43191</v>
      </c>
      <c r="N2475" t="s">
        <v>45</v>
      </c>
      <c r="O2475" t="s">
        <v>46</v>
      </c>
      <c r="P2475" t="s">
        <v>47</v>
      </c>
      <c r="Q2475" s="1">
        <v>43852</v>
      </c>
      <c r="R2475" t="s">
        <v>48</v>
      </c>
    </row>
    <row r="2476" spans="1:18" x14ac:dyDescent="0.25">
      <c r="A2476" t="s">
        <v>205</v>
      </c>
      <c r="B2476" t="s">
        <v>601</v>
      </c>
      <c r="C2476" t="s">
        <v>71</v>
      </c>
      <c r="D2476" s="1">
        <v>43191</v>
      </c>
      <c r="E2476" s="1">
        <v>43555</v>
      </c>
      <c r="F2476" t="s">
        <v>76</v>
      </c>
      <c r="G2476">
        <v>3</v>
      </c>
      <c r="H2476" t="s">
        <v>125</v>
      </c>
      <c r="I2476" t="s">
        <v>43</v>
      </c>
      <c r="J2476" t="s">
        <v>126</v>
      </c>
      <c r="K2476" t="s">
        <v>44</v>
      </c>
      <c r="L2476">
        <v>681.53</v>
      </c>
      <c r="M2476" s="1">
        <v>43191</v>
      </c>
      <c r="N2476" t="s">
        <v>45</v>
      </c>
      <c r="O2476" t="s">
        <v>46</v>
      </c>
      <c r="P2476" t="s">
        <v>47</v>
      </c>
      <c r="Q2476" s="1">
        <v>43852</v>
      </c>
      <c r="R2476" t="s">
        <v>48</v>
      </c>
    </row>
    <row r="2477" spans="1:18" x14ac:dyDescent="0.25">
      <c r="A2477" t="s">
        <v>209</v>
      </c>
      <c r="B2477" t="s">
        <v>601</v>
      </c>
      <c r="C2477" t="s">
        <v>71</v>
      </c>
      <c r="D2477" s="1">
        <v>43191</v>
      </c>
      <c r="E2477" s="1">
        <v>43555</v>
      </c>
      <c r="F2477" t="s">
        <v>76</v>
      </c>
      <c r="G2477">
        <v>3</v>
      </c>
      <c r="H2477" t="s">
        <v>125</v>
      </c>
      <c r="I2477" t="s">
        <v>43</v>
      </c>
      <c r="J2477" t="s">
        <v>126</v>
      </c>
      <c r="K2477" t="s">
        <v>44</v>
      </c>
      <c r="L2477">
        <v>272.61</v>
      </c>
      <c r="M2477" s="1">
        <v>43191</v>
      </c>
      <c r="N2477" t="s">
        <v>45</v>
      </c>
      <c r="O2477" t="s">
        <v>46</v>
      </c>
      <c r="P2477" t="s">
        <v>47</v>
      </c>
      <c r="Q2477" s="1">
        <v>43852</v>
      </c>
      <c r="R2477" t="s">
        <v>48</v>
      </c>
    </row>
    <row r="2478" spans="1:18" x14ac:dyDescent="0.25">
      <c r="A2478" t="s">
        <v>211</v>
      </c>
      <c r="B2478" t="s">
        <v>602</v>
      </c>
      <c r="C2478" t="s">
        <v>71</v>
      </c>
      <c r="D2478" s="1">
        <v>43191</v>
      </c>
      <c r="E2478" s="1">
        <v>43555</v>
      </c>
      <c r="F2478" t="s">
        <v>76</v>
      </c>
      <c r="G2478">
        <v>3</v>
      </c>
      <c r="H2478" t="s">
        <v>125</v>
      </c>
      <c r="I2478" t="s">
        <v>43</v>
      </c>
      <c r="J2478" t="s">
        <v>126</v>
      </c>
      <c r="K2478" t="s">
        <v>44</v>
      </c>
      <c r="L2478">
        <v>4175.3599999999997</v>
      </c>
      <c r="M2478" s="1">
        <v>43191</v>
      </c>
      <c r="N2478" t="s">
        <v>45</v>
      </c>
      <c r="O2478" t="s">
        <v>46</v>
      </c>
      <c r="P2478" t="s">
        <v>47</v>
      </c>
      <c r="Q2478" s="1">
        <v>43852</v>
      </c>
      <c r="R2478" t="s">
        <v>48</v>
      </c>
    </row>
    <row r="2479" spans="1:18" x14ac:dyDescent="0.25">
      <c r="A2479" t="s">
        <v>213</v>
      </c>
      <c r="B2479" t="s">
        <v>602</v>
      </c>
      <c r="C2479" t="s">
        <v>71</v>
      </c>
      <c r="D2479" s="1">
        <v>43191</v>
      </c>
      <c r="E2479" s="1">
        <v>43555</v>
      </c>
      <c r="F2479" t="s">
        <v>76</v>
      </c>
      <c r="G2479">
        <v>3</v>
      </c>
      <c r="H2479" t="s">
        <v>125</v>
      </c>
      <c r="I2479" t="s">
        <v>43</v>
      </c>
      <c r="J2479" t="s">
        <v>126</v>
      </c>
      <c r="K2479" t="s">
        <v>44</v>
      </c>
      <c r="L2479">
        <v>1605.91</v>
      </c>
      <c r="M2479" s="1">
        <v>43191</v>
      </c>
      <c r="N2479" t="s">
        <v>45</v>
      </c>
      <c r="O2479" t="s">
        <v>46</v>
      </c>
      <c r="P2479" t="s">
        <v>47</v>
      </c>
      <c r="Q2479" s="1">
        <v>43852</v>
      </c>
      <c r="R2479" t="s">
        <v>48</v>
      </c>
    </row>
    <row r="2480" spans="1:18" x14ac:dyDescent="0.25">
      <c r="A2480" t="s">
        <v>215</v>
      </c>
      <c r="B2480" t="s">
        <v>602</v>
      </c>
      <c r="C2480" t="s">
        <v>71</v>
      </c>
      <c r="D2480" s="1">
        <v>43191</v>
      </c>
      <c r="E2480" s="1">
        <v>43555</v>
      </c>
      <c r="F2480" t="s">
        <v>76</v>
      </c>
      <c r="G2480">
        <v>3</v>
      </c>
      <c r="H2480" t="s">
        <v>125</v>
      </c>
      <c r="I2480" t="s">
        <v>43</v>
      </c>
      <c r="J2480" t="s">
        <v>126</v>
      </c>
      <c r="K2480" t="s">
        <v>44</v>
      </c>
      <c r="L2480">
        <v>642.36</v>
      </c>
      <c r="M2480" s="1">
        <v>43191</v>
      </c>
      <c r="N2480" t="s">
        <v>45</v>
      </c>
      <c r="O2480" t="s">
        <v>46</v>
      </c>
      <c r="P2480" t="s">
        <v>47</v>
      </c>
      <c r="Q2480" s="1">
        <v>43852</v>
      </c>
      <c r="R2480" t="s">
        <v>48</v>
      </c>
    </row>
    <row r="2481" spans="1:38" x14ac:dyDescent="0.25">
      <c r="A2481" t="s">
        <v>217</v>
      </c>
      <c r="B2481" t="s">
        <v>603</v>
      </c>
      <c r="C2481" t="s">
        <v>71</v>
      </c>
      <c r="D2481" s="1">
        <v>43191</v>
      </c>
      <c r="E2481" s="1">
        <v>43555</v>
      </c>
      <c r="F2481" t="s">
        <v>72</v>
      </c>
      <c r="G2481">
        <v>3</v>
      </c>
      <c r="H2481" t="s">
        <v>125</v>
      </c>
      <c r="I2481" t="s">
        <v>43</v>
      </c>
      <c r="J2481" t="s">
        <v>126</v>
      </c>
      <c r="K2481" t="s">
        <v>44</v>
      </c>
      <c r="L2481">
        <v>23863.13</v>
      </c>
      <c r="M2481" s="1">
        <v>76062</v>
      </c>
      <c r="N2481" t="s">
        <v>45</v>
      </c>
      <c r="O2481" t="s">
        <v>46</v>
      </c>
      <c r="P2481" t="s">
        <v>47</v>
      </c>
      <c r="Q2481" s="1">
        <v>43852</v>
      </c>
      <c r="R2481" t="s">
        <v>48</v>
      </c>
      <c r="S2481" t="s">
        <v>266</v>
      </c>
      <c r="T2481" t="s">
        <v>267</v>
      </c>
      <c r="U2481" t="s">
        <v>125</v>
      </c>
      <c r="V2481">
        <v>700000</v>
      </c>
      <c r="W2481">
        <v>100000</v>
      </c>
      <c r="X2481" s="1">
        <v>43830</v>
      </c>
      <c r="Y2481" t="s">
        <v>51</v>
      </c>
      <c r="Z2481" t="s">
        <v>43</v>
      </c>
      <c r="AA2481" t="s">
        <v>115</v>
      </c>
      <c r="AB2481" t="s">
        <v>268</v>
      </c>
      <c r="AC2481" t="s">
        <v>269</v>
      </c>
      <c r="AF2481" t="s">
        <v>134</v>
      </c>
      <c r="AG2481" s="1">
        <v>43843</v>
      </c>
      <c r="AH2481" t="s">
        <v>125</v>
      </c>
      <c r="AI2481" t="s">
        <v>92</v>
      </c>
      <c r="AJ2481">
        <v>1278023</v>
      </c>
      <c r="AK2481">
        <v>12365300</v>
      </c>
      <c r="AL2481">
        <v>12900</v>
      </c>
    </row>
    <row r="2482" spans="1:38" x14ac:dyDescent="0.25">
      <c r="A2482" t="s">
        <v>217</v>
      </c>
      <c r="B2482" t="s">
        <v>603</v>
      </c>
      <c r="C2482" t="s">
        <v>71</v>
      </c>
      <c r="D2482" s="1">
        <v>43191</v>
      </c>
      <c r="E2482" s="1">
        <v>43555</v>
      </c>
      <c r="F2482" t="s">
        <v>72</v>
      </c>
      <c r="G2482">
        <v>3</v>
      </c>
      <c r="H2482" t="s">
        <v>125</v>
      </c>
      <c r="I2482" t="s">
        <v>43</v>
      </c>
      <c r="J2482" t="s">
        <v>126</v>
      </c>
      <c r="K2482" t="s">
        <v>44</v>
      </c>
      <c r="L2482">
        <v>23863.13</v>
      </c>
      <c r="M2482" s="1">
        <v>76062</v>
      </c>
      <c r="N2482" t="s">
        <v>45</v>
      </c>
      <c r="O2482" t="s">
        <v>46</v>
      </c>
      <c r="P2482" t="s">
        <v>47</v>
      </c>
      <c r="Q2482" s="1">
        <v>43852</v>
      </c>
      <c r="R2482" t="s">
        <v>48</v>
      </c>
      <c r="S2482" t="s">
        <v>266</v>
      </c>
      <c r="T2482" t="s">
        <v>267</v>
      </c>
      <c r="U2482" t="s">
        <v>125</v>
      </c>
      <c r="V2482">
        <v>700000</v>
      </c>
      <c r="W2482">
        <v>100000</v>
      </c>
      <c r="X2482" s="1">
        <v>43830</v>
      </c>
      <c r="Y2482" t="s">
        <v>51</v>
      </c>
      <c r="Z2482" t="s">
        <v>43</v>
      </c>
      <c r="AA2482" t="s">
        <v>115</v>
      </c>
      <c r="AB2482" t="s">
        <v>268</v>
      </c>
      <c r="AC2482" t="s">
        <v>269</v>
      </c>
      <c r="AF2482" t="s">
        <v>135</v>
      </c>
      <c r="AG2482" s="1">
        <v>43843</v>
      </c>
      <c r="AH2482" t="s">
        <v>125</v>
      </c>
      <c r="AI2482" t="s">
        <v>92</v>
      </c>
      <c r="AJ2482">
        <v>1278023</v>
      </c>
      <c r="AK2482">
        <v>12365300</v>
      </c>
      <c r="AL2482">
        <v>12900</v>
      </c>
    </row>
    <row r="2483" spans="1:38" x14ac:dyDescent="0.25">
      <c r="A2483" t="s">
        <v>217</v>
      </c>
      <c r="B2483" t="s">
        <v>603</v>
      </c>
      <c r="C2483" t="s">
        <v>71</v>
      </c>
      <c r="D2483" s="1">
        <v>43191</v>
      </c>
      <c r="E2483" s="1">
        <v>43555</v>
      </c>
      <c r="F2483" t="s">
        <v>72</v>
      </c>
      <c r="G2483">
        <v>3</v>
      </c>
      <c r="H2483" t="s">
        <v>125</v>
      </c>
      <c r="I2483" t="s">
        <v>43</v>
      </c>
      <c r="J2483" t="s">
        <v>126</v>
      </c>
      <c r="K2483" t="s">
        <v>44</v>
      </c>
      <c r="L2483">
        <v>23863.13</v>
      </c>
      <c r="M2483" s="1">
        <v>76062</v>
      </c>
      <c r="N2483" t="s">
        <v>45</v>
      </c>
      <c r="O2483" t="s">
        <v>46</v>
      </c>
      <c r="P2483" t="s">
        <v>47</v>
      </c>
      <c r="Q2483" s="1">
        <v>43852</v>
      </c>
      <c r="R2483" t="s">
        <v>48</v>
      </c>
      <c r="S2483" t="s">
        <v>266</v>
      </c>
      <c r="T2483" t="s">
        <v>267</v>
      </c>
      <c r="U2483" t="s">
        <v>125</v>
      </c>
      <c r="V2483">
        <v>700000</v>
      </c>
      <c r="W2483">
        <v>100000</v>
      </c>
      <c r="X2483" s="1">
        <v>43830</v>
      </c>
      <c r="Y2483" t="s">
        <v>51</v>
      </c>
      <c r="Z2483" t="s">
        <v>43</v>
      </c>
      <c r="AA2483" t="s">
        <v>115</v>
      </c>
      <c r="AB2483" t="s">
        <v>268</v>
      </c>
      <c r="AC2483" t="s">
        <v>269</v>
      </c>
      <c r="AF2483" t="s">
        <v>136</v>
      </c>
      <c r="AG2483" s="1">
        <v>43839</v>
      </c>
      <c r="AH2483" t="s">
        <v>125</v>
      </c>
      <c r="AI2483" t="s">
        <v>92</v>
      </c>
      <c r="AJ2483">
        <v>1278023</v>
      </c>
      <c r="AK2483">
        <v>12365300</v>
      </c>
      <c r="AL2483">
        <v>12900</v>
      </c>
    </row>
    <row r="2484" spans="1:38" x14ac:dyDescent="0.25">
      <c r="A2484" t="s">
        <v>217</v>
      </c>
      <c r="B2484" t="s">
        <v>603</v>
      </c>
      <c r="C2484" t="s">
        <v>71</v>
      </c>
      <c r="D2484" s="1">
        <v>43191</v>
      </c>
      <c r="E2484" s="1">
        <v>43555</v>
      </c>
      <c r="F2484" t="s">
        <v>72</v>
      </c>
      <c r="G2484">
        <v>3</v>
      </c>
      <c r="H2484" t="s">
        <v>125</v>
      </c>
      <c r="I2484" t="s">
        <v>43</v>
      </c>
      <c r="J2484" t="s">
        <v>126</v>
      </c>
      <c r="K2484" t="s">
        <v>44</v>
      </c>
      <c r="L2484">
        <v>23863.13</v>
      </c>
      <c r="M2484" s="1">
        <v>76062</v>
      </c>
      <c r="N2484" t="s">
        <v>45</v>
      </c>
      <c r="O2484" t="s">
        <v>46</v>
      </c>
      <c r="P2484" t="s">
        <v>47</v>
      </c>
      <c r="Q2484" s="1">
        <v>43852</v>
      </c>
      <c r="R2484" t="s">
        <v>48</v>
      </c>
      <c r="S2484" t="s">
        <v>266</v>
      </c>
      <c r="T2484" t="s">
        <v>267</v>
      </c>
      <c r="U2484" t="s">
        <v>125</v>
      </c>
      <c r="V2484">
        <v>700000</v>
      </c>
      <c r="W2484">
        <v>100000</v>
      </c>
      <c r="X2484" s="1">
        <v>43830</v>
      </c>
      <c r="Y2484" t="s">
        <v>51</v>
      </c>
      <c r="Z2484" t="s">
        <v>43</v>
      </c>
      <c r="AA2484" t="s">
        <v>115</v>
      </c>
      <c r="AB2484" t="s">
        <v>268</v>
      </c>
      <c r="AC2484" t="s">
        <v>269</v>
      </c>
      <c r="AF2484" t="s">
        <v>137</v>
      </c>
      <c r="AG2484" s="1">
        <v>43840</v>
      </c>
      <c r="AH2484" t="s">
        <v>125</v>
      </c>
      <c r="AI2484" t="s">
        <v>92</v>
      </c>
      <c r="AJ2484">
        <v>1278023</v>
      </c>
      <c r="AK2484">
        <v>12365300</v>
      </c>
      <c r="AL2484">
        <v>12900</v>
      </c>
    </row>
    <row r="2485" spans="1:38" x14ac:dyDescent="0.25">
      <c r="A2485" t="s">
        <v>217</v>
      </c>
      <c r="B2485" t="s">
        <v>603</v>
      </c>
      <c r="C2485" t="s">
        <v>71</v>
      </c>
      <c r="D2485" s="1">
        <v>43191</v>
      </c>
      <c r="E2485" s="1">
        <v>43555</v>
      </c>
      <c r="F2485" t="s">
        <v>72</v>
      </c>
      <c r="G2485">
        <v>3</v>
      </c>
      <c r="H2485" t="s">
        <v>125</v>
      </c>
      <c r="I2485" t="s">
        <v>43</v>
      </c>
      <c r="J2485" t="s">
        <v>126</v>
      </c>
      <c r="K2485" t="s">
        <v>44</v>
      </c>
      <c r="L2485">
        <v>23863.13</v>
      </c>
      <c r="M2485" s="1">
        <v>76062</v>
      </c>
      <c r="N2485" t="s">
        <v>45</v>
      </c>
      <c r="O2485" t="s">
        <v>46</v>
      </c>
      <c r="P2485" t="s">
        <v>47</v>
      </c>
      <c r="Q2485" s="1">
        <v>43852</v>
      </c>
      <c r="R2485" t="s">
        <v>48</v>
      </c>
      <c r="S2485" t="s">
        <v>72</v>
      </c>
      <c r="T2485" t="s">
        <v>270</v>
      </c>
      <c r="U2485" t="s">
        <v>125</v>
      </c>
      <c r="V2485">
        <v>0</v>
      </c>
      <c r="W2485">
        <v>500000</v>
      </c>
      <c r="X2485" s="1">
        <v>43739</v>
      </c>
      <c r="Y2485" t="s">
        <v>131</v>
      </c>
      <c r="Z2485" t="s">
        <v>43</v>
      </c>
      <c r="AA2485" t="s">
        <v>115</v>
      </c>
      <c r="AB2485" t="s">
        <v>268</v>
      </c>
      <c r="AC2485" t="s">
        <v>269</v>
      </c>
      <c r="AF2485" t="s">
        <v>134</v>
      </c>
      <c r="AG2485" s="1">
        <v>43843</v>
      </c>
      <c r="AH2485" t="s">
        <v>125</v>
      </c>
      <c r="AI2485" t="s">
        <v>92</v>
      </c>
      <c r="AJ2485">
        <v>1278023</v>
      </c>
      <c r="AK2485">
        <v>12365300</v>
      </c>
      <c r="AL2485">
        <v>12900</v>
      </c>
    </row>
    <row r="2486" spans="1:38" x14ac:dyDescent="0.25">
      <c r="A2486" t="s">
        <v>217</v>
      </c>
      <c r="B2486" t="s">
        <v>603</v>
      </c>
      <c r="C2486" t="s">
        <v>71</v>
      </c>
      <c r="D2486" s="1">
        <v>43191</v>
      </c>
      <c r="E2486" s="1">
        <v>43555</v>
      </c>
      <c r="F2486" t="s">
        <v>72</v>
      </c>
      <c r="G2486">
        <v>3</v>
      </c>
      <c r="H2486" t="s">
        <v>125</v>
      </c>
      <c r="I2486" t="s">
        <v>43</v>
      </c>
      <c r="J2486" t="s">
        <v>126</v>
      </c>
      <c r="K2486" t="s">
        <v>44</v>
      </c>
      <c r="L2486">
        <v>23863.13</v>
      </c>
      <c r="M2486" s="1">
        <v>76062</v>
      </c>
      <c r="N2486" t="s">
        <v>45</v>
      </c>
      <c r="O2486" t="s">
        <v>46</v>
      </c>
      <c r="P2486" t="s">
        <v>47</v>
      </c>
      <c r="Q2486" s="1">
        <v>43852</v>
      </c>
      <c r="R2486" t="s">
        <v>48</v>
      </c>
      <c r="S2486" t="s">
        <v>72</v>
      </c>
      <c r="T2486" t="s">
        <v>270</v>
      </c>
      <c r="U2486" t="s">
        <v>125</v>
      </c>
      <c r="V2486">
        <v>0</v>
      </c>
      <c r="W2486">
        <v>500000</v>
      </c>
      <c r="X2486" s="1">
        <v>43739</v>
      </c>
      <c r="Y2486" t="s">
        <v>131</v>
      </c>
      <c r="Z2486" t="s">
        <v>43</v>
      </c>
      <c r="AA2486" t="s">
        <v>115</v>
      </c>
      <c r="AB2486" t="s">
        <v>268</v>
      </c>
      <c r="AC2486" t="s">
        <v>269</v>
      </c>
      <c r="AF2486" t="s">
        <v>135</v>
      </c>
      <c r="AG2486" s="1">
        <v>43843</v>
      </c>
      <c r="AH2486" t="s">
        <v>125</v>
      </c>
      <c r="AI2486" t="s">
        <v>92</v>
      </c>
      <c r="AJ2486">
        <v>1278023</v>
      </c>
      <c r="AK2486">
        <v>12365300</v>
      </c>
      <c r="AL2486">
        <v>12900</v>
      </c>
    </row>
    <row r="2487" spans="1:38" x14ac:dyDescent="0.25">
      <c r="A2487" t="s">
        <v>217</v>
      </c>
      <c r="B2487" t="s">
        <v>603</v>
      </c>
      <c r="C2487" t="s">
        <v>71</v>
      </c>
      <c r="D2487" s="1">
        <v>43191</v>
      </c>
      <c r="E2487" s="1">
        <v>43555</v>
      </c>
      <c r="F2487" t="s">
        <v>72</v>
      </c>
      <c r="G2487">
        <v>3</v>
      </c>
      <c r="H2487" t="s">
        <v>125</v>
      </c>
      <c r="I2487" t="s">
        <v>43</v>
      </c>
      <c r="J2487" t="s">
        <v>126</v>
      </c>
      <c r="K2487" t="s">
        <v>44</v>
      </c>
      <c r="L2487">
        <v>23863.13</v>
      </c>
      <c r="M2487" s="1">
        <v>76062</v>
      </c>
      <c r="N2487" t="s">
        <v>45</v>
      </c>
      <c r="O2487" t="s">
        <v>46</v>
      </c>
      <c r="P2487" t="s">
        <v>47</v>
      </c>
      <c r="Q2487" s="1">
        <v>43852</v>
      </c>
      <c r="R2487" t="s">
        <v>48</v>
      </c>
      <c r="S2487" t="s">
        <v>72</v>
      </c>
      <c r="T2487" t="s">
        <v>270</v>
      </c>
      <c r="U2487" t="s">
        <v>125</v>
      </c>
      <c r="V2487">
        <v>0</v>
      </c>
      <c r="W2487">
        <v>500000</v>
      </c>
      <c r="X2487" s="1">
        <v>43739</v>
      </c>
      <c r="Y2487" t="s">
        <v>131</v>
      </c>
      <c r="Z2487" t="s">
        <v>43</v>
      </c>
      <c r="AA2487" t="s">
        <v>115</v>
      </c>
      <c r="AB2487" t="s">
        <v>268</v>
      </c>
      <c r="AC2487" t="s">
        <v>269</v>
      </c>
      <c r="AF2487" t="s">
        <v>136</v>
      </c>
      <c r="AG2487" s="1">
        <v>43839</v>
      </c>
      <c r="AH2487" t="s">
        <v>125</v>
      </c>
      <c r="AI2487" t="s">
        <v>92</v>
      </c>
      <c r="AJ2487">
        <v>1278023</v>
      </c>
      <c r="AK2487">
        <v>12365300</v>
      </c>
      <c r="AL2487">
        <v>12900</v>
      </c>
    </row>
    <row r="2488" spans="1:38" x14ac:dyDescent="0.25">
      <c r="A2488" t="s">
        <v>217</v>
      </c>
      <c r="B2488" t="s">
        <v>603</v>
      </c>
      <c r="C2488" t="s">
        <v>71</v>
      </c>
      <c r="D2488" s="1">
        <v>43191</v>
      </c>
      <c r="E2488" s="1">
        <v>43555</v>
      </c>
      <c r="F2488" t="s">
        <v>72</v>
      </c>
      <c r="G2488">
        <v>3</v>
      </c>
      <c r="H2488" t="s">
        <v>125</v>
      </c>
      <c r="I2488" t="s">
        <v>43</v>
      </c>
      <c r="J2488" t="s">
        <v>126</v>
      </c>
      <c r="K2488" t="s">
        <v>44</v>
      </c>
      <c r="L2488">
        <v>23863.13</v>
      </c>
      <c r="M2488" s="1">
        <v>76062</v>
      </c>
      <c r="N2488" t="s">
        <v>45</v>
      </c>
      <c r="O2488" t="s">
        <v>46</v>
      </c>
      <c r="P2488" t="s">
        <v>47</v>
      </c>
      <c r="Q2488" s="1">
        <v>43852</v>
      </c>
      <c r="R2488" t="s">
        <v>48</v>
      </c>
      <c r="S2488" t="s">
        <v>72</v>
      </c>
      <c r="T2488" t="s">
        <v>270</v>
      </c>
      <c r="U2488" t="s">
        <v>125</v>
      </c>
      <c r="V2488">
        <v>0</v>
      </c>
      <c r="W2488">
        <v>500000</v>
      </c>
      <c r="X2488" s="1">
        <v>43739</v>
      </c>
      <c r="Y2488" t="s">
        <v>131</v>
      </c>
      <c r="Z2488" t="s">
        <v>43</v>
      </c>
      <c r="AA2488" t="s">
        <v>115</v>
      </c>
      <c r="AB2488" t="s">
        <v>268</v>
      </c>
      <c r="AC2488" t="s">
        <v>269</v>
      </c>
      <c r="AF2488" t="s">
        <v>137</v>
      </c>
      <c r="AG2488" s="1">
        <v>43840</v>
      </c>
      <c r="AH2488" t="s">
        <v>125</v>
      </c>
      <c r="AI2488" t="s">
        <v>92</v>
      </c>
      <c r="AJ2488">
        <v>1278023</v>
      </c>
      <c r="AK2488">
        <v>12365300</v>
      </c>
      <c r="AL2488">
        <v>12900</v>
      </c>
    </row>
    <row r="2489" spans="1:38" x14ac:dyDescent="0.25">
      <c r="A2489" t="s">
        <v>217</v>
      </c>
      <c r="B2489" t="s">
        <v>603</v>
      </c>
      <c r="C2489" t="s">
        <v>71</v>
      </c>
      <c r="D2489" s="1">
        <v>43191</v>
      </c>
      <c r="E2489" s="1">
        <v>43555</v>
      </c>
      <c r="F2489" t="s">
        <v>72</v>
      </c>
      <c r="G2489">
        <v>3</v>
      </c>
      <c r="H2489" t="s">
        <v>125</v>
      </c>
      <c r="I2489" t="s">
        <v>43</v>
      </c>
      <c r="J2489" t="s">
        <v>126</v>
      </c>
      <c r="K2489" t="s">
        <v>44</v>
      </c>
      <c r="L2489">
        <v>23863.13</v>
      </c>
      <c r="M2489" s="1">
        <v>76062</v>
      </c>
      <c r="N2489" t="s">
        <v>45</v>
      </c>
      <c r="O2489" t="s">
        <v>46</v>
      </c>
      <c r="P2489" t="s">
        <v>47</v>
      </c>
      <c r="Q2489" s="1">
        <v>43852</v>
      </c>
      <c r="R2489" t="s">
        <v>48</v>
      </c>
      <c r="S2489" t="s">
        <v>271</v>
      </c>
      <c r="T2489" t="s">
        <v>272</v>
      </c>
      <c r="U2489" t="s">
        <v>125</v>
      </c>
      <c r="V2489">
        <v>0</v>
      </c>
      <c r="W2489">
        <v>50000</v>
      </c>
      <c r="X2489" s="1">
        <v>43738</v>
      </c>
      <c r="Y2489" t="s">
        <v>140</v>
      </c>
      <c r="Z2489" t="s">
        <v>43</v>
      </c>
      <c r="AA2489" t="s">
        <v>115</v>
      </c>
      <c r="AB2489" t="s">
        <v>268</v>
      </c>
      <c r="AC2489" t="s">
        <v>269</v>
      </c>
      <c r="AF2489" t="s">
        <v>134</v>
      </c>
      <c r="AG2489" s="1">
        <v>43843</v>
      </c>
      <c r="AH2489" t="s">
        <v>125</v>
      </c>
      <c r="AI2489" t="s">
        <v>92</v>
      </c>
      <c r="AJ2489">
        <v>1278023</v>
      </c>
      <c r="AK2489">
        <v>12365300</v>
      </c>
      <c r="AL2489">
        <v>12900</v>
      </c>
    </row>
    <row r="2490" spans="1:38" x14ac:dyDescent="0.25">
      <c r="A2490" t="s">
        <v>217</v>
      </c>
      <c r="B2490" t="s">
        <v>603</v>
      </c>
      <c r="C2490" t="s">
        <v>71</v>
      </c>
      <c r="D2490" s="1">
        <v>43191</v>
      </c>
      <c r="E2490" s="1">
        <v>43555</v>
      </c>
      <c r="F2490" t="s">
        <v>72</v>
      </c>
      <c r="G2490">
        <v>3</v>
      </c>
      <c r="H2490" t="s">
        <v>125</v>
      </c>
      <c r="I2490" t="s">
        <v>43</v>
      </c>
      <c r="J2490" t="s">
        <v>126</v>
      </c>
      <c r="K2490" t="s">
        <v>44</v>
      </c>
      <c r="L2490">
        <v>23863.13</v>
      </c>
      <c r="M2490" s="1">
        <v>76062</v>
      </c>
      <c r="N2490" t="s">
        <v>45</v>
      </c>
      <c r="O2490" t="s">
        <v>46</v>
      </c>
      <c r="P2490" t="s">
        <v>47</v>
      </c>
      <c r="Q2490" s="1">
        <v>43852</v>
      </c>
      <c r="R2490" t="s">
        <v>48</v>
      </c>
      <c r="S2490" t="s">
        <v>271</v>
      </c>
      <c r="T2490" t="s">
        <v>272</v>
      </c>
      <c r="U2490" t="s">
        <v>125</v>
      </c>
      <c r="V2490">
        <v>0</v>
      </c>
      <c r="W2490">
        <v>50000</v>
      </c>
      <c r="X2490" s="1">
        <v>43738</v>
      </c>
      <c r="Y2490" t="s">
        <v>140</v>
      </c>
      <c r="Z2490" t="s">
        <v>43</v>
      </c>
      <c r="AA2490" t="s">
        <v>115</v>
      </c>
      <c r="AB2490" t="s">
        <v>268</v>
      </c>
      <c r="AC2490" t="s">
        <v>269</v>
      </c>
      <c r="AF2490" t="s">
        <v>135</v>
      </c>
      <c r="AG2490" s="1">
        <v>43843</v>
      </c>
      <c r="AH2490" t="s">
        <v>125</v>
      </c>
      <c r="AI2490" t="s">
        <v>92</v>
      </c>
      <c r="AJ2490">
        <v>1278023</v>
      </c>
      <c r="AK2490">
        <v>12365300</v>
      </c>
      <c r="AL2490">
        <v>12900</v>
      </c>
    </row>
    <row r="2491" spans="1:38" x14ac:dyDescent="0.25">
      <c r="A2491" t="s">
        <v>217</v>
      </c>
      <c r="B2491" t="s">
        <v>603</v>
      </c>
      <c r="C2491" t="s">
        <v>71</v>
      </c>
      <c r="D2491" s="1">
        <v>43191</v>
      </c>
      <c r="E2491" s="1">
        <v>43555</v>
      </c>
      <c r="F2491" t="s">
        <v>72</v>
      </c>
      <c r="G2491">
        <v>3</v>
      </c>
      <c r="H2491" t="s">
        <v>125</v>
      </c>
      <c r="I2491" t="s">
        <v>43</v>
      </c>
      <c r="J2491" t="s">
        <v>126</v>
      </c>
      <c r="K2491" t="s">
        <v>44</v>
      </c>
      <c r="L2491">
        <v>23863.13</v>
      </c>
      <c r="M2491" s="1">
        <v>76062</v>
      </c>
      <c r="N2491" t="s">
        <v>45</v>
      </c>
      <c r="O2491" t="s">
        <v>46</v>
      </c>
      <c r="P2491" t="s">
        <v>47</v>
      </c>
      <c r="Q2491" s="1">
        <v>43852</v>
      </c>
      <c r="R2491" t="s">
        <v>48</v>
      </c>
      <c r="S2491" t="s">
        <v>271</v>
      </c>
      <c r="T2491" t="s">
        <v>272</v>
      </c>
      <c r="U2491" t="s">
        <v>125</v>
      </c>
      <c r="V2491">
        <v>0</v>
      </c>
      <c r="W2491">
        <v>50000</v>
      </c>
      <c r="X2491" s="1">
        <v>43738</v>
      </c>
      <c r="Y2491" t="s">
        <v>140</v>
      </c>
      <c r="Z2491" t="s">
        <v>43</v>
      </c>
      <c r="AA2491" t="s">
        <v>115</v>
      </c>
      <c r="AB2491" t="s">
        <v>268</v>
      </c>
      <c r="AC2491" t="s">
        <v>269</v>
      </c>
      <c r="AF2491" t="s">
        <v>136</v>
      </c>
      <c r="AG2491" s="1">
        <v>43839</v>
      </c>
      <c r="AH2491" t="s">
        <v>125</v>
      </c>
      <c r="AI2491" t="s">
        <v>92</v>
      </c>
      <c r="AJ2491">
        <v>1278023</v>
      </c>
      <c r="AK2491">
        <v>12365300</v>
      </c>
      <c r="AL2491">
        <v>12900</v>
      </c>
    </row>
    <row r="2492" spans="1:38" x14ac:dyDescent="0.25">
      <c r="A2492" t="s">
        <v>217</v>
      </c>
      <c r="B2492" t="s">
        <v>603</v>
      </c>
      <c r="C2492" t="s">
        <v>71</v>
      </c>
      <c r="D2492" s="1">
        <v>43191</v>
      </c>
      <c r="E2492" s="1">
        <v>43555</v>
      </c>
      <c r="F2492" t="s">
        <v>72</v>
      </c>
      <c r="G2492">
        <v>3</v>
      </c>
      <c r="H2492" t="s">
        <v>125</v>
      </c>
      <c r="I2492" t="s">
        <v>43</v>
      </c>
      <c r="J2492" t="s">
        <v>126</v>
      </c>
      <c r="K2492" t="s">
        <v>44</v>
      </c>
      <c r="L2492">
        <v>23863.13</v>
      </c>
      <c r="M2492" s="1">
        <v>76062</v>
      </c>
      <c r="N2492" t="s">
        <v>45</v>
      </c>
      <c r="O2492" t="s">
        <v>46</v>
      </c>
      <c r="P2492" t="s">
        <v>47</v>
      </c>
      <c r="Q2492" s="1">
        <v>43852</v>
      </c>
      <c r="R2492" t="s">
        <v>48</v>
      </c>
      <c r="S2492" t="s">
        <v>271</v>
      </c>
      <c r="T2492" t="s">
        <v>272</v>
      </c>
      <c r="U2492" t="s">
        <v>125</v>
      </c>
      <c r="V2492">
        <v>0</v>
      </c>
      <c r="W2492">
        <v>50000</v>
      </c>
      <c r="X2492" s="1">
        <v>43738</v>
      </c>
      <c r="Y2492" t="s">
        <v>140</v>
      </c>
      <c r="Z2492" t="s">
        <v>43</v>
      </c>
      <c r="AA2492" t="s">
        <v>115</v>
      </c>
      <c r="AB2492" t="s">
        <v>268</v>
      </c>
      <c r="AC2492" t="s">
        <v>269</v>
      </c>
      <c r="AF2492" t="s">
        <v>137</v>
      </c>
      <c r="AG2492" s="1">
        <v>43840</v>
      </c>
      <c r="AH2492" t="s">
        <v>125</v>
      </c>
      <c r="AI2492" t="s">
        <v>92</v>
      </c>
      <c r="AJ2492">
        <v>1278023</v>
      </c>
      <c r="AK2492">
        <v>12365300</v>
      </c>
      <c r="AL2492">
        <v>12900</v>
      </c>
    </row>
    <row r="2493" spans="1:38" x14ac:dyDescent="0.25">
      <c r="A2493" t="s">
        <v>220</v>
      </c>
      <c r="B2493" t="s">
        <v>603</v>
      </c>
      <c r="C2493" t="s">
        <v>71</v>
      </c>
      <c r="D2493" s="1">
        <v>43191</v>
      </c>
      <c r="E2493" s="1">
        <v>43555</v>
      </c>
      <c r="F2493" t="s">
        <v>72</v>
      </c>
      <c r="G2493">
        <v>3</v>
      </c>
      <c r="H2493" t="s">
        <v>125</v>
      </c>
      <c r="I2493" t="s">
        <v>43</v>
      </c>
      <c r="J2493" t="s">
        <v>126</v>
      </c>
      <c r="K2493" t="s">
        <v>44</v>
      </c>
      <c r="L2493">
        <v>9178.1299999999992</v>
      </c>
      <c r="M2493" s="1">
        <v>76062</v>
      </c>
      <c r="N2493" t="s">
        <v>45</v>
      </c>
      <c r="O2493" t="s">
        <v>46</v>
      </c>
      <c r="P2493" t="s">
        <v>47</v>
      </c>
      <c r="Q2493" s="1">
        <v>43852</v>
      </c>
      <c r="R2493" t="s">
        <v>48</v>
      </c>
      <c r="S2493" t="s">
        <v>266</v>
      </c>
      <c r="T2493" t="s">
        <v>267</v>
      </c>
      <c r="U2493" t="s">
        <v>125</v>
      </c>
      <c r="V2493">
        <v>700000</v>
      </c>
      <c r="W2493">
        <v>100000</v>
      </c>
      <c r="X2493" s="1">
        <v>43830</v>
      </c>
      <c r="Y2493" t="s">
        <v>51</v>
      </c>
      <c r="Z2493" t="s">
        <v>43</v>
      </c>
      <c r="AA2493" t="s">
        <v>115</v>
      </c>
      <c r="AB2493" t="s">
        <v>268</v>
      </c>
      <c r="AC2493" t="s">
        <v>269</v>
      </c>
      <c r="AF2493" t="s">
        <v>134</v>
      </c>
      <c r="AG2493" s="1">
        <v>43843</v>
      </c>
      <c r="AH2493" t="s">
        <v>125</v>
      </c>
      <c r="AI2493" t="s">
        <v>92</v>
      </c>
      <c r="AJ2493">
        <v>1278023</v>
      </c>
      <c r="AK2493">
        <v>12365300</v>
      </c>
      <c r="AL2493">
        <v>12900</v>
      </c>
    </row>
    <row r="2494" spans="1:38" x14ac:dyDescent="0.25">
      <c r="A2494" t="s">
        <v>220</v>
      </c>
      <c r="B2494" t="s">
        <v>603</v>
      </c>
      <c r="C2494" t="s">
        <v>71</v>
      </c>
      <c r="D2494" s="1">
        <v>43191</v>
      </c>
      <c r="E2494" s="1">
        <v>43555</v>
      </c>
      <c r="F2494" t="s">
        <v>72</v>
      </c>
      <c r="G2494">
        <v>3</v>
      </c>
      <c r="H2494" t="s">
        <v>125</v>
      </c>
      <c r="I2494" t="s">
        <v>43</v>
      </c>
      <c r="J2494" t="s">
        <v>126</v>
      </c>
      <c r="K2494" t="s">
        <v>44</v>
      </c>
      <c r="L2494">
        <v>9178.1299999999992</v>
      </c>
      <c r="M2494" s="1">
        <v>76062</v>
      </c>
      <c r="N2494" t="s">
        <v>45</v>
      </c>
      <c r="O2494" t="s">
        <v>46</v>
      </c>
      <c r="P2494" t="s">
        <v>47</v>
      </c>
      <c r="Q2494" s="1">
        <v>43852</v>
      </c>
      <c r="R2494" t="s">
        <v>48</v>
      </c>
      <c r="S2494" t="s">
        <v>266</v>
      </c>
      <c r="T2494" t="s">
        <v>267</v>
      </c>
      <c r="U2494" t="s">
        <v>125</v>
      </c>
      <c r="V2494">
        <v>700000</v>
      </c>
      <c r="W2494">
        <v>100000</v>
      </c>
      <c r="X2494" s="1">
        <v>43830</v>
      </c>
      <c r="Y2494" t="s">
        <v>51</v>
      </c>
      <c r="Z2494" t="s">
        <v>43</v>
      </c>
      <c r="AA2494" t="s">
        <v>115</v>
      </c>
      <c r="AB2494" t="s">
        <v>268</v>
      </c>
      <c r="AC2494" t="s">
        <v>269</v>
      </c>
      <c r="AF2494" t="s">
        <v>135</v>
      </c>
      <c r="AG2494" s="1">
        <v>43843</v>
      </c>
      <c r="AH2494" t="s">
        <v>125</v>
      </c>
      <c r="AI2494" t="s">
        <v>92</v>
      </c>
      <c r="AJ2494">
        <v>1278023</v>
      </c>
      <c r="AK2494">
        <v>12365300</v>
      </c>
      <c r="AL2494">
        <v>12900</v>
      </c>
    </row>
    <row r="2495" spans="1:38" x14ac:dyDescent="0.25">
      <c r="A2495" t="s">
        <v>220</v>
      </c>
      <c r="B2495" t="s">
        <v>603</v>
      </c>
      <c r="C2495" t="s">
        <v>71</v>
      </c>
      <c r="D2495" s="1">
        <v>43191</v>
      </c>
      <c r="E2495" s="1">
        <v>43555</v>
      </c>
      <c r="F2495" t="s">
        <v>72</v>
      </c>
      <c r="G2495">
        <v>3</v>
      </c>
      <c r="H2495" t="s">
        <v>125</v>
      </c>
      <c r="I2495" t="s">
        <v>43</v>
      </c>
      <c r="J2495" t="s">
        <v>126</v>
      </c>
      <c r="K2495" t="s">
        <v>44</v>
      </c>
      <c r="L2495">
        <v>9178.1299999999992</v>
      </c>
      <c r="M2495" s="1">
        <v>76062</v>
      </c>
      <c r="N2495" t="s">
        <v>45</v>
      </c>
      <c r="O2495" t="s">
        <v>46</v>
      </c>
      <c r="P2495" t="s">
        <v>47</v>
      </c>
      <c r="Q2495" s="1">
        <v>43852</v>
      </c>
      <c r="R2495" t="s">
        <v>48</v>
      </c>
      <c r="S2495" t="s">
        <v>266</v>
      </c>
      <c r="T2495" t="s">
        <v>267</v>
      </c>
      <c r="U2495" t="s">
        <v>125</v>
      </c>
      <c r="V2495">
        <v>700000</v>
      </c>
      <c r="W2495">
        <v>100000</v>
      </c>
      <c r="X2495" s="1">
        <v>43830</v>
      </c>
      <c r="Y2495" t="s">
        <v>51</v>
      </c>
      <c r="Z2495" t="s">
        <v>43</v>
      </c>
      <c r="AA2495" t="s">
        <v>115</v>
      </c>
      <c r="AB2495" t="s">
        <v>268</v>
      </c>
      <c r="AC2495" t="s">
        <v>269</v>
      </c>
      <c r="AF2495" t="s">
        <v>136</v>
      </c>
      <c r="AG2495" s="1">
        <v>43839</v>
      </c>
      <c r="AH2495" t="s">
        <v>125</v>
      </c>
      <c r="AI2495" t="s">
        <v>92</v>
      </c>
      <c r="AJ2495">
        <v>1278023</v>
      </c>
      <c r="AK2495">
        <v>12365300</v>
      </c>
      <c r="AL2495">
        <v>12900</v>
      </c>
    </row>
    <row r="2496" spans="1:38" x14ac:dyDescent="0.25">
      <c r="A2496" t="s">
        <v>220</v>
      </c>
      <c r="B2496" t="s">
        <v>603</v>
      </c>
      <c r="C2496" t="s">
        <v>71</v>
      </c>
      <c r="D2496" s="1">
        <v>43191</v>
      </c>
      <c r="E2496" s="1">
        <v>43555</v>
      </c>
      <c r="F2496" t="s">
        <v>72</v>
      </c>
      <c r="G2496">
        <v>3</v>
      </c>
      <c r="H2496" t="s">
        <v>125</v>
      </c>
      <c r="I2496" t="s">
        <v>43</v>
      </c>
      <c r="J2496" t="s">
        <v>126</v>
      </c>
      <c r="K2496" t="s">
        <v>44</v>
      </c>
      <c r="L2496">
        <v>9178.1299999999992</v>
      </c>
      <c r="M2496" s="1">
        <v>76062</v>
      </c>
      <c r="N2496" t="s">
        <v>45</v>
      </c>
      <c r="O2496" t="s">
        <v>46</v>
      </c>
      <c r="P2496" t="s">
        <v>47</v>
      </c>
      <c r="Q2496" s="1">
        <v>43852</v>
      </c>
      <c r="R2496" t="s">
        <v>48</v>
      </c>
      <c r="S2496" t="s">
        <v>266</v>
      </c>
      <c r="T2496" t="s">
        <v>267</v>
      </c>
      <c r="U2496" t="s">
        <v>125</v>
      </c>
      <c r="V2496">
        <v>700000</v>
      </c>
      <c r="W2496">
        <v>100000</v>
      </c>
      <c r="X2496" s="1">
        <v>43830</v>
      </c>
      <c r="Y2496" t="s">
        <v>51</v>
      </c>
      <c r="Z2496" t="s">
        <v>43</v>
      </c>
      <c r="AA2496" t="s">
        <v>115</v>
      </c>
      <c r="AB2496" t="s">
        <v>268</v>
      </c>
      <c r="AC2496" t="s">
        <v>269</v>
      </c>
      <c r="AF2496" t="s">
        <v>137</v>
      </c>
      <c r="AG2496" s="1">
        <v>43840</v>
      </c>
      <c r="AH2496" t="s">
        <v>125</v>
      </c>
      <c r="AI2496" t="s">
        <v>92</v>
      </c>
      <c r="AJ2496">
        <v>1278023</v>
      </c>
      <c r="AK2496">
        <v>12365300</v>
      </c>
      <c r="AL2496">
        <v>12900</v>
      </c>
    </row>
    <row r="2497" spans="1:38" x14ac:dyDescent="0.25">
      <c r="A2497" t="s">
        <v>220</v>
      </c>
      <c r="B2497" t="s">
        <v>603</v>
      </c>
      <c r="C2497" t="s">
        <v>71</v>
      </c>
      <c r="D2497" s="1">
        <v>43191</v>
      </c>
      <c r="E2497" s="1">
        <v>43555</v>
      </c>
      <c r="F2497" t="s">
        <v>72</v>
      </c>
      <c r="G2497">
        <v>3</v>
      </c>
      <c r="H2497" t="s">
        <v>125</v>
      </c>
      <c r="I2497" t="s">
        <v>43</v>
      </c>
      <c r="J2497" t="s">
        <v>126</v>
      </c>
      <c r="K2497" t="s">
        <v>44</v>
      </c>
      <c r="L2497">
        <v>9178.1299999999992</v>
      </c>
      <c r="M2497" s="1">
        <v>76062</v>
      </c>
      <c r="N2497" t="s">
        <v>45</v>
      </c>
      <c r="O2497" t="s">
        <v>46</v>
      </c>
      <c r="P2497" t="s">
        <v>47</v>
      </c>
      <c r="Q2497" s="1">
        <v>43852</v>
      </c>
      <c r="R2497" t="s">
        <v>48</v>
      </c>
      <c r="S2497" t="s">
        <v>72</v>
      </c>
      <c r="T2497" t="s">
        <v>270</v>
      </c>
      <c r="U2497" t="s">
        <v>125</v>
      </c>
      <c r="V2497">
        <v>0</v>
      </c>
      <c r="W2497">
        <v>500000</v>
      </c>
      <c r="X2497" s="1">
        <v>43739</v>
      </c>
      <c r="Y2497" t="s">
        <v>131</v>
      </c>
      <c r="Z2497" t="s">
        <v>43</v>
      </c>
      <c r="AA2497" t="s">
        <v>115</v>
      </c>
      <c r="AB2497" t="s">
        <v>268</v>
      </c>
      <c r="AC2497" t="s">
        <v>269</v>
      </c>
      <c r="AF2497" t="s">
        <v>134</v>
      </c>
      <c r="AG2497" s="1">
        <v>43843</v>
      </c>
      <c r="AH2497" t="s">
        <v>125</v>
      </c>
      <c r="AI2497" t="s">
        <v>92</v>
      </c>
      <c r="AJ2497">
        <v>1278023</v>
      </c>
      <c r="AK2497">
        <v>12365300</v>
      </c>
      <c r="AL2497">
        <v>12900</v>
      </c>
    </row>
    <row r="2498" spans="1:38" x14ac:dyDescent="0.25">
      <c r="A2498" t="s">
        <v>220</v>
      </c>
      <c r="B2498" t="s">
        <v>603</v>
      </c>
      <c r="C2498" t="s">
        <v>71</v>
      </c>
      <c r="D2498" s="1">
        <v>43191</v>
      </c>
      <c r="E2498" s="1">
        <v>43555</v>
      </c>
      <c r="F2498" t="s">
        <v>72</v>
      </c>
      <c r="G2498">
        <v>3</v>
      </c>
      <c r="H2498" t="s">
        <v>125</v>
      </c>
      <c r="I2498" t="s">
        <v>43</v>
      </c>
      <c r="J2498" t="s">
        <v>126</v>
      </c>
      <c r="K2498" t="s">
        <v>44</v>
      </c>
      <c r="L2498">
        <v>9178.1299999999992</v>
      </c>
      <c r="M2498" s="1">
        <v>76062</v>
      </c>
      <c r="N2498" t="s">
        <v>45</v>
      </c>
      <c r="O2498" t="s">
        <v>46</v>
      </c>
      <c r="P2498" t="s">
        <v>47</v>
      </c>
      <c r="Q2498" s="1">
        <v>43852</v>
      </c>
      <c r="R2498" t="s">
        <v>48</v>
      </c>
      <c r="S2498" t="s">
        <v>72</v>
      </c>
      <c r="T2498" t="s">
        <v>270</v>
      </c>
      <c r="U2498" t="s">
        <v>125</v>
      </c>
      <c r="V2498">
        <v>0</v>
      </c>
      <c r="W2498">
        <v>500000</v>
      </c>
      <c r="X2498" s="1">
        <v>43739</v>
      </c>
      <c r="Y2498" t="s">
        <v>131</v>
      </c>
      <c r="Z2498" t="s">
        <v>43</v>
      </c>
      <c r="AA2498" t="s">
        <v>115</v>
      </c>
      <c r="AB2498" t="s">
        <v>268</v>
      </c>
      <c r="AC2498" t="s">
        <v>269</v>
      </c>
      <c r="AF2498" t="s">
        <v>135</v>
      </c>
      <c r="AG2498" s="1">
        <v>43843</v>
      </c>
      <c r="AH2498" t="s">
        <v>125</v>
      </c>
      <c r="AI2498" t="s">
        <v>92</v>
      </c>
      <c r="AJ2498">
        <v>1278023</v>
      </c>
      <c r="AK2498">
        <v>12365300</v>
      </c>
      <c r="AL2498">
        <v>12900</v>
      </c>
    </row>
    <row r="2499" spans="1:38" x14ac:dyDescent="0.25">
      <c r="A2499" t="s">
        <v>220</v>
      </c>
      <c r="B2499" t="s">
        <v>603</v>
      </c>
      <c r="C2499" t="s">
        <v>71</v>
      </c>
      <c r="D2499" s="1">
        <v>43191</v>
      </c>
      <c r="E2499" s="1">
        <v>43555</v>
      </c>
      <c r="F2499" t="s">
        <v>72</v>
      </c>
      <c r="G2499">
        <v>3</v>
      </c>
      <c r="H2499" t="s">
        <v>125</v>
      </c>
      <c r="I2499" t="s">
        <v>43</v>
      </c>
      <c r="J2499" t="s">
        <v>126</v>
      </c>
      <c r="K2499" t="s">
        <v>44</v>
      </c>
      <c r="L2499">
        <v>9178.1299999999992</v>
      </c>
      <c r="M2499" s="1">
        <v>76062</v>
      </c>
      <c r="N2499" t="s">
        <v>45</v>
      </c>
      <c r="O2499" t="s">
        <v>46</v>
      </c>
      <c r="P2499" t="s">
        <v>47</v>
      </c>
      <c r="Q2499" s="1">
        <v>43852</v>
      </c>
      <c r="R2499" t="s">
        <v>48</v>
      </c>
      <c r="S2499" t="s">
        <v>72</v>
      </c>
      <c r="T2499" t="s">
        <v>270</v>
      </c>
      <c r="U2499" t="s">
        <v>125</v>
      </c>
      <c r="V2499">
        <v>0</v>
      </c>
      <c r="W2499">
        <v>500000</v>
      </c>
      <c r="X2499" s="1">
        <v>43739</v>
      </c>
      <c r="Y2499" t="s">
        <v>131</v>
      </c>
      <c r="Z2499" t="s">
        <v>43</v>
      </c>
      <c r="AA2499" t="s">
        <v>115</v>
      </c>
      <c r="AB2499" t="s">
        <v>268</v>
      </c>
      <c r="AC2499" t="s">
        <v>269</v>
      </c>
      <c r="AF2499" t="s">
        <v>136</v>
      </c>
      <c r="AG2499" s="1">
        <v>43839</v>
      </c>
      <c r="AH2499" t="s">
        <v>125</v>
      </c>
      <c r="AI2499" t="s">
        <v>92</v>
      </c>
      <c r="AJ2499">
        <v>1278023</v>
      </c>
      <c r="AK2499">
        <v>12365300</v>
      </c>
      <c r="AL2499">
        <v>12900</v>
      </c>
    </row>
    <row r="2500" spans="1:38" x14ac:dyDescent="0.25">
      <c r="A2500" t="s">
        <v>220</v>
      </c>
      <c r="B2500" t="s">
        <v>603</v>
      </c>
      <c r="C2500" t="s">
        <v>71</v>
      </c>
      <c r="D2500" s="1">
        <v>43191</v>
      </c>
      <c r="E2500" s="1">
        <v>43555</v>
      </c>
      <c r="F2500" t="s">
        <v>72</v>
      </c>
      <c r="G2500">
        <v>3</v>
      </c>
      <c r="H2500" t="s">
        <v>125</v>
      </c>
      <c r="I2500" t="s">
        <v>43</v>
      </c>
      <c r="J2500" t="s">
        <v>126</v>
      </c>
      <c r="K2500" t="s">
        <v>44</v>
      </c>
      <c r="L2500">
        <v>9178.1299999999992</v>
      </c>
      <c r="M2500" s="1">
        <v>76062</v>
      </c>
      <c r="N2500" t="s">
        <v>45</v>
      </c>
      <c r="O2500" t="s">
        <v>46</v>
      </c>
      <c r="P2500" t="s">
        <v>47</v>
      </c>
      <c r="Q2500" s="1">
        <v>43852</v>
      </c>
      <c r="R2500" t="s">
        <v>48</v>
      </c>
      <c r="S2500" t="s">
        <v>72</v>
      </c>
      <c r="T2500" t="s">
        <v>270</v>
      </c>
      <c r="U2500" t="s">
        <v>125</v>
      </c>
      <c r="V2500">
        <v>0</v>
      </c>
      <c r="W2500">
        <v>500000</v>
      </c>
      <c r="X2500" s="1">
        <v>43739</v>
      </c>
      <c r="Y2500" t="s">
        <v>131</v>
      </c>
      <c r="Z2500" t="s">
        <v>43</v>
      </c>
      <c r="AA2500" t="s">
        <v>115</v>
      </c>
      <c r="AB2500" t="s">
        <v>268</v>
      </c>
      <c r="AC2500" t="s">
        <v>269</v>
      </c>
      <c r="AF2500" t="s">
        <v>137</v>
      </c>
      <c r="AG2500" s="1">
        <v>43840</v>
      </c>
      <c r="AH2500" t="s">
        <v>125</v>
      </c>
      <c r="AI2500" t="s">
        <v>92</v>
      </c>
      <c r="AJ2500">
        <v>1278023</v>
      </c>
      <c r="AK2500">
        <v>12365300</v>
      </c>
      <c r="AL2500">
        <v>12900</v>
      </c>
    </row>
    <row r="2501" spans="1:38" x14ac:dyDescent="0.25">
      <c r="A2501" t="s">
        <v>220</v>
      </c>
      <c r="B2501" t="s">
        <v>603</v>
      </c>
      <c r="C2501" t="s">
        <v>71</v>
      </c>
      <c r="D2501" s="1">
        <v>43191</v>
      </c>
      <c r="E2501" s="1">
        <v>43555</v>
      </c>
      <c r="F2501" t="s">
        <v>72</v>
      </c>
      <c r="G2501">
        <v>3</v>
      </c>
      <c r="H2501" t="s">
        <v>125</v>
      </c>
      <c r="I2501" t="s">
        <v>43</v>
      </c>
      <c r="J2501" t="s">
        <v>126</v>
      </c>
      <c r="K2501" t="s">
        <v>44</v>
      </c>
      <c r="L2501">
        <v>9178.1299999999992</v>
      </c>
      <c r="M2501" s="1">
        <v>76062</v>
      </c>
      <c r="N2501" t="s">
        <v>45</v>
      </c>
      <c r="O2501" t="s">
        <v>46</v>
      </c>
      <c r="P2501" t="s">
        <v>47</v>
      </c>
      <c r="Q2501" s="1">
        <v>43852</v>
      </c>
      <c r="R2501" t="s">
        <v>48</v>
      </c>
      <c r="S2501" t="s">
        <v>271</v>
      </c>
      <c r="T2501" t="s">
        <v>272</v>
      </c>
      <c r="U2501" t="s">
        <v>125</v>
      </c>
      <c r="V2501">
        <v>0</v>
      </c>
      <c r="W2501">
        <v>50000</v>
      </c>
      <c r="X2501" s="1">
        <v>43738</v>
      </c>
      <c r="Y2501" t="s">
        <v>140</v>
      </c>
      <c r="Z2501" t="s">
        <v>43</v>
      </c>
      <c r="AA2501" t="s">
        <v>115</v>
      </c>
      <c r="AB2501" t="s">
        <v>268</v>
      </c>
      <c r="AC2501" t="s">
        <v>269</v>
      </c>
      <c r="AF2501" t="s">
        <v>134</v>
      </c>
      <c r="AG2501" s="1">
        <v>43843</v>
      </c>
      <c r="AH2501" t="s">
        <v>125</v>
      </c>
      <c r="AI2501" t="s">
        <v>92</v>
      </c>
      <c r="AJ2501">
        <v>1278023</v>
      </c>
      <c r="AK2501">
        <v>12365300</v>
      </c>
      <c r="AL2501">
        <v>12900</v>
      </c>
    </row>
    <row r="2502" spans="1:38" x14ac:dyDescent="0.25">
      <c r="A2502" t="s">
        <v>220</v>
      </c>
      <c r="B2502" t="s">
        <v>603</v>
      </c>
      <c r="C2502" t="s">
        <v>71</v>
      </c>
      <c r="D2502" s="1">
        <v>43191</v>
      </c>
      <c r="E2502" s="1">
        <v>43555</v>
      </c>
      <c r="F2502" t="s">
        <v>72</v>
      </c>
      <c r="G2502">
        <v>3</v>
      </c>
      <c r="H2502" t="s">
        <v>125</v>
      </c>
      <c r="I2502" t="s">
        <v>43</v>
      </c>
      <c r="J2502" t="s">
        <v>126</v>
      </c>
      <c r="K2502" t="s">
        <v>44</v>
      </c>
      <c r="L2502">
        <v>9178.1299999999992</v>
      </c>
      <c r="M2502" s="1">
        <v>76062</v>
      </c>
      <c r="N2502" t="s">
        <v>45</v>
      </c>
      <c r="O2502" t="s">
        <v>46</v>
      </c>
      <c r="P2502" t="s">
        <v>47</v>
      </c>
      <c r="Q2502" s="1">
        <v>43852</v>
      </c>
      <c r="R2502" t="s">
        <v>48</v>
      </c>
      <c r="S2502" t="s">
        <v>271</v>
      </c>
      <c r="T2502" t="s">
        <v>272</v>
      </c>
      <c r="U2502" t="s">
        <v>125</v>
      </c>
      <c r="V2502">
        <v>0</v>
      </c>
      <c r="W2502">
        <v>50000</v>
      </c>
      <c r="X2502" s="1">
        <v>43738</v>
      </c>
      <c r="Y2502" t="s">
        <v>140</v>
      </c>
      <c r="Z2502" t="s">
        <v>43</v>
      </c>
      <c r="AA2502" t="s">
        <v>115</v>
      </c>
      <c r="AB2502" t="s">
        <v>268</v>
      </c>
      <c r="AC2502" t="s">
        <v>269</v>
      </c>
      <c r="AF2502" t="s">
        <v>135</v>
      </c>
      <c r="AG2502" s="1">
        <v>43843</v>
      </c>
      <c r="AH2502" t="s">
        <v>125</v>
      </c>
      <c r="AI2502" t="s">
        <v>92</v>
      </c>
      <c r="AJ2502">
        <v>1278023</v>
      </c>
      <c r="AK2502">
        <v>12365300</v>
      </c>
      <c r="AL2502">
        <v>12900</v>
      </c>
    </row>
    <row r="2503" spans="1:38" x14ac:dyDescent="0.25">
      <c r="A2503" t="s">
        <v>220</v>
      </c>
      <c r="B2503" t="s">
        <v>603</v>
      </c>
      <c r="C2503" t="s">
        <v>71</v>
      </c>
      <c r="D2503" s="1">
        <v>43191</v>
      </c>
      <c r="E2503" s="1">
        <v>43555</v>
      </c>
      <c r="F2503" t="s">
        <v>72</v>
      </c>
      <c r="G2503">
        <v>3</v>
      </c>
      <c r="H2503" t="s">
        <v>125</v>
      </c>
      <c r="I2503" t="s">
        <v>43</v>
      </c>
      <c r="J2503" t="s">
        <v>126</v>
      </c>
      <c r="K2503" t="s">
        <v>44</v>
      </c>
      <c r="L2503">
        <v>9178.1299999999992</v>
      </c>
      <c r="M2503" s="1">
        <v>76062</v>
      </c>
      <c r="N2503" t="s">
        <v>45</v>
      </c>
      <c r="O2503" t="s">
        <v>46</v>
      </c>
      <c r="P2503" t="s">
        <v>47</v>
      </c>
      <c r="Q2503" s="1">
        <v>43852</v>
      </c>
      <c r="R2503" t="s">
        <v>48</v>
      </c>
      <c r="S2503" t="s">
        <v>271</v>
      </c>
      <c r="T2503" t="s">
        <v>272</v>
      </c>
      <c r="U2503" t="s">
        <v>125</v>
      </c>
      <c r="V2503">
        <v>0</v>
      </c>
      <c r="W2503">
        <v>50000</v>
      </c>
      <c r="X2503" s="1">
        <v>43738</v>
      </c>
      <c r="Y2503" t="s">
        <v>140</v>
      </c>
      <c r="Z2503" t="s">
        <v>43</v>
      </c>
      <c r="AA2503" t="s">
        <v>115</v>
      </c>
      <c r="AB2503" t="s">
        <v>268</v>
      </c>
      <c r="AC2503" t="s">
        <v>269</v>
      </c>
      <c r="AF2503" t="s">
        <v>136</v>
      </c>
      <c r="AG2503" s="1">
        <v>43839</v>
      </c>
      <c r="AH2503" t="s">
        <v>125</v>
      </c>
      <c r="AI2503" t="s">
        <v>92</v>
      </c>
      <c r="AJ2503">
        <v>1278023</v>
      </c>
      <c r="AK2503">
        <v>12365300</v>
      </c>
      <c r="AL2503">
        <v>12900</v>
      </c>
    </row>
    <row r="2504" spans="1:38" x14ac:dyDescent="0.25">
      <c r="A2504" t="s">
        <v>220</v>
      </c>
      <c r="B2504" t="s">
        <v>603</v>
      </c>
      <c r="C2504" t="s">
        <v>71</v>
      </c>
      <c r="D2504" s="1">
        <v>43191</v>
      </c>
      <c r="E2504" s="1">
        <v>43555</v>
      </c>
      <c r="F2504" t="s">
        <v>72</v>
      </c>
      <c r="G2504">
        <v>3</v>
      </c>
      <c r="H2504" t="s">
        <v>125</v>
      </c>
      <c r="I2504" t="s">
        <v>43</v>
      </c>
      <c r="J2504" t="s">
        <v>126</v>
      </c>
      <c r="K2504" t="s">
        <v>44</v>
      </c>
      <c r="L2504">
        <v>9178.1299999999992</v>
      </c>
      <c r="M2504" s="1">
        <v>76062</v>
      </c>
      <c r="N2504" t="s">
        <v>45</v>
      </c>
      <c r="O2504" t="s">
        <v>46</v>
      </c>
      <c r="P2504" t="s">
        <v>47</v>
      </c>
      <c r="Q2504" s="1">
        <v>43852</v>
      </c>
      <c r="R2504" t="s">
        <v>48</v>
      </c>
      <c r="S2504" t="s">
        <v>271</v>
      </c>
      <c r="T2504" t="s">
        <v>272</v>
      </c>
      <c r="U2504" t="s">
        <v>125</v>
      </c>
      <c r="V2504">
        <v>0</v>
      </c>
      <c r="W2504">
        <v>50000</v>
      </c>
      <c r="X2504" s="1">
        <v>43738</v>
      </c>
      <c r="Y2504" t="s">
        <v>140</v>
      </c>
      <c r="Z2504" t="s">
        <v>43</v>
      </c>
      <c r="AA2504" t="s">
        <v>115</v>
      </c>
      <c r="AB2504" t="s">
        <v>268</v>
      </c>
      <c r="AC2504" t="s">
        <v>269</v>
      </c>
      <c r="AF2504" t="s">
        <v>137</v>
      </c>
      <c r="AG2504" s="1">
        <v>43840</v>
      </c>
      <c r="AH2504" t="s">
        <v>125</v>
      </c>
      <c r="AI2504" t="s">
        <v>92</v>
      </c>
      <c r="AJ2504">
        <v>1278023</v>
      </c>
      <c r="AK2504">
        <v>12365300</v>
      </c>
      <c r="AL2504">
        <v>12900</v>
      </c>
    </row>
    <row r="2505" spans="1:38" x14ac:dyDescent="0.25">
      <c r="A2505" t="s">
        <v>221</v>
      </c>
      <c r="B2505" t="s">
        <v>603</v>
      </c>
      <c r="C2505" t="s">
        <v>71</v>
      </c>
      <c r="D2505" s="1">
        <v>43191</v>
      </c>
      <c r="E2505" s="1">
        <v>43555</v>
      </c>
      <c r="F2505" t="s">
        <v>72</v>
      </c>
      <c r="G2505">
        <v>3</v>
      </c>
      <c r="H2505" t="s">
        <v>125</v>
      </c>
      <c r="I2505" t="s">
        <v>43</v>
      </c>
      <c r="J2505" t="s">
        <v>126</v>
      </c>
      <c r="K2505" t="s">
        <v>44</v>
      </c>
      <c r="L2505">
        <v>3671.25</v>
      </c>
      <c r="M2505" s="1">
        <v>76062</v>
      </c>
      <c r="N2505" t="s">
        <v>45</v>
      </c>
      <c r="O2505" t="s">
        <v>46</v>
      </c>
      <c r="P2505" t="s">
        <v>47</v>
      </c>
      <c r="Q2505" s="1">
        <v>43852</v>
      </c>
      <c r="R2505" t="s">
        <v>48</v>
      </c>
      <c r="S2505" t="s">
        <v>266</v>
      </c>
      <c r="T2505" t="s">
        <v>267</v>
      </c>
      <c r="U2505" t="s">
        <v>125</v>
      </c>
      <c r="V2505">
        <v>700000</v>
      </c>
      <c r="W2505">
        <v>100000</v>
      </c>
      <c r="X2505" s="1">
        <v>43830</v>
      </c>
      <c r="Y2505" t="s">
        <v>51</v>
      </c>
      <c r="Z2505" t="s">
        <v>43</v>
      </c>
      <c r="AA2505" t="s">
        <v>115</v>
      </c>
      <c r="AB2505" t="s">
        <v>268</v>
      </c>
      <c r="AC2505" t="s">
        <v>269</v>
      </c>
      <c r="AF2505" t="s">
        <v>134</v>
      </c>
      <c r="AG2505" s="1">
        <v>43843</v>
      </c>
      <c r="AH2505" t="s">
        <v>125</v>
      </c>
      <c r="AI2505" t="s">
        <v>92</v>
      </c>
      <c r="AJ2505">
        <v>1278023</v>
      </c>
      <c r="AK2505">
        <v>12365300</v>
      </c>
      <c r="AL2505">
        <v>12900</v>
      </c>
    </row>
    <row r="2506" spans="1:38" x14ac:dyDescent="0.25">
      <c r="A2506" t="s">
        <v>221</v>
      </c>
      <c r="B2506" t="s">
        <v>603</v>
      </c>
      <c r="C2506" t="s">
        <v>71</v>
      </c>
      <c r="D2506" s="1">
        <v>43191</v>
      </c>
      <c r="E2506" s="1">
        <v>43555</v>
      </c>
      <c r="F2506" t="s">
        <v>72</v>
      </c>
      <c r="G2506">
        <v>3</v>
      </c>
      <c r="H2506" t="s">
        <v>125</v>
      </c>
      <c r="I2506" t="s">
        <v>43</v>
      </c>
      <c r="J2506" t="s">
        <v>126</v>
      </c>
      <c r="K2506" t="s">
        <v>44</v>
      </c>
      <c r="L2506">
        <v>3671.25</v>
      </c>
      <c r="M2506" s="1">
        <v>76062</v>
      </c>
      <c r="N2506" t="s">
        <v>45</v>
      </c>
      <c r="O2506" t="s">
        <v>46</v>
      </c>
      <c r="P2506" t="s">
        <v>47</v>
      </c>
      <c r="Q2506" s="1">
        <v>43852</v>
      </c>
      <c r="R2506" t="s">
        <v>48</v>
      </c>
      <c r="S2506" t="s">
        <v>266</v>
      </c>
      <c r="T2506" t="s">
        <v>267</v>
      </c>
      <c r="U2506" t="s">
        <v>125</v>
      </c>
      <c r="V2506">
        <v>700000</v>
      </c>
      <c r="W2506">
        <v>100000</v>
      </c>
      <c r="X2506" s="1">
        <v>43830</v>
      </c>
      <c r="Y2506" t="s">
        <v>51</v>
      </c>
      <c r="Z2506" t="s">
        <v>43</v>
      </c>
      <c r="AA2506" t="s">
        <v>115</v>
      </c>
      <c r="AB2506" t="s">
        <v>268</v>
      </c>
      <c r="AC2506" t="s">
        <v>269</v>
      </c>
      <c r="AF2506" t="s">
        <v>135</v>
      </c>
      <c r="AG2506" s="1">
        <v>43843</v>
      </c>
      <c r="AH2506" t="s">
        <v>125</v>
      </c>
      <c r="AI2506" t="s">
        <v>92</v>
      </c>
      <c r="AJ2506">
        <v>1278023</v>
      </c>
      <c r="AK2506">
        <v>12365300</v>
      </c>
      <c r="AL2506">
        <v>12900</v>
      </c>
    </row>
    <row r="2507" spans="1:38" x14ac:dyDescent="0.25">
      <c r="A2507" t="s">
        <v>221</v>
      </c>
      <c r="B2507" t="s">
        <v>603</v>
      </c>
      <c r="C2507" t="s">
        <v>71</v>
      </c>
      <c r="D2507" s="1">
        <v>43191</v>
      </c>
      <c r="E2507" s="1">
        <v>43555</v>
      </c>
      <c r="F2507" t="s">
        <v>72</v>
      </c>
      <c r="G2507">
        <v>3</v>
      </c>
      <c r="H2507" t="s">
        <v>125</v>
      </c>
      <c r="I2507" t="s">
        <v>43</v>
      </c>
      <c r="J2507" t="s">
        <v>126</v>
      </c>
      <c r="K2507" t="s">
        <v>44</v>
      </c>
      <c r="L2507">
        <v>3671.25</v>
      </c>
      <c r="M2507" s="1">
        <v>76062</v>
      </c>
      <c r="N2507" t="s">
        <v>45</v>
      </c>
      <c r="O2507" t="s">
        <v>46</v>
      </c>
      <c r="P2507" t="s">
        <v>47</v>
      </c>
      <c r="Q2507" s="1">
        <v>43852</v>
      </c>
      <c r="R2507" t="s">
        <v>48</v>
      </c>
      <c r="S2507" t="s">
        <v>266</v>
      </c>
      <c r="T2507" t="s">
        <v>267</v>
      </c>
      <c r="U2507" t="s">
        <v>125</v>
      </c>
      <c r="V2507">
        <v>700000</v>
      </c>
      <c r="W2507">
        <v>100000</v>
      </c>
      <c r="X2507" s="1">
        <v>43830</v>
      </c>
      <c r="Y2507" t="s">
        <v>51</v>
      </c>
      <c r="Z2507" t="s">
        <v>43</v>
      </c>
      <c r="AA2507" t="s">
        <v>115</v>
      </c>
      <c r="AB2507" t="s">
        <v>268</v>
      </c>
      <c r="AC2507" t="s">
        <v>269</v>
      </c>
      <c r="AF2507" t="s">
        <v>136</v>
      </c>
      <c r="AG2507" s="1">
        <v>43839</v>
      </c>
      <c r="AH2507" t="s">
        <v>125</v>
      </c>
      <c r="AI2507" t="s">
        <v>92</v>
      </c>
      <c r="AJ2507">
        <v>1278023</v>
      </c>
      <c r="AK2507">
        <v>12365300</v>
      </c>
      <c r="AL2507">
        <v>12900</v>
      </c>
    </row>
    <row r="2508" spans="1:38" x14ac:dyDescent="0.25">
      <c r="A2508" t="s">
        <v>221</v>
      </c>
      <c r="B2508" t="s">
        <v>603</v>
      </c>
      <c r="C2508" t="s">
        <v>71</v>
      </c>
      <c r="D2508" s="1">
        <v>43191</v>
      </c>
      <c r="E2508" s="1">
        <v>43555</v>
      </c>
      <c r="F2508" t="s">
        <v>72</v>
      </c>
      <c r="G2508">
        <v>3</v>
      </c>
      <c r="H2508" t="s">
        <v>125</v>
      </c>
      <c r="I2508" t="s">
        <v>43</v>
      </c>
      <c r="J2508" t="s">
        <v>126</v>
      </c>
      <c r="K2508" t="s">
        <v>44</v>
      </c>
      <c r="L2508">
        <v>3671.25</v>
      </c>
      <c r="M2508" s="1">
        <v>76062</v>
      </c>
      <c r="N2508" t="s">
        <v>45</v>
      </c>
      <c r="O2508" t="s">
        <v>46</v>
      </c>
      <c r="P2508" t="s">
        <v>47</v>
      </c>
      <c r="Q2508" s="1">
        <v>43852</v>
      </c>
      <c r="R2508" t="s">
        <v>48</v>
      </c>
      <c r="S2508" t="s">
        <v>266</v>
      </c>
      <c r="T2508" t="s">
        <v>267</v>
      </c>
      <c r="U2508" t="s">
        <v>125</v>
      </c>
      <c r="V2508">
        <v>700000</v>
      </c>
      <c r="W2508">
        <v>100000</v>
      </c>
      <c r="X2508" s="1">
        <v>43830</v>
      </c>
      <c r="Y2508" t="s">
        <v>51</v>
      </c>
      <c r="Z2508" t="s">
        <v>43</v>
      </c>
      <c r="AA2508" t="s">
        <v>115</v>
      </c>
      <c r="AB2508" t="s">
        <v>268</v>
      </c>
      <c r="AC2508" t="s">
        <v>269</v>
      </c>
      <c r="AF2508" t="s">
        <v>137</v>
      </c>
      <c r="AG2508" s="1">
        <v>43840</v>
      </c>
      <c r="AH2508" t="s">
        <v>125</v>
      </c>
      <c r="AI2508" t="s">
        <v>92</v>
      </c>
      <c r="AJ2508">
        <v>1278023</v>
      </c>
      <c r="AK2508">
        <v>12365300</v>
      </c>
      <c r="AL2508">
        <v>12900</v>
      </c>
    </row>
    <row r="2509" spans="1:38" x14ac:dyDescent="0.25">
      <c r="A2509" t="s">
        <v>221</v>
      </c>
      <c r="B2509" t="s">
        <v>603</v>
      </c>
      <c r="C2509" t="s">
        <v>71</v>
      </c>
      <c r="D2509" s="1">
        <v>43191</v>
      </c>
      <c r="E2509" s="1">
        <v>43555</v>
      </c>
      <c r="F2509" t="s">
        <v>72</v>
      </c>
      <c r="G2509">
        <v>3</v>
      </c>
      <c r="H2509" t="s">
        <v>125</v>
      </c>
      <c r="I2509" t="s">
        <v>43</v>
      </c>
      <c r="J2509" t="s">
        <v>126</v>
      </c>
      <c r="K2509" t="s">
        <v>44</v>
      </c>
      <c r="L2509">
        <v>3671.25</v>
      </c>
      <c r="M2509" s="1">
        <v>76062</v>
      </c>
      <c r="N2509" t="s">
        <v>45</v>
      </c>
      <c r="O2509" t="s">
        <v>46</v>
      </c>
      <c r="P2509" t="s">
        <v>47</v>
      </c>
      <c r="Q2509" s="1">
        <v>43852</v>
      </c>
      <c r="R2509" t="s">
        <v>48</v>
      </c>
      <c r="S2509" t="s">
        <v>72</v>
      </c>
      <c r="T2509" t="s">
        <v>270</v>
      </c>
      <c r="U2509" t="s">
        <v>125</v>
      </c>
      <c r="V2509">
        <v>0</v>
      </c>
      <c r="W2509">
        <v>500000</v>
      </c>
      <c r="X2509" s="1">
        <v>43739</v>
      </c>
      <c r="Y2509" t="s">
        <v>131</v>
      </c>
      <c r="Z2509" t="s">
        <v>43</v>
      </c>
      <c r="AA2509" t="s">
        <v>115</v>
      </c>
      <c r="AB2509" t="s">
        <v>268</v>
      </c>
      <c r="AC2509" t="s">
        <v>269</v>
      </c>
      <c r="AF2509" t="s">
        <v>134</v>
      </c>
      <c r="AG2509" s="1">
        <v>43843</v>
      </c>
      <c r="AH2509" t="s">
        <v>125</v>
      </c>
      <c r="AI2509" t="s">
        <v>92</v>
      </c>
      <c r="AJ2509">
        <v>1278023</v>
      </c>
      <c r="AK2509">
        <v>12365300</v>
      </c>
      <c r="AL2509">
        <v>12900</v>
      </c>
    </row>
    <row r="2510" spans="1:38" x14ac:dyDescent="0.25">
      <c r="A2510" t="s">
        <v>221</v>
      </c>
      <c r="B2510" t="s">
        <v>603</v>
      </c>
      <c r="C2510" t="s">
        <v>71</v>
      </c>
      <c r="D2510" s="1">
        <v>43191</v>
      </c>
      <c r="E2510" s="1">
        <v>43555</v>
      </c>
      <c r="F2510" t="s">
        <v>72</v>
      </c>
      <c r="G2510">
        <v>3</v>
      </c>
      <c r="H2510" t="s">
        <v>125</v>
      </c>
      <c r="I2510" t="s">
        <v>43</v>
      </c>
      <c r="J2510" t="s">
        <v>126</v>
      </c>
      <c r="K2510" t="s">
        <v>44</v>
      </c>
      <c r="L2510">
        <v>3671.25</v>
      </c>
      <c r="M2510" s="1">
        <v>76062</v>
      </c>
      <c r="N2510" t="s">
        <v>45</v>
      </c>
      <c r="O2510" t="s">
        <v>46</v>
      </c>
      <c r="P2510" t="s">
        <v>47</v>
      </c>
      <c r="Q2510" s="1">
        <v>43852</v>
      </c>
      <c r="R2510" t="s">
        <v>48</v>
      </c>
      <c r="S2510" t="s">
        <v>72</v>
      </c>
      <c r="T2510" t="s">
        <v>270</v>
      </c>
      <c r="U2510" t="s">
        <v>125</v>
      </c>
      <c r="V2510">
        <v>0</v>
      </c>
      <c r="W2510">
        <v>500000</v>
      </c>
      <c r="X2510" s="1">
        <v>43739</v>
      </c>
      <c r="Y2510" t="s">
        <v>131</v>
      </c>
      <c r="Z2510" t="s">
        <v>43</v>
      </c>
      <c r="AA2510" t="s">
        <v>115</v>
      </c>
      <c r="AB2510" t="s">
        <v>268</v>
      </c>
      <c r="AC2510" t="s">
        <v>269</v>
      </c>
      <c r="AF2510" t="s">
        <v>135</v>
      </c>
      <c r="AG2510" s="1">
        <v>43843</v>
      </c>
      <c r="AH2510" t="s">
        <v>125</v>
      </c>
      <c r="AI2510" t="s">
        <v>92</v>
      </c>
      <c r="AJ2510">
        <v>1278023</v>
      </c>
      <c r="AK2510">
        <v>12365300</v>
      </c>
      <c r="AL2510">
        <v>12900</v>
      </c>
    </row>
    <row r="2511" spans="1:38" x14ac:dyDescent="0.25">
      <c r="A2511" t="s">
        <v>221</v>
      </c>
      <c r="B2511" t="s">
        <v>603</v>
      </c>
      <c r="C2511" t="s">
        <v>71</v>
      </c>
      <c r="D2511" s="1">
        <v>43191</v>
      </c>
      <c r="E2511" s="1">
        <v>43555</v>
      </c>
      <c r="F2511" t="s">
        <v>72</v>
      </c>
      <c r="G2511">
        <v>3</v>
      </c>
      <c r="H2511" t="s">
        <v>125</v>
      </c>
      <c r="I2511" t="s">
        <v>43</v>
      </c>
      <c r="J2511" t="s">
        <v>126</v>
      </c>
      <c r="K2511" t="s">
        <v>44</v>
      </c>
      <c r="L2511">
        <v>3671.25</v>
      </c>
      <c r="M2511" s="1">
        <v>76062</v>
      </c>
      <c r="N2511" t="s">
        <v>45</v>
      </c>
      <c r="O2511" t="s">
        <v>46</v>
      </c>
      <c r="P2511" t="s">
        <v>47</v>
      </c>
      <c r="Q2511" s="1">
        <v>43852</v>
      </c>
      <c r="R2511" t="s">
        <v>48</v>
      </c>
      <c r="S2511" t="s">
        <v>72</v>
      </c>
      <c r="T2511" t="s">
        <v>270</v>
      </c>
      <c r="U2511" t="s">
        <v>125</v>
      </c>
      <c r="V2511">
        <v>0</v>
      </c>
      <c r="W2511">
        <v>500000</v>
      </c>
      <c r="X2511" s="1">
        <v>43739</v>
      </c>
      <c r="Y2511" t="s">
        <v>131</v>
      </c>
      <c r="Z2511" t="s">
        <v>43</v>
      </c>
      <c r="AA2511" t="s">
        <v>115</v>
      </c>
      <c r="AB2511" t="s">
        <v>268</v>
      </c>
      <c r="AC2511" t="s">
        <v>269</v>
      </c>
      <c r="AF2511" t="s">
        <v>136</v>
      </c>
      <c r="AG2511" s="1">
        <v>43839</v>
      </c>
      <c r="AH2511" t="s">
        <v>125</v>
      </c>
      <c r="AI2511" t="s">
        <v>92</v>
      </c>
      <c r="AJ2511">
        <v>1278023</v>
      </c>
      <c r="AK2511">
        <v>12365300</v>
      </c>
      <c r="AL2511">
        <v>12900</v>
      </c>
    </row>
    <row r="2512" spans="1:38" x14ac:dyDescent="0.25">
      <c r="A2512" t="s">
        <v>221</v>
      </c>
      <c r="B2512" t="s">
        <v>603</v>
      </c>
      <c r="C2512" t="s">
        <v>71</v>
      </c>
      <c r="D2512" s="1">
        <v>43191</v>
      </c>
      <c r="E2512" s="1">
        <v>43555</v>
      </c>
      <c r="F2512" t="s">
        <v>72</v>
      </c>
      <c r="G2512">
        <v>3</v>
      </c>
      <c r="H2512" t="s">
        <v>125</v>
      </c>
      <c r="I2512" t="s">
        <v>43</v>
      </c>
      <c r="J2512" t="s">
        <v>126</v>
      </c>
      <c r="K2512" t="s">
        <v>44</v>
      </c>
      <c r="L2512">
        <v>3671.25</v>
      </c>
      <c r="M2512" s="1">
        <v>76062</v>
      </c>
      <c r="N2512" t="s">
        <v>45</v>
      </c>
      <c r="O2512" t="s">
        <v>46</v>
      </c>
      <c r="P2512" t="s">
        <v>47</v>
      </c>
      <c r="Q2512" s="1">
        <v>43852</v>
      </c>
      <c r="R2512" t="s">
        <v>48</v>
      </c>
      <c r="S2512" t="s">
        <v>72</v>
      </c>
      <c r="T2512" t="s">
        <v>270</v>
      </c>
      <c r="U2512" t="s">
        <v>125</v>
      </c>
      <c r="V2512">
        <v>0</v>
      </c>
      <c r="W2512">
        <v>500000</v>
      </c>
      <c r="X2512" s="1">
        <v>43739</v>
      </c>
      <c r="Y2512" t="s">
        <v>131</v>
      </c>
      <c r="Z2512" t="s">
        <v>43</v>
      </c>
      <c r="AA2512" t="s">
        <v>115</v>
      </c>
      <c r="AB2512" t="s">
        <v>268</v>
      </c>
      <c r="AC2512" t="s">
        <v>269</v>
      </c>
      <c r="AF2512" t="s">
        <v>137</v>
      </c>
      <c r="AG2512" s="1">
        <v>43840</v>
      </c>
      <c r="AH2512" t="s">
        <v>125</v>
      </c>
      <c r="AI2512" t="s">
        <v>92</v>
      </c>
      <c r="AJ2512">
        <v>1278023</v>
      </c>
      <c r="AK2512">
        <v>12365300</v>
      </c>
      <c r="AL2512">
        <v>12900</v>
      </c>
    </row>
    <row r="2513" spans="1:38" x14ac:dyDescent="0.25">
      <c r="A2513" t="s">
        <v>221</v>
      </c>
      <c r="B2513" t="s">
        <v>603</v>
      </c>
      <c r="C2513" t="s">
        <v>71</v>
      </c>
      <c r="D2513" s="1">
        <v>43191</v>
      </c>
      <c r="E2513" s="1">
        <v>43555</v>
      </c>
      <c r="F2513" t="s">
        <v>72</v>
      </c>
      <c r="G2513">
        <v>3</v>
      </c>
      <c r="H2513" t="s">
        <v>125</v>
      </c>
      <c r="I2513" t="s">
        <v>43</v>
      </c>
      <c r="J2513" t="s">
        <v>126</v>
      </c>
      <c r="K2513" t="s">
        <v>44</v>
      </c>
      <c r="L2513">
        <v>3671.25</v>
      </c>
      <c r="M2513" s="1">
        <v>76062</v>
      </c>
      <c r="N2513" t="s">
        <v>45</v>
      </c>
      <c r="O2513" t="s">
        <v>46</v>
      </c>
      <c r="P2513" t="s">
        <v>47</v>
      </c>
      <c r="Q2513" s="1">
        <v>43852</v>
      </c>
      <c r="R2513" t="s">
        <v>48</v>
      </c>
      <c r="S2513" t="s">
        <v>271</v>
      </c>
      <c r="T2513" t="s">
        <v>272</v>
      </c>
      <c r="U2513" t="s">
        <v>125</v>
      </c>
      <c r="V2513">
        <v>0</v>
      </c>
      <c r="W2513">
        <v>50000</v>
      </c>
      <c r="X2513" s="1">
        <v>43738</v>
      </c>
      <c r="Y2513" t="s">
        <v>140</v>
      </c>
      <c r="Z2513" t="s">
        <v>43</v>
      </c>
      <c r="AA2513" t="s">
        <v>115</v>
      </c>
      <c r="AB2513" t="s">
        <v>268</v>
      </c>
      <c r="AC2513" t="s">
        <v>269</v>
      </c>
      <c r="AF2513" t="s">
        <v>134</v>
      </c>
      <c r="AG2513" s="1">
        <v>43843</v>
      </c>
      <c r="AH2513" t="s">
        <v>125</v>
      </c>
      <c r="AI2513" t="s">
        <v>92</v>
      </c>
      <c r="AJ2513">
        <v>1278023</v>
      </c>
      <c r="AK2513">
        <v>12365300</v>
      </c>
      <c r="AL2513">
        <v>12900</v>
      </c>
    </row>
    <row r="2514" spans="1:38" x14ac:dyDescent="0.25">
      <c r="A2514" t="s">
        <v>221</v>
      </c>
      <c r="B2514" t="s">
        <v>603</v>
      </c>
      <c r="C2514" t="s">
        <v>71</v>
      </c>
      <c r="D2514" s="1">
        <v>43191</v>
      </c>
      <c r="E2514" s="1">
        <v>43555</v>
      </c>
      <c r="F2514" t="s">
        <v>72</v>
      </c>
      <c r="G2514">
        <v>3</v>
      </c>
      <c r="H2514" t="s">
        <v>125</v>
      </c>
      <c r="I2514" t="s">
        <v>43</v>
      </c>
      <c r="J2514" t="s">
        <v>126</v>
      </c>
      <c r="K2514" t="s">
        <v>44</v>
      </c>
      <c r="L2514">
        <v>3671.25</v>
      </c>
      <c r="M2514" s="1">
        <v>76062</v>
      </c>
      <c r="N2514" t="s">
        <v>45</v>
      </c>
      <c r="O2514" t="s">
        <v>46</v>
      </c>
      <c r="P2514" t="s">
        <v>47</v>
      </c>
      <c r="Q2514" s="1">
        <v>43852</v>
      </c>
      <c r="R2514" t="s">
        <v>48</v>
      </c>
      <c r="S2514" t="s">
        <v>271</v>
      </c>
      <c r="T2514" t="s">
        <v>272</v>
      </c>
      <c r="U2514" t="s">
        <v>125</v>
      </c>
      <c r="V2514">
        <v>0</v>
      </c>
      <c r="W2514">
        <v>50000</v>
      </c>
      <c r="X2514" s="1">
        <v>43738</v>
      </c>
      <c r="Y2514" t="s">
        <v>140</v>
      </c>
      <c r="Z2514" t="s">
        <v>43</v>
      </c>
      <c r="AA2514" t="s">
        <v>115</v>
      </c>
      <c r="AB2514" t="s">
        <v>268</v>
      </c>
      <c r="AC2514" t="s">
        <v>269</v>
      </c>
      <c r="AF2514" t="s">
        <v>135</v>
      </c>
      <c r="AG2514" s="1">
        <v>43843</v>
      </c>
      <c r="AH2514" t="s">
        <v>125</v>
      </c>
      <c r="AI2514" t="s">
        <v>92</v>
      </c>
      <c r="AJ2514">
        <v>1278023</v>
      </c>
      <c r="AK2514">
        <v>12365300</v>
      </c>
      <c r="AL2514">
        <v>12900</v>
      </c>
    </row>
    <row r="2515" spans="1:38" x14ac:dyDescent="0.25">
      <c r="A2515" t="s">
        <v>221</v>
      </c>
      <c r="B2515" t="s">
        <v>603</v>
      </c>
      <c r="C2515" t="s">
        <v>71</v>
      </c>
      <c r="D2515" s="1">
        <v>43191</v>
      </c>
      <c r="E2515" s="1">
        <v>43555</v>
      </c>
      <c r="F2515" t="s">
        <v>72</v>
      </c>
      <c r="G2515">
        <v>3</v>
      </c>
      <c r="H2515" t="s">
        <v>125</v>
      </c>
      <c r="I2515" t="s">
        <v>43</v>
      </c>
      <c r="J2515" t="s">
        <v>126</v>
      </c>
      <c r="K2515" t="s">
        <v>44</v>
      </c>
      <c r="L2515">
        <v>3671.25</v>
      </c>
      <c r="M2515" s="1">
        <v>76062</v>
      </c>
      <c r="N2515" t="s">
        <v>45</v>
      </c>
      <c r="O2515" t="s">
        <v>46</v>
      </c>
      <c r="P2515" t="s">
        <v>47</v>
      </c>
      <c r="Q2515" s="1">
        <v>43852</v>
      </c>
      <c r="R2515" t="s">
        <v>48</v>
      </c>
      <c r="S2515" t="s">
        <v>271</v>
      </c>
      <c r="T2515" t="s">
        <v>272</v>
      </c>
      <c r="U2515" t="s">
        <v>125</v>
      </c>
      <c r="V2515">
        <v>0</v>
      </c>
      <c r="W2515">
        <v>50000</v>
      </c>
      <c r="X2515" s="1">
        <v>43738</v>
      </c>
      <c r="Y2515" t="s">
        <v>140</v>
      </c>
      <c r="Z2515" t="s">
        <v>43</v>
      </c>
      <c r="AA2515" t="s">
        <v>115</v>
      </c>
      <c r="AB2515" t="s">
        <v>268</v>
      </c>
      <c r="AC2515" t="s">
        <v>269</v>
      </c>
      <c r="AF2515" t="s">
        <v>136</v>
      </c>
      <c r="AG2515" s="1">
        <v>43839</v>
      </c>
      <c r="AH2515" t="s">
        <v>125</v>
      </c>
      <c r="AI2515" t="s">
        <v>92</v>
      </c>
      <c r="AJ2515">
        <v>1278023</v>
      </c>
      <c r="AK2515">
        <v>12365300</v>
      </c>
      <c r="AL2515">
        <v>12900</v>
      </c>
    </row>
    <row r="2516" spans="1:38" x14ac:dyDescent="0.25">
      <c r="A2516" t="s">
        <v>221</v>
      </c>
      <c r="B2516" t="s">
        <v>603</v>
      </c>
      <c r="C2516" t="s">
        <v>71</v>
      </c>
      <c r="D2516" s="1">
        <v>43191</v>
      </c>
      <c r="E2516" s="1">
        <v>43555</v>
      </c>
      <c r="F2516" t="s">
        <v>72</v>
      </c>
      <c r="G2516">
        <v>3</v>
      </c>
      <c r="H2516" t="s">
        <v>125</v>
      </c>
      <c r="I2516" t="s">
        <v>43</v>
      </c>
      <c r="J2516" t="s">
        <v>126</v>
      </c>
      <c r="K2516" t="s">
        <v>44</v>
      </c>
      <c r="L2516">
        <v>3671.25</v>
      </c>
      <c r="M2516" s="1">
        <v>76062</v>
      </c>
      <c r="N2516" t="s">
        <v>45</v>
      </c>
      <c r="O2516" t="s">
        <v>46</v>
      </c>
      <c r="P2516" t="s">
        <v>47</v>
      </c>
      <c r="Q2516" s="1">
        <v>43852</v>
      </c>
      <c r="R2516" t="s">
        <v>48</v>
      </c>
      <c r="S2516" t="s">
        <v>271</v>
      </c>
      <c r="T2516" t="s">
        <v>272</v>
      </c>
      <c r="U2516" t="s">
        <v>125</v>
      </c>
      <c r="V2516">
        <v>0</v>
      </c>
      <c r="W2516">
        <v>50000</v>
      </c>
      <c r="X2516" s="1">
        <v>43738</v>
      </c>
      <c r="Y2516" t="s">
        <v>140</v>
      </c>
      <c r="Z2516" t="s">
        <v>43</v>
      </c>
      <c r="AA2516" t="s">
        <v>115</v>
      </c>
      <c r="AB2516" t="s">
        <v>268</v>
      </c>
      <c r="AC2516" t="s">
        <v>269</v>
      </c>
      <c r="AF2516" t="s">
        <v>137</v>
      </c>
      <c r="AG2516" s="1">
        <v>43840</v>
      </c>
      <c r="AH2516" t="s">
        <v>125</v>
      </c>
      <c r="AI2516" t="s">
        <v>92</v>
      </c>
      <c r="AJ2516">
        <v>1278023</v>
      </c>
      <c r="AK2516">
        <v>12365300</v>
      </c>
      <c r="AL2516">
        <v>12900</v>
      </c>
    </row>
    <row r="2517" spans="1:38" x14ac:dyDescent="0.25">
      <c r="A2517" t="s">
        <v>224</v>
      </c>
      <c r="B2517" t="s">
        <v>604</v>
      </c>
      <c r="C2517" t="s">
        <v>71</v>
      </c>
      <c r="D2517" s="1">
        <v>43191</v>
      </c>
      <c r="E2517" s="1">
        <v>43555</v>
      </c>
      <c r="F2517" t="s">
        <v>72</v>
      </c>
      <c r="G2517">
        <v>3</v>
      </c>
      <c r="H2517" t="s">
        <v>125</v>
      </c>
      <c r="I2517" t="s">
        <v>43</v>
      </c>
      <c r="J2517" t="s">
        <v>126</v>
      </c>
      <c r="K2517" t="s">
        <v>44</v>
      </c>
      <c r="L2517">
        <v>157.13999999999999</v>
      </c>
      <c r="M2517" s="1">
        <v>43191</v>
      </c>
      <c r="N2517" t="s">
        <v>45</v>
      </c>
      <c r="O2517" t="s">
        <v>46</v>
      </c>
      <c r="P2517" t="s">
        <v>47</v>
      </c>
      <c r="Q2517" s="1">
        <v>43852</v>
      </c>
      <c r="R2517" t="s">
        <v>48</v>
      </c>
      <c r="S2517" t="s">
        <v>266</v>
      </c>
      <c r="T2517" t="s">
        <v>267</v>
      </c>
      <c r="U2517" t="s">
        <v>125</v>
      </c>
      <c r="V2517">
        <v>700000</v>
      </c>
      <c r="W2517">
        <v>100000</v>
      </c>
      <c r="X2517" s="1">
        <v>43830</v>
      </c>
      <c r="Y2517" t="s">
        <v>51</v>
      </c>
      <c r="Z2517" t="s">
        <v>43</v>
      </c>
      <c r="AA2517" t="s">
        <v>115</v>
      </c>
      <c r="AB2517" t="s">
        <v>268</v>
      </c>
      <c r="AC2517" t="s">
        <v>269</v>
      </c>
      <c r="AF2517" t="s">
        <v>134</v>
      </c>
      <c r="AG2517" s="1">
        <v>43843</v>
      </c>
      <c r="AH2517" t="s">
        <v>125</v>
      </c>
      <c r="AI2517" t="s">
        <v>92</v>
      </c>
      <c r="AJ2517">
        <v>1278023</v>
      </c>
      <c r="AK2517">
        <v>12365300</v>
      </c>
      <c r="AL2517">
        <v>12900</v>
      </c>
    </row>
    <row r="2518" spans="1:38" x14ac:dyDescent="0.25">
      <c r="A2518" t="s">
        <v>224</v>
      </c>
      <c r="B2518" t="s">
        <v>604</v>
      </c>
      <c r="C2518" t="s">
        <v>71</v>
      </c>
      <c r="D2518" s="1">
        <v>43191</v>
      </c>
      <c r="E2518" s="1">
        <v>43555</v>
      </c>
      <c r="F2518" t="s">
        <v>72</v>
      </c>
      <c r="G2518">
        <v>3</v>
      </c>
      <c r="H2518" t="s">
        <v>125</v>
      </c>
      <c r="I2518" t="s">
        <v>43</v>
      </c>
      <c r="J2518" t="s">
        <v>126</v>
      </c>
      <c r="K2518" t="s">
        <v>44</v>
      </c>
      <c r="L2518">
        <v>157.13999999999999</v>
      </c>
      <c r="M2518" s="1">
        <v>43191</v>
      </c>
      <c r="N2518" t="s">
        <v>45</v>
      </c>
      <c r="O2518" t="s">
        <v>46</v>
      </c>
      <c r="P2518" t="s">
        <v>47</v>
      </c>
      <c r="Q2518" s="1">
        <v>43852</v>
      </c>
      <c r="R2518" t="s">
        <v>48</v>
      </c>
      <c r="S2518" t="s">
        <v>266</v>
      </c>
      <c r="T2518" t="s">
        <v>267</v>
      </c>
      <c r="U2518" t="s">
        <v>125</v>
      </c>
      <c r="V2518">
        <v>700000</v>
      </c>
      <c r="W2518">
        <v>100000</v>
      </c>
      <c r="X2518" s="1">
        <v>43830</v>
      </c>
      <c r="Y2518" t="s">
        <v>51</v>
      </c>
      <c r="Z2518" t="s">
        <v>43</v>
      </c>
      <c r="AA2518" t="s">
        <v>115</v>
      </c>
      <c r="AB2518" t="s">
        <v>268</v>
      </c>
      <c r="AC2518" t="s">
        <v>269</v>
      </c>
      <c r="AF2518" t="s">
        <v>135</v>
      </c>
      <c r="AG2518" s="1">
        <v>43843</v>
      </c>
      <c r="AH2518" t="s">
        <v>125</v>
      </c>
      <c r="AI2518" t="s">
        <v>92</v>
      </c>
      <c r="AJ2518">
        <v>1278023</v>
      </c>
      <c r="AK2518">
        <v>12365300</v>
      </c>
      <c r="AL2518">
        <v>12900</v>
      </c>
    </row>
    <row r="2519" spans="1:38" x14ac:dyDescent="0.25">
      <c r="A2519" t="s">
        <v>224</v>
      </c>
      <c r="B2519" t="s">
        <v>604</v>
      </c>
      <c r="C2519" t="s">
        <v>71</v>
      </c>
      <c r="D2519" s="1">
        <v>43191</v>
      </c>
      <c r="E2519" s="1">
        <v>43555</v>
      </c>
      <c r="F2519" t="s">
        <v>72</v>
      </c>
      <c r="G2519">
        <v>3</v>
      </c>
      <c r="H2519" t="s">
        <v>125</v>
      </c>
      <c r="I2519" t="s">
        <v>43</v>
      </c>
      <c r="J2519" t="s">
        <v>126</v>
      </c>
      <c r="K2519" t="s">
        <v>44</v>
      </c>
      <c r="L2519">
        <v>157.13999999999999</v>
      </c>
      <c r="M2519" s="1">
        <v>43191</v>
      </c>
      <c r="N2519" t="s">
        <v>45</v>
      </c>
      <c r="O2519" t="s">
        <v>46</v>
      </c>
      <c r="P2519" t="s">
        <v>47</v>
      </c>
      <c r="Q2519" s="1">
        <v>43852</v>
      </c>
      <c r="R2519" t="s">
        <v>48</v>
      </c>
      <c r="S2519" t="s">
        <v>266</v>
      </c>
      <c r="T2519" t="s">
        <v>267</v>
      </c>
      <c r="U2519" t="s">
        <v>125</v>
      </c>
      <c r="V2519">
        <v>700000</v>
      </c>
      <c r="W2519">
        <v>100000</v>
      </c>
      <c r="X2519" s="1">
        <v>43830</v>
      </c>
      <c r="Y2519" t="s">
        <v>51</v>
      </c>
      <c r="Z2519" t="s">
        <v>43</v>
      </c>
      <c r="AA2519" t="s">
        <v>115</v>
      </c>
      <c r="AB2519" t="s">
        <v>268</v>
      </c>
      <c r="AC2519" t="s">
        <v>269</v>
      </c>
      <c r="AF2519" t="s">
        <v>136</v>
      </c>
      <c r="AG2519" s="1">
        <v>43839</v>
      </c>
      <c r="AH2519" t="s">
        <v>125</v>
      </c>
      <c r="AI2519" t="s">
        <v>92</v>
      </c>
      <c r="AJ2519">
        <v>1278023</v>
      </c>
      <c r="AK2519">
        <v>12365300</v>
      </c>
      <c r="AL2519">
        <v>12900</v>
      </c>
    </row>
    <row r="2520" spans="1:38" x14ac:dyDescent="0.25">
      <c r="A2520" t="s">
        <v>224</v>
      </c>
      <c r="B2520" t="s">
        <v>604</v>
      </c>
      <c r="C2520" t="s">
        <v>71</v>
      </c>
      <c r="D2520" s="1">
        <v>43191</v>
      </c>
      <c r="E2520" s="1">
        <v>43555</v>
      </c>
      <c r="F2520" t="s">
        <v>72</v>
      </c>
      <c r="G2520">
        <v>3</v>
      </c>
      <c r="H2520" t="s">
        <v>125</v>
      </c>
      <c r="I2520" t="s">
        <v>43</v>
      </c>
      <c r="J2520" t="s">
        <v>126</v>
      </c>
      <c r="K2520" t="s">
        <v>44</v>
      </c>
      <c r="L2520">
        <v>157.13999999999999</v>
      </c>
      <c r="M2520" s="1">
        <v>43191</v>
      </c>
      <c r="N2520" t="s">
        <v>45</v>
      </c>
      <c r="O2520" t="s">
        <v>46</v>
      </c>
      <c r="P2520" t="s">
        <v>47</v>
      </c>
      <c r="Q2520" s="1">
        <v>43852</v>
      </c>
      <c r="R2520" t="s">
        <v>48</v>
      </c>
      <c r="S2520" t="s">
        <v>266</v>
      </c>
      <c r="T2520" t="s">
        <v>267</v>
      </c>
      <c r="U2520" t="s">
        <v>125</v>
      </c>
      <c r="V2520">
        <v>700000</v>
      </c>
      <c r="W2520">
        <v>100000</v>
      </c>
      <c r="X2520" s="1">
        <v>43830</v>
      </c>
      <c r="Y2520" t="s">
        <v>51</v>
      </c>
      <c r="Z2520" t="s">
        <v>43</v>
      </c>
      <c r="AA2520" t="s">
        <v>115</v>
      </c>
      <c r="AB2520" t="s">
        <v>268</v>
      </c>
      <c r="AC2520" t="s">
        <v>269</v>
      </c>
      <c r="AF2520" t="s">
        <v>137</v>
      </c>
      <c r="AG2520" s="1">
        <v>43840</v>
      </c>
      <c r="AH2520" t="s">
        <v>125</v>
      </c>
      <c r="AI2520" t="s">
        <v>92</v>
      </c>
      <c r="AJ2520">
        <v>1278023</v>
      </c>
      <c r="AK2520">
        <v>12365300</v>
      </c>
      <c r="AL2520">
        <v>12900</v>
      </c>
    </row>
    <row r="2521" spans="1:38" x14ac:dyDescent="0.25">
      <c r="A2521" t="s">
        <v>224</v>
      </c>
      <c r="B2521" t="s">
        <v>604</v>
      </c>
      <c r="C2521" t="s">
        <v>71</v>
      </c>
      <c r="D2521" s="1">
        <v>43191</v>
      </c>
      <c r="E2521" s="1">
        <v>43555</v>
      </c>
      <c r="F2521" t="s">
        <v>72</v>
      </c>
      <c r="G2521">
        <v>3</v>
      </c>
      <c r="H2521" t="s">
        <v>125</v>
      </c>
      <c r="I2521" t="s">
        <v>43</v>
      </c>
      <c r="J2521" t="s">
        <v>126</v>
      </c>
      <c r="K2521" t="s">
        <v>44</v>
      </c>
      <c r="L2521">
        <v>157.13999999999999</v>
      </c>
      <c r="M2521" s="1">
        <v>43191</v>
      </c>
      <c r="N2521" t="s">
        <v>45</v>
      </c>
      <c r="O2521" t="s">
        <v>46</v>
      </c>
      <c r="P2521" t="s">
        <v>47</v>
      </c>
      <c r="Q2521" s="1">
        <v>43852</v>
      </c>
      <c r="R2521" t="s">
        <v>48</v>
      </c>
      <c r="S2521" t="s">
        <v>72</v>
      </c>
      <c r="T2521" t="s">
        <v>270</v>
      </c>
      <c r="U2521" t="s">
        <v>125</v>
      </c>
      <c r="V2521">
        <v>0</v>
      </c>
      <c r="W2521">
        <v>500000</v>
      </c>
      <c r="X2521" s="1">
        <v>43739</v>
      </c>
      <c r="Y2521" t="s">
        <v>131</v>
      </c>
      <c r="Z2521" t="s">
        <v>43</v>
      </c>
      <c r="AA2521" t="s">
        <v>115</v>
      </c>
      <c r="AB2521" t="s">
        <v>268</v>
      </c>
      <c r="AC2521" t="s">
        <v>269</v>
      </c>
      <c r="AF2521" t="s">
        <v>134</v>
      </c>
      <c r="AG2521" s="1">
        <v>43843</v>
      </c>
      <c r="AH2521" t="s">
        <v>125</v>
      </c>
      <c r="AI2521" t="s">
        <v>92</v>
      </c>
      <c r="AJ2521">
        <v>1278023</v>
      </c>
      <c r="AK2521">
        <v>12365300</v>
      </c>
      <c r="AL2521">
        <v>12900</v>
      </c>
    </row>
    <row r="2522" spans="1:38" x14ac:dyDescent="0.25">
      <c r="A2522" t="s">
        <v>224</v>
      </c>
      <c r="B2522" t="s">
        <v>604</v>
      </c>
      <c r="C2522" t="s">
        <v>71</v>
      </c>
      <c r="D2522" s="1">
        <v>43191</v>
      </c>
      <c r="E2522" s="1">
        <v>43555</v>
      </c>
      <c r="F2522" t="s">
        <v>72</v>
      </c>
      <c r="G2522">
        <v>3</v>
      </c>
      <c r="H2522" t="s">
        <v>125</v>
      </c>
      <c r="I2522" t="s">
        <v>43</v>
      </c>
      <c r="J2522" t="s">
        <v>126</v>
      </c>
      <c r="K2522" t="s">
        <v>44</v>
      </c>
      <c r="L2522">
        <v>157.13999999999999</v>
      </c>
      <c r="M2522" s="1">
        <v>43191</v>
      </c>
      <c r="N2522" t="s">
        <v>45</v>
      </c>
      <c r="O2522" t="s">
        <v>46</v>
      </c>
      <c r="P2522" t="s">
        <v>47</v>
      </c>
      <c r="Q2522" s="1">
        <v>43852</v>
      </c>
      <c r="R2522" t="s">
        <v>48</v>
      </c>
      <c r="S2522" t="s">
        <v>72</v>
      </c>
      <c r="T2522" t="s">
        <v>270</v>
      </c>
      <c r="U2522" t="s">
        <v>125</v>
      </c>
      <c r="V2522">
        <v>0</v>
      </c>
      <c r="W2522">
        <v>500000</v>
      </c>
      <c r="X2522" s="1">
        <v>43739</v>
      </c>
      <c r="Y2522" t="s">
        <v>131</v>
      </c>
      <c r="Z2522" t="s">
        <v>43</v>
      </c>
      <c r="AA2522" t="s">
        <v>115</v>
      </c>
      <c r="AB2522" t="s">
        <v>268</v>
      </c>
      <c r="AC2522" t="s">
        <v>269</v>
      </c>
      <c r="AF2522" t="s">
        <v>135</v>
      </c>
      <c r="AG2522" s="1">
        <v>43843</v>
      </c>
      <c r="AH2522" t="s">
        <v>125</v>
      </c>
      <c r="AI2522" t="s">
        <v>92</v>
      </c>
      <c r="AJ2522">
        <v>1278023</v>
      </c>
      <c r="AK2522">
        <v>12365300</v>
      </c>
      <c r="AL2522">
        <v>12900</v>
      </c>
    </row>
    <row r="2523" spans="1:38" x14ac:dyDescent="0.25">
      <c r="A2523" t="s">
        <v>224</v>
      </c>
      <c r="B2523" t="s">
        <v>604</v>
      </c>
      <c r="C2523" t="s">
        <v>71</v>
      </c>
      <c r="D2523" s="1">
        <v>43191</v>
      </c>
      <c r="E2523" s="1">
        <v>43555</v>
      </c>
      <c r="F2523" t="s">
        <v>72</v>
      </c>
      <c r="G2523">
        <v>3</v>
      </c>
      <c r="H2523" t="s">
        <v>125</v>
      </c>
      <c r="I2523" t="s">
        <v>43</v>
      </c>
      <c r="J2523" t="s">
        <v>126</v>
      </c>
      <c r="K2523" t="s">
        <v>44</v>
      </c>
      <c r="L2523">
        <v>157.13999999999999</v>
      </c>
      <c r="M2523" s="1">
        <v>43191</v>
      </c>
      <c r="N2523" t="s">
        <v>45</v>
      </c>
      <c r="O2523" t="s">
        <v>46</v>
      </c>
      <c r="P2523" t="s">
        <v>47</v>
      </c>
      <c r="Q2523" s="1">
        <v>43852</v>
      </c>
      <c r="R2523" t="s">
        <v>48</v>
      </c>
      <c r="S2523" t="s">
        <v>72</v>
      </c>
      <c r="T2523" t="s">
        <v>270</v>
      </c>
      <c r="U2523" t="s">
        <v>125</v>
      </c>
      <c r="V2523">
        <v>0</v>
      </c>
      <c r="W2523">
        <v>500000</v>
      </c>
      <c r="X2523" s="1">
        <v>43739</v>
      </c>
      <c r="Y2523" t="s">
        <v>131</v>
      </c>
      <c r="Z2523" t="s">
        <v>43</v>
      </c>
      <c r="AA2523" t="s">
        <v>115</v>
      </c>
      <c r="AB2523" t="s">
        <v>268</v>
      </c>
      <c r="AC2523" t="s">
        <v>269</v>
      </c>
      <c r="AF2523" t="s">
        <v>136</v>
      </c>
      <c r="AG2523" s="1">
        <v>43839</v>
      </c>
      <c r="AH2523" t="s">
        <v>125</v>
      </c>
      <c r="AI2523" t="s">
        <v>92</v>
      </c>
      <c r="AJ2523">
        <v>1278023</v>
      </c>
      <c r="AK2523">
        <v>12365300</v>
      </c>
      <c r="AL2523">
        <v>12900</v>
      </c>
    </row>
    <row r="2524" spans="1:38" x14ac:dyDescent="0.25">
      <c r="A2524" t="s">
        <v>224</v>
      </c>
      <c r="B2524" t="s">
        <v>604</v>
      </c>
      <c r="C2524" t="s">
        <v>71</v>
      </c>
      <c r="D2524" s="1">
        <v>43191</v>
      </c>
      <c r="E2524" s="1">
        <v>43555</v>
      </c>
      <c r="F2524" t="s">
        <v>72</v>
      </c>
      <c r="G2524">
        <v>3</v>
      </c>
      <c r="H2524" t="s">
        <v>125</v>
      </c>
      <c r="I2524" t="s">
        <v>43</v>
      </c>
      <c r="J2524" t="s">
        <v>126</v>
      </c>
      <c r="K2524" t="s">
        <v>44</v>
      </c>
      <c r="L2524">
        <v>157.13999999999999</v>
      </c>
      <c r="M2524" s="1">
        <v>43191</v>
      </c>
      <c r="N2524" t="s">
        <v>45</v>
      </c>
      <c r="O2524" t="s">
        <v>46</v>
      </c>
      <c r="P2524" t="s">
        <v>47</v>
      </c>
      <c r="Q2524" s="1">
        <v>43852</v>
      </c>
      <c r="R2524" t="s">
        <v>48</v>
      </c>
      <c r="S2524" t="s">
        <v>72</v>
      </c>
      <c r="T2524" t="s">
        <v>270</v>
      </c>
      <c r="U2524" t="s">
        <v>125</v>
      </c>
      <c r="V2524">
        <v>0</v>
      </c>
      <c r="W2524">
        <v>500000</v>
      </c>
      <c r="X2524" s="1">
        <v>43739</v>
      </c>
      <c r="Y2524" t="s">
        <v>131</v>
      </c>
      <c r="Z2524" t="s">
        <v>43</v>
      </c>
      <c r="AA2524" t="s">
        <v>115</v>
      </c>
      <c r="AB2524" t="s">
        <v>268</v>
      </c>
      <c r="AC2524" t="s">
        <v>269</v>
      </c>
      <c r="AF2524" t="s">
        <v>137</v>
      </c>
      <c r="AG2524" s="1">
        <v>43840</v>
      </c>
      <c r="AH2524" t="s">
        <v>125</v>
      </c>
      <c r="AI2524" t="s">
        <v>92</v>
      </c>
      <c r="AJ2524">
        <v>1278023</v>
      </c>
      <c r="AK2524">
        <v>12365300</v>
      </c>
      <c r="AL2524">
        <v>12900</v>
      </c>
    </row>
    <row r="2525" spans="1:38" x14ac:dyDescent="0.25">
      <c r="A2525" t="s">
        <v>224</v>
      </c>
      <c r="B2525" t="s">
        <v>604</v>
      </c>
      <c r="C2525" t="s">
        <v>71</v>
      </c>
      <c r="D2525" s="1">
        <v>43191</v>
      </c>
      <c r="E2525" s="1">
        <v>43555</v>
      </c>
      <c r="F2525" t="s">
        <v>72</v>
      </c>
      <c r="G2525">
        <v>3</v>
      </c>
      <c r="H2525" t="s">
        <v>125</v>
      </c>
      <c r="I2525" t="s">
        <v>43</v>
      </c>
      <c r="J2525" t="s">
        <v>126</v>
      </c>
      <c r="K2525" t="s">
        <v>44</v>
      </c>
      <c r="L2525">
        <v>157.13999999999999</v>
      </c>
      <c r="M2525" s="1">
        <v>43191</v>
      </c>
      <c r="N2525" t="s">
        <v>45</v>
      </c>
      <c r="O2525" t="s">
        <v>46</v>
      </c>
      <c r="P2525" t="s">
        <v>47</v>
      </c>
      <c r="Q2525" s="1">
        <v>43852</v>
      </c>
      <c r="R2525" t="s">
        <v>48</v>
      </c>
      <c r="S2525" t="s">
        <v>271</v>
      </c>
      <c r="T2525" t="s">
        <v>272</v>
      </c>
      <c r="U2525" t="s">
        <v>125</v>
      </c>
      <c r="V2525">
        <v>0</v>
      </c>
      <c r="W2525">
        <v>50000</v>
      </c>
      <c r="X2525" s="1">
        <v>43738</v>
      </c>
      <c r="Y2525" t="s">
        <v>140</v>
      </c>
      <c r="Z2525" t="s">
        <v>43</v>
      </c>
      <c r="AA2525" t="s">
        <v>115</v>
      </c>
      <c r="AB2525" t="s">
        <v>268</v>
      </c>
      <c r="AC2525" t="s">
        <v>269</v>
      </c>
      <c r="AF2525" t="s">
        <v>134</v>
      </c>
      <c r="AG2525" s="1">
        <v>43843</v>
      </c>
      <c r="AH2525" t="s">
        <v>125</v>
      </c>
      <c r="AI2525" t="s">
        <v>92</v>
      </c>
      <c r="AJ2525">
        <v>1278023</v>
      </c>
      <c r="AK2525">
        <v>12365300</v>
      </c>
      <c r="AL2525">
        <v>12900</v>
      </c>
    </row>
    <row r="2526" spans="1:38" x14ac:dyDescent="0.25">
      <c r="A2526" t="s">
        <v>224</v>
      </c>
      <c r="B2526" t="s">
        <v>604</v>
      </c>
      <c r="C2526" t="s">
        <v>71</v>
      </c>
      <c r="D2526" s="1">
        <v>43191</v>
      </c>
      <c r="E2526" s="1">
        <v>43555</v>
      </c>
      <c r="F2526" t="s">
        <v>72</v>
      </c>
      <c r="G2526">
        <v>3</v>
      </c>
      <c r="H2526" t="s">
        <v>125</v>
      </c>
      <c r="I2526" t="s">
        <v>43</v>
      </c>
      <c r="J2526" t="s">
        <v>126</v>
      </c>
      <c r="K2526" t="s">
        <v>44</v>
      </c>
      <c r="L2526">
        <v>157.13999999999999</v>
      </c>
      <c r="M2526" s="1">
        <v>43191</v>
      </c>
      <c r="N2526" t="s">
        <v>45</v>
      </c>
      <c r="O2526" t="s">
        <v>46</v>
      </c>
      <c r="P2526" t="s">
        <v>47</v>
      </c>
      <c r="Q2526" s="1">
        <v>43852</v>
      </c>
      <c r="R2526" t="s">
        <v>48</v>
      </c>
      <c r="S2526" t="s">
        <v>271</v>
      </c>
      <c r="T2526" t="s">
        <v>272</v>
      </c>
      <c r="U2526" t="s">
        <v>125</v>
      </c>
      <c r="V2526">
        <v>0</v>
      </c>
      <c r="W2526">
        <v>50000</v>
      </c>
      <c r="X2526" s="1">
        <v>43738</v>
      </c>
      <c r="Y2526" t="s">
        <v>140</v>
      </c>
      <c r="Z2526" t="s">
        <v>43</v>
      </c>
      <c r="AA2526" t="s">
        <v>115</v>
      </c>
      <c r="AB2526" t="s">
        <v>268</v>
      </c>
      <c r="AC2526" t="s">
        <v>269</v>
      </c>
      <c r="AF2526" t="s">
        <v>135</v>
      </c>
      <c r="AG2526" s="1">
        <v>43843</v>
      </c>
      <c r="AH2526" t="s">
        <v>125</v>
      </c>
      <c r="AI2526" t="s">
        <v>92</v>
      </c>
      <c r="AJ2526">
        <v>1278023</v>
      </c>
      <c r="AK2526">
        <v>12365300</v>
      </c>
      <c r="AL2526">
        <v>12900</v>
      </c>
    </row>
    <row r="2527" spans="1:38" x14ac:dyDescent="0.25">
      <c r="A2527" t="s">
        <v>224</v>
      </c>
      <c r="B2527" t="s">
        <v>604</v>
      </c>
      <c r="C2527" t="s">
        <v>71</v>
      </c>
      <c r="D2527" s="1">
        <v>43191</v>
      </c>
      <c r="E2527" s="1">
        <v>43555</v>
      </c>
      <c r="F2527" t="s">
        <v>72</v>
      </c>
      <c r="G2527">
        <v>3</v>
      </c>
      <c r="H2527" t="s">
        <v>125</v>
      </c>
      <c r="I2527" t="s">
        <v>43</v>
      </c>
      <c r="J2527" t="s">
        <v>126</v>
      </c>
      <c r="K2527" t="s">
        <v>44</v>
      </c>
      <c r="L2527">
        <v>157.13999999999999</v>
      </c>
      <c r="M2527" s="1">
        <v>43191</v>
      </c>
      <c r="N2527" t="s">
        <v>45</v>
      </c>
      <c r="O2527" t="s">
        <v>46</v>
      </c>
      <c r="P2527" t="s">
        <v>47</v>
      </c>
      <c r="Q2527" s="1">
        <v>43852</v>
      </c>
      <c r="R2527" t="s">
        <v>48</v>
      </c>
      <c r="S2527" t="s">
        <v>271</v>
      </c>
      <c r="T2527" t="s">
        <v>272</v>
      </c>
      <c r="U2527" t="s">
        <v>125</v>
      </c>
      <c r="V2527">
        <v>0</v>
      </c>
      <c r="W2527">
        <v>50000</v>
      </c>
      <c r="X2527" s="1">
        <v>43738</v>
      </c>
      <c r="Y2527" t="s">
        <v>140</v>
      </c>
      <c r="Z2527" t="s">
        <v>43</v>
      </c>
      <c r="AA2527" t="s">
        <v>115</v>
      </c>
      <c r="AB2527" t="s">
        <v>268</v>
      </c>
      <c r="AC2527" t="s">
        <v>269</v>
      </c>
      <c r="AF2527" t="s">
        <v>136</v>
      </c>
      <c r="AG2527" s="1">
        <v>43839</v>
      </c>
      <c r="AH2527" t="s">
        <v>125</v>
      </c>
      <c r="AI2527" t="s">
        <v>92</v>
      </c>
      <c r="AJ2527">
        <v>1278023</v>
      </c>
      <c r="AK2527">
        <v>12365300</v>
      </c>
      <c r="AL2527">
        <v>12900</v>
      </c>
    </row>
    <row r="2528" spans="1:38" x14ac:dyDescent="0.25">
      <c r="A2528" t="s">
        <v>224</v>
      </c>
      <c r="B2528" t="s">
        <v>604</v>
      </c>
      <c r="C2528" t="s">
        <v>71</v>
      </c>
      <c r="D2528" s="1">
        <v>43191</v>
      </c>
      <c r="E2528" s="1">
        <v>43555</v>
      </c>
      <c r="F2528" t="s">
        <v>72</v>
      </c>
      <c r="G2528">
        <v>3</v>
      </c>
      <c r="H2528" t="s">
        <v>125</v>
      </c>
      <c r="I2528" t="s">
        <v>43</v>
      </c>
      <c r="J2528" t="s">
        <v>126</v>
      </c>
      <c r="K2528" t="s">
        <v>44</v>
      </c>
      <c r="L2528">
        <v>157.13999999999999</v>
      </c>
      <c r="M2528" s="1">
        <v>43191</v>
      </c>
      <c r="N2528" t="s">
        <v>45</v>
      </c>
      <c r="O2528" t="s">
        <v>46</v>
      </c>
      <c r="P2528" t="s">
        <v>47</v>
      </c>
      <c r="Q2528" s="1">
        <v>43852</v>
      </c>
      <c r="R2528" t="s">
        <v>48</v>
      </c>
      <c r="S2528" t="s">
        <v>271</v>
      </c>
      <c r="T2528" t="s">
        <v>272</v>
      </c>
      <c r="U2528" t="s">
        <v>125</v>
      </c>
      <c r="V2528">
        <v>0</v>
      </c>
      <c r="W2528">
        <v>50000</v>
      </c>
      <c r="X2528" s="1">
        <v>43738</v>
      </c>
      <c r="Y2528" t="s">
        <v>140</v>
      </c>
      <c r="Z2528" t="s">
        <v>43</v>
      </c>
      <c r="AA2528" t="s">
        <v>115</v>
      </c>
      <c r="AB2528" t="s">
        <v>268</v>
      </c>
      <c r="AC2528" t="s">
        <v>269</v>
      </c>
      <c r="AF2528" t="s">
        <v>137</v>
      </c>
      <c r="AG2528" s="1">
        <v>43840</v>
      </c>
      <c r="AH2528" t="s">
        <v>125</v>
      </c>
      <c r="AI2528" t="s">
        <v>92</v>
      </c>
      <c r="AJ2528">
        <v>1278023</v>
      </c>
      <c r="AK2528">
        <v>12365300</v>
      </c>
      <c r="AL2528">
        <v>12900</v>
      </c>
    </row>
    <row r="2529" spans="1:38" x14ac:dyDescent="0.25">
      <c r="A2529" t="s">
        <v>226</v>
      </c>
      <c r="B2529" t="s">
        <v>604</v>
      </c>
      <c r="C2529" t="s">
        <v>71</v>
      </c>
      <c r="D2529" s="1">
        <v>43191</v>
      </c>
      <c r="E2529" s="1">
        <v>43555</v>
      </c>
      <c r="F2529" t="s">
        <v>72</v>
      </c>
      <c r="G2529">
        <v>3</v>
      </c>
      <c r="H2529" t="s">
        <v>125</v>
      </c>
      <c r="I2529" t="s">
        <v>43</v>
      </c>
      <c r="J2529" t="s">
        <v>126</v>
      </c>
      <c r="K2529" t="s">
        <v>44</v>
      </c>
      <c r="L2529">
        <v>60.44</v>
      </c>
      <c r="M2529" s="1">
        <v>43191</v>
      </c>
      <c r="N2529" t="s">
        <v>45</v>
      </c>
      <c r="O2529" t="s">
        <v>46</v>
      </c>
      <c r="P2529" t="s">
        <v>47</v>
      </c>
      <c r="Q2529" s="1">
        <v>43852</v>
      </c>
      <c r="R2529" t="s">
        <v>48</v>
      </c>
      <c r="S2529" t="s">
        <v>266</v>
      </c>
      <c r="T2529" t="s">
        <v>267</v>
      </c>
      <c r="U2529" t="s">
        <v>125</v>
      </c>
      <c r="V2529">
        <v>700000</v>
      </c>
      <c r="W2529">
        <v>100000</v>
      </c>
      <c r="X2529" s="1">
        <v>43830</v>
      </c>
      <c r="Y2529" t="s">
        <v>51</v>
      </c>
      <c r="Z2529" t="s">
        <v>43</v>
      </c>
      <c r="AA2529" t="s">
        <v>115</v>
      </c>
      <c r="AB2529" t="s">
        <v>268</v>
      </c>
      <c r="AC2529" t="s">
        <v>269</v>
      </c>
      <c r="AF2529" t="s">
        <v>134</v>
      </c>
      <c r="AG2529" s="1">
        <v>43843</v>
      </c>
      <c r="AH2529" t="s">
        <v>125</v>
      </c>
      <c r="AI2529" t="s">
        <v>92</v>
      </c>
      <c r="AJ2529">
        <v>1278023</v>
      </c>
      <c r="AK2529">
        <v>12365300</v>
      </c>
      <c r="AL2529">
        <v>12900</v>
      </c>
    </row>
    <row r="2530" spans="1:38" x14ac:dyDescent="0.25">
      <c r="A2530" t="s">
        <v>226</v>
      </c>
      <c r="B2530" t="s">
        <v>604</v>
      </c>
      <c r="C2530" t="s">
        <v>71</v>
      </c>
      <c r="D2530" s="1">
        <v>43191</v>
      </c>
      <c r="E2530" s="1">
        <v>43555</v>
      </c>
      <c r="F2530" t="s">
        <v>72</v>
      </c>
      <c r="G2530">
        <v>3</v>
      </c>
      <c r="H2530" t="s">
        <v>125</v>
      </c>
      <c r="I2530" t="s">
        <v>43</v>
      </c>
      <c r="J2530" t="s">
        <v>126</v>
      </c>
      <c r="K2530" t="s">
        <v>44</v>
      </c>
      <c r="L2530">
        <v>60.44</v>
      </c>
      <c r="M2530" s="1">
        <v>43191</v>
      </c>
      <c r="N2530" t="s">
        <v>45</v>
      </c>
      <c r="O2530" t="s">
        <v>46</v>
      </c>
      <c r="P2530" t="s">
        <v>47</v>
      </c>
      <c r="Q2530" s="1">
        <v>43852</v>
      </c>
      <c r="R2530" t="s">
        <v>48</v>
      </c>
      <c r="S2530" t="s">
        <v>266</v>
      </c>
      <c r="T2530" t="s">
        <v>267</v>
      </c>
      <c r="U2530" t="s">
        <v>125</v>
      </c>
      <c r="V2530">
        <v>700000</v>
      </c>
      <c r="W2530">
        <v>100000</v>
      </c>
      <c r="X2530" s="1">
        <v>43830</v>
      </c>
      <c r="Y2530" t="s">
        <v>51</v>
      </c>
      <c r="Z2530" t="s">
        <v>43</v>
      </c>
      <c r="AA2530" t="s">
        <v>115</v>
      </c>
      <c r="AB2530" t="s">
        <v>268</v>
      </c>
      <c r="AC2530" t="s">
        <v>269</v>
      </c>
      <c r="AF2530" t="s">
        <v>135</v>
      </c>
      <c r="AG2530" s="1">
        <v>43843</v>
      </c>
      <c r="AH2530" t="s">
        <v>125</v>
      </c>
      <c r="AI2530" t="s">
        <v>92</v>
      </c>
      <c r="AJ2530">
        <v>1278023</v>
      </c>
      <c r="AK2530">
        <v>12365300</v>
      </c>
      <c r="AL2530">
        <v>12900</v>
      </c>
    </row>
    <row r="2531" spans="1:38" x14ac:dyDescent="0.25">
      <c r="A2531" t="s">
        <v>226</v>
      </c>
      <c r="B2531" t="s">
        <v>604</v>
      </c>
      <c r="C2531" t="s">
        <v>71</v>
      </c>
      <c r="D2531" s="1">
        <v>43191</v>
      </c>
      <c r="E2531" s="1">
        <v>43555</v>
      </c>
      <c r="F2531" t="s">
        <v>72</v>
      </c>
      <c r="G2531">
        <v>3</v>
      </c>
      <c r="H2531" t="s">
        <v>125</v>
      </c>
      <c r="I2531" t="s">
        <v>43</v>
      </c>
      <c r="J2531" t="s">
        <v>126</v>
      </c>
      <c r="K2531" t="s">
        <v>44</v>
      </c>
      <c r="L2531">
        <v>60.44</v>
      </c>
      <c r="M2531" s="1">
        <v>43191</v>
      </c>
      <c r="N2531" t="s">
        <v>45</v>
      </c>
      <c r="O2531" t="s">
        <v>46</v>
      </c>
      <c r="P2531" t="s">
        <v>47</v>
      </c>
      <c r="Q2531" s="1">
        <v>43852</v>
      </c>
      <c r="R2531" t="s">
        <v>48</v>
      </c>
      <c r="S2531" t="s">
        <v>266</v>
      </c>
      <c r="T2531" t="s">
        <v>267</v>
      </c>
      <c r="U2531" t="s">
        <v>125</v>
      </c>
      <c r="V2531">
        <v>700000</v>
      </c>
      <c r="W2531">
        <v>100000</v>
      </c>
      <c r="X2531" s="1">
        <v>43830</v>
      </c>
      <c r="Y2531" t="s">
        <v>51</v>
      </c>
      <c r="Z2531" t="s">
        <v>43</v>
      </c>
      <c r="AA2531" t="s">
        <v>115</v>
      </c>
      <c r="AB2531" t="s">
        <v>268</v>
      </c>
      <c r="AC2531" t="s">
        <v>269</v>
      </c>
      <c r="AF2531" t="s">
        <v>136</v>
      </c>
      <c r="AG2531" s="1">
        <v>43839</v>
      </c>
      <c r="AH2531" t="s">
        <v>125</v>
      </c>
      <c r="AI2531" t="s">
        <v>92</v>
      </c>
      <c r="AJ2531">
        <v>1278023</v>
      </c>
      <c r="AK2531">
        <v>12365300</v>
      </c>
      <c r="AL2531">
        <v>12900</v>
      </c>
    </row>
    <row r="2532" spans="1:38" x14ac:dyDescent="0.25">
      <c r="A2532" t="s">
        <v>226</v>
      </c>
      <c r="B2532" t="s">
        <v>604</v>
      </c>
      <c r="C2532" t="s">
        <v>71</v>
      </c>
      <c r="D2532" s="1">
        <v>43191</v>
      </c>
      <c r="E2532" s="1">
        <v>43555</v>
      </c>
      <c r="F2532" t="s">
        <v>72</v>
      </c>
      <c r="G2532">
        <v>3</v>
      </c>
      <c r="H2532" t="s">
        <v>125</v>
      </c>
      <c r="I2532" t="s">
        <v>43</v>
      </c>
      <c r="J2532" t="s">
        <v>126</v>
      </c>
      <c r="K2532" t="s">
        <v>44</v>
      </c>
      <c r="L2532">
        <v>60.44</v>
      </c>
      <c r="M2532" s="1">
        <v>43191</v>
      </c>
      <c r="N2532" t="s">
        <v>45</v>
      </c>
      <c r="O2532" t="s">
        <v>46</v>
      </c>
      <c r="P2532" t="s">
        <v>47</v>
      </c>
      <c r="Q2532" s="1">
        <v>43852</v>
      </c>
      <c r="R2532" t="s">
        <v>48</v>
      </c>
      <c r="S2532" t="s">
        <v>266</v>
      </c>
      <c r="T2532" t="s">
        <v>267</v>
      </c>
      <c r="U2532" t="s">
        <v>125</v>
      </c>
      <c r="V2532">
        <v>700000</v>
      </c>
      <c r="W2532">
        <v>100000</v>
      </c>
      <c r="X2532" s="1">
        <v>43830</v>
      </c>
      <c r="Y2532" t="s">
        <v>51</v>
      </c>
      <c r="Z2532" t="s">
        <v>43</v>
      </c>
      <c r="AA2532" t="s">
        <v>115</v>
      </c>
      <c r="AB2532" t="s">
        <v>268</v>
      </c>
      <c r="AC2532" t="s">
        <v>269</v>
      </c>
      <c r="AF2532" t="s">
        <v>137</v>
      </c>
      <c r="AG2532" s="1">
        <v>43840</v>
      </c>
      <c r="AH2532" t="s">
        <v>125</v>
      </c>
      <c r="AI2532" t="s">
        <v>92</v>
      </c>
      <c r="AJ2532">
        <v>1278023</v>
      </c>
      <c r="AK2532">
        <v>12365300</v>
      </c>
      <c r="AL2532">
        <v>12900</v>
      </c>
    </row>
    <row r="2533" spans="1:38" x14ac:dyDescent="0.25">
      <c r="A2533" t="s">
        <v>226</v>
      </c>
      <c r="B2533" t="s">
        <v>604</v>
      </c>
      <c r="C2533" t="s">
        <v>71</v>
      </c>
      <c r="D2533" s="1">
        <v>43191</v>
      </c>
      <c r="E2533" s="1">
        <v>43555</v>
      </c>
      <c r="F2533" t="s">
        <v>72</v>
      </c>
      <c r="G2533">
        <v>3</v>
      </c>
      <c r="H2533" t="s">
        <v>125</v>
      </c>
      <c r="I2533" t="s">
        <v>43</v>
      </c>
      <c r="J2533" t="s">
        <v>126</v>
      </c>
      <c r="K2533" t="s">
        <v>44</v>
      </c>
      <c r="L2533">
        <v>60.44</v>
      </c>
      <c r="M2533" s="1">
        <v>43191</v>
      </c>
      <c r="N2533" t="s">
        <v>45</v>
      </c>
      <c r="O2533" t="s">
        <v>46</v>
      </c>
      <c r="P2533" t="s">
        <v>47</v>
      </c>
      <c r="Q2533" s="1">
        <v>43852</v>
      </c>
      <c r="R2533" t="s">
        <v>48</v>
      </c>
      <c r="S2533" t="s">
        <v>72</v>
      </c>
      <c r="T2533" t="s">
        <v>270</v>
      </c>
      <c r="U2533" t="s">
        <v>125</v>
      </c>
      <c r="V2533">
        <v>0</v>
      </c>
      <c r="W2533">
        <v>500000</v>
      </c>
      <c r="X2533" s="1">
        <v>43739</v>
      </c>
      <c r="Y2533" t="s">
        <v>131</v>
      </c>
      <c r="Z2533" t="s">
        <v>43</v>
      </c>
      <c r="AA2533" t="s">
        <v>115</v>
      </c>
      <c r="AB2533" t="s">
        <v>268</v>
      </c>
      <c r="AC2533" t="s">
        <v>269</v>
      </c>
      <c r="AF2533" t="s">
        <v>134</v>
      </c>
      <c r="AG2533" s="1">
        <v>43843</v>
      </c>
      <c r="AH2533" t="s">
        <v>125</v>
      </c>
      <c r="AI2533" t="s">
        <v>92</v>
      </c>
      <c r="AJ2533">
        <v>1278023</v>
      </c>
      <c r="AK2533">
        <v>12365300</v>
      </c>
      <c r="AL2533">
        <v>12900</v>
      </c>
    </row>
    <row r="2534" spans="1:38" x14ac:dyDescent="0.25">
      <c r="A2534" t="s">
        <v>226</v>
      </c>
      <c r="B2534" t="s">
        <v>604</v>
      </c>
      <c r="C2534" t="s">
        <v>71</v>
      </c>
      <c r="D2534" s="1">
        <v>43191</v>
      </c>
      <c r="E2534" s="1">
        <v>43555</v>
      </c>
      <c r="F2534" t="s">
        <v>72</v>
      </c>
      <c r="G2534">
        <v>3</v>
      </c>
      <c r="H2534" t="s">
        <v>125</v>
      </c>
      <c r="I2534" t="s">
        <v>43</v>
      </c>
      <c r="J2534" t="s">
        <v>126</v>
      </c>
      <c r="K2534" t="s">
        <v>44</v>
      </c>
      <c r="L2534">
        <v>60.44</v>
      </c>
      <c r="M2534" s="1">
        <v>43191</v>
      </c>
      <c r="N2534" t="s">
        <v>45</v>
      </c>
      <c r="O2534" t="s">
        <v>46</v>
      </c>
      <c r="P2534" t="s">
        <v>47</v>
      </c>
      <c r="Q2534" s="1">
        <v>43852</v>
      </c>
      <c r="R2534" t="s">
        <v>48</v>
      </c>
      <c r="S2534" t="s">
        <v>72</v>
      </c>
      <c r="T2534" t="s">
        <v>270</v>
      </c>
      <c r="U2534" t="s">
        <v>125</v>
      </c>
      <c r="V2534">
        <v>0</v>
      </c>
      <c r="W2534">
        <v>500000</v>
      </c>
      <c r="X2534" s="1">
        <v>43739</v>
      </c>
      <c r="Y2534" t="s">
        <v>131</v>
      </c>
      <c r="Z2534" t="s">
        <v>43</v>
      </c>
      <c r="AA2534" t="s">
        <v>115</v>
      </c>
      <c r="AB2534" t="s">
        <v>268</v>
      </c>
      <c r="AC2534" t="s">
        <v>269</v>
      </c>
      <c r="AF2534" t="s">
        <v>135</v>
      </c>
      <c r="AG2534" s="1">
        <v>43843</v>
      </c>
      <c r="AH2534" t="s">
        <v>125</v>
      </c>
      <c r="AI2534" t="s">
        <v>92</v>
      </c>
      <c r="AJ2534">
        <v>1278023</v>
      </c>
      <c r="AK2534">
        <v>12365300</v>
      </c>
      <c r="AL2534">
        <v>12900</v>
      </c>
    </row>
    <row r="2535" spans="1:38" x14ac:dyDescent="0.25">
      <c r="A2535" t="s">
        <v>226</v>
      </c>
      <c r="B2535" t="s">
        <v>604</v>
      </c>
      <c r="C2535" t="s">
        <v>71</v>
      </c>
      <c r="D2535" s="1">
        <v>43191</v>
      </c>
      <c r="E2535" s="1">
        <v>43555</v>
      </c>
      <c r="F2535" t="s">
        <v>72</v>
      </c>
      <c r="G2535">
        <v>3</v>
      </c>
      <c r="H2535" t="s">
        <v>125</v>
      </c>
      <c r="I2535" t="s">
        <v>43</v>
      </c>
      <c r="J2535" t="s">
        <v>126</v>
      </c>
      <c r="K2535" t="s">
        <v>44</v>
      </c>
      <c r="L2535">
        <v>60.44</v>
      </c>
      <c r="M2535" s="1">
        <v>43191</v>
      </c>
      <c r="N2535" t="s">
        <v>45</v>
      </c>
      <c r="O2535" t="s">
        <v>46</v>
      </c>
      <c r="P2535" t="s">
        <v>47</v>
      </c>
      <c r="Q2535" s="1">
        <v>43852</v>
      </c>
      <c r="R2535" t="s">
        <v>48</v>
      </c>
      <c r="S2535" t="s">
        <v>72</v>
      </c>
      <c r="T2535" t="s">
        <v>270</v>
      </c>
      <c r="U2535" t="s">
        <v>125</v>
      </c>
      <c r="V2535">
        <v>0</v>
      </c>
      <c r="W2535">
        <v>500000</v>
      </c>
      <c r="X2535" s="1">
        <v>43739</v>
      </c>
      <c r="Y2535" t="s">
        <v>131</v>
      </c>
      <c r="Z2535" t="s">
        <v>43</v>
      </c>
      <c r="AA2535" t="s">
        <v>115</v>
      </c>
      <c r="AB2535" t="s">
        <v>268</v>
      </c>
      <c r="AC2535" t="s">
        <v>269</v>
      </c>
      <c r="AF2535" t="s">
        <v>136</v>
      </c>
      <c r="AG2535" s="1">
        <v>43839</v>
      </c>
      <c r="AH2535" t="s">
        <v>125</v>
      </c>
      <c r="AI2535" t="s">
        <v>92</v>
      </c>
      <c r="AJ2535">
        <v>1278023</v>
      </c>
      <c r="AK2535">
        <v>12365300</v>
      </c>
      <c r="AL2535">
        <v>12900</v>
      </c>
    </row>
    <row r="2536" spans="1:38" x14ac:dyDescent="0.25">
      <c r="A2536" t="s">
        <v>226</v>
      </c>
      <c r="B2536" t="s">
        <v>604</v>
      </c>
      <c r="C2536" t="s">
        <v>71</v>
      </c>
      <c r="D2536" s="1">
        <v>43191</v>
      </c>
      <c r="E2536" s="1">
        <v>43555</v>
      </c>
      <c r="F2536" t="s">
        <v>72</v>
      </c>
      <c r="G2536">
        <v>3</v>
      </c>
      <c r="H2536" t="s">
        <v>125</v>
      </c>
      <c r="I2536" t="s">
        <v>43</v>
      </c>
      <c r="J2536" t="s">
        <v>126</v>
      </c>
      <c r="K2536" t="s">
        <v>44</v>
      </c>
      <c r="L2536">
        <v>60.44</v>
      </c>
      <c r="M2536" s="1">
        <v>43191</v>
      </c>
      <c r="N2536" t="s">
        <v>45</v>
      </c>
      <c r="O2536" t="s">
        <v>46</v>
      </c>
      <c r="P2536" t="s">
        <v>47</v>
      </c>
      <c r="Q2536" s="1">
        <v>43852</v>
      </c>
      <c r="R2536" t="s">
        <v>48</v>
      </c>
      <c r="S2536" t="s">
        <v>72</v>
      </c>
      <c r="T2536" t="s">
        <v>270</v>
      </c>
      <c r="U2536" t="s">
        <v>125</v>
      </c>
      <c r="V2536">
        <v>0</v>
      </c>
      <c r="W2536">
        <v>500000</v>
      </c>
      <c r="X2536" s="1">
        <v>43739</v>
      </c>
      <c r="Y2536" t="s">
        <v>131</v>
      </c>
      <c r="Z2536" t="s">
        <v>43</v>
      </c>
      <c r="AA2536" t="s">
        <v>115</v>
      </c>
      <c r="AB2536" t="s">
        <v>268</v>
      </c>
      <c r="AC2536" t="s">
        <v>269</v>
      </c>
      <c r="AF2536" t="s">
        <v>137</v>
      </c>
      <c r="AG2536" s="1">
        <v>43840</v>
      </c>
      <c r="AH2536" t="s">
        <v>125</v>
      </c>
      <c r="AI2536" t="s">
        <v>92</v>
      </c>
      <c r="AJ2536">
        <v>1278023</v>
      </c>
      <c r="AK2536">
        <v>12365300</v>
      </c>
      <c r="AL2536">
        <v>12900</v>
      </c>
    </row>
    <row r="2537" spans="1:38" x14ac:dyDescent="0.25">
      <c r="A2537" t="s">
        <v>226</v>
      </c>
      <c r="B2537" t="s">
        <v>604</v>
      </c>
      <c r="C2537" t="s">
        <v>71</v>
      </c>
      <c r="D2537" s="1">
        <v>43191</v>
      </c>
      <c r="E2537" s="1">
        <v>43555</v>
      </c>
      <c r="F2537" t="s">
        <v>72</v>
      </c>
      <c r="G2537">
        <v>3</v>
      </c>
      <c r="H2537" t="s">
        <v>125</v>
      </c>
      <c r="I2537" t="s">
        <v>43</v>
      </c>
      <c r="J2537" t="s">
        <v>126</v>
      </c>
      <c r="K2537" t="s">
        <v>44</v>
      </c>
      <c r="L2537">
        <v>60.44</v>
      </c>
      <c r="M2537" s="1">
        <v>43191</v>
      </c>
      <c r="N2537" t="s">
        <v>45</v>
      </c>
      <c r="O2537" t="s">
        <v>46</v>
      </c>
      <c r="P2537" t="s">
        <v>47</v>
      </c>
      <c r="Q2537" s="1">
        <v>43852</v>
      </c>
      <c r="R2537" t="s">
        <v>48</v>
      </c>
      <c r="S2537" t="s">
        <v>271</v>
      </c>
      <c r="T2537" t="s">
        <v>272</v>
      </c>
      <c r="U2537" t="s">
        <v>125</v>
      </c>
      <c r="V2537">
        <v>0</v>
      </c>
      <c r="W2537">
        <v>50000</v>
      </c>
      <c r="X2537" s="1">
        <v>43738</v>
      </c>
      <c r="Y2537" t="s">
        <v>140</v>
      </c>
      <c r="Z2537" t="s">
        <v>43</v>
      </c>
      <c r="AA2537" t="s">
        <v>115</v>
      </c>
      <c r="AB2537" t="s">
        <v>268</v>
      </c>
      <c r="AC2537" t="s">
        <v>269</v>
      </c>
      <c r="AF2537" t="s">
        <v>134</v>
      </c>
      <c r="AG2537" s="1">
        <v>43843</v>
      </c>
      <c r="AH2537" t="s">
        <v>125</v>
      </c>
      <c r="AI2537" t="s">
        <v>92</v>
      </c>
      <c r="AJ2537">
        <v>1278023</v>
      </c>
      <c r="AK2537">
        <v>12365300</v>
      </c>
      <c r="AL2537">
        <v>12900</v>
      </c>
    </row>
    <row r="2538" spans="1:38" x14ac:dyDescent="0.25">
      <c r="A2538" t="s">
        <v>226</v>
      </c>
      <c r="B2538" t="s">
        <v>604</v>
      </c>
      <c r="C2538" t="s">
        <v>71</v>
      </c>
      <c r="D2538" s="1">
        <v>43191</v>
      </c>
      <c r="E2538" s="1">
        <v>43555</v>
      </c>
      <c r="F2538" t="s">
        <v>72</v>
      </c>
      <c r="G2538">
        <v>3</v>
      </c>
      <c r="H2538" t="s">
        <v>125</v>
      </c>
      <c r="I2538" t="s">
        <v>43</v>
      </c>
      <c r="J2538" t="s">
        <v>126</v>
      </c>
      <c r="K2538" t="s">
        <v>44</v>
      </c>
      <c r="L2538">
        <v>60.44</v>
      </c>
      <c r="M2538" s="1">
        <v>43191</v>
      </c>
      <c r="N2538" t="s">
        <v>45</v>
      </c>
      <c r="O2538" t="s">
        <v>46</v>
      </c>
      <c r="P2538" t="s">
        <v>47</v>
      </c>
      <c r="Q2538" s="1">
        <v>43852</v>
      </c>
      <c r="R2538" t="s">
        <v>48</v>
      </c>
      <c r="S2538" t="s">
        <v>271</v>
      </c>
      <c r="T2538" t="s">
        <v>272</v>
      </c>
      <c r="U2538" t="s">
        <v>125</v>
      </c>
      <c r="V2538">
        <v>0</v>
      </c>
      <c r="W2538">
        <v>50000</v>
      </c>
      <c r="X2538" s="1">
        <v>43738</v>
      </c>
      <c r="Y2538" t="s">
        <v>140</v>
      </c>
      <c r="Z2538" t="s">
        <v>43</v>
      </c>
      <c r="AA2538" t="s">
        <v>115</v>
      </c>
      <c r="AB2538" t="s">
        <v>268</v>
      </c>
      <c r="AC2538" t="s">
        <v>269</v>
      </c>
      <c r="AF2538" t="s">
        <v>135</v>
      </c>
      <c r="AG2538" s="1">
        <v>43843</v>
      </c>
      <c r="AH2538" t="s">
        <v>125</v>
      </c>
      <c r="AI2538" t="s">
        <v>92</v>
      </c>
      <c r="AJ2538">
        <v>1278023</v>
      </c>
      <c r="AK2538">
        <v>12365300</v>
      </c>
      <c r="AL2538">
        <v>12900</v>
      </c>
    </row>
    <row r="2539" spans="1:38" x14ac:dyDescent="0.25">
      <c r="A2539" t="s">
        <v>226</v>
      </c>
      <c r="B2539" t="s">
        <v>604</v>
      </c>
      <c r="C2539" t="s">
        <v>71</v>
      </c>
      <c r="D2539" s="1">
        <v>43191</v>
      </c>
      <c r="E2539" s="1">
        <v>43555</v>
      </c>
      <c r="F2539" t="s">
        <v>72</v>
      </c>
      <c r="G2539">
        <v>3</v>
      </c>
      <c r="H2539" t="s">
        <v>125</v>
      </c>
      <c r="I2539" t="s">
        <v>43</v>
      </c>
      <c r="J2539" t="s">
        <v>126</v>
      </c>
      <c r="K2539" t="s">
        <v>44</v>
      </c>
      <c r="L2539">
        <v>60.44</v>
      </c>
      <c r="M2539" s="1">
        <v>43191</v>
      </c>
      <c r="N2539" t="s">
        <v>45</v>
      </c>
      <c r="O2539" t="s">
        <v>46</v>
      </c>
      <c r="P2539" t="s">
        <v>47</v>
      </c>
      <c r="Q2539" s="1">
        <v>43852</v>
      </c>
      <c r="R2539" t="s">
        <v>48</v>
      </c>
      <c r="S2539" t="s">
        <v>271</v>
      </c>
      <c r="T2539" t="s">
        <v>272</v>
      </c>
      <c r="U2539" t="s">
        <v>125</v>
      </c>
      <c r="V2539">
        <v>0</v>
      </c>
      <c r="W2539">
        <v>50000</v>
      </c>
      <c r="X2539" s="1">
        <v>43738</v>
      </c>
      <c r="Y2539" t="s">
        <v>140</v>
      </c>
      <c r="Z2539" t="s">
        <v>43</v>
      </c>
      <c r="AA2539" t="s">
        <v>115</v>
      </c>
      <c r="AB2539" t="s">
        <v>268</v>
      </c>
      <c r="AC2539" t="s">
        <v>269</v>
      </c>
      <c r="AF2539" t="s">
        <v>136</v>
      </c>
      <c r="AG2539" s="1">
        <v>43839</v>
      </c>
      <c r="AH2539" t="s">
        <v>125</v>
      </c>
      <c r="AI2539" t="s">
        <v>92</v>
      </c>
      <c r="AJ2539">
        <v>1278023</v>
      </c>
      <c r="AK2539">
        <v>12365300</v>
      </c>
      <c r="AL2539">
        <v>12900</v>
      </c>
    </row>
    <row r="2540" spans="1:38" x14ac:dyDescent="0.25">
      <c r="A2540" t="s">
        <v>226</v>
      </c>
      <c r="B2540" t="s">
        <v>604</v>
      </c>
      <c r="C2540" t="s">
        <v>71</v>
      </c>
      <c r="D2540" s="1">
        <v>43191</v>
      </c>
      <c r="E2540" s="1">
        <v>43555</v>
      </c>
      <c r="F2540" t="s">
        <v>72</v>
      </c>
      <c r="G2540">
        <v>3</v>
      </c>
      <c r="H2540" t="s">
        <v>125</v>
      </c>
      <c r="I2540" t="s">
        <v>43</v>
      </c>
      <c r="J2540" t="s">
        <v>126</v>
      </c>
      <c r="K2540" t="s">
        <v>44</v>
      </c>
      <c r="L2540">
        <v>60.44</v>
      </c>
      <c r="M2540" s="1">
        <v>43191</v>
      </c>
      <c r="N2540" t="s">
        <v>45</v>
      </c>
      <c r="O2540" t="s">
        <v>46</v>
      </c>
      <c r="P2540" t="s">
        <v>47</v>
      </c>
      <c r="Q2540" s="1">
        <v>43852</v>
      </c>
      <c r="R2540" t="s">
        <v>48</v>
      </c>
      <c r="S2540" t="s">
        <v>271</v>
      </c>
      <c r="T2540" t="s">
        <v>272</v>
      </c>
      <c r="U2540" t="s">
        <v>125</v>
      </c>
      <c r="V2540">
        <v>0</v>
      </c>
      <c r="W2540">
        <v>50000</v>
      </c>
      <c r="X2540" s="1">
        <v>43738</v>
      </c>
      <c r="Y2540" t="s">
        <v>140</v>
      </c>
      <c r="Z2540" t="s">
        <v>43</v>
      </c>
      <c r="AA2540" t="s">
        <v>115</v>
      </c>
      <c r="AB2540" t="s">
        <v>268</v>
      </c>
      <c r="AC2540" t="s">
        <v>269</v>
      </c>
      <c r="AF2540" t="s">
        <v>137</v>
      </c>
      <c r="AG2540" s="1">
        <v>43840</v>
      </c>
      <c r="AH2540" t="s">
        <v>125</v>
      </c>
      <c r="AI2540" t="s">
        <v>92</v>
      </c>
      <c r="AJ2540">
        <v>1278023</v>
      </c>
      <c r="AK2540">
        <v>12365300</v>
      </c>
      <c r="AL2540">
        <v>12900</v>
      </c>
    </row>
    <row r="2541" spans="1:38" x14ac:dyDescent="0.25">
      <c r="A2541" t="s">
        <v>228</v>
      </c>
      <c r="B2541" t="s">
        <v>604</v>
      </c>
      <c r="C2541" t="s">
        <v>71</v>
      </c>
      <c r="D2541" s="1">
        <v>43191</v>
      </c>
      <c r="E2541" s="1">
        <v>43555</v>
      </c>
      <c r="F2541" t="s">
        <v>72</v>
      </c>
      <c r="G2541">
        <v>3</v>
      </c>
      <c r="H2541" t="s">
        <v>125</v>
      </c>
      <c r="I2541" t="s">
        <v>43</v>
      </c>
      <c r="J2541" t="s">
        <v>126</v>
      </c>
      <c r="K2541" t="s">
        <v>44</v>
      </c>
      <c r="L2541">
        <v>24.17</v>
      </c>
      <c r="M2541" s="1">
        <v>43191</v>
      </c>
      <c r="N2541" t="s">
        <v>45</v>
      </c>
      <c r="O2541" t="s">
        <v>46</v>
      </c>
      <c r="P2541" t="s">
        <v>47</v>
      </c>
      <c r="Q2541" s="1">
        <v>43852</v>
      </c>
      <c r="R2541" t="s">
        <v>48</v>
      </c>
      <c r="S2541" t="s">
        <v>266</v>
      </c>
      <c r="T2541" t="s">
        <v>267</v>
      </c>
      <c r="U2541" t="s">
        <v>125</v>
      </c>
      <c r="V2541">
        <v>700000</v>
      </c>
      <c r="W2541">
        <v>100000</v>
      </c>
      <c r="X2541" s="1">
        <v>43830</v>
      </c>
      <c r="Y2541" t="s">
        <v>51</v>
      </c>
      <c r="Z2541" t="s">
        <v>43</v>
      </c>
      <c r="AA2541" t="s">
        <v>115</v>
      </c>
      <c r="AB2541" t="s">
        <v>268</v>
      </c>
      <c r="AC2541" t="s">
        <v>269</v>
      </c>
      <c r="AF2541" t="s">
        <v>134</v>
      </c>
      <c r="AG2541" s="1">
        <v>43843</v>
      </c>
      <c r="AH2541" t="s">
        <v>125</v>
      </c>
      <c r="AI2541" t="s">
        <v>92</v>
      </c>
      <c r="AJ2541">
        <v>1278023</v>
      </c>
      <c r="AK2541">
        <v>12365300</v>
      </c>
      <c r="AL2541">
        <v>12900</v>
      </c>
    </row>
    <row r="2542" spans="1:38" x14ac:dyDescent="0.25">
      <c r="A2542" t="s">
        <v>228</v>
      </c>
      <c r="B2542" t="s">
        <v>604</v>
      </c>
      <c r="C2542" t="s">
        <v>71</v>
      </c>
      <c r="D2542" s="1">
        <v>43191</v>
      </c>
      <c r="E2542" s="1">
        <v>43555</v>
      </c>
      <c r="F2542" t="s">
        <v>72</v>
      </c>
      <c r="G2542">
        <v>3</v>
      </c>
      <c r="H2542" t="s">
        <v>125</v>
      </c>
      <c r="I2542" t="s">
        <v>43</v>
      </c>
      <c r="J2542" t="s">
        <v>126</v>
      </c>
      <c r="K2542" t="s">
        <v>44</v>
      </c>
      <c r="L2542">
        <v>24.17</v>
      </c>
      <c r="M2542" s="1">
        <v>43191</v>
      </c>
      <c r="N2542" t="s">
        <v>45</v>
      </c>
      <c r="O2542" t="s">
        <v>46</v>
      </c>
      <c r="P2542" t="s">
        <v>47</v>
      </c>
      <c r="Q2542" s="1">
        <v>43852</v>
      </c>
      <c r="R2542" t="s">
        <v>48</v>
      </c>
      <c r="S2542" t="s">
        <v>266</v>
      </c>
      <c r="T2542" t="s">
        <v>267</v>
      </c>
      <c r="U2542" t="s">
        <v>125</v>
      </c>
      <c r="V2542">
        <v>700000</v>
      </c>
      <c r="W2542">
        <v>100000</v>
      </c>
      <c r="X2542" s="1">
        <v>43830</v>
      </c>
      <c r="Y2542" t="s">
        <v>51</v>
      </c>
      <c r="Z2542" t="s">
        <v>43</v>
      </c>
      <c r="AA2542" t="s">
        <v>115</v>
      </c>
      <c r="AB2542" t="s">
        <v>268</v>
      </c>
      <c r="AC2542" t="s">
        <v>269</v>
      </c>
      <c r="AF2542" t="s">
        <v>135</v>
      </c>
      <c r="AG2542" s="1">
        <v>43843</v>
      </c>
      <c r="AH2542" t="s">
        <v>125</v>
      </c>
      <c r="AI2542" t="s">
        <v>92</v>
      </c>
      <c r="AJ2542">
        <v>1278023</v>
      </c>
      <c r="AK2542">
        <v>12365300</v>
      </c>
      <c r="AL2542">
        <v>12900</v>
      </c>
    </row>
    <row r="2543" spans="1:38" x14ac:dyDescent="0.25">
      <c r="A2543" t="s">
        <v>228</v>
      </c>
      <c r="B2543" t="s">
        <v>604</v>
      </c>
      <c r="C2543" t="s">
        <v>71</v>
      </c>
      <c r="D2543" s="1">
        <v>43191</v>
      </c>
      <c r="E2543" s="1">
        <v>43555</v>
      </c>
      <c r="F2543" t="s">
        <v>72</v>
      </c>
      <c r="G2543">
        <v>3</v>
      </c>
      <c r="H2543" t="s">
        <v>125</v>
      </c>
      <c r="I2543" t="s">
        <v>43</v>
      </c>
      <c r="J2543" t="s">
        <v>126</v>
      </c>
      <c r="K2543" t="s">
        <v>44</v>
      </c>
      <c r="L2543">
        <v>24.17</v>
      </c>
      <c r="M2543" s="1">
        <v>43191</v>
      </c>
      <c r="N2543" t="s">
        <v>45</v>
      </c>
      <c r="O2543" t="s">
        <v>46</v>
      </c>
      <c r="P2543" t="s">
        <v>47</v>
      </c>
      <c r="Q2543" s="1">
        <v>43852</v>
      </c>
      <c r="R2543" t="s">
        <v>48</v>
      </c>
      <c r="S2543" t="s">
        <v>266</v>
      </c>
      <c r="T2543" t="s">
        <v>267</v>
      </c>
      <c r="U2543" t="s">
        <v>125</v>
      </c>
      <c r="V2543">
        <v>700000</v>
      </c>
      <c r="W2543">
        <v>100000</v>
      </c>
      <c r="X2543" s="1">
        <v>43830</v>
      </c>
      <c r="Y2543" t="s">
        <v>51</v>
      </c>
      <c r="Z2543" t="s">
        <v>43</v>
      </c>
      <c r="AA2543" t="s">
        <v>115</v>
      </c>
      <c r="AB2543" t="s">
        <v>268</v>
      </c>
      <c r="AC2543" t="s">
        <v>269</v>
      </c>
      <c r="AF2543" t="s">
        <v>136</v>
      </c>
      <c r="AG2543" s="1">
        <v>43839</v>
      </c>
      <c r="AH2543" t="s">
        <v>125</v>
      </c>
      <c r="AI2543" t="s">
        <v>92</v>
      </c>
      <c r="AJ2543">
        <v>1278023</v>
      </c>
      <c r="AK2543">
        <v>12365300</v>
      </c>
      <c r="AL2543">
        <v>12900</v>
      </c>
    </row>
    <row r="2544" spans="1:38" x14ac:dyDescent="0.25">
      <c r="A2544" t="s">
        <v>228</v>
      </c>
      <c r="B2544" t="s">
        <v>604</v>
      </c>
      <c r="C2544" t="s">
        <v>71</v>
      </c>
      <c r="D2544" s="1">
        <v>43191</v>
      </c>
      <c r="E2544" s="1">
        <v>43555</v>
      </c>
      <c r="F2544" t="s">
        <v>72</v>
      </c>
      <c r="G2544">
        <v>3</v>
      </c>
      <c r="H2544" t="s">
        <v>125</v>
      </c>
      <c r="I2544" t="s">
        <v>43</v>
      </c>
      <c r="J2544" t="s">
        <v>126</v>
      </c>
      <c r="K2544" t="s">
        <v>44</v>
      </c>
      <c r="L2544">
        <v>24.17</v>
      </c>
      <c r="M2544" s="1">
        <v>43191</v>
      </c>
      <c r="N2544" t="s">
        <v>45</v>
      </c>
      <c r="O2544" t="s">
        <v>46</v>
      </c>
      <c r="P2544" t="s">
        <v>47</v>
      </c>
      <c r="Q2544" s="1">
        <v>43852</v>
      </c>
      <c r="R2544" t="s">
        <v>48</v>
      </c>
      <c r="S2544" t="s">
        <v>266</v>
      </c>
      <c r="T2544" t="s">
        <v>267</v>
      </c>
      <c r="U2544" t="s">
        <v>125</v>
      </c>
      <c r="V2544">
        <v>700000</v>
      </c>
      <c r="W2544">
        <v>100000</v>
      </c>
      <c r="X2544" s="1">
        <v>43830</v>
      </c>
      <c r="Y2544" t="s">
        <v>51</v>
      </c>
      <c r="Z2544" t="s">
        <v>43</v>
      </c>
      <c r="AA2544" t="s">
        <v>115</v>
      </c>
      <c r="AB2544" t="s">
        <v>268</v>
      </c>
      <c r="AC2544" t="s">
        <v>269</v>
      </c>
      <c r="AF2544" t="s">
        <v>137</v>
      </c>
      <c r="AG2544" s="1">
        <v>43840</v>
      </c>
      <c r="AH2544" t="s">
        <v>125</v>
      </c>
      <c r="AI2544" t="s">
        <v>92</v>
      </c>
      <c r="AJ2544">
        <v>1278023</v>
      </c>
      <c r="AK2544">
        <v>12365300</v>
      </c>
      <c r="AL2544">
        <v>12900</v>
      </c>
    </row>
    <row r="2545" spans="1:38" x14ac:dyDescent="0.25">
      <c r="A2545" t="s">
        <v>228</v>
      </c>
      <c r="B2545" t="s">
        <v>604</v>
      </c>
      <c r="C2545" t="s">
        <v>71</v>
      </c>
      <c r="D2545" s="1">
        <v>43191</v>
      </c>
      <c r="E2545" s="1">
        <v>43555</v>
      </c>
      <c r="F2545" t="s">
        <v>72</v>
      </c>
      <c r="G2545">
        <v>3</v>
      </c>
      <c r="H2545" t="s">
        <v>125</v>
      </c>
      <c r="I2545" t="s">
        <v>43</v>
      </c>
      <c r="J2545" t="s">
        <v>126</v>
      </c>
      <c r="K2545" t="s">
        <v>44</v>
      </c>
      <c r="L2545">
        <v>24.17</v>
      </c>
      <c r="M2545" s="1">
        <v>43191</v>
      </c>
      <c r="N2545" t="s">
        <v>45</v>
      </c>
      <c r="O2545" t="s">
        <v>46</v>
      </c>
      <c r="P2545" t="s">
        <v>47</v>
      </c>
      <c r="Q2545" s="1">
        <v>43852</v>
      </c>
      <c r="R2545" t="s">
        <v>48</v>
      </c>
      <c r="S2545" t="s">
        <v>72</v>
      </c>
      <c r="T2545" t="s">
        <v>270</v>
      </c>
      <c r="U2545" t="s">
        <v>125</v>
      </c>
      <c r="V2545">
        <v>0</v>
      </c>
      <c r="W2545">
        <v>500000</v>
      </c>
      <c r="X2545" s="1">
        <v>43739</v>
      </c>
      <c r="Y2545" t="s">
        <v>131</v>
      </c>
      <c r="Z2545" t="s">
        <v>43</v>
      </c>
      <c r="AA2545" t="s">
        <v>115</v>
      </c>
      <c r="AB2545" t="s">
        <v>268</v>
      </c>
      <c r="AC2545" t="s">
        <v>269</v>
      </c>
      <c r="AF2545" t="s">
        <v>134</v>
      </c>
      <c r="AG2545" s="1">
        <v>43843</v>
      </c>
      <c r="AH2545" t="s">
        <v>125</v>
      </c>
      <c r="AI2545" t="s">
        <v>92</v>
      </c>
      <c r="AJ2545">
        <v>1278023</v>
      </c>
      <c r="AK2545">
        <v>12365300</v>
      </c>
      <c r="AL2545">
        <v>12900</v>
      </c>
    </row>
    <row r="2546" spans="1:38" x14ac:dyDescent="0.25">
      <c r="A2546" t="s">
        <v>228</v>
      </c>
      <c r="B2546" t="s">
        <v>604</v>
      </c>
      <c r="C2546" t="s">
        <v>71</v>
      </c>
      <c r="D2546" s="1">
        <v>43191</v>
      </c>
      <c r="E2546" s="1">
        <v>43555</v>
      </c>
      <c r="F2546" t="s">
        <v>72</v>
      </c>
      <c r="G2546">
        <v>3</v>
      </c>
      <c r="H2546" t="s">
        <v>125</v>
      </c>
      <c r="I2546" t="s">
        <v>43</v>
      </c>
      <c r="J2546" t="s">
        <v>126</v>
      </c>
      <c r="K2546" t="s">
        <v>44</v>
      </c>
      <c r="L2546">
        <v>24.17</v>
      </c>
      <c r="M2546" s="1">
        <v>43191</v>
      </c>
      <c r="N2546" t="s">
        <v>45</v>
      </c>
      <c r="O2546" t="s">
        <v>46</v>
      </c>
      <c r="P2546" t="s">
        <v>47</v>
      </c>
      <c r="Q2546" s="1">
        <v>43852</v>
      </c>
      <c r="R2546" t="s">
        <v>48</v>
      </c>
      <c r="S2546" t="s">
        <v>72</v>
      </c>
      <c r="T2546" t="s">
        <v>270</v>
      </c>
      <c r="U2546" t="s">
        <v>125</v>
      </c>
      <c r="V2546">
        <v>0</v>
      </c>
      <c r="W2546">
        <v>500000</v>
      </c>
      <c r="X2546" s="1">
        <v>43739</v>
      </c>
      <c r="Y2546" t="s">
        <v>131</v>
      </c>
      <c r="Z2546" t="s">
        <v>43</v>
      </c>
      <c r="AA2546" t="s">
        <v>115</v>
      </c>
      <c r="AB2546" t="s">
        <v>268</v>
      </c>
      <c r="AC2546" t="s">
        <v>269</v>
      </c>
      <c r="AF2546" t="s">
        <v>135</v>
      </c>
      <c r="AG2546" s="1">
        <v>43843</v>
      </c>
      <c r="AH2546" t="s">
        <v>125</v>
      </c>
      <c r="AI2546" t="s">
        <v>92</v>
      </c>
      <c r="AJ2546">
        <v>1278023</v>
      </c>
      <c r="AK2546">
        <v>12365300</v>
      </c>
      <c r="AL2546">
        <v>12900</v>
      </c>
    </row>
    <row r="2547" spans="1:38" x14ac:dyDescent="0.25">
      <c r="A2547" t="s">
        <v>228</v>
      </c>
      <c r="B2547" t="s">
        <v>604</v>
      </c>
      <c r="C2547" t="s">
        <v>71</v>
      </c>
      <c r="D2547" s="1">
        <v>43191</v>
      </c>
      <c r="E2547" s="1">
        <v>43555</v>
      </c>
      <c r="F2547" t="s">
        <v>72</v>
      </c>
      <c r="G2547">
        <v>3</v>
      </c>
      <c r="H2547" t="s">
        <v>125</v>
      </c>
      <c r="I2547" t="s">
        <v>43</v>
      </c>
      <c r="J2547" t="s">
        <v>126</v>
      </c>
      <c r="K2547" t="s">
        <v>44</v>
      </c>
      <c r="L2547">
        <v>24.17</v>
      </c>
      <c r="M2547" s="1">
        <v>43191</v>
      </c>
      <c r="N2547" t="s">
        <v>45</v>
      </c>
      <c r="O2547" t="s">
        <v>46</v>
      </c>
      <c r="P2547" t="s">
        <v>47</v>
      </c>
      <c r="Q2547" s="1">
        <v>43852</v>
      </c>
      <c r="R2547" t="s">
        <v>48</v>
      </c>
      <c r="S2547" t="s">
        <v>72</v>
      </c>
      <c r="T2547" t="s">
        <v>270</v>
      </c>
      <c r="U2547" t="s">
        <v>125</v>
      </c>
      <c r="V2547">
        <v>0</v>
      </c>
      <c r="W2547">
        <v>500000</v>
      </c>
      <c r="X2547" s="1">
        <v>43739</v>
      </c>
      <c r="Y2547" t="s">
        <v>131</v>
      </c>
      <c r="Z2547" t="s">
        <v>43</v>
      </c>
      <c r="AA2547" t="s">
        <v>115</v>
      </c>
      <c r="AB2547" t="s">
        <v>268</v>
      </c>
      <c r="AC2547" t="s">
        <v>269</v>
      </c>
      <c r="AF2547" t="s">
        <v>136</v>
      </c>
      <c r="AG2547" s="1">
        <v>43839</v>
      </c>
      <c r="AH2547" t="s">
        <v>125</v>
      </c>
      <c r="AI2547" t="s">
        <v>92</v>
      </c>
      <c r="AJ2547">
        <v>1278023</v>
      </c>
      <c r="AK2547">
        <v>12365300</v>
      </c>
      <c r="AL2547">
        <v>12900</v>
      </c>
    </row>
    <row r="2548" spans="1:38" x14ac:dyDescent="0.25">
      <c r="A2548" t="s">
        <v>228</v>
      </c>
      <c r="B2548" t="s">
        <v>604</v>
      </c>
      <c r="C2548" t="s">
        <v>71</v>
      </c>
      <c r="D2548" s="1">
        <v>43191</v>
      </c>
      <c r="E2548" s="1">
        <v>43555</v>
      </c>
      <c r="F2548" t="s">
        <v>72</v>
      </c>
      <c r="G2548">
        <v>3</v>
      </c>
      <c r="H2548" t="s">
        <v>125</v>
      </c>
      <c r="I2548" t="s">
        <v>43</v>
      </c>
      <c r="J2548" t="s">
        <v>126</v>
      </c>
      <c r="K2548" t="s">
        <v>44</v>
      </c>
      <c r="L2548">
        <v>24.17</v>
      </c>
      <c r="M2548" s="1">
        <v>43191</v>
      </c>
      <c r="N2548" t="s">
        <v>45</v>
      </c>
      <c r="O2548" t="s">
        <v>46</v>
      </c>
      <c r="P2548" t="s">
        <v>47</v>
      </c>
      <c r="Q2548" s="1">
        <v>43852</v>
      </c>
      <c r="R2548" t="s">
        <v>48</v>
      </c>
      <c r="S2548" t="s">
        <v>72</v>
      </c>
      <c r="T2548" t="s">
        <v>270</v>
      </c>
      <c r="U2548" t="s">
        <v>125</v>
      </c>
      <c r="V2548">
        <v>0</v>
      </c>
      <c r="W2548">
        <v>500000</v>
      </c>
      <c r="X2548" s="1">
        <v>43739</v>
      </c>
      <c r="Y2548" t="s">
        <v>131</v>
      </c>
      <c r="Z2548" t="s">
        <v>43</v>
      </c>
      <c r="AA2548" t="s">
        <v>115</v>
      </c>
      <c r="AB2548" t="s">
        <v>268</v>
      </c>
      <c r="AC2548" t="s">
        <v>269</v>
      </c>
      <c r="AF2548" t="s">
        <v>137</v>
      </c>
      <c r="AG2548" s="1">
        <v>43840</v>
      </c>
      <c r="AH2548" t="s">
        <v>125</v>
      </c>
      <c r="AI2548" t="s">
        <v>92</v>
      </c>
      <c r="AJ2548">
        <v>1278023</v>
      </c>
      <c r="AK2548">
        <v>12365300</v>
      </c>
      <c r="AL2548">
        <v>12900</v>
      </c>
    </row>
    <row r="2549" spans="1:38" x14ac:dyDescent="0.25">
      <c r="A2549" t="s">
        <v>228</v>
      </c>
      <c r="B2549" t="s">
        <v>604</v>
      </c>
      <c r="C2549" t="s">
        <v>71</v>
      </c>
      <c r="D2549" s="1">
        <v>43191</v>
      </c>
      <c r="E2549" s="1">
        <v>43555</v>
      </c>
      <c r="F2549" t="s">
        <v>72</v>
      </c>
      <c r="G2549">
        <v>3</v>
      </c>
      <c r="H2549" t="s">
        <v>125</v>
      </c>
      <c r="I2549" t="s">
        <v>43</v>
      </c>
      <c r="J2549" t="s">
        <v>126</v>
      </c>
      <c r="K2549" t="s">
        <v>44</v>
      </c>
      <c r="L2549">
        <v>24.17</v>
      </c>
      <c r="M2549" s="1">
        <v>43191</v>
      </c>
      <c r="N2549" t="s">
        <v>45</v>
      </c>
      <c r="O2549" t="s">
        <v>46</v>
      </c>
      <c r="P2549" t="s">
        <v>47</v>
      </c>
      <c r="Q2549" s="1">
        <v>43852</v>
      </c>
      <c r="R2549" t="s">
        <v>48</v>
      </c>
      <c r="S2549" t="s">
        <v>271</v>
      </c>
      <c r="T2549" t="s">
        <v>272</v>
      </c>
      <c r="U2549" t="s">
        <v>125</v>
      </c>
      <c r="V2549">
        <v>0</v>
      </c>
      <c r="W2549">
        <v>50000</v>
      </c>
      <c r="X2549" s="1">
        <v>43738</v>
      </c>
      <c r="Y2549" t="s">
        <v>140</v>
      </c>
      <c r="Z2549" t="s">
        <v>43</v>
      </c>
      <c r="AA2549" t="s">
        <v>115</v>
      </c>
      <c r="AB2549" t="s">
        <v>268</v>
      </c>
      <c r="AC2549" t="s">
        <v>269</v>
      </c>
      <c r="AF2549" t="s">
        <v>134</v>
      </c>
      <c r="AG2549" s="1">
        <v>43843</v>
      </c>
      <c r="AH2549" t="s">
        <v>125</v>
      </c>
      <c r="AI2549" t="s">
        <v>92</v>
      </c>
      <c r="AJ2549">
        <v>1278023</v>
      </c>
      <c r="AK2549">
        <v>12365300</v>
      </c>
      <c r="AL2549">
        <v>12900</v>
      </c>
    </row>
    <row r="2550" spans="1:38" x14ac:dyDescent="0.25">
      <c r="A2550" t="s">
        <v>228</v>
      </c>
      <c r="B2550" t="s">
        <v>604</v>
      </c>
      <c r="C2550" t="s">
        <v>71</v>
      </c>
      <c r="D2550" s="1">
        <v>43191</v>
      </c>
      <c r="E2550" s="1">
        <v>43555</v>
      </c>
      <c r="F2550" t="s">
        <v>72</v>
      </c>
      <c r="G2550">
        <v>3</v>
      </c>
      <c r="H2550" t="s">
        <v>125</v>
      </c>
      <c r="I2550" t="s">
        <v>43</v>
      </c>
      <c r="J2550" t="s">
        <v>126</v>
      </c>
      <c r="K2550" t="s">
        <v>44</v>
      </c>
      <c r="L2550">
        <v>24.17</v>
      </c>
      <c r="M2550" s="1">
        <v>43191</v>
      </c>
      <c r="N2550" t="s">
        <v>45</v>
      </c>
      <c r="O2550" t="s">
        <v>46</v>
      </c>
      <c r="P2550" t="s">
        <v>47</v>
      </c>
      <c r="Q2550" s="1">
        <v>43852</v>
      </c>
      <c r="R2550" t="s">
        <v>48</v>
      </c>
      <c r="S2550" t="s">
        <v>271</v>
      </c>
      <c r="T2550" t="s">
        <v>272</v>
      </c>
      <c r="U2550" t="s">
        <v>125</v>
      </c>
      <c r="V2550">
        <v>0</v>
      </c>
      <c r="W2550">
        <v>50000</v>
      </c>
      <c r="X2550" s="1">
        <v>43738</v>
      </c>
      <c r="Y2550" t="s">
        <v>140</v>
      </c>
      <c r="Z2550" t="s">
        <v>43</v>
      </c>
      <c r="AA2550" t="s">
        <v>115</v>
      </c>
      <c r="AB2550" t="s">
        <v>268</v>
      </c>
      <c r="AC2550" t="s">
        <v>269</v>
      </c>
      <c r="AF2550" t="s">
        <v>135</v>
      </c>
      <c r="AG2550" s="1">
        <v>43843</v>
      </c>
      <c r="AH2550" t="s">
        <v>125</v>
      </c>
      <c r="AI2550" t="s">
        <v>92</v>
      </c>
      <c r="AJ2550">
        <v>1278023</v>
      </c>
      <c r="AK2550">
        <v>12365300</v>
      </c>
      <c r="AL2550">
        <v>12900</v>
      </c>
    </row>
    <row r="2551" spans="1:38" x14ac:dyDescent="0.25">
      <c r="A2551" t="s">
        <v>228</v>
      </c>
      <c r="B2551" t="s">
        <v>604</v>
      </c>
      <c r="C2551" t="s">
        <v>71</v>
      </c>
      <c r="D2551" s="1">
        <v>43191</v>
      </c>
      <c r="E2551" s="1">
        <v>43555</v>
      </c>
      <c r="F2551" t="s">
        <v>72</v>
      </c>
      <c r="G2551">
        <v>3</v>
      </c>
      <c r="H2551" t="s">
        <v>125</v>
      </c>
      <c r="I2551" t="s">
        <v>43</v>
      </c>
      <c r="J2551" t="s">
        <v>126</v>
      </c>
      <c r="K2551" t="s">
        <v>44</v>
      </c>
      <c r="L2551">
        <v>24.17</v>
      </c>
      <c r="M2551" s="1">
        <v>43191</v>
      </c>
      <c r="N2551" t="s">
        <v>45</v>
      </c>
      <c r="O2551" t="s">
        <v>46</v>
      </c>
      <c r="P2551" t="s">
        <v>47</v>
      </c>
      <c r="Q2551" s="1">
        <v>43852</v>
      </c>
      <c r="R2551" t="s">
        <v>48</v>
      </c>
      <c r="S2551" t="s">
        <v>271</v>
      </c>
      <c r="T2551" t="s">
        <v>272</v>
      </c>
      <c r="U2551" t="s">
        <v>125</v>
      </c>
      <c r="V2551">
        <v>0</v>
      </c>
      <c r="W2551">
        <v>50000</v>
      </c>
      <c r="X2551" s="1">
        <v>43738</v>
      </c>
      <c r="Y2551" t="s">
        <v>140</v>
      </c>
      <c r="Z2551" t="s">
        <v>43</v>
      </c>
      <c r="AA2551" t="s">
        <v>115</v>
      </c>
      <c r="AB2551" t="s">
        <v>268</v>
      </c>
      <c r="AC2551" t="s">
        <v>269</v>
      </c>
      <c r="AF2551" t="s">
        <v>136</v>
      </c>
      <c r="AG2551" s="1">
        <v>43839</v>
      </c>
      <c r="AH2551" t="s">
        <v>125</v>
      </c>
      <c r="AI2551" t="s">
        <v>92</v>
      </c>
      <c r="AJ2551">
        <v>1278023</v>
      </c>
      <c r="AK2551">
        <v>12365300</v>
      </c>
      <c r="AL2551">
        <v>12900</v>
      </c>
    </row>
    <row r="2552" spans="1:38" x14ac:dyDescent="0.25">
      <c r="A2552" t="s">
        <v>228</v>
      </c>
      <c r="B2552" t="s">
        <v>604</v>
      </c>
      <c r="C2552" t="s">
        <v>71</v>
      </c>
      <c r="D2552" s="1">
        <v>43191</v>
      </c>
      <c r="E2552" s="1">
        <v>43555</v>
      </c>
      <c r="F2552" t="s">
        <v>72</v>
      </c>
      <c r="G2552">
        <v>3</v>
      </c>
      <c r="H2552" t="s">
        <v>125</v>
      </c>
      <c r="I2552" t="s">
        <v>43</v>
      </c>
      <c r="J2552" t="s">
        <v>126</v>
      </c>
      <c r="K2552" t="s">
        <v>44</v>
      </c>
      <c r="L2552">
        <v>24.17</v>
      </c>
      <c r="M2552" s="1">
        <v>43191</v>
      </c>
      <c r="N2552" t="s">
        <v>45</v>
      </c>
      <c r="O2552" t="s">
        <v>46</v>
      </c>
      <c r="P2552" t="s">
        <v>47</v>
      </c>
      <c r="Q2552" s="1">
        <v>43852</v>
      </c>
      <c r="R2552" t="s">
        <v>48</v>
      </c>
      <c r="S2552" t="s">
        <v>271</v>
      </c>
      <c r="T2552" t="s">
        <v>272</v>
      </c>
      <c r="U2552" t="s">
        <v>125</v>
      </c>
      <c r="V2552">
        <v>0</v>
      </c>
      <c r="W2552">
        <v>50000</v>
      </c>
      <c r="X2552" s="1">
        <v>43738</v>
      </c>
      <c r="Y2552" t="s">
        <v>140</v>
      </c>
      <c r="Z2552" t="s">
        <v>43</v>
      </c>
      <c r="AA2552" t="s">
        <v>115</v>
      </c>
      <c r="AB2552" t="s">
        <v>268</v>
      </c>
      <c r="AC2552" t="s">
        <v>269</v>
      </c>
      <c r="AF2552" t="s">
        <v>137</v>
      </c>
      <c r="AG2552" s="1">
        <v>43840</v>
      </c>
      <c r="AH2552" t="s">
        <v>125</v>
      </c>
      <c r="AI2552" t="s">
        <v>92</v>
      </c>
      <c r="AJ2552">
        <v>1278023</v>
      </c>
      <c r="AK2552">
        <v>12365300</v>
      </c>
      <c r="AL2552">
        <v>12900</v>
      </c>
    </row>
    <row r="2553" spans="1:38" x14ac:dyDescent="0.25">
      <c r="A2553" t="s">
        <v>229</v>
      </c>
      <c r="B2553" t="s">
        <v>605</v>
      </c>
      <c r="C2553" t="s">
        <v>40</v>
      </c>
      <c r="D2553" s="1">
        <v>43191</v>
      </c>
      <c r="E2553" s="1">
        <v>43555</v>
      </c>
      <c r="F2553" t="s">
        <v>72</v>
      </c>
      <c r="G2553">
        <v>3</v>
      </c>
      <c r="H2553" t="s">
        <v>125</v>
      </c>
      <c r="I2553" t="s">
        <v>43</v>
      </c>
      <c r="J2553" t="s">
        <v>126</v>
      </c>
      <c r="K2553" t="s">
        <v>44</v>
      </c>
      <c r="L2553">
        <v>23753.439999999999</v>
      </c>
      <c r="M2553" s="1">
        <v>43191</v>
      </c>
      <c r="N2553" t="s">
        <v>45</v>
      </c>
      <c r="O2553" t="s">
        <v>46</v>
      </c>
      <c r="P2553" t="s">
        <v>47</v>
      </c>
      <c r="Q2553" s="1">
        <v>43852</v>
      </c>
      <c r="R2553" t="s">
        <v>48</v>
      </c>
      <c r="S2553" t="s">
        <v>266</v>
      </c>
      <c r="T2553" t="s">
        <v>267</v>
      </c>
      <c r="U2553" t="s">
        <v>125</v>
      </c>
      <c r="V2553">
        <v>700000</v>
      </c>
      <c r="W2553">
        <v>100000</v>
      </c>
      <c r="X2553" s="1">
        <v>43830</v>
      </c>
      <c r="Y2553" t="s">
        <v>51</v>
      </c>
      <c r="Z2553" t="s">
        <v>43</v>
      </c>
      <c r="AA2553" t="s">
        <v>115</v>
      </c>
      <c r="AB2553" t="s">
        <v>268</v>
      </c>
      <c r="AC2553" t="s">
        <v>269</v>
      </c>
      <c r="AF2553" t="s">
        <v>134</v>
      </c>
      <c r="AG2553" s="1">
        <v>43843</v>
      </c>
      <c r="AH2553" t="s">
        <v>125</v>
      </c>
      <c r="AI2553" t="s">
        <v>92</v>
      </c>
      <c r="AJ2553">
        <v>1278023</v>
      </c>
      <c r="AK2553">
        <v>12365300</v>
      </c>
      <c r="AL2553">
        <v>12900</v>
      </c>
    </row>
    <row r="2554" spans="1:38" x14ac:dyDescent="0.25">
      <c r="A2554" t="s">
        <v>229</v>
      </c>
      <c r="B2554" t="s">
        <v>605</v>
      </c>
      <c r="C2554" t="s">
        <v>40</v>
      </c>
      <c r="D2554" s="1">
        <v>43191</v>
      </c>
      <c r="E2554" s="1">
        <v>43555</v>
      </c>
      <c r="F2554" t="s">
        <v>72</v>
      </c>
      <c r="G2554">
        <v>3</v>
      </c>
      <c r="H2554" t="s">
        <v>125</v>
      </c>
      <c r="I2554" t="s">
        <v>43</v>
      </c>
      <c r="J2554" t="s">
        <v>126</v>
      </c>
      <c r="K2554" t="s">
        <v>44</v>
      </c>
      <c r="L2554">
        <v>23753.439999999999</v>
      </c>
      <c r="M2554" s="1">
        <v>43191</v>
      </c>
      <c r="N2554" t="s">
        <v>45</v>
      </c>
      <c r="O2554" t="s">
        <v>46</v>
      </c>
      <c r="P2554" t="s">
        <v>47</v>
      </c>
      <c r="Q2554" s="1">
        <v>43852</v>
      </c>
      <c r="R2554" t="s">
        <v>48</v>
      </c>
      <c r="S2554" t="s">
        <v>266</v>
      </c>
      <c r="T2554" t="s">
        <v>267</v>
      </c>
      <c r="U2554" t="s">
        <v>125</v>
      </c>
      <c r="V2554">
        <v>700000</v>
      </c>
      <c r="W2554">
        <v>100000</v>
      </c>
      <c r="X2554" s="1">
        <v>43830</v>
      </c>
      <c r="Y2554" t="s">
        <v>51</v>
      </c>
      <c r="Z2554" t="s">
        <v>43</v>
      </c>
      <c r="AA2554" t="s">
        <v>115</v>
      </c>
      <c r="AB2554" t="s">
        <v>268</v>
      </c>
      <c r="AC2554" t="s">
        <v>269</v>
      </c>
      <c r="AF2554" t="s">
        <v>135</v>
      </c>
      <c r="AG2554" s="1">
        <v>43843</v>
      </c>
      <c r="AH2554" t="s">
        <v>125</v>
      </c>
      <c r="AI2554" t="s">
        <v>92</v>
      </c>
      <c r="AJ2554">
        <v>1278023</v>
      </c>
      <c r="AK2554">
        <v>12365300</v>
      </c>
      <c r="AL2554">
        <v>12900</v>
      </c>
    </row>
    <row r="2555" spans="1:38" x14ac:dyDescent="0.25">
      <c r="A2555" t="s">
        <v>229</v>
      </c>
      <c r="B2555" t="s">
        <v>605</v>
      </c>
      <c r="C2555" t="s">
        <v>40</v>
      </c>
      <c r="D2555" s="1">
        <v>43191</v>
      </c>
      <c r="E2555" s="1">
        <v>43555</v>
      </c>
      <c r="F2555" t="s">
        <v>72</v>
      </c>
      <c r="G2555">
        <v>3</v>
      </c>
      <c r="H2555" t="s">
        <v>125</v>
      </c>
      <c r="I2555" t="s">
        <v>43</v>
      </c>
      <c r="J2555" t="s">
        <v>126</v>
      </c>
      <c r="K2555" t="s">
        <v>44</v>
      </c>
      <c r="L2555">
        <v>23753.439999999999</v>
      </c>
      <c r="M2555" s="1">
        <v>43191</v>
      </c>
      <c r="N2555" t="s">
        <v>45</v>
      </c>
      <c r="O2555" t="s">
        <v>46</v>
      </c>
      <c r="P2555" t="s">
        <v>47</v>
      </c>
      <c r="Q2555" s="1">
        <v>43852</v>
      </c>
      <c r="R2555" t="s">
        <v>48</v>
      </c>
      <c r="S2555" t="s">
        <v>266</v>
      </c>
      <c r="T2555" t="s">
        <v>267</v>
      </c>
      <c r="U2555" t="s">
        <v>125</v>
      </c>
      <c r="V2555">
        <v>700000</v>
      </c>
      <c r="W2555">
        <v>100000</v>
      </c>
      <c r="X2555" s="1">
        <v>43830</v>
      </c>
      <c r="Y2555" t="s">
        <v>51</v>
      </c>
      <c r="Z2555" t="s">
        <v>43</v>
      </c>
      <c r="AA2555" t="s">
        <v>115</v>
      </c>
      <c r="AB2555" t="s">
        <v>268</v>
      </c>
      <c r="AC2555" t="s">
        <v>269</v>
      </c>
      <c r="AF2555" t="s">
        <v>136</v>
      </c>
      <c r="AG2555" s="1">
        <v>43839</v>
      </c>
      <c r="AH2555" t="s">
        <v>125</v>
      </c>
      <c r="AI2555" t="s">
        <v>92</v>
      </c>
      <c r="AJ2555">
        <v>1278023</v>
      </c>
      <c r="AK2555">
        <v>12365300</v>
      </c>
      <c r="AL2555">
        <v>12900</v>
      </c>
    </row>
    <row r="2556" spans="1:38" x14ac:dyDescent="0.25">
      <c r="A2556" t="s">
        <v>229</v>
      </c>
      <c r="B2556" t="s">
        <v>605</v>
      </c>
      <c r="C2556" t="s">
        <v>40</v>
      </c>
      <c r="D2556" s="1">
        <v>43191</v>
      </c>
      <c r="E2556" s="1">
        <v>43555</v>
      </c>
      <c r="F2556" t="s">
        <v>72</v>
      </c>
      <c r="G2556">
        <v>3</v>
      </c>
      <c r="H2556" t="s">
        <v>125</v>
      </c>
      <c r="I2556" t="s">
        <v>43</v>
      </c>
      <c r="J2556" t="s">
        <v>126</v>
      </c>
      <c r="K2556" t="s">
        <v>44</v>
      </c>
      <c r="L2556">
        <v>23753.439999999999</v>
      </c>
      <c r="M2556" s="1">
        <v>43191</v>
      </c>
      <c r="N2556" t="s">
        <v>45</v>
      </c>
      <c r="O2556" t="s">
        <v>46</v>
      </c>
      <c r="P2556" t="s">
        <v>47</v>
      </c>
      <c r="Q2556" s="1">
        <v>43852</v>
      </c>
      <c r="R2556" t="s">
        <v>48</v>
      </c>
      <c r="S2556" t="s">
        <v>266</v>
      </c>
      <c r="T2556" t="s">
        <v>267</v>
      </c>
      <c r="U2556" t="s">
        <v>125</v>
      </c>
      <c r="V2556">
        <v>700000</v>
      </c>
      <c r="W2556">
        <v>100000</v>
      </c>
      <c r="X2556" s="1">
        <v>43830</v>
      </c>
      <c r="Y2556" t="s">
        <v>51</v>
      </c>
      <c r="Z2556" t="s">
        <v>43</v>
      </c>
      <c r="AA2556" t="s">
        <v>115</v>
      </c>
      <c r="AB2556" t="s">
        <v>268</v>
      </c>
      <c r="AC2556" t="s">
        <v>269</v>
      </c>
      <c r="AF2556" t="s">
        <v>137</v>
      </c>
      <c r="AG2556" s="1">
        <v>43840</v>
      </c>
      <c r="AH2556" t="s">
        <v>125</v>
      </c>
      <c r="AI2556" t="s">
        <v>92</v>
      </c>
      <c r="AJ2556">
        <v>1278023</v>
      </c>
      <c r="AK2556">
        <v>12365300</v>
      </c>
      <c r="AL2556">
        <v>12900</v>
      </c>
    </row>
    <row r="2557" spans="1:38" x14ac:dyDescent="0.25">
      <c r="A2557" t="s">
        <v>229</v>
      </c>
      <c r="B2557" t="s">
        <v>605</v>
      </c>
      <c r="C2557" t="s">
        <v>40</v>
      </c>
      <c r="D2557" s="1">
        <v>43191</v>
      </c>
      <c r="E2557" s="1">
        <v>43555</v>
      </c>
      <c r="F2557" t="s">
        <v>72</v>
      </c>
      <c r="G2557">
        <v>3</v>
      </c>
      <c r="H2557" t="s">
        <v>125</v>
      </c>
      <c r="I2557" t="s">
        <v>43</v>
      </c>
      <c r="J2557" t="s">
        <v>126</v>
      </c>
      <c r="K2557" t="s">
        <v>44</v>
      </c>
      <c r="L2557">
        <v>23753.439999999999</v>
      </c>
      <c r="M2557" s="1">
        <v>43191</v>
      </c>
      <c r="N2557" t="s">
        <v>45</v>
      </c>
      <c r="O2557" t="s">
        <v>46</v>
      </c>
      <c r="P2557" t="s">
        <v>47</v>
      </c>
      <c r="Q2557" s="1">
        <v>43852</v>
      </c>
      <c r="R2557" t="s">
        <v>48</v>
      </c>
      <c r="S2557" t="s">
        <v>72</v>
      </c>
      <c r="T2557" t="s">
        <v>270</v>
      </c>
      <c r="U2557" t="s">
        <v>125</v>
      </c>
      <c r="V2557">
        <v>0</v>
      </c>
      <c r="W2557">
        <v>500000</v>
      </c>
      <c r="X2557" s="1">
        <v>43739</v>
      </c>
      <c r="Y2557" t="s">
        <v>131</v>
      </c>
      <c r="Z2557" t="s">
        <v>43</v>
      </c>
      <c r="AA2557" t="s">
        <v>115</v>
      </c>
      <c r="AB2557" t="s">
        <v>268</v>
      </c>
      <c r="AC2557" t="s">
        <v>269</v>
      </c>
      <c r="AF2557" t="s">
        <v>134</v>
      </c>
      <c r="AG2557" s="1">
        <v>43843</v>
      </c>
      <c r="AH2557" t="s">
        <v>125</v>
      </c>
      <c r="AI2557" t="s">
        <v>92</v>
      </c>
      <c r="AJ2557">
        <v>1278023</v>
      </c>
      <c r="AK2557">
        <v>12365300</v>
      </c>
      <c r="AL2557">
        <v>12900</v>
      </c>
    </row>
    <row r="2558" spans="1:38" x14ac:dyDescent="0.25">
      <c r="A2558" t="s">
        <v>229</v>
      </c>
      <c r="B2558" t="s">
        <v>605</v>
      </c>
      <c r="C2558" t="s">
        <v>40</v>
      </c>
      <c r="D2558" s="1">
        <v>43191</v>
      </c>
      <c r="E2558" s="1">
        <v>43555</v>
      </c>
      <c r="F2558" t="s">
        <v>72</v>
      </c>
      <c r="G2558">
        <v>3</v>
      </c>
      <c r="H2558" t="s">
        <v>125</v>
      </c>
      <c r="I2558" t="s">
        <v>43</v>
      </c>
      <c r="J2558" t="s">
        <v>126</v>
      </c>
      <c r="K2558" t="s">
        <v>44</v>
      </c>
      <c r="L2558">
        <v>23753.439999999999</v>
      </c>
      <c r="M2558" s="1">
        <v>43191</v>
      </c>
      <c r="N2558" t="s">
        <v>45</v>
      </c>
      <c r="O2558" t="s">
        <v>46</v>
      </c>
      <c r="P2558" t="s">
        <v>47</v>
      </c>
      <c r="Q2558" s="1">
        <v>43852</v>
      </c>
      <c r="R2558" t="s">
        <v>48</v>
      </c>
      <c r="S2558" t="s">
        <v>72</v>
      </c>
      <c r="T2558" t="s">
        <v>270</v>
      </c>
      <c r="U2558" t="s">
        <v>125</v>
      </c>
      <c r="V2558">
        <v>0</v>
      </c>
      <c r="W2558">
        <v>500000</v>
      </c>
      <c r="X2558" s="1">
        <v>43739</v>
      </c>
      <c r="Y2558" t="s">
        <v>131</v>
      </c>
      <c r="Z2558" t="s">
        <v>43</v>
      </c>
      <c r="AA2558" t="s">
        <v>115</v>
      </c>
      <c r="AB2558" t="s">
        <v>268</v>
      </c>
      <c r="AC2558" t="s">
        <v>269</v>
      </c>
      <c r="AF2558" t="s">
        <v>135</v>
      </c>
      <c r="AG2558" s="1">
        <v>43843</v>
      </c>
      <c r="AH2558" t="s">
        <v>125</v>
      </c>
      <c r="AI2558" t="s">
        <v>92</v>
      </c>
      <c r="AJ2558">
        <v>1278023</v>
      </c>
      <c r="AK2558">
        <v>12365300</v>
      </c>
      <c r="AL2558">
        <v>12900</v>
      </c>
    </row>
    <row r="2559" spans="1:38" x14ac:dyDescent="0.25">
      <c r="A2559" t="s">
        <v>229</v>
      </c>
      <c r="B2559" t="s">
        <v>605</v>
      </c>
      <c r="C2559" t="s">
        <v>40</v>
      </c>
      <c r="D2559" s="1">
        <v>43191</v>
      </c>
      <c r="E2559" s="1">
        <v>43555</v>
      </c>
      <c r="F2559" t="s">
        <v>72</v>
      </c>
      <c r="G2559">
        <v>3</v>
      </c>
      <c r="H2559" t="s">
        <v>125</v>
      </c>
      <c r="I2559" t="s">
        <v>43</v>
      </c>
      <c r="J2559" t="s">
        <v>126</v>
      </c>
      <c r="K2559" t="s">
        <v>44</v>
      </c>
      <c r="L2559">
        <v>23753.439999999999</v>
      </c>
      <c r="M2559" s="1">
        <v>43191</v>
      </c>
      <c r="N2559" t="s">
        <v>45</v>
      </c>
      <c r="O2559" t="s">
        <v>46</v>
      </c>
      <c r="P2559" t="s">
        <v>47</v>
      </c>
      <c r="Q2559" s="1">
        <v>43852</v>
      </c>
      <c r="R2559" t="s">
        <v>48</v>
      </c>
      <c r="S2559" t="s">
        <v>72</v>
      </c>
      <c r="T2559" t="s">
        <v>270</v>
      </c>
      <c r="U2559" t="s">
        <v>125</v>
      </c>
      <c r="V2559">
        <v>0</v>
      </c>
      <c r="W2559">
        <v>500000</v>
      </c>
      <c r="X2559" s="1">
        <v>43739</v>
      </c>
      <c r="Y2559" t="s">
        <v>131</v>
      </c>
      <c r="Z2559" t="s">
        <v>43</v>
      </c>
      <c r="AA2559" t="s">
        <v>115</v>
      </c>
      <c r="AB2559" t="s">
        <v>268</v>
      </c>
      <c r="AC2559" t="s">
        <v>269</v>
      </c>
      <c r="AF2559" t="s">
        <v>136</v>
      </c>
      <c r="AG2559" s="1">
        <v>43839</v>
      </c>
      <c r="AH2559" t="s">
        <v>125</v>
      </c>
      <c r="AI2559" t="s">
        <v>92</v>
      </c>
      <c r="AJ2559">
        <v>1278023</v>
      </c>
      <c r="AK2559">
        <v>12365300</v>
      </c>
      <c r="AL2559">
        <v>12900</v>
      </c>
    </row>
    <row r="2560" spans="1:38" x14ac:dyDescent="0.25">
      <c r="A2560" t="s">
        <v>229</v>
      </c>
      <c r="B2560" t="s">
        <v>605</v>
      </c>
      <c r="C2560" t="s">
        <v>40</v>
      </c>
      <c r="D2560" s="1">
        <v>43191</v>
      </c>
      <c r="E2560" s="1">
        <v>43555</v>
      </c>
      <c r="F2560" t="s">
        <v>72</v>
      </c>
      <c r="G2560">
        <v>3</v>
      </c>
      <c r="H2560" t="s">
        <v>125</v>
      </c>
      <c r="I2560" t="s">
        <v>43</v>
      </c>
      <c r="J2560" t="s">
        <v>126</v>
      </c>
      <c r="K2560" t="s">
        <v>44</v>
      </c>
      <c r="L2560">
        <v>23753.439999999999</v>
      </c>
      <c r="M2560" s="1">
        <v>43191</v>
      </c>
      <c r="N2560" t="s">
        <v>45</v>
      </c>
      <c r="O2560" t="s">
        <v>46</v>
      </c>
      <c r="P2560" t="s">
        <v>47</v>
      </c>
      <c r="Q2560" s="1">
        <v>43852</v>
      </c>
      <c r="R2560" t="s">
        <v>48</v>
      </c>
      <c r="S2560" t="s">
        <v>72</v>
      </c>
      <c r="T2560" t="s">
        <v>270</v>
      </c>
      <c r="U2560" t="s">
        <v>125</v>
      </c>
      <c r="V2560">
        <v>0</v>
      </c>
      <c r="W2560">
        <v>500000</v>
      </c>
      <c r="X2560" s="1">
        <v>43739</v>
      </c>
      <c r="Y2560" t="s">
        <v>131</v>
      </c>
      <c r="Z2560" t="s">
        <v>43</v>
      </c>
      <c r="AA2560" t="s">
        <v>115</v>
      </c>
      <c r="AB2560" t="s">
        <v>268</v>
      </c>
      <c r="AC2560" t="s">
        <v>269</v>
      </c>
      <c r="AF2560" t="s">
        <v>137</v>
      </c>
      <c r="AG2560" s="1">
        <v>43840</v>
      </c>
      <c r="AH2560" t="s">
        <v>125</v>
      </c>
      <c r="AI2560" t="s">
        <v>92</v>
      </c>
      <c r="AJ2560">
        <v>1278023</v>
      </c>
      <c r="AK2560">
        <v>12365300</v>
      </c>
      <c r="AL2560">
        <v>12900</v>
      </c>
    </row>
    <row r="2561" spans="1:38" x14ac:dyDescent="0.25">
      <c r="A2561" t="s">
        <v>229</v>
      </c>
      <c r="B2561" t="s">
        <v>605</v>
      </c>
      <c r="C2561" t="s">
        <v>40</v>
      </c>
      <c r="D2561" s="1">
        <v>43191</v>
      </c>
      <c r="E2561" s="1">
        <v>43555</v>
      </c>
      <c r="F2561" t="s">
        <v>72</v>
      </c>
      <c r="G2561">
        <v>3</v>
      </c>
      <c r="H2561" t="s">
        <v>125</v>
      </c>
      <c r="I2561" t="s">
        <v>43</v>
      </c>
      <c r="J2561" t="s">
        <v>126</v>
      </c>
      <c r="K2561" t="s">
        <v>44</v>
      </c>
      <c r="L2561">
        <v>23753.439999999999</v>
      </c>
      <c r="M2561" s="1">
        <v>43191</v>
      </c>
      <c r="N2561" t="s">
        <v>45</v>
      </c>
      <c r="O2561" t="s">
        <v>46</v>
      </c>
      <c r="P2561" t="s">
        <v>47</v>
      </c>
      <c r="Q2561" s="1">
        <v>43852</v>
      </c>
      <c r="R2561" t="s">
        <v>48</v>
      </c>
      <c r="S2561" t="s">
        <v>271</v>
      </c>
      <c r="T2561" t="s">
        <v>272</v>
      </c>
      <c r="U2561" t="s">
        <v>125</v>
      </c>
      <c r="V2561">
        <v>0</v>
      </c>
      <c r="W2561">
        <v>50000</v>
      </c>
      <c r="X2561" s="1">
        <v>43738</v>
      </c>
      <c r="Y2561" t="s">
        <v>140</v>
      </c>
      <c r="Z2561" t="s">
        <v>43</v>
      </c>
      <c r="AA2561" t="s">
        <v>115</v>
      </c>
      <c r="AB2561" t="s">
        <v>268</v>
      </c>
      <c r="AC2561" t="s">
        <v>269</v>
      </c>
      <c r="AF2561" t="s">
        <v>134</v>
      </c>
      <c r="AG2561" s="1">
        <v>43843</v>
      </c>
      <c r="AH2561" t="s">
        <v>125</v>
      </c>
      <c r="AI2561" t="s">
        <v>92</v>
      </c>
      <c r="AJ2561">
        <v>1278023</v>
      </c>
      <c r="AK2561">
        <v>12365300</v>
      </c>
      <c r="AL2561">
        <v>12900</v>
      </c>
    </row>
    <row r="2562" spans="1:38" x14ac:dyDescent="0.25">
      <c r="A2562" t="s">
        <v>229</v>
      </c>
      <c r="B2562" t="s">
        <v>605</v>
      </c>
      <c r="C2562" t="s">
        <v>40</v>
      </c>
      <c r="D2562" s="1">
        <v>43191</v>
      </c>
      <c r="E2562" s="1">
        <v>43555</v>
      </c>
      <c r="F2562" t="s">
        <v>72</v>
      </c>
      <c r="G2562">
        <v>3</v>
      </c>
      <c r="H2562" t="s">
        <v>125</v>
      </c>
      <c r="I2562" t="s">
        <v>43</v>
      </c>
      <c r="J2562" t="s">
        <v>126</v>
      </c>
      <c r="K2562" t="s">
        <v>44</v>
      </c>
      <c r="L2562">
        <v>23753.439999999999</v>
      </c>
      <c r="M2562" s="1">
        <v>43191</v>
      </c>
      <c r="N2562" t="s">
        <v>45</v>
      </c>
      <c r="O2562" t="s">
        <v>46</v>
      </c>
      <c r="P2562" t="s">
        <v>47</v>
      </c>
      <c r="Q2562" s="1">
        <v>43852</v>
      </c>
      <c r="R2562" t="s">
        <v>48</v>
      </c>
      <c r="S2562" t="s">
        <v>271</v>
      </c>
      <c r="T2562" t="s">
        <v>272</v>
      </c>
      <c r="U2562" t="s">
        <v>125</v>
      </c>
      <c r="V2562">
        <v>0</v>
      </c>
      <c r="W2562">
        <v>50000</v>
      </c>
      <c r="X2562" s="1">
        <v>43738</v>
      </c>
      <c r="Y2562" t="s">
        <v>140</v>
      </c>
      <c r="Z2562" t="s">
        <v>43</v>
      </c>
      <c r="AA2562" t="s">
        <v>115</v>
      </c>
      <c r="AB2562" t="s">
        <v>268</v>
      </c>
      <c r="AC2562" t="s">
        <v>269</v>
      </c>
      <c r="AF2562" t="s">
        <v>135</v>
      </c>
      <c r="AG2562" s="1">
        <v>43843</v>
      </c>
      <c r="AH2562" t="s">
        <v>125</v>
      </c>
      <c r="AI2562" t="s">
        <v>92</v>
      </c>
      <c r="AJ2562">
        <v>1278023</v>
      </c>
      <c r="AK2562">
        <v>12365300</v>
      </c>
      <c r="AL2562">
        <v>12900</v>
      </c>
    </row>
    <row r="2563" spans="1:38" x14ac:dyDescent="0.25">
      <c r="A2563" t="s">
        <v>229</v>
      </c>
      <c r="B2563" t="s">
        <v>605</v>
      </c>
      <c r="C2563" t="s">
        <v>40</v>
      </c>
      <c r="D2563" s="1">
        <v>43191</v>
      </c>
      <c r="E2563" s="1">
        <v>43555</v>
      </c>
      <c r="F2563" t="s">
        <v>72</v>
      </c>
      <c r="G2563">
        <v>3</v>
      </c>
      <c r="H2563" t="s">
        <v>125</v>
      </c>
      <c r="I2563" t="s">
        <v>43</v>
      </c>
      <c r="J2563" t="s">
        <v>126</v>
      </c>
      <c r="K2563" t="s">
        <v>44</v>
      </c>
      <c r="L2563">
        <v>23753.439999999999</v>
      </c>
      <c r="M2563" s="1">
        <v>43191</v>
      </c>
      <c r="N2563" t="s">
        <v>45</v>
      </c>
      <c r="O2563" t="s">
        <v>46</v>
      </c>
      <c r="P2563" t="s">
        <v>47</v>
      </c>
      <c r="Q2563" s="1">
        <v>43852</v>
      </c>
      <c r="R2563" t="s">
        <v>48</v>
      </c>
      <c r="S2563" t="s">
        <v>271</v>
      </c>
      <c r="T2563" t="s">
        <v>272</v>
      </c>
      <c r="U2563" t="s">
        <v>125</v>
      </c>
      <c r="V2563">
        <v>0</v>
      </c>
      <c r="W2563">
        <v>50000</v>
      </c>
      <c r="X2563" s="1">
        <v>43738</v>
      </c>
      <c r="Y2563" t="s">
        <v>140</v>
      </c>
      <c r="Z2563" t="s">
        <v>43</v>
      </c>
      <c r="AA2563" t="s">
        <v>115</v>
      </c>
      <c r="AB2563" t="s">
        <v>268</v>
      </c>
      <c r="AC2563" t="s">
        <v>269</v>
      </c>
      <c r="AF2563" t="s">
        <v>136</v>
      </c>
      <c r="AG2563" s="1">
        <v>43839</v>
      </c>
      <c r="AH2563" t="s">
        <v>125</v>
      </c>
      <c r="AI2563" t="s">
        <v>92</v>
      </c>
      <c r="AJ2563">
        <v>1278023</v>
      </c>
      <c r="AK2563">
        <v>12365300</v>
      </c>
      <c r="AL2563">
        <v>12900</v>
      </c>
    </row>
    <row r="2564" spans="1:38" x14ac:dyDescent="0.25">
      <c r="A2564" t="s">
        <v>229</v>
      </c>
      <c r="B2564" t="s">
        <v>605</v>
      </c>
      <c r="C2564" t="s">
        <v>40</v>
      </c>
      <c r="D2564" s="1">
        <v>43191</v>
      </c>
      <c r="E2564" s="1">
        <v>43555</v>
      </c>
      <c r="F2564" t="s">
        <v>72</v>
      </c>
      <c r="G2564">
        <v>3</v>
      </c>
      <c r="H2564" t="s">
        <v>125</v>
      </c>
      <c r="I2564" t="s">
        <v>43</v>
      </c>
      <c r="J2564" t="s">
        <v>126</v>
      </c>
      <c r="K2564" t="s">
        <v>44</v>
      </c>
      <c r="L2564">
        <v>23753.439999999999</v>
      </c>
      <c r="M2564" s="1">
        <v>43191</v>
      </c>
      <c r="N2564" t="s">
        <v>45</v>
      </c>
      <c r="O2564" t="s">
        <v>46</v>
      </c>
      <c r="P2564" t="s">
        <v>47</v>
      </c>
      <c r="Q2564" s="1">
        <v>43852</v>
      </c>
      <c r="R2564" t="s">
        <v>48</v>
      </c>
      <c r="S2564" t="s">
        <v>271</v>
      </c>
      <c r="T2564" t="s">
        <v>272</v>
      </c>
      <c r="U2564" t="s">
        <v>125</v>
      </c>
      <c r="V2564">
        <v>0</v>
      </c>
      <c r="W2564">
        <v>50000</v>
      </c>
      <c r="X2564" s="1">
        <v>43738</v>
      </c>
      <c r="Y2564" t="s">
        <v>140</v>
      </c>
      <c r="Z2564" t="s">
        <v>43</v>
      </c>
      <c r="AA2564" t="s">
        <v>115</v>
      </c>
      <c r="AB2564" t="s">
        <v>268</v>
      </c>
      <c r="AC2564" t="s">
        <v>269</v>
      </c>
      <c r="AF2564" t="s">
        <v>137</v>
      </c>
      <c r="AG2564" s="1">
        <v>43840</v>
      </c>
      <c r="AH2564" t="s">
        <v>125</v>
      </c>
      <c r="AI2564" t="s">
        <v>92</v>
      </c>
      <c r="AJ2564">
        <v>1278023</v>
      </c>
      <c r="AK2564">
        <v>12365300</v>
      </c>
      <c r="AL2564">
        <v>12900</v>
      </c>
    </row>
    <row r="2565" spans="1:38" x14ac:dyDescent="0.25">
      <c r="A2565" t="s">
        <v>231</v>
      </c>
      <c r="B2565" t="s">
        <v>605</v>
      </c>
      <c r="C2565" t="s">
        <v>40</v>
      </c>
      <c r="D2565" s="1">
        <v>43191</v>
      </c>
      <c r="E2565" s="1">
        <v>43555</v>
      </c>
      <c r="F2565" t="s">
        <v>72</v>
      </c>
      <c r="G2565">
        <v>3</v>
      </c>
      <c r="H2565" t="s">
        <v>125</v>
      </c>
      <c r="I2565" t="s">
        <v>43</v>
      </c>
      <c r="J2565" t="s">
        <v>126</v>
      </c>
      <c r="K2565" t="s">
        <v>44</v>
      </c>
      <c r="L2565">
        <v>9135.94</v>
      </c>
      <c r="M2565" s="1">
        <v>43191</v>
      </c>
      <c r="N2565" t="s">
        <v>45</v>
      </c>
      <c r="O2565" t="s">
        <v>46</v>
      </c>
      <c r="P2565" t="s">
        <v>47</v>
      </c>
      <c r="Q2565" s="1">
        <v>43852</v>
      </c>
      <c r="R2565" t="s">
        <v>48</v>
      </c>
      <c r="S2565" t="s">
        <v>266</v>
      </c>
      <c r="T2565" t="s">
        <v>267</v>
      </c>
      <c r="U2565" t="s">
        <v>125</v>
      </c>
      <c r="V2565">
        <v>700000</v>
      </c>
      <c r="W2565">
        <v>100000</v>
      </c>
      <c r="X2565" s="1">
        <v>43830</v>
      </c>
      <c r="Y2565" t="s">
        <v>51</v>
      </c>
      <c r="Z2565" t="s">
        <v>43</v>
      </c>
      <c r="AA2565" t="s">
        <v>115</v>
      </c>
      <c r="AB2565" t="s">
        <v>268</v>
      </c>
      <c r="AC2565" t="s">
        <v>269</v>
      </c>
      <c r="AF2565" t="s">
        <v>134</v>
      </c>
      <c r="AG2565" s="1">
        <v>43843</v>
      </c>
      <c r="AH2565" t="s">
        <v>125</v>
      </c>
      <c r="AI2565" t="s">
        <v>92</v>
      </c>
      <c r="AJ2565">
        <v>1278023</v>
      </c>
      <c r="AK2565">
        <v>12365300</v>
      </c>
      <c r="AL2565">
        <v>12900</v>
      </c>
    </row>
    <row r="2566" spans="1:38" x14ac:dyDescent="0.25">
      <c r="A2566" t="s">
        <v>231</v>
      </c>
      <c r="B2566" t="s">
        <v>605</v>
      </c>
      <c r="C2566" t="s">
        <v>40</v>
      </c>
      <c r="D2566" s="1">
        <v>43191</v>
      </c>
      <c r="E2566" s="1">
        <v>43555</v>
      </c>
      <c r="F2566" t="s">
        <v>72</v>
      </c>
      <c r="G2566">
        <v>3</v>
      </c>
      <c r="H2566" t="s">
        <v>125</v>
      </c>
      <c r="I2566" t="s">
        <v>43</v>
      </c>
      <c r="J2566" t="s">
        <v>126</v>
      </c>
      <c r="K2566" t="s">
        <v>44</v>
      </c>
      <c r="L2566">
        <v>9135.94</v>
      </c>
      <c r="M2566" s="1">
        <v>43191</v>
      </c>
      <c r="N2566" t="s">
        <v>45</v>
      </c>
      <c r="O2566" t="s">
        <v>46</v>
      </c>
      <c r="P2566" t="s">
        <v>47</v>
      </c>
      <c r="Q2566" s="1">
        <v>43852</v>
      </c>
      <c r="R2566" t="s">
        <v>48</v>
      </c>
      <c r="S2566" t="s">
        <v>266</v>
      </c>
      <c r="T2566" t="s">
        <v>267</v>
      </c>
      <c r="U2566" t="s">
        <v>125</v>
      </c>
      <c r="V2566">
        <v>700000</v>
      </c>
      <c r="W2566">
        <v>100000</v>
      </c>
      <c r="X2566" s="1">
        <v>43830</v>
      </c>
      <c r="Y2566" t="s">
        <v>51</v>
      </c>
      <c r="Z2566" t="s">
        <v>43</v>
      </c>
      <c r="AA2566" t="s">
        <v>115</v>
      </c>
      <c r="AB2566" t="s">
        <v>268</v>
      </c>
      <c r="AC2566" t="s">
        <v>269</v>
      </c>
      <c r="AF2566" t="s">
        <v>135</v>
      </c>
      <c r="AG2566" s="1">
        <v>43843</v>
      </c>
      <c r="AH2566" t="s">
        <v>125</v>
      </c>
      <c r="AI2566" t="s">
        <v>92</v>
      </c>
      <c r="AJ2566">
        <v>1278023</v>
      </c>
      <c r="AK2566">
        <v>12365300</v>
      </c>
      <c r="AL2566">
        <v>12900</v>
      </c>
    </row>
    <row r="2567" spans="1:38" x14ac:dyDescent="0.25">
      <c r="A2567" t="s">
        <v>231</v>
      </c>
      <c r="B2567" t="s">
        <v>605</v>
      </c>
      <c r="C2567" t="s">
        <v>40</v>
      </c>
      <c r="D2567" s="1">
        <v>43191</v>
      </c>
      <c r="E2567" s="1">
        <v>43555</v>
      </c>
      <c r="F2567" t="s">
        <v>72</v>
      </c>
      <c r="G2567">
        <v>3</v>
      </c>
      <c r="H2567" t="s">
        <v>125</v>
      </c>
      <c r="I2567" t="s">
        <v>43</v>
      </c>
      <c r="J2567" t="s">
        <v>126</v>
      </c>
      <c r="K2567" t="s">
        <v>44</v>
      </c>
      <c r="L2567">
        <v>9135.94</v>
      </c>
      <c r="M2567" s="1">
        <v>43191</v>
      </c>
      <c r="N2567" t="s">
        <v>45</v>
      </c>
      <c r="O2567" t="s">
        <v>46</v>
      </c>
      <c r="P2567" t="s">
        <v>47</v>
      </c>
      <c r="Q2567" s="1">
        <v>43852</v>
      </c>
      <c r="R2567" t="s">
        <v>48</v>
      </c>
      <c r="S2567" t="s">
        <v>266</v>
      </c>
      <c r="T2567" t="s">
        <v>267</v>
      </c>
      <c r="U2567" t="s">
        <v>125</v>
      </c>
      <c r="V2567">
        <v>700000</v>
      </c>
      <c r="W2567">
        <v>100000</v>
      </c>
      <c r="X2567" s="1">
        <v>43830</v>
      </c>
      <c r="Y2567" t="s">
        <v>51</v>
      </c>
      <c r="Z2567" t="s">
        <v>43</v>
      </c>
      <c r="AA2567" t="s">
        <v>115</v>
      </c>
      <c r="AB2567" t="s">
        <v>268</v>
      </c>
      <c r="AC2567" t="s">
        <v>269</v>
      </c>
      <c r="AF2567" t="s">
        <v>136</v>
      </c>
      <c r="AG2567" s="1">
        <v>43839</v>
      </c>
      <c r="AH2567" t="s">
        <v>125</v>
      </c>
      <c r="AI2567" t="s">
        <v>92</v>
      </c>
      <c r="AJ2567">
        <v>1278023</v>
      </c>
      <c r="AK2567">
        <v>12365300</v>
      </c>
      <c r="AL2567">
        <v>12900</v>
      </c>
    </row>
    <row r="2568" spans="1:38" x14ac:dyDescent="0.25">
      <c r="A2568" t="s">
        <v>231</v>
      </c>
      <c r="B2568" t="s">
        <v>605</v>
      </c>
      <c r="C2568" t="s">
        <v>40</v>
      </c>
      <c r="D2568" s="1">
        <v>43191</v>
      </c>
      <c r="E2568" s="1">
        <v>43555</v>
      </c>
      <c r="F2568" t="s">
        <v>72</v>
      </c>
      <c r="G2568">
        <v>3</v>
      </c>
      <c r="H2568" t="s">
        <v>125</v>
      </c>
      <c r="I2568" t="s">
        <v>43</v>
      </c>
      <c r="J2568" t="s">
        <v>126</v>
      </c>
      <c r="K2568" t="s">
        <v>44</v>
      </c>
      <c r="L2568">
        <v>9135.94</v>
      </c>
      <c r="M2568" s="1">
        <v>43191</v>
      </c>
      <c r="N2568" t="s">
        <v>45</v>
      </c>
      <c r="O2568" t="s">
        <v>46</v>
      </c>
      <c r="P2568" t="s">
        <v>47</v>
      </c>
      <c r="Q2568" s="1">
        <v>43852</v>
      </c>
      <c r="R2568" t="s">
        <v>48</v>
      </c>
      <c r="S2568" t="s">
        <v>266</v>
      </c>
      <c r="T2568" t="s">
        <v>267</v>
      </c>
      <c r="U2568" t="s">
        <v>125</v>
      </c>
      <c r="V2568">
        <v>700000</v>
      </c>
      <c r="W2568">
        <v>100000</v>
      </c>
      <c r="X2568" s="1">
        <v>43830</v>
      </c>
      <c r="Y2568" t="s">
        <v>51</v>
      </c>
      <c r="Z2568" t="s">
        <v>43</v>
      </c>
      <c r="AA2568" t="s">
        <v>115</v>
      </c>
      <c r="AB2568" t="s">
        <v>268</v>
      </c>
      <c r="AC2568" t="s">
        <v>269</v>
      </c>
      <c r="AF2568" t="s">
        <v>137</v>
      </c>
      <c r="AG2568" s="1">
        <v>43840</v>
      </c>
      <c r="AH2568" t="s">
        <v>125</v>
      </c>
      <c r="AI2568" t="s">
        <v>92</v>
      </c>
      <c r="AJ2568">
        <v>1278023</v>
      </c>
      <c r="AK2568">
        <v>12365300</v>
      </c>
      <c r="AL2568">
        <v>12900</v>
      </c>
    </row>
    <row r="2569" spans="1:38" x14ac:dyDescent="0.25">
      <c r="A2569" t="s">
        <v>231</v>
      </c>
      <c r="B2569" t="s">
        <v>605</v>
      </c>
      <c r="C2569" t="s">
        <v>40</v>
      </c>
      <c r="D2569" s="1">
        <v>43191</v>
      </c>
      <c r="E2569" s="1">
        <v>43555</v>
      </c>
      <c r="F2569" t="s">
        <v>72</v>
      </c>
      <c r="G2569">
        <v>3</v>
      </c>
      <c r="H2569" t="s">
        <v>125</v>
      </c>
      <c r="I2569" t="s">
        <v>43</v>
      </c>
      <c r="J2569" t="s">
        <v>126</v>
      </c>
      <c r="K2569" t="s">
        <v>44</v>
      </c>
      <c r="L2569">
        <v>9135.94</v>
      </c>
      <c r="M2569" s="1">
        <v>43191</v>
      </c>
      <c r="N2569" t="s">
        <v>45</v>
      </c>
      <c r="O2569" t="s">
        <v>46</v>
      </c>
      <c r="P2569" t="s">
        <v>47</v>
      </c>
      <c r="Q2569" s="1">
        <v>43852</v>
      </c>
      <c r="R2569" t="s">
        <v>48</v>
      </c>
      <c r="S2569" t="s">
        <v>72</v>
      </c>
      <c r="T2569" t="s">
        <v>270</v>
      </c>
      <c r="U2569" t="s">
        <v>125</v>
      </c>
      <c r="V2569">
        <v>0</v>
      </c>
      <c r="W2569">
        <v>500000</v>
      </c>
      <c r="X2569" s="1">
        <v>43739</v>
      </c>
      <c r="Y2569" t="s">
        <v>131</v>
      </c>
      <c r="Z2569" t="s">
        <v>43</v>
      </c>
      <c r="AA2569" t="s">
        <v>115</v>
      </c>
      <c r="AB2569" t="s">
        <v>268</v>
      </c>
      <c r="AC2569" t="s">
        <v>269</v>
      </c>
      <c r="AF2569" t="s">
        <v>134</v>
      </c>
      <c r="AG2569" s="1">
        <v>43843</v>
      </c>
      <c r="AH2569" t="s">
        <v>125</v>
      </c>
      <c r="AI2569" t="s">
        <v>92</v>
      </c>
      <c r="AJ2569">
        <v>1278023</v>
      </c>
      <c r="AK2569">
        <v>12365300</v>
      </c>
      <c r="AL2569">
        <v>12900</v>
      </c>
    </row>
    <row r="2570" spans="1:38" x14ac:dyDescent="0.25">
      <c r="A2570" t="s">
        <v>231</v>
      </c>
      <c r="B2570" t="s">
        <v>605</v>
      </c>
      <c r="C2570" t="s">
        <v>40</v>
      </c>
      <c r="D2570" s="1">
        <v>43191</v>
      </c>
      <c r="E2570" s="1">
        <v>43555</v>
      </c>
      <c r="F2570" t="s">
        <v>72</v>
      </c>
      <c r="G2570">
        <v>3</v>
      </c>
      <c r="H2570" t="s">
        <v>125</v>
      </c>
      <c r="I2570" t="s">
        <v>43</v>
      </c>
      <c r="J2570" t="s">
        <v>126</v>
      </c>
      <c r="K2570" t="s">
        <v>44</v>
      </c>
      <c r="L2570">
        <v>9135.94</v>
      </c>
      <c r="M2570" s="1">
        <v>43191</v>
      </c>
      <c r="N2570" t="s">
        <v>45</v>
      </c>
      <c r="O2570" t="s">
        <v>46</v>
      </c>
      <c r="P2570" t="s">
        <v>47</v>
      </c>
      <c r="Q2570" s="1">
        <v>43852</v>
      </c>
      <c r="R2570" t="s">
        <v>48</v>
      </c>
      <c r="S2570" t="s">
        <v>72</v>
      </c>
      <c r="T2570" t="s">
        <v>270</v>
      </c>
      <c r="U2570" t="s">
        <v>125</v>
      </c>
      <c r="V2570">
        <v>0</v>
      </c>
      <c r="W2570">
        <v>500000</v>
      </c>
      <c r="X2570" s="1">
        <v>43739</v>
      </c>
      <c r="Y2570" t="s">
        <v>131</v>
      </c>
      <c r="Z2570" t="s">
        <v>43</v>
      </c>
      <c r="AA2570" t="s">
        <v>115</v>
      </c>
      <c r="AB2570" t="s">
        <v>268</v>
      </c>
      <c r="AC2570" t="s">
        <v>269</v>
      </c>
      <c r="AF2570" t="s">
        <v>135</v>
      </c>
      <c r="AG2570" s="1">
        <v>43843</v>
      </c>
      <c r="AH2570" t="s">
        <v>125</v>
      </c>
      <c r="AI2570" t="s">
        <v>92</v>
      </c>
      <c r="AJ2570">
        <v>1278023</v>
      </c>
      <c r="AK2570">
        <v>12365300</v>
      </c>
      <c r="AL2570">
        <v>12900</v>
      </c>
    </row>
    <row r="2571" spans="1:38" x14ac:dyDescent="0.25">
      <c r="A2571" t="s">
        <v>231</v>
      </c>
      <c r="B2571" t="s">
        <v>605</v>
      </c>
      <c r="C2571" t="s">
        <v>40</v>
      </c>
      <c r="D2571" s="1">
        <v>43191</v>
      </c>
      <c r="E2571" s="1">
        <v>43555</v>
      </c>
      <c r="F2571" t="s">
        <v>72</v>
      </c>
      <c r="G2571">
        <v>3</v>
      </c>
      <c r="H2571" t="s">
        <v>125</v>
      </c>
      <c r="I2571" t="s">
        <v>43</v>
      </c>
      <c r="J2571" t="s">
        <v>126</v>
      </c>
      <c r="K2571" t="s">
        <v>44</v>
      </c>
      <c r="L2571">
        <v>9135.94</v>
      </c>
      <c r="M2571" s="1">
        <v>43191</v>
      </c>
      <c r="N2571" t="s">
        <v>45</v>
      </c>
      <c r="O2571" t="s">
        <v>46</v>
      </c>
      <c r="P2571" t="s">
        <v>47</v>
      </c>
      <c r="Q2571" s="1">
        <v>43852</v>
      </c>
      <c r="R2571" t="s">
        <v>48</v>
      </c>
      <c r="S2571" t="s">
        <v>72</v>
      </c>
      <c r="T2571" t="s">
        <v>270</v>
      </c>
      <c r="U2571" t="s">
        <v>125</v>
      </c>
      <c r="V2571">
        <v>0</v>
      </c>
      <c r="W2571">
        <v>500000</v>
      </c>
      <c r="X2571" s="1">
        <v>43739</v>
      </c>
      <c r="Y2571" t="s">
        <v>131</v>
      </c>
      <c r="Z2571" t="s">
        <v>43</v>
      </c>
      <c r="AA2571" t="s">
        <v>115</v>
      </c>
      <c r="AB2571" t="s">
        <v>268</v>
      </c>
      <c r="AC2571" t="s">
        <v>269</v>
      </c>
      <c r="AF2571" t="s">
        <v>136</v>
      </c>
      <c r="AG2571" s="1">
        <v>43839</v>
      </c>
      <c r="AH2571" t="s">
        <v>125</v>
      </c>
      <c r="AI2571" t="s">
        <v>92</v>
      </c>
      <c r="AJ2571">
        <v>1278023</v>
      </c>
      <c r="AK2571">
        <v>12365300</v>
      </c>
      <c r="AL2571">
        <v>12900</v>
      </c>
    </row>
    <row r="2572" spans="1:38" x14ac:dyDescent="0.25">
      <c r="A2572" t="s">
        <v>231</v>
      </c>
      <c r="B2572" t="s">
        <v>605</v>
      </c>
      <c r="C2572" t="s">
        <v>40</v>
      </c>
      <c r="D2572" s="1">
        <v>43191</v>
      </c>
      <c r="E2572" s="1">
        <v>43555</v>
      </c>
      <c r="F2572" t="s">
        <v>72</v>
      </c>
      <c r="G2572">
        <v>3</v>
      </c>
      <c r="H2572" t="s">
        <v>125</v>
      </c>
      <c r="I2572" t="s">
        <v>43</v>
      </c>
      <c r="J2572" t="s">
        <v>126</v>
      </c>
      <c r="K2572" t="s">
        <v>44</v>
      </c>
      <c r="L2572">
        <v>9135.94</v>
      </c>
      <c r="M2572" s="1">
        <v>43191</v>
      </c>
      <c r="N2572" t="s">
        <v>45</v>
      </c>
      <c r="O2572" t="s">
        <v>46</v>
      </c>
      <c r="P2572" t="s">
        <v>47</v>
      </c>
      <c r="Q2572" s="1">
        <v>43852</v>
      </c>
      <c r="R2572" t="s">
        <v>48</v>
      </c>
      <c r="S2572" t="s">
        <v>72</v>
      </c>
      <c r="T2572" t="s">
        <v>270</v>
      </c>
      <c r="U2572" t="s">
        <v>125</v>
      </c>
      <c r="V2572">
        <v>0</v>
      </c>
      <c r="W2572">
        <v>500000</v>
      </c>
      <c r="X2572" s="1">
        <v>43739</v>
      </c>
      <c r="Y2572" t="s">
        <v>131</v>
      </c>
      <c r="Z2572" t="s">
        <v>43</v>
      </c>
      <c r="AA2572" t="s">
        <v>115</v>
      </c>
      <c r="AB2572" t="s">
        <v>268</v>
      </c>
      <c r="AC2572" t="s">
        <v>269</v>
      </c>
      <c r="AF2572" t="s">
        <v>137</v>
      </c>
      <c r="AG2572" s="1">
        <v>43840</v>
      </c>
      <c r="AH2572" t="s">
        <v>125</v>
      </c>
      <c r="AI2572" t="s">
        <v>92</v>
      </c>
      <c r="AJ2572">
        <v>1278023</v>
      </c>
      <c r="AK2572">
        <v>12365300</v>
      </c>
      <c r="AL2572">
        <v>12900</v>
      </c>
    </row>
    <row r="2573" spans="1:38" x14ac:dyDescent="0.25">
      <c r="A2573" t="s">
        <v>231</v>
      </c>
      <c r="B2573" t="s">
        <v>605</v>
      </c>
      <c r="C2573" t="s">
        <v>40</v>
      </c>
      <c r="D2573" s="1">
        <v>43191</v>
      </c>
      <c r="E2573" s="1">
        <v>43555</v>
      </c>
      <c r="F2573" t="s">
        <v>72</v>
      </c>
      <c r="G2573">
        <v>3</v>
      </c>
      <c r="H2573" t="s">
        <v>125</v>
      </c>
      <c r="I2573" t="s">
        <v>43</v>
      </c>
      <c r="J2573" t="s">
        <v>126</v>
      </c>
      <c r="K2573" t="s">
        <v>44</v>
      </c>
      <c r="L2573">
        <v>9135.94</v>
      </c>
      <c r="M2573" s="1">
        <v>43191</v>
      </c>
      <c r="N2573" t="s">
        <v>45</v>
      </c>
      <c r="O2573" t="s">
        <v>46</v>
      </c>
      <c r="P2573" t="s">
        <v>47</v>
      </c>
      <c r="Q2573" s="1">
        <v>43852</v>
      </c>
      <c r="R2573" t="s">
        <v>48</v>
      </c>
      <c r="S2573" t="s">
        <v>271</v>
      </c>
      <c r="T2573" t="s">
        <v>272</v>
      </c>
      <c r="U2573" t="s">
        <v>125</v>
      </c>
      <c r="V2573">
        <v>0</v>
      </c>
      <c r="W2573">
        <v>50000</v>
      </c>
      <c r="X2573" s="1">
        <v>43738</v>
      </c>
      <c r="Y2573" t="s">
        <v>140</v>
      </c>
      <c r="Z2573" t="s">
        <v>43</v>
      </c>
      <c r="AA2573" t="s">
        <v>115</v>
      </c>
      <c r="AB2573" t="s">
        <v>268</v>
      </c>
      <c r="AC2573" t="s">
        <v>269</v>
      </c>
      <c r="AF2573" t="s">
        <v>134</v>
      </c>
      <c r="AG2573" s="1">
        <v>43843</v>
      </c>
      <c r="AH2573" t="s">
        <v>125</v>
      </c>
      <c r="AI2573" t="s">
        <v>92</v>
      </c>
      <c r="AJ2573">
        <v>1278023</v>
      </c>
      <c r="AK2573">
        <v>12365300</v>
      </c>
      <c r="AL2573">
        <v>12900</v>
      </c>
    </row>
    <row r="2574" spans="1:38" x14ac:dyDescent="0.25">
      <c r="A2574" t="s">
        <v>231</v>
      </c>
      <c r="B2574" t="s">
        <v>605</v>
      </c>
      <c r="C2574" t="s">
        <v>40</v>
      </c>
      <c r="D2574" s="1">
        <v>43191</v>
      </c>
      <c r="E2574" s="1">
        <v>43555</v>
      </c>
      <c r="F2574" t="s">
        <v>72</v>
      </c>
      <c r="G2574">
        <v>3</v>
      </c>
      <c r="H2574" t="s">
        <v>125</v>
      </c>
      <c r="I2574" t="s">
        <v>43</v>
      </c>
      <c r="J2574" t="s">
        <v>126</v>
      </c>
      <c r="K2574" t="s">
        <v>44</v>
      </c>
      <c r="L2574">
        <v>9135.94</v>
      </c>
      <c r="M2574" s="1">
        <v>43191</v>
      </c>
      <c r="N2574" t="s">
        <v>45</v>
      </c>
      <c r="O2574" t="s">
        <v>46</v>
      </c>
      <c r="P2574" t="s">
        <v>47</v>
      </c>
      <c r="Q2574" s="1">
        <v>43852</v>
      </c>
      <c r="R2574" t="s">
        <v>48</v>
      </c>
      <c r="S2574" t="s">
        <v>271</v>
      </c>
      <c r="T2574" t="s">
        <v>272</v>
      </c>
      <c r="U2574" t="s">
        <v>125</v>
      </c>
      <c r="V2574">
        <v>0</v>
      </c>
      <c r="W2574">
        <v>50000</v>
      </c>
      <c r="X2574" s="1">
        <v>43738</v>
      </c>
      <c r="Y2574" t="s">
        <v>140</v>
      </c>
      <c r="Z2574" t="s">
        <v>43</v>
      </c>
      <c r="AA2574" t="s">
        <v>115</v>
      </c>
      <c r="AB2574" t="s">
        <v>268</v>
      </c>
      <c r="AC2574" t="s">
        <v>269</v>
      </c>
      <c r="AF2574" t="s">
        <v>135</v>
      </c>
      <c r="AG2574" s="1">
        <v>43843</v>
      </c>
      <c r="AH2574" t="s">
        <v>125</v>
      </c>
      <c r="AI2574" t="s">
        <v>92</v>
      </c>
      <c r="AJ2574">
        <v>1278023</v>
      </c>
      <c r="AK2574">
        <v>12365300</v>
      </c>
      <c r="AL2574">
        <v>12900</v>
      </c>
    </row>
    <row r="2575" spans="1:38" x14ac:dyDescent="0.25">
      <c r="A2575" t="s">
        <v>231</v>
      </c>
      <c r="B2575" t="s">
        <v>605</v>
      </c>
      <c r="C2575" t="s">
        <v>40</v>
      </c>
      <c r="D2575" s="1">
        <v>43191</v>
      </c>
      <c r="E2575" s="1">
        <v>43555</v>
      </c>
      <c r="F2575" t="s">
        <v>72</v>
      </c>
      <c r="G2575">
        <v>3</v>
      </c>
      <c r="H2575" t="s">
        <v>125</v>
      </c>
      <c r="I2575" t="s">
        <v>43</v>
      </c>
      <c r="J2575" t="s">
        <v>126</v>
      </c>
      <c r="K2575" t="s">
        <v>44</v>
      </c>
      <c r="L2575">
        <v>9135.94</v>
      </c>
      <c r="M2575" s="1">
        <v>43191</v>
      </c>
      <c r="N2575" t="s">
        <v>45</v>
      </c>
      <c r="O2575" t="s">
        <v>46</v>
      </c>
      <c r="P2575" t="s">
        <v>47</v>
      </c>
      <c r="Q2575" s="1">
        <v>43852</v>
      </c>
      <c r="R2575" t="s">
        <v>48</v>
      </c>
      <c r="S2575" t="s">
        <v>271</v>
      </c>
      <c r="T2575" t="s">
        <v>272</v>
      </c>
      <c r="U2575" t="s">
        <v>125</v>
      </c>
      <c r="V2575">
        <v>0</v>
      </c>
      <c r="W2575">
        <v>50000</v>
      </c>
      <c r="X2575" s="1">
        <v>43738</v>
      </c>
      <c r="Y2575" t="s">
        <v>140</v>
      </c>
      <c r="Z2575" t="s">
        <v>43</v>
      </c>
      <c r="AA2575" t="s">
        <v>115</v>
      </c>
      <c r="AB2575" t="s">
        <v>268</v>
      </c>
      <c r="AC2575" t="s">
        <v>269</v>
      </c>
      <c r="AF2575" t="s">
        <v>136</v>
      </c>
      <c r="AG2575" s="1">
        <v>43839</v>
      </c>
      <c r="AH2575" t="s">
        <v>125</v>
      </c>
      <c r="AI2575" t="s">
        <v>92</v>
      </c>
      <c r="AJ2575">
        <v>1278023</v>
      </c>
      <c r="AK2575">
        <v>12365300</v>
      </c>
      <c r="AL2575">
        <v>12900</v>
      </c>
    </row>
    <row r="2576" spans="1:38" x14ac:dyDescent="0.25">
      <c r="A2576" t="s">
        <v>231</v>
      </c>
      <c r="B2576" t="s">
        <v>605</v>
      </c>
      <c r="C2576" t="s">
        <v>40</v>
      </c>
      <c r="D2576" s="1">
        <v>43191</v>
      </c>
      <c r="E2576" s="1">
        <v>43555</v>
      </c>
      <c r="F2576" t="s">
        <v>72</v>
      </c>
      <c r="G2576">
        <v>3</v>
      </c>
      <c r="H2576" t="s">
        <v>125</v>
      </c>
      <c r="I2576" t="s">
        <v>43</v>
      </c>
      <c r="J2576" t="s">
        <v>126</v>
      </c>
      <c r="K2576" t="s">
        <v>44</v>
      </c>
      <c r="L2576">
        <v>9135.94</v>
      </c>
      <c r="M2576" s="1">
        <v>43191</v>
      </c>
      <c r="N2576" t="s">
        <v>45</v>
      </c>
      <c r="O2576" t="s">
        <v>46</v>
      </c>
      <c r="P2576" t="s">
        <v>47</v>
      </c>
      <c r="Q2576" s="1">
        <v>43852</v>
      </c>
      <c r="R2576" t="s">
        <v>48</v>
      </c>
      <c r="S2576" t="s">
        <v>271</v>
      </c>
      <c r="T2576" t="s">
        <v>272</v>
      </c>
      <c r="U2576" t="s">
        <v>125</v>
      </c>
      <c r="V2576">
        <v>0</v>
      </c>
      <c r="W2576">
        <v>50000</v>
      </c>
      <c r="X2576" s="1">
        <v>43738</v>
      </c>
      <c r="Y2576" t="s">
        <v>140</v>
      </c>
      <c r="Z2576" t="s">
        <v>43</v>
      </c>
      <c r="AA2576" t="s">
        <v>115</v>
      </c>
      <c r="AB2576" t="s">
        <v>268</v>
      </c>
      <c r="AC2576" t="s">
        <v>269</v>
      </c>
      <c r="AF2576" t="s">
        <v>137</v>
      </c>
      <c r="AG2576" s="1">
        <v>43840</v>
      </c>
      <c r="AH2576" t="s">
        <v>125</v>
      </c>
      <c r="AI2576" t="s">
        <v>92</v>
      </c>
      <c r="AJ2576">
        <v>1278023</v>
      </c>
      <c r="AK2576">
        <v>12365300</v>
      </c>
      <c r="AL2576">
        <v>12900</v>
      </c>
    </row>
    <row r="2577" spans="1:38" x14ac:dyDescent="0.25">
      <c r="A2577" t="s">
        <v>236</v>
      </c>
      <c r="B2577" t="s">
        <v>605</v>
      </c>
      <c r="C2577" t="s">
        <v>40</v>
      </c>
      <c r="D2577" s="1">
        <v>43191</v>
      </c>
      <c r="E2577" s="1">
        <v>43555</v>
      </c>
      <c r="F2577" t="s">
        <v>72</v>
      </c>
      <c r="G2577">
        <v>3</v>
      </c>
      <c r="H2577" t="s">
        <v>125</v>
      </c>
      <c r="I2577" t="s">
        <v>43</v>
      </c>
      <c r="J2577" t="s">
        <v>126</v>
      </c>
      <c r="K2577" t="s">
        <v>44</v>
      </c>
      <c r="L2577">
        <v>3654.37</v>
      </c>
      <c r="M2577" s="1">
        <v>43191</v>
      </c>
      <c r="N2577" t="s">
        <v>45</v>
      </c>
      <c r="O2577" t="s">
        <v>46</v>
      </c>
      <c r="P2577" t="s">
        <v>47</v>
      </c>
      <c r="Q2577" s="1">
        <v>43852</v>
      </c>
      <c r="R2577" t="s">
        <v>48</v>
      </c>
      <c r="S2577" t="s">
        <v>266</v>
      </c>
      <c r="T2577" t="s">
        <v>267</v>
      </c>
      <c r="U2577" t="s">
        <v>125</v>
      </c>
      <c r="V2577">
        <v>700000</v>
      </c>
      <c r="W2577">
        <v>100000</v>
      </c>
      <c r="X2577" s="1">
        <v>43830</v>
      </c>
      <c r="Y2577" t="s">
        <v>51</v>
      </c>
      <c r="Z2577" t="s">
        <v>43</v>
      </c>
      <c r="AA2577" t="s">
        <v>115</v>
      </c>
      <c r="AB2577" t="s">
        <v>268</v>
      </c>
      <c r="AC2577" t="s">
        <v>269</v>
      </c>
      <c r="AF2577" t="s">
        <v>134</v>
      </c>
      <c r="AG2577" s="1">
        <v>43843</v>
      </c>
      <c r="AH2577" t="s">
        <v>125</v>
      </c>
      <c r="AI2577" t="s">
        <v>92</v>
      </c>
      <c r="AJ2577">
        <v>1278023</v>
      </c>
      <c r="AK2577">
        <v>12365300</v>
      </c>
      <c r="AL2577">
        <v>12900</v>
      </c>
    </row>
    <row r="2578" spans="1:38" x14ac:dyDescent="0.25">
      <c r="A2578" t="s">
        <v>236</v>
      </c>
      <c r="B2578" t="s">
        <v>605</v>
      </c>
      <c r="C2578" t="s">
        <v>40</v>
      </c>
      <c r="D2578" s="1">
        <v>43191</v>
      </c>
      <c r="E2578" s="1">
        <v>43555</v>
      </c>
      <c r="F2578" t="s">
        <v>72</v>
      </c>
      <c r="G2578">
        <v>3</v>
      </c>
      <c r="H2578" t="s">
        <v>125</v>
      </c>
      <c r="I2578" t="s">
        <v>43</v>
      </c>
      <c r="J2578" t="s">
        <v>126</v>
      </c>
      <c r="K2578" t="s">
        <v>44</v>
      </c>
      <c r="L2578">
        <v>3654.37</v>
      </c>
      <c r="M2578" s="1">
        <v>43191</v>
      </c>
      <c r="N2578" t="s">
        <v>45</v>
      </c>
      <c r="O2578" t="s">
        <v>46</v>
      </c>
      <c r="P2578" t="s">
        <v>47</v>
      </c>
      <c r="Q2578" s="1">
        <v>43852</v>
      </c>
      <c r="R2578" t="s">
        <v>48</v>
      </c>
      <c r="S2578" t="s">
        <v>266</v>
      </c>
      <c r="T2578" t="s">
        <v>267</v>
      </c>
      <c r="U2578" t="s">
        <v>125</v>
      </c>
      <c r="V2578">
        <v>700000</v>
      </c>
      <c r="W2578">
        <v>100000</v>
      </c>
      <c r="X2578" s="1">
        <v>43830</v>
      </c>
      <c r="Y2578" t="s">
        <v>51</v>
      </c>
      <c r="Z2578" t="s">
        <v>43</v>
      </c>
      <c r="AA2578" t="s">
        <v>115</v>
      </c>
      <c r="AB2578" t="s">
        <v>268</v>
      </c>
      <c r="AC2578" t="s">
        <v>269</v>
      </c>
      <c r="AF2578" t="s">
        <v>135</v>
      </c>
      <c r="AG2578" s="1">
        <v>43843</v>
      </c>
      <c r="AH2578" t="s">
        <v>125</v>
      </c>
      <c r="AI2578" t="s">
        <v>92</v>
      </c>
      <c r="AJ2578">
        <v>1278023</v>
      </c>
      <c r="AK2578">
        <v>12365300</v>
      </c>
      <c r="AL2578">
        <v>12900</v>
      </c>
    </row>
    <row r="2579" spans="1:38" x14ac:dyDescent="0.25">
      <c r="A2579" t="s">
        <v>236</v>
      </c>
      <c r="B2579" t="s">
        <v>605</v>
      </c>
      <c r="C2579" t="s">
        <v>40</v>
      </c>
      <c r="D2579" s="1">
        <v>43191</v>
      </c>
      <c r="E2579" s="1">
        <v>43555</v>
      </c>
      <c r="F2579" t="s">
        <v>72</v>
      </c>
      <c r="G2579">
        <v>3</v>
      </c>
      <c r="H2579" t="s">
        <v>125</v>
      </c>
      <c r="I2579" t="s">
        <v>43</v>
      </c>
      <c r="J2579" t="s">
        <v>126</v>
      </c>
      <c r="K2579" t="s">
        <v>44</v>
      </c>
      <c r="L2579">
        <v>3654.37</v>
      </c>
      <c r="M2579" s="1">
        <v>43191</v>
      </c>
      <c r="N2579" t="s">
        <v>45</v>
      </c>
      <c r="O2579" t="s">
        <v>46</v>
      </c>
      <c r="P2579" t="s">
        <v>47</v>
      </c>
      <c r="Q2579" s="1">
        <v>43852</v>
      </c>
      <c r="R2579" t="s">
        <v>48</v>
      </c>
      <c r="S2579" t="s">
        <v>266</v>
      </c>
      <c r="T2579" t="s">
        <v>267</v>
      </c>
      <c r="U2579" t="s">
        <v>125</v>
      </c>
      <c r="V2579">
        <v>700000</v>
      </c>
      <c r="W2579">
        <v>100000</v>
      </c>
      <c r="X2579" s="1">
        <v>43830</v>
      </c>
      <c r="Y2579" t="s">
        <v>51</v>
      </c>
      <c r="Z2579" t="s">
        <v>43</v>
      </c>
      <c r="AA2579" t="s">
        <v>115</v>
      </c>
      <c r="AB2579" t="s">
        <v>268</v>
      </c>
      <c r="AC2579" t="s">
        <v>269</v>
      </c>
      <c r="AF2579" t="s">
        <v>136</v>
      </c>
      <c r="AG2579" s="1">
        <v>43839</v>
      </c>
      <c r="AH2579" t="s">
        <v>125</v>
      </c>
      <c r="AI2579" t="s">
        <v>92</v>
      </c>
      <c r="AJ2579">
        <v>1278023</v>
      </c>
      <c r="AK2579">
        <v>12365300</v>
      </c>
      <c r="AL2579">
        <v>12900</v>
      </c>
    </row>
    <row r="2580" spans="1:38" x14ac:dyDescent="0.25">
      <c r="A2580" t="s">
        <v>236</v>
      </c>
      <c r="B2580" t="s">
        <v>605</v>
      </c>
      <c r="C2580" t="s">
        <v>40</v>
      </c>
      <c r="D2580" s="1">
        <v>43191</v>
      </c>
      <c r="E2580" s="1">
        <v>43555</v>
      </c>
      <c r="F2580" t="s">
        <v>72</v>
      </c>
      <c r="G2580">
        <v>3</v>
      </c>
      <c r="H2580" t="s">
        <v>125</v>
      </c>
      <c r="I2580" t="s">
        <v>43</v>
      </c>
      <c r="J2580" t="s">
        <v>126</v>
      </c>
      <c r="K2580" t="s">
        <v>44</v>
      </c>
      <c r="L2580">
        <v>3654.37</v>
      </c>
      <c r="M2580" s="1">
        <v>43191</v>
      </c>
      <c r="N2580" t="s">
        <v>45</v>
      </c>
      <c r="O2580" t="s">
        <v>46</v>
      </c>
      <c r="P2580" t="s">
        <v>47</v>
      </c>
      <c r="Q2580" s="1">
        <v>43852</v>
      </c>
      <c r="R2580" t="s">
        <v>48</v>
      </c>
      <c r="S2580" t="s">
        <v>266</v>
      </c>
      <c r="T2580" t="s">
        <v>267</v>
      </c>
      <c r="U2580" t="s">
        <v>125</v>
      </c>
      <c r="V2580">
        <v>700000</v>
      </c>
      <c r="W2580">
        <v>100000</v>
      </c>
      <c r="X2580" s="1">
        <v>43830</v>
      </c>
      <c r="Y2580" t="s">
        <v>51</v>
      </c>
      <c r="Z2580" t="s">
        <v>43</v>
      </c>
      <c r="AA2580" t="s">
        <v>115</v>
      </c>
      <c r="AB2580" t="s">
        <v>268</v>
      </c>
      <c r="AC2580" t="s">
        <v>269</v>
      </c>
      <c r="AF2580" t="s">
        <v>137</v>
      </c>
      <c r="AG2580" s="1">
        <v>43840</v>
      </c>
      <c r="AH2580" t="s">
        <v>125</v>
      </c>
      <c r="AI2580" t="s">
        <v>92</v>
      </c>
      <c r="AJ2580">
        <v>1278023</v>
      </c>
      <c r="AK2580">
        <v>12365300</v>
      </c>
      <c r="AL2580">
        <v>12900</v>
      </c>
    </row>
    <row r="2581" spans="1:38" x14ac:dyDescent="0.25">
      <c r="A2581" t="s">
        <v>236</v>
      </c>
      <c r="B2581" t="s">
        <v>605</v>
      </c>
      <c r="C2581" t="s">
        <v>40</v>
      </c>
      <c r="D2581" s="1">
        <v>43191</v>
      </c>
      <c r="E2581" s="1">
        <v>43555</v>
      </c>
      <c r="F2581" t="s">
        <v>72</v>
      </c>
      <c r="G2581">
        <v>3</v>
      </c>
      <c r="H2581" t="s">
        <v>125</v>
      </c>
      <c r="I2581" t="s">
        <v>43</v>
      </c>
      <c r="J2581" t="s">
        <v>126</v>
      </c>
      <c r="K2581" t="s">
        <v>44</v>
      </c>
      <c r="L2581">
        <v>3654.37</v>
      </c>
      <c r="M2581" s="1">
        <v>43191</v>
      </c>
      <c r="N2581" t="s">
        <v>45</v>
      </c>
      <c r="O2581" t="s">
        <v>46</v>
      </c>
      <c r="P2581" t="s">
        <v>47</v>
      </c>
      <c r="Q2581" s="1">
        <v>43852</v>
      </c>
      <c r="R2581" t="s">
        <v>48</v>
      </c>
      <c r="S2581" t="s">
        <v>72</v>
      </c>
      <c r="T2581" t="s">
        <v>270</v>
      </c>
      <c r="U2581" t="s">
        <v>125</v>
      </c>
      <c r="V2581">
        <v>0</v>
      </c>
      <c r="W2581">
        <v>500000</v>
      </c>
      <c r="X2581" s="1">
        <v>43739</v>
      </c>
      <c r="Y2581" t="s">
        <v>131</v>
      </c>
      <c r="Z2581" t="s">
        <v>43</v>
      </c>
      <c r="AA2581" t="s">
        <v>115</v>
      </c>
      <c r="AB2581" t="s">
        <v>268</v>
      </c>
      <c r="AC2581" t="s">
        <v>269</v>
      </c>
      <c r="AF2581" t="s">
        <v>134</v>
      </c>
      <c r="AG2581" s="1">
        <v>43843</v>
      </c>
      <c r="AH2581" t="s">
        <v>125</v>
      </c>
      <c r="AI2581" t="s">
        <v>92</v>
      </c>
      <c r="AJ2581">
        <v>1278023</v>
      </c>
      <c r="AK2581">
        <v>12365300</v>
      </c>
      <c r="AL2581">
        <v>12900</v>
      </c>
    </row>
    <row r="2582" spans="1:38" x14ac:dyDescent="0.25">
      <c r="A2582" t="s">
        <v>236</v>
      </c>
      <c r="B2582" t="s">
        <v>605</v>
      </c>
      <c r="C2582" t="s">
        <v>40</v>
      </c>
      <c r="D2582" s="1">
        <v>43191</v>
      </c>
      <c r="E2582" s="1">
        <v>43555</v>
      </c>
      <c r="F2582" t="s">
        <v>72</v>
      </c>
      <c r="G2582">
        <v>3</v>
      </c>
      <c r="H2582" t="s">
        <v>125</v>
      </c>
      <c r="I2582" t="s">
        <v>43</v>
      </c>
      <c r="J2582" t="s">
        <v>126</v>
      </c>
      <c r="K2582" t="s">
        <v>44</v>
      </c>
      <c r="L2582">
        <v>3654.37</v>
      </c>
      <c r="M2582" s="1">
        <v>43191</v>
      </c>
      <c r="N2582" t="s">
        <v>45</v>
      </c>
      <c r="O2582" t="s">
        <v>46</v>
      </c>
      <c r="P2582" t="s">
        <v>47</v>
      </c>
      <c r="Q2582" s="1">
        <v>43852</v>
      </c>
      <c r="R2582" t="s">
        <v>48</v>
      </c>
      <c r="S2582" t="s">
        <v>72</v>
      </c>
      <c r="T2582" t="s">
        <v>270</v>
      </c>
      <c r="U2582" t="s">
        <v>125</v>
      </c>
      <c r="V2582">
        <v>0</v>
      </c>
      <c r="W2582">
        <v>500000</v>
      </c>
      <c r="X2582" s="1">
        <v>43739</v>
      </c>
      <c r="Y2582" t="s">
        <v>131</v>
      </c>
      <c r="Z2582" t="s">
        <v>43</v>
      </c>
      <c r="AA2582" t="s">
        <v>115</v>
      </c>
      <c r="AB2582" t="s">
        <v>268</v>
      </c>
      <c r="AC2582" t="s">
        <v>269</v>
      </c>
      <c r="AF2582" t="s">
        <v>135</v>
      </c>
      <c r="AG2582" s="1">
        <v>43843</v>
      </c>
      <c r="AH2582" t="s">
        <v>125</v>
      </c>
      <c r="AI2582" t="s">
        <v>92</v>
      </c>
      <c r="AJ2582">
        <v>1278023</v>
      </c>
      <c r="AK2582">
        <v>12365300</v>
      </c>
      <c r="AL2582">
        <v>12900</v>
      </c>
    </row>
    <row r="2583" spans="1:38" x14ac:dyDescent="0.25">
      <c r="A2583" t="s">
        <v>236</v>
      </c>
      <c r="B2583" t="s">
        <v>605</v>
      </c>
      <c r="C2583" t="s">
        <v>40</v>
      </c>
      <c r="D2583" s="1">
        <v>43191</v>
      </c>
      <c r="E2583" s="1">
        <v>43555</v>
      </c>
      <c r="F2583" t="s">
        <v>72</v>
      </c>
      <c r="G2583">
        <v>3</v>
      </c>
      <c r="H2583" t="s">
        <v>125</v>
      </c>
      <c r="I2583" t="s">
        <v>43</v>
      </c>
      <c r="J2583" t="s">
        <v>126</v>
      </c>
      <c r="K2583" t="s">
        <v>44</v>
      </c>
      <c r="L2583">
        <v>3654.37</v>
      </c>
      <c r="M2583" s="1">
        <v>43191</v>
      </c>
      <c r="N2583" t="s">
        <v>45</v>
      </c>
      <c r="O2583" t="s">
        <v>46</v>
      </c>
      <c r="P2583" t="s">
        <v>47</v>
      </c>
      <c r="Q2583" s="1">
        <v>43852</v>
      </c>
      <c r="R2583" t="s">
        <v>48</v>
      </c>
      <c r="S2583" t="s">
        <v>72</v>
      </c>
      <c r="T2583" t="s">
        <v>270</v>
      </c>
      <c r="U2583" t="s">
        <v>125</v>
      </c>
      <c r="V2583">
        <v>0</v>
      </c>
      <c r="W2583">
        <v>500000</v>
      </c>
      <c r="X2583" s="1">
        <v>43739</v>
      </c>
      <c r="Y2583" t="s">
        <v>131</v>
      </c>
      <c r="Z2583" t="s">
        <v>43</v>
      </c>
      <c r="AA2583" t="s">
        <v>115</v>
      </c>
      <c r="AB2583" t="s">
        <v>268</v>
      </c>
      <c r="AC2583" t="s">
        <v>269</v>
      </c>
      <c r="AF2583" t="s">
        <v>136</v>
      </c>
      <c r="AG2583" s="1">
        <v>43839</v>
      </c>
      <c r="AH2583" t="s">
        <v>125</v>
      </c>
      <c r="AI2583" t="s">
        <v>92</v>
      </c>
      <c r="AJ2583">
        <v>1278023</v>
      </c>
      <c r="AK2583">
        <v>12365300</v>
      </c>
      <c r="AL2583">
        <v>12900</v>
      </c>
    </row>
    <row r="2584" spans="1:38" x14ac:dyDescent="0.25">
      <c r="A2584" t="s">
        <v>236</v>
      </c>
      <c r="B2584" t="s">
        <v>605</v>
      </c>
      <c r="C2584" t="s">
        <v>40</v>
      </c>
      <c r="D2584" s="1">
        <v>43191</v>
      </c>
      <c r="E2584" s="1">
        <v>43555</v>
      </c>
      <c r="F2584" t="s">
        <v>72</v>
      </c>
      <c r="G2584">
        <v>3</v>
      </c>
      <c r="H2584" t="s">
        <v>125</v>
      </c>
      <c r="I2584" t="s">
        <v>43</v>
      </c>
      <c r="J2584" t="s">
        <v>126</v>
      </c>
      <c r="K2584" t="s">
        <v>44</v>
      </c>
      <c r="L2584">
        <v>3654.37</v>
      </c>
      <c r="M2584" s="1">
        <v>43191</v>
      </c>
      <c r="N2584" t="s">
        <v>45</v>
      </c>
      <c r="O2584" t="s">
        <v>46</v>
      </c>
      <c r="P2584" t="s">
        <v>47</v>
      </c>
      <c r="Q2584" s="1">
        <v>43852</v>
      </c>
      <c r="R2584" t="s">
        <v>48</v>
      </c>
      <c r="S2584" t="s">
        <v>72</v>
      </c>
      <c r="T2584" t="s">
        <v>270</v>
      </c>
      <c r="U2584" t="s">
        <v>125</v>
      </c>
      <c r="V2584">
        <v>0</v>
      </c>
      <c r="W2584">
        <v>500000</v>
      </c>
      <c r="X2584" s="1">
        <v>43739</v>
      </c>
      <c r="Y2584" t="s">
        <v>131</v>
      </c>
      <c r="Z2584" t="s">
        <v>43</v>
      </c>
      <c r="AA2584" t="s">
        <v>115</v>
      </c>
      <c r="AB2584" t="s">
        <v>268</v>
      </c>
      <c r="AC2584" t="s">
        <v>269</v>
      </c>
      <c r="AF2584" t="s">
        <v>137</v>
      </c>
      <c r="AG2584" s="1">
        <v>43840</v>
      </c>
      <c r="AH2584" t="s">
        <v>125</v>
      </c>
      <c r="AI2584" t="s">
        <v>92</v>
      </c>
      <c r="AJ2584">
        <v>1278023</v>
      </c>
      <c r="AK2584">
        <v>12365300</v>
      </c>
      <c r="AL2584">
        <v>12900</v>
      </c>
    </row>
    <row r="2585" spans="1:38" x14ac:dyDescent="0.25">
      <c r="A2585" t="s">
        <v>236</v>
      </c>
      <c r="B2585" t="s">
        <v>605</v>
      </c>
      <c r="C2585" t="s">
        <v>40</v>
      </c>
      <c r="D2585" s="1">
        <v>43191</v>
      </c>
      <c r="E2585" s="1">
        <v>43555</v>
      </c>
      <c r="F2585" t="s">
        <v>72</v>
      </c>
      <c r="G2585">
        <v>3</v>
      </c>
      <c r="H2585" t="s">
        <v>125</v>
      </c>
      <c r="I2585" t="s">
        <v>43</v>
      </c>
      <c r="J2585" t="s">
        <v>126</v>
      </c>
      <c r="K2585" t="s">
        <v>44</v>
      </c>
      <c r="L2585">
        <v>3654.37</v>
      </c>
      <c r="M2585" s="1">
        <v>43191</v>
      </c>
      <c r="N2585" t="s">
        <v>45</v>
      </c>
      <c r="O2585" t="s">
        <v>46</v>
      </c>
      <c r="P2585" t="s">
        <v>47</v>
      </c>
      <c r="Q2585" s="1">
        <v>43852</v>
      </c>
      <c r="R2585" t="s">
        <v>48</v>
      </c>
      <c r="S2585" t="s">
        <v>271</v>
      </c>
      <c r="T2585" t="s">
        <v>272</v>
      </c>
      <c r="U2585" t="s">
        <v>125</v>
      </c>
      <c r="V2585">
        <v>0</v>
      </c>
      <c r="W2585">
        <v>50000</v>
      </c>
      <c r="X2585" s="1">
        <v>43738</v>
      </c>
      <c r="Y2585" t="s">
        <v>140</v>
      </c>
      <c r="Z2585" t="s">
        <v>43</v>
      </c>
      <c r="AA2585" t="s">
        <v>115</v>
      </c>
      <c r="AB2585" t="s">
        <v>268</v>
      </c>
      <c r="AC2585" t="s">
        <v>269</v>
      </c>
      <c r="AF2585" t="s">
        <v>134</v>
      </c>
      <c r="AG2585" s="1">
        <v>43843</v>
      </c>
      <c r="AH2585" t="s">
        <v>125</v>
      </c>
      <c r="AI2585" t="s">
        <v>92</v>
      </c>
      <c r="AJ2585">
        <v>1278023</v>
      </c>
      <c r="AK2585">
        <v>12365300</v>
      </c>
      <c r="AL2585">
        <v>12900</v>
      </c>
    </row>
    <row r="2586" spans="1:38" x14ac:dyDescent="0.25">
      <c r="A2586" t="s">
        <v>236</v>
      </c>
      <c r="B2586" t="s">
        <v>605</v>
      </c>
      <c r="C2586" t="s">
        <v>40</v>
      </c>
      <c r="D2586" s="1">
        <v>43191</v>
      </c>
      <c r="E2586" s="1">
        <v>43555</v>
      </c>
      <c r="F2586" t="s">
        <v>72</v>
      </c>
      <c r="G2586">
        <v>3</v>
      </c>
      <c r="H2586" t="s">
        <v>125</v>
      </c>
      <c r="I2586" t="s">
        <v>43</v>
      </c>
      <c r="J2586" t="s">
        <v>126</v>
      </c>
      <c r="K2586" t="s">
        <v>44</v>
      </c>
      <c r="L2586">
        <v>3654.37</v>
      </c>
      <c r="M2586" s="1">
        <v>43191</v>
      </c>
      <c r="N2586" t="s">
        <v>45</v>
      </c>
      <c r="O2586" t="s">
        <v>46</v>
      </c>
      <c r="P2586" t="s">
        <v>47</v>
      </c>
      <c r="Q2586" s="1">
        <v>43852</v>
      </c>
      <c r="R2586" t="s">
        <v>48</v>
      </c>
      <c r="S2586" t="s">
        <v>271</v>
      </c>
      <c r="T2586" t="s">
        <v>272</v>
      </c>
      <c r="U2586" t="s">
        <v>125</v>
      </c>
      <c r="V2586">
        <v>0</v>
      </c>
      <c r="W2586">
        <v>50000</v>
      </c>
      <c r="X2586" s="1">
        <v>43738</v>
      </c>
      <c r="Y2586" t="s">
        <v>140</v>
      </c>
      <c r="Z2586" t="s">
        <v>43</v>
      </c>
      <c r="AA2586" t="s">
        <v>115</v>
      </c>
      <c r="AB2586" t="s">
        <v>268</v>
      </c>
      <c r="AC2586" t="s">
        <v>269</v>
      </c>
      <c r="AF2586" t="s">
        <v>135</v>
      </c>
      <c r="AG2586" s="1">
        <v>43843</v>
      </c>
      <c r="AH2586" t="s">
        <v>125</v>
      </c>
      <c r="AI2586" t="s">
        <v>92</v>
      </c>
      <c r="AJ2586">
        <v>1278023</v>
      </c>
      <c r="AK2586">
        <v>12365300</v>
      </c>
      <c r="AL2586">
        <v>12900</v>
      </c>
    </row>
    <row r="2587" spans="1:38" x14ac:dyDescent="0.25">
      <c r="A2587" t="s">
        <v>236</v>
      </c>
      <c r="B2587" t="s">
        <v>605</v>
      </c>
      <c r="C2587" t="s">
        <v>40</v>
      </c>
      <c r="D2587" s="1">
        <v>43191</v>
      </c>
      <c r="E2587" s="1">
        <v>43555</v>
      </c>
      <c r="F2587" t="s">
        <v>72</v>
      </c>
      <c r="G2587">
        <v>3</v>
      </c>
      <c r="H2587" t="s">
        <v>125</v>
      </c>
      <c r="I2587" t="s">
        <v>43</v>
      </c>
      <c r="J2587" t="s">
        <v>126</v>
      </c>
      <c r="K2587" t="s">
        <v>44</v>
      </c>
      <c r="L2587">
        <v>3654.37</v>
      </c>
      <c r="M2587" s="1">
        <v>43191</v>
      </c>
      <c r="N2587" t="s">
        <v>45</v>
      </c>
      <c r="O2587" t="s">
        <v>46</v>
      </c>
      <c r="P2587" t="s">
        <v>47</v>
      </c>
      <c r="Q2587" s="1">
        <v>43852</v>
      </c>
      <c r="R2587" t="s">
        <v>48</v>
      </c>
      <c r="S2587" t="s">
        <v>271</v>
      </c>
      <c r="T2587" t="s">
        <v>272</v>
      </c>
      <c r="U2587" t="s">
        <v>125</v>
      </c>
      <c r="V2587">
        <v>0</v>
      </c>
      <c r="W2587">
        <v>50000</v>
      </c>
      <c r="X2587" s="1">
        <v>43738</v>
      </c>
      <c r="Y2587" t="s">
        <v>140</v>
      </c>
      <c r="Z2587" t="s">
        <v>43</v>
      </c>
      <c r="AA2587" t="s">
        <v>115</v>
      </c>
      <c r="AB2587" t="s">
        <v>268</v>
      </c>
      <c r="AC2587" t="s">
        <v>269</v>
      </c>
      <c r="AF2587" t="s">
        <v>136</v>
      </c>
      <c r="AG2587" s="1">
        <v>43839</v>
      </c>
      <c r="AH2587" t="s">
        <v>125</v>
      </c>
      <c r="AI2587" t="s">
        <v>92</v>
      </c>
      <c r="AJ2587">
        <v>1278023</v>
      </c>
      <c r="AK2587">
        <v>12365300</v>
      </c>
      <c r="AL2587">
        <v>12900</v>
      </c>
    </row>
    <row r="2588" spans="1:38" x14ac:dyDescent="0.25">
      <c r="A2588" t="s">
        <v>236</v>
      </c>
      <c r="B2588" t="s">
        <v>605</v>
      </c>
      <c r="C2588" t="s">
        <v>40</v>
      </c>
      <c r="D2588" s="1">
        <v>43191</v>
      </c>
      <c r="E2588" s="1">
        <v>43555</v>
      </c>
      <c r="F2588" t="s">
        <v>72</v>
      </c>
      <c r="G2588">
        <v>3</v>
      </c>
      <c r="H2588" t="s">
        <v>125</v>
      </c>
      <c r="I2588" t="s">
        <v>43</v>
      </c>
      <c r="J2588" t="s">
        <v>126</v>
      </c>
      <c r="K2588" t="s">
        <v>44</v>
      </c>
      <c r="L2588">
        <v>3654.37</v>
      </c>
      <c r="M2588" s="1">
        <v>43191</v>
      </c>
      <c r="N2588" t="s">
        <v>45</v>
      </c>
      <c r="O2588" t="s">
        <v>46</v>
      </c>
      <c r="P2588" t="s">
        <v>47</v>
      </c>
      <c r="Q2588" s="1">
        <v>43852</v>
      </c>
      <c r="R2588" t="s">
        <v>48</v>
      </c>
      <c r="S2588" t="s">
        <v>271</v>
      </c>
      <c r="T2588" t="s">
        <v>272</v>
      </c>
      <c r="U2588" t="s">
        <v>125</v>
      </c>
      <c r="V2588">
        <v>0</v>
      </c>
      <c r="W2588">
        <v>50000</v>
      </c>
      <c r="X2588" s="1">
        <v>43738</v>
      </c>
      <c r="Y2588" t="s">
        <v>140</v>
      </c>
      <c r="Z2588" t="s">
        <v>43</v>
      </c>
      <c r="AA2588" t="s">
        <v>115</v>
      </c>
      <c r="AB2588" t="s">
        <v>268</v>
      </c>
      <c r="AC2588" t="s">
        <v>269</v>
      </c>
      <c r="AF2588" t="s">
        <v>137</v>
      </c>
      <c r="AG2588" s="1">
        <v>43840</v>
      </c>
      <c r="AH2588" t="s">
        <v>125</v>
      </c>
      <c r="AI2588" t="s">
        <v>92</v>
      </c>
      <c r="AJ2588">
        <v>1278023</v>
      </c>
      <c r="AK2588">
        <v>12365300</v>
      </c>
      <c r="AL2588">
        <v>12900</v>
      </c>
    </row>
    <row r="2589" spans="1:38" x14ac:dyDescent="0.25">
      <c r="A2589" t="s">
        <v>238</v>
      </c>
      <c r="B2589" t="s">
        <v>606</v>
      </c>
      <c r="C2589" t="s">
        <v>40</v>
      </c>
      <c r="D2589" s="1">
        <v>43556</v>
      </c>
      <c r="E2589" s="1">
        <v>43921</v>
      </c>
      <c r="F2589" t="s">
        <v>76</v>
      </c>
      <c r="G2589">
        <v>3</v>
      </c>
      <c r="H2589" t="s">
        <v>125</v>
      </c>
      <c r="I2589" t="s">
        <v>43</v>
      </c>
      <c r="J2589" t="s">
        <v>126</v>
      </c>
      <c r="K2589" t="s">
        <v>44</v>
      </c>
      <c r="L2589">
        <v>445.18</v>
      </c>
      <c r="M2589" s="1">
        <v>43556</v>
      </c>
      <c r="N2589" t="s">
        <v>45</v>
      </c>
      <c r="O2589" t="s">
        <v>46</v>
      </c>
      <c r="P2589" t="s">
        <v>47</v>
      </c>
      <c r="Q2589" s="1">
        <v>43852</v>
      </c>
      <c r="R2589" t="s">
        <v>48</v>
      </c>
    </row>
    <row r="2590" spans="1:38" x14ac:dyDescent="0.25">
      <c r="A2590" t="s">
        <v>240</v>
      </c>
      <c r="B2590" t="s">
        <v>607</v>
      </c>
      <c r="C2590" t="s">
        <v>71</v>
      </c>
      <c r="D2590" s="1">
        <v>43191</v>
      </c>
      <c r="E2590" s="1">
        <v>43555</v>
      </c>
      <c r="F2590" t="s">
        <v>76</v>
      </c>
      <c r="G2590">
        <v>3</v>
      </c>
      <c r="H2590" t="s">
        <v>125</v>
      </c>
      <c r="I2590" t="s">
        <v>43</v>
      </c>
      <c r="J2590" t="s">
        <v>126</v>
      </c>
      <c r="K2590" t="s">
        <v>44</v>
      </c>
      <c r="L2590">
        <v>1598.68</v>
      </c>
      <c r="M2590" s="1">
        <v>43191</v>
      </c>
      <c r="N2590" t="s">
        <v>45</v>
      </c>
      <c r="O2590" t="s">
        <v>46</v>
      </c>
      <c r="P2590" t="s">
        <v>47</v>
      </c>
      <c r="Q2590" s="1">
        <v>43852</v>
      </c>
      <c r="R2590" t="s">
        <v>48</v>
      </c>
    </row>
    <row r="2591" spans="1:38" x14ac:dyDescent="0.25">
      <c r="A2591" t="s">
        <v>242</v>
      </c>
      <c r="B2591" t="s">
        <v>607</v>
      </c>
      <c r="C2591" t="s">
        <v>71</v>
      </c>
      <c r="D2591" s="1">
        <v>43191</v>
      </c>
      <c r="E2591" s="1">
        <v>43555</v>
      </c>
      <c r="F2591" t="s">
        <v>76</v>
      </c>
      <c r="G2591">
        <v>3</v>
      </c>
      <c r="H2591" t="s">
        <v>125</v>
      </c>
      <c r="I2591" t="s">
        <v>43</v>
      </c>
      <c r="J2591" t="s">
        <v>126</v>
      </c>
      <c r="K2591" t="s">
        <v>44</v>
      </c>
      <c r="L2591">
        <v>614.88</v>
      </c>
      <c r="M2591" s="1">
        <v>43191</v>
      </c>
      <c r="N2591" t="s">
        <v>45</v>
      </c>
      <c r="O2591" t="s">
        <v>46</v>
      </c>
      <c r="P2591" t="s">
        <v>47</v>
      </c>
      <c r="Q2591" s="1">
        <v>43852</v>
      </c>
      <c r="R2591" t="s">
        <v>48</v>
      </c>
    </row>
    <row r="2592" spans="1:38" x14ac:dyDescent="0.25">
      <c r="A2592" t="s">
        <v>244</v>
      </c>
      <c r="B2592" t="s">
        <v>607</v>
      </c>
      <c r="C2592" t="s">
        <v>71</v>
      </c>
      <c r="D2592" s="1">
        <v>43191</v>
      </c>
      <c r="E2592" s="1">
        <v>43555</v>
      </c>
      <c r="F2592" t="s">
        <v>76</v>
      </c>
      <c r="G2592">
        <v>3</v>
      </c>
      <c r="H2592" t="s">
        <v>125</v>
      </c>
      <c r="I2592" t="s">
        <v>43</v>
      </c>
      <c r="J2592" t="s">
        <v>126</v>
      </c>
      <c r="K2592" t="s">
        <v>44</v>
      </c>
      <c r="L2592">
        <v>245.95</v>
      </c>
      <c r="M2592" s="1">
        <v>43191</v>
      </c>
      <c r="N2592" t="s">
        <v>45</v>
      </c>
      <c r="O2592" t="s">
        <v>46</v>
      </c>
      <c r="P2592" t="s">
        <v>47</v>
      </c>
      <c r="Q2592" s="1">
        <v>43852</v>
      </c>
      <c r="R2592" t="s">
        <v>48</v>
      </c>
    </row>
    <row r="2593" spans="1:33" x14ac:dyDescent="0.25">
      <c r="A2593" t="s">
        <v>246</v>
      </c>
      <c r="B2593" t="s">
        <v>606</v>
      </c>
      <c r="C2593" t="s">
        <v>40</v>
      </c>
      <c r="D2593" s="1">
        <v>43556</v>
      </c>
      <c r="E2593" s="1">
        <v>43921</v>
      </c>
      <c r="F2593" t="s">
        <v>76</v>
      </c>
      <c r="G2593">
        <v>3</v>
      </c>
      <c r="H2593" t="s">
        <v>125</v>
      </c>
      <c r="I2593" t="s">
        <v>43</v>
      </c>
      <c r="J2593" t="s">
        <v>126</v>
      </c>
      <c r="K2593" t="s">
        <v>44</v>
      </c>
      <c r="L2593">
        <v>2077.5100000000002</v>
      </c>
      <c r="M2593" s="1">
        <v>43556</v>
      </c>
      <c r="N2593" t="s">
        <v>45</v>
      </c>
      <c r="O2593" t="s">
        <v>46</v>
      </c>
      <c r="P2593" t="s">
        <v>47</v>
      </c>
      <c r="Q2593" s="1">
        <v>43852</v>
      </c>
      <c r="R2593" t="s">
        <v>48</v>
      </c>
    </row>
    <row r="2594" spans="1:33" x14ac:dyDescent="0.25">
      <c r="A2594" t="s">
        <v>248</v>
      </c>
      <c r="B2594" t="s">
        <v>606</v>
      </c>
      <c r="C2594" t="s">
        <v>40</v>
      </c>
      <c r="D2594" s="1">
        <v>43556</v>
      </c>
      <c r="E2594" s="1">
        <v>43921</v>
      </c>
      <c r="F2594" t="s">
        <v>76</v>
      </c>
      <c r="G2594">
        <v>3</v>
      </c>
      <c r="H2594" t="s">
        <v>125</v>
      </c>
      <c r="I2594" t="s">
        <v>43</v>
      </c>
      <c r="J2594" t="s">
        <v>126</v>
      </c>
      <c r="K2594" t="s">
        <v>44</v>
      </c>
      <c r="L2594">
        <v>445.18</v>
      </c>
      <c r="M2594" s="1">
        <v>43556</v>
      </c>
      <c r="N2594" t="s">
        <v>45</v>
      </c>
      <c r="O2594" t="s">
        <v>46</v>
      </c>
      <c r="P2594" t="s">
        <v>47</v>
      </c>
      <c r="Q2594" s="1">
        <v>43852</v>
      </c>
      <c r="R2594" t="s">
        <v>48</v>
      </c>
    </row>
    <row r="2595" spans="1:33" x14ac:dyDescent="0.25">
      <c r="A2595" t="s">
        <v>250</v>
      </c>
      <c r="B2595" t="s">
        <v>608</v>
      </c>
      <c r="C2595" t="s">
        <v>40</v>
      </c>
      <c r="D2595" s="1">
        <v>43450</v>
      </c>
      <c r="E2595" s="1">
        <v>43814</v>
      </c>
      <c r="F2595" t="s">
        <v>72</v>
      </c>
      <c r="G2595">
        <v>1</v>
      </c>
      <c r="H2595" t="s">
        <v>42</v>
      </c>
      <c r="I2595" t="s">
        <v>43</v>
      </c>
      <c r="J2595" t="s">
        <v>115</v>
      </c>
      <c r="K2595" t="s">
        <v>44</v>
      </c>
      <c r="L2595">
        <v>33484.339999999997</v>
      </c>
      <c r="M2595" s="1">
        <v>43450</v>
      </c>
      <c r="N2595" t="s">
        <v>45</v>
      </c>
      <c r="O2595" t="s">
        <v>46</v>
      </c>
      <c r="P2595" t="s">
        <v>47</v>
      </c>
      <c r="Q2595" s="1">
        <v>43852</v>
      </c>
      <c r="R2595" t="s">
        <v>48</v>
      </c>
    </row>
    <row r="2596" spans="1:33" x14ac:dyDescent="0.25">
      <c r="A2596" t="s">
        <v>252</v>
      </c>
      <c r="B2596" t="s">
        <v>609</v>
      </c>
      <c r="C2596" t="s">
        <v>40</v>
      </c>
      <c r="D2596" s="1">
        <v>43815</v>
      </c>
      <c r="E2596" s="1">
        <v>44180</v>
      </c>
      <c r="F2596" t="s">
        <v>72</v>
      </c>
      <c r="G2596">
        <v>2</v>
      </c>
      <c r="H2596" t="s">
        <v>67</v>
      </c>
      <c r="I2596" t="s">
        <v>43</v>
      </c>
      <c r="J2596" t="s">
        <v>122</v>
      </c>
      <c r="K2596" t="s">
        <v>44</v>
      </c>
      <c r="L2596">
        <v>109812.12</v>
      </c>
      <c r="M2596" s="1">
        <v>43815</v>
      </c>
      <c r="N2596" t="s">
        <v>45</v>
      </c>
      <c r="O2596" t="s">
        <v>46</v>
      </c>
      <c r="P2596" t="s">
        <v>47</v>
      </c>
      <c r="Q2596" s="1">
        <v>43852</v>
      </c>
      <c r="R2596" t="s">
        <v>48</v>
      </c>
    </row>
    <row r="2597" spans="1:33" x14ac:dyDescent="0.25">
      <c r="A2597" t="s">
        <v>254</v>
      </c>
      <c r="B2597" s="2">
        <v>3.1242E+18</v>
      </c>
      <c r="C2597" t="s">
        <v>40</v>
      </c>
      <c r="D2597" s="1">
        <v>43110</v>
      </c>
      <c r="E2597" s="1">
        <v>43251</v>
      </c>
      <c r="F2597" t="s">
        <v>77</v>
      </c>
      <c r="G2597">
        <v>12</v>
      </c>
      <c r="H2597" t="s">
        <v>155</v>
      </c>
      <c r="I2597" t="s">
        <v>43</v>
      </c>
      <c r="J2597" t="s">
        <v>126</v>
      </c>
      <c r="K2597" t="s">
        <v>44</v>
      </c>
      <c r="L2597">
        <v>12084.5</v>
      </c>
      <c r="M2597" s="1">
        <v>43110</v>
      </c>
      <c r="N2597" t="s">
        <v>45</v>
      </c>
      <c r="O2597" t="s">
        <v>46</v>
      </c>
      <c r="P2597" t="s">
        <v>47</v>
      </c>
      <c r="Q2597" s="1">
        <v>43852</v>
      </c>
      <c r="R2597" t="s">
        <v>48</v>
      </c>
      <c r="S2597" t="s">
        <v>156</v>
      </c>
      <c r="T2597" t="s">
        <v>157</v>
      </c>
      <c r="U2597" t="s">
        <v>155</v>
      </c>
      <c r="V2597">
        <v>500000</v>
      </c>
      <c r="W2597">
        <v>75000</v>
      </c>
      <c r="X2597" s="1">
        <v>43982</v>
      </c>
      <c r="Y2597" t="s">
        <v>51</v>
      </c>
      <c r="Z2597" t="s">
        <v>43</v>
      </c>
      <c r="AA2597" t="s">
        <v>77</v>
      </c>
      <c r="AB2597" t="s">
        <v>158</v>
      </c>
      <c r="AC2597" t="s">
        <v>159</v>
      </c>
      <c r="AF2597" t="s">
        <v>160</v>
      </c>
      <c r="AG2597" s="1">
        <v>43851</v>
      </c>
    </row>
    <row r="2598" spans="1:33" x14ac:dyDescent="0.25">
      <c r="A2598" t="s">
        <v>254</v>
      </c>
      <c r="B2598" s="2">
        <v>3.1242E+18</v>
      </c>
      <c r="C2598" t="s">
        <v>40</v>
      </c>
      <c r="D2598" s="1">
        <v>43110</v>
      </c>
      <c r="E2598" s="1">
        <v>43251</v>
      </c>
      <c r="F2598" t="s">
        <v>77</v>
      </c>
      <c r="G2598">
        <v>12</v>
      </c>
      <c r="H2598" t="s">
        <v>155</v>
      </c>
      <c r="I2598" t="s">
        <v>43</v>
      </c>
      <c r="J2598" t="s">
        <v>126</v>
      </c>
      <c r="K2598" t="s">
        <v>44</v>
      </c>
      <c r="L2598">
        <v>12084.5</v>
      </c>
      <c r="M2598" s="1">
        <v>43110</v>
      </c>
      <c r="N2598" t="s">
        <v>45</v>
      </c>
      <c r="O2598" t="s">
        <v>46</v>
      </c>
      <c r="P2598" t="s">
        <v>47</v>
      </c>
      <c r="Q2598" s="1">
        <v>43852</v>
      </c>
      <c r="R2598" t="s">
        <v>48</v>
      </c>
      <c r="S2598" t="s">
        <v>156</v>
      </c>
      <c r="T2598" t="s">
        <v>157</v>
      </c>
      <c r="U2598" t="s">
        <v>155</v>
      </c>
      <c r="V2598">
        <v>500000</v>
      </c>
      <c r="W2598">
        <v>75000</v>
      </c>
      <c r="X2598" s="1">
        <v>43982</v>
      </c>
      <c r="Y2598" t="s">
        <v>51</v>
      </c>
      <c r="Z2598" t="s">
        <v>43</v>
      </c>
      <c r="AA2598" t="s">
        <v>77</v>
      </c>
      <c r="AB2598" t="s">
        <v>158</v>
      </c>
      <c r="AC2598" t="s">
        <v>159</v>
      </c>
      <c r="AF2598" t="s">
        <v>161</v>
      </c>
      <c r="AG2598" s="1">
        <v>43851</v>
      </c>
    </row>
    <row r="2599" spans="1:33" x14ac:dyDescent="0.25">
      <c r="A2599" t="s">
        <v>254</v>
      </c>
      <c r="B2599" s="2">
        <v>3.1242E+18</v>
      </c>
      <c r="C2599" t="s">
        <v>40</v>
      </c>
      <c r="D2599" s="1">
        <v>43110</v>
      </c>
      <c r="E2599" s="1">
        <v>43251</v>
      </c>
      <c r="F2599" t="s">
        <v>77</v>
      </c>
      <c r="G2599">
        <v>12</v>
      </c>
      <c r="H2599" t="s">
        <v>155</v>
      </c>
      <c r="I2599" t="s">
        <v>43</v>
      </c>
      <c r="J2599" t="s">
        <v>126</v>
      </c>
      <c r="K2599" t="s">
        <v>44</v>
      </c>
      <c r="L2599">
        <v>12084.5</v>
      </c>
      <c r="M2599" s="1">
        <v>43110</v>
      </c>
      <c r="N2599" t="s">
        <v>45</v>
      </c>
      <c r="O2599" t="s">
        <v>46</v>
      </c>
      <c r="P2599" t="s">
        <v>47</v>
      </c>
      <c r="Q2599" s="1">
        <v>43852</v>
      </c>
      <c r="R2599" t="s">
        <v>48</v>
      </c>
      <c r="S2599" t="s">
        <v>156</v>
      </c>
      <c r="T2599" t="s">
        <v>157</v>
      </c>
      <c r="U2599" t="s">
        <v>155</v>
      </c>
      <c r="V2599">
        <v>500000</v>
      </c>
      <c r="W2599">
        <v>75000</v>
      </c>
      <c r="X2599" s="1">
        <v>43982</v>
      </c>
      <c r="Y2599" t="s">
        <v>51</v>
      </c>
      <c r="Z2599" t="s">
        <v>43</v>
      </c>
      <c r="AA2599" t="s">
        <v>77</v>
      </c>
      <c r="AB2599" t="s">
        <v>158</v>
      </c>
      <c r="AC2599" t="s">
        <v>159</v>
      </c>
      <c r="AF2599" t="s">
        <v>162</v>
      </c>
      <c r="AG2599" s="1">
        <v>43851</v>
      </c>
    </row>
    <row r="2600" spans="1:33" x14ac:dyDescent="0.25">
      <c r="A2600" t="s">
        <v>254</v>
      </c>
      <c r="B2600" s="2">
        <v>3.1242E+18</v>
      </c>
      <c r="C2600" t="s">
        <v>40</v>
      </c>
      <c r="D2600" s="1">
        <v>43110</v>
      </c>
      <c r="E2600" s="1">
        <v>43251</v>
      </c>
      <c r="F2600" t="s">
        <v>77</v>
      </c>
      <c r="G2600">
        <v>12</v>
      </c>
      <c r="H2600" t="s">
        <v>155</v>
      </c>
      <c r="I2600" t="s">
        <v>43</v>
      </c>
      <c r="J2600" t="s">
        <v>126</v>
      </c>
      <c r="K2600" t="s">
        <v>44</v>
      </c>
      <c r="L2600">
        <v>12084.5</v>
      </c>
      <c r="M2600" s="1">
        <v>43110</v>
      </c>
      <c r="N2600" t="s">
        <v>45</v>
      </c>
      <c r="O2600" t="s">
        <v>46</v>
      </c>
      <c r="P2600" t="s">
        <v>47</v>
      </c>
      <c r="Q2600" s="1">
        <v>43852</v>
      </c>
      <c r="R2600" t="s">
        <v>48</v>
      </c>
      <c r="S2600" t="s">
        <v>156</v>
      </c>
      <c r="T2600" t="s">
        <v>157</v>
      </c>
      <c r="U2600" t="s">
        <v>155</v>
      </c>
      <c r="V2600">
        <v>500000</v>
      </c>
      <c r="W2600">
        <v>75000</v>
      </c>
      <c r="X2600" s="1">
        <v>43982</v>
      </c>
      <c r="Y2600" t="s">
        <v>51</v>
      </c>
      <c r="Z2600" t="s">
        <v>43</v>
      </c>
      <c r="AA2600" t="s">
        <v>77</v>
      </c>
      <c r="AB2600" t="s">
        <v>158</v>
      </c>
      <c r="AC2600" t="s">
        <v>159</v>
      </c>
      <c r="AF2600" t="s">
        <v>163</v>
      </c>
      <c r="AG2600" s="1">
        <v>43852</v>
      </c>
    </row>
    <row r="2601" spans="1:33" x14ac:dyDescent="0.25">
      <c r="A2601" t="s">
        <v>254</v>
      </c>
      <c r="B2601" s="2">
        <v>3.1242E+18</v>
      </c>
      <c r="C2601" t="s">
        <v>40</v>
      </c>
      <c r="D2601" s="1">
        <v>43110</v>
      </c>
      <c r="E2601" s="1">
        <v>43251</v>
      </c>
      <c r="F2601" t="s">
        <v>77</v>
      </c>
      <c r="G2601">
        <v>12</v>
      </c>
      <c r="H2601" t="s">
        <v>155</v>
      </c>
      <c r="I2601" t="s">
        <v>43</v>
      </c>
      <c r="J2601" t="s">
        <v>126</v>
      </c>
      <c r="K2601" t="s">
        <v>44</v>
      </c>
      <c r="L2601">
        <v>12084.5</v>
      </c>
      <c r="M2601" s="1">
        <v>43110</v>
      </c>
      <c r="N2601" t="s">
        <v>45</v>
      </c>
      <c r="O2601" t="s">
        <v>46</v>
      </c>
      <c r="P2601" t="s">
        <v>47</v>
      </c>
      <c r="Q2601" s="1">
        <v>43852</v>
      </c>
      <c r="R2601" t="s">
        <v>48</v>
      </c>
      <c r="S2601" t="s">
        <v>164</v>
      </c>
      <c r="T2601" t="s">
        <v>165</v>
      </c>
      <c r="U2601" t="s">
        <v>155</v>
      </c>
      <c r="V2601">
        <v>0</v>
      </c>
      <c r="W2601">
        <v>50000</v>
      </c>
      <c r="X2601" s="1">
        <v>43921</v>
      </c>
      <c r="Y2601" t="s">
        <v>51</v>
      </c>
      <c r="Z2601" t="s">
        <v>43</v>
      </c>
      <c r="AA2601" t="s">
        <v>77</v>
      </c>
      <c r="AB2601" t="s">
        <v>158</v>
      </c>
      <c r="AC2601" t="s">
        <v>166</v>
      </c>
      <c r="AF2601" t="s">
        <v>160</v>
      </c>
      <c r="AG2601" s="1">
        <v>43851</v>
      </c>
    </row>
    <row r="2602" spans="1:33" x14ac:dyDescent="0.25">
      <c r="A2602" t="s">
        <v>254</v>
      </c>
      <c r="B2602" s="2">
        <v>3.1242E+18</v>
      </c>
      <c r="C2602" t="s">
        <v>40</v>
      </c>
      <c r="D2602" s="1">
        <v>43110</v>
      </c>
      <c r="E2602" s="1">
        <v>43251</v>
      </c>
      <c r="F2602" t="s">
        <v>77</v>
      </c>
      <c r="G2602">
        <v>12</v>
      </c>
      <c r="H2602" t="s">
        <v>155</v>
      </c>
      <c r="I2602" t="s">
        <v>43</v>
      </c>
      <c r="J2602" t="s">
        <v>126</v>
      </c>
      <c r="K2602" t="s">
        <v>44</v>
      </c>
      <c r="L2602">
        <v>12084.5</v>
      </c>
      <c r="M2602" s="1">
        <v>43110</v>
      </c>
      <c r="N2602" t="s">
        <v>45</v>
      </c>
      <c r="O2602" t="s">
        <v>46</v>
      </c>
      <c r="P2602" t="s">
        <v>47</v>
      </c>
      <c r="Q2602" s="1">
        <v>43852</v>
      </c>
      <c r="R2602" t="s">
        <v>48</v>
      </c>
      <c r="S2602" t="s">
        <v>164</v>
      </c>
      <c r="T2602" t="s">
        <v>165</v>
      </c>
      <c r="U2602" t="s">
        <v>155</v>
      </c>
      <c r="V2602">
        <v>0</v>
      </c>
      <c r="W2602">
        <v>50000</v>
      </c>
      <c r="X2602" s="1">
        <v>43921</v>
      </c>
      <c r="Y2602" t="s">
        <v>51</v>
      </c>
      <c r="Z2602" t="s">
        <v>43</v>
      </c>
      <c r="AA2602" t="s">
        <v>77</v>
      </c>
      <c r="AB2602" t="s">
        <v>158</v>
      </c>
      <c r="AC2602" t="s">
        <v>166</v>
      </c>
      <c r="AF2602" t="s">
        <v>161</v>
      </c>
      <c r="AG2602" s="1">
        <v>43851</v>
      </c>
    </row>
    <row r="2603" spans="1:33" x14ac:dyDescent="0.25">
      <c r="A2603" t="s">
        <v>254</v>
      </c>
      <c r="B2603" s="2">
        <v>3.1242E+18</v>
      </c>
      <c r="C2603" t="s">
        <v>40</v>
      </c>
      <c r="D2603" s="1">
        <v>43110</v>
      </c>
      <c r="E2603" s="1">
        <v>43251</v>
      </c>
      <c r="F2603" t="s">
        <v>77</v>
      </c>
      <c r="G2603">
        <v>12</v>
      </c>
      <c r="H2603" t="s">
        <v>155</v>
      </c>
      <c r="I2603" t="s">
        <v>43</v>
      </c>
      <c r="J2603" t="s">
        <v>126</v>
      </c>
      <c r="K2603" t="s">
        <v>44</v>
      </c>
      <c r="L2603">
        <v>12084.5</v>
      </c>
      <c r="M2603" s="1">
        <v>43110</v>
      </c>
      <c r="N2603" t="s">
        <v>45</v>
      </c>
      <c r="O2603" t="s">
        <v>46</v>
      </c>
      <c r="P2603" t="s">
        <v>47</v>
      </c>
      <c r="Q2603" s="1">
        <v>43852</v>
      </c>
      <c r="R2603" t="s">
        <v>48</v>
      </c>
      <c r="S2603" t="s">
        <v>164</v>
      </c>
      <c r="T2603" t="s">
        <v>165</v>
      </c>
      <c r="U2603" t="s">
        <v>155</v>
      </c>
      <c r="V2603">
        <v>0</v>
      </c>
      <c r="W2603">
        <v>50000</v>
      </c>
      <c r="X2603" s="1">
        <v>43921</v>
      </c>
      <c r="Y2603" t="s">
        <v>51</v>
      </c>
      <c r="Z2603" t="s">
        <v>43</v>
      </c>
      <c r="AA2603" t="s">
        <v>77</v>
      </c>
      <c r="AB2603" t="s">
        <v>158</v>
      </c>
      <c r="AC2603" t="s">
        <v>166</v>
      </c>
      <c r="AF2603" t="s">
        <v>162</v>
      </c>
      <c r="AG2603" s="1">
        <v>43851</v>
      </c>
    </row>
    <row r="2604" spans="1:33" x14ac:dyDescent="0.25">
      <c r="A2604" t="s">
        <v>254</v>
      </c>
      <c r="B2604" s="2">
        <v>3.1242E+18</v>
      </c>
      <c r="C2604" t="s">
        <v>40</v>
      </c>
      <c r="D2604" s="1">
        <v>43110</v>
      </c>
      <c r="E2604" s="1">
        <v>43251</v>
      </c>
      <c r="F2604" t="s">
        <v>77</v>
      </c>
      <c r="G2604">
        <v>12</v>
      </c>
      <c r="H2604" t="s">
        <v>155</v>
      </c>
      <c r="I2604" t="s">
        <v>43</v>
      </c>
      <c r="J2604" t="s">
        <v>126</v>
      </c>
      <c r="K2604" t="s">
        <v>44</v>
      </c>
      <c r="L2604">
        <v>12084.5</v>
      </c>
      <c r="M2604" s="1">
        <v>43110</v>
      </c>
      <c r="N2604" t="s">
        <v>45</v>
      </c>
      <c r="O2604" t="s">
        <v>46</v>
      </c>
      <c r="P2604" t="s">
        <v>47</v>
      </c>
      <c r="Q2604" s="1">
        <v>43852</v>
      </c>
      <c r="R2604" t="s">
        <v>48</v>
      </c>
      <c r="S2604" t="s">
        <v>164</v>
      </c>
      <c r="T2604" t="s">
        <v>165</v>
      </c>
      <c r="U2604" t="s">
        <v>155</v>
      </c>
      <c r="V2604">
        <v>0</v>
      </c>
      <c r="W2604">
        <v>50000</v>
      </c>
      <c r="X2604" s="1">
        <v>43921</v>
      </c>
      <c r="Y2604" t="s">
        <v>51</v>
      </c>
      <c r="Z2604" t="s">
        <v>43</v>
      </c>
      <c r="AA2604" t="s">
        <v>77</v>
      </c>
      <c r="AB2604" t="s">
        <v>158</v>
      </c>
      <c r="AC2604" t="s">
        <v>166</v>
      </c>
      <c r="AF2604" t="s">
        <v>163</v>
      </c>
      <c r="AG2604" s="1">
        <v>43852</v>
      </c>
    </row>
    <row r="2605" spans="1:33" x14ac:dyDescent="0.25">
      <c r="A2605" t="s">
        <v>256</v>
      </c>
      <c r="B2605" s="2">
        <v>9.9E+19</v>
      </c>
      <c r="C2605" t="s">
        <v>71</v>
      </c>
      <c r="D2605" s="1">
        <v>43185</v>
      </c>
      <c r="E2605" s="1">
        <v>43641</v>
      </c>
      <c r="F2605" t="s">
        <v>306</v>
      </c>
      <c r="G2605">
        <v>13</v>
      </c>
      <c r="H2605" t="s">
        <v>316</v>
      </c>
      <c r="I2605" t="s">
        <v>43</v>
      </c>
      <c r="J2605" t="s">
        <v>73</v>
      </c>
      <c r="K2605" t="s">
        <v>68</v>
      </c>
      <c r="L2605">
        <v>51965.88</v>
      </c>
      <c r="M2605" s="1">
        <v>43185</v>
      </c>
      <c r="N2605" t="s">
        <v>45</v>
      </c>
      <c r="O2605" t="s">
        <v>361</v>
      </c>
      <c r="P2605" t="s">
        <v>47</v>
      </c>
      <c r="Q2605" s="1">
        <v>43852</v>
      </c>
      <c r="R2605" t="s">
        <v>48</v>
      </c>
    </row>
    <row r="2606" spans="1:33" x14ac:dyDescent="0.25">
      <c r="A2606" t="s">
        <v>258</v>
      </c>
      <c r="B2606" s="2">
        <v>9.9E+19</v>
      </c>
      <c r="C2606" t="s">
        <v>71</v>
      </c>
      <c r="D2606" s="1">
        <v>43258</v>
      </c>
      <c r="E2606" s="1">
        <v>43622</v>
      </c>
      <c r="F2606" t="s">
        <v>306</v>
      </c>
      <c r="G2606">
        <v>13</v>
      </c>
      <c r="H2606" t="s">
        <v>316</v>
      </c>
      <c r="I2606" t="s">
        <v>43</v>
      </c>
      <c r="J2606" t="s">
        <v>73</v>
      </c>
      <c r="K2606" t="s">
        <v>127</v>
      </c>
      <c r="L2606">
        <v>25619.25</v>
      </c>
      <c r="M2606" s="1">
        <v>43258</v>
      </c>
      <c r="N2606" t="s">
        <v>45</v>
      </c>
      <c r="O2606" t="s">
        <v>361</v>
      </c>
      <c r="P2606" t="s">
        <v>47</v>
      </c>
      <c r="Q2606" s="1">
        <v>43852</v>
      </c>
      <c r="R2606" t="s">
        <v>48</v>
      </c>
    </row>
    <row r="2607" spans="1:33" x14ac:dyDescent="0.25">
      <c r="A2607" t="s">
        <v>260</v>
      </c>
      <c r="B2607" s="2">
        <v>9.9E+19</v>
      </c>
      <c r="C2607" t="s">
        <v>40</v>
      </c>
      <c r="D2607" s="1">
        <v>43642</v>
      </c>
      <c r="E2607" s="1">
        <v>43824</v>
      </c>
      <c r="F2607" t="s">
        <v>306</v>
      </c>
      <c r="G2607">
        <v>13</v>
      </c>
      <c r="H2607" t="s">
        <v>316</v>
      </c>
      <c r="I2607" t="s">
        <v>43</v>
      </c>
      <c r="J2607" t="s">
        <v>73</v>
      </c>
      <c r="K2607" t="s">
        <v>127</v>
      </c>
      <c r="L2607">
        <v>25598</v>
      </c>
      <c r="M2607" s="1">
        <v>43642</v>
      </c>
      <c r="N2607" t="s">
        <v>45</v>
      </c>
      <c r="O2607" t="s">
        <v>46</v>
      </c>
      <c r="P2607" t="s">
        <v>47</v>
      </c>
      <c r="Q2607" s="1">
        <v>43852</v>
      </c>
      <c r="R2607" t="s">
        <v>48</v>
      </c>
    </row>
    <row r="2608" spans="1:33" x14ac:dyDescent="0.25">
      <c r="A2608" t="s">
        <v>262</v>
      </c>
      <c r="B2608" s="2">
        <v>9.9E+19</v>
      </c>
      <c r="C2608" t="s">
        <v>40</v>
      </c>
      <c r="D2608" s="1">
        <v>43642</v>
      </c>
      <c r="E2608" s="1">
        <v>43824</v>
      </c>
      <c r="F2608" t="s">
        <v>306</v>
      </c>
      <c r="G2608">
        <v>13</v>
      </c>
      <c r="H2608" t="s">
        <v>316</v>
      </c>
      <c r="I2608" t="s">
        <v>43</v>
      </c>
      <c r="J2608" t="s">
        <v>73</v>
      </c>
      <c r="K2608" t="s">
        <v>127</v>
      </c>
      <c r="L2608">
        <v>25598</v>
      </c>
      <c r="M2608" s="1">
        <v>43642</v>
      </c>
      <c r="N2608" t="s">
        <v>45</v>
      </c>
      <c r="O2608" t="s">
        <v>46</v>
      </c>
      <c r="P2608" t="s">
        <v>47</v>
      </c>
      <c r="Q2608" s="1">
        <v>43852</v>
      </c>
      <c r="R2608" t="s">
        <v>48</v>
      </c>
    </row>
    <row r="2609" spans="1:38" x14ac:dyDescent="0.25">
      <c r="A2609" t="s">
        <v>264</v>
      </c>
      <c r="B2609" s="2">
        <v>9.9E+19</v>
      </c>
      <c r="C2609" t="s">
        <v>40</v>
      </c>
      <c r="D2609" s="1">
        <v>43791</v>
      </c>
      <c r="E2609" s="1">
        <v>43911</v>
      </c>
      <c r="F2609" t="s">
        <v>306</v>
      </c>
      <c r="G2609">
        <v>13</v>
      </c>
      <c r="H2609" t="s">
        <v>316</v>
      </c>
      <c r="I2609" t="s">
        <v>43</v>
      </c>
      <c r="J2609" t="s">
        <v>73</v>
      </c>
      <c r="K2609" t="s">
        <v>68</v>
      </c>
      <c r="L2609">
        <v>12643.38</v>
      </c>
      <c r="M2609" s="1">
        <v>43791</v>
      </c>
      <c r="N2609" t="s">
        <v>45</v>
      </c>
      <c r="O2609" t="s">
        <v>46</v>
      </c>
      <c r="P2609" t="s">
        <v>47</v>
      </c>
      <c r="Q2609" s="1">
        <v>43852</v>
      </c>
      <c r="R2609" t="s">
        <v>48</v>
      </c>
    </row>
    <row r="2610" spans="1:38" x14ac:dyDescent="0.25">
      <c r="A2610" t="s">
        <v>265</v>
      </c>
      <c r="B2610" s="2">
        <v>9.9E+19</v>
      </c>
      <c r="C2610" t="s">
        <v>40</v>
      </c>
      <c r="D2610" s="1">
        <v>43825</v>
      </c>
      <c r="E2610" s="1">
        <v>44007</v>
      </c>
      <c r="F2610" t="s">
        <v>306</v>
      </c>
      <c r="G2610">
        <v>13</v>
      </c>
      <c r="H2610" t="s">
        <v>316</v>
      </c>
      <c r="I2610" t="s">
        <v>43</v>
      </c>
      <c r="J2610" t="s">
        <v>73</v>
      </c>
      <c r="K2610" t="s">
        <v>127</v>
      </c>
      <c r="L2610">
        <v>25598</v>
      </c>
      <c r="M2610" s="1">
        <v>43825</v>
      </c>
      <c r="N2610" t="s">
        <v>45</v>
      </c>
      <c r="O2610" t="s">
        <v>46</v>
      </c>
      <c r="P2610" t="s">
        <v>47</v>
      </c>
      <c r="Q2610" s="1">
        <v>43852</v>
      </c>
      <c r="R2610" t="s">
        <v>48</v>
      </c>
    </row>
    <row r="2611" spans="1:38" x14ac:dyDescent="0.25">
      <c r="A2611" t="s">
        <v>273</v>
      </c>
      <c r="B2611" t="s">
        <v>610</v>
      </c>
      <c r="C2611" t="s">
        <v>71</v>
      </c>
      <c r="D2611" s="1">
        <v>43101</v>
      </c>
      <c r="E2611" s="1">
        <v>43465</v>
      </c>
      <c r="F2611" t="s">
        <v>84</v>
      </c>
      <c r="G2611">
        <v>10</v>
      </c>
      <c r="H2611" t="s">
        <v>85</v>
      </c>
      <c r="I2611" t="s">
        <v>43</v>
      </c>
      <c r="J2611" t="s">
        <v>86</v>
      </c>
      <c r="K2611" t="s">
        <v>44</v>
      </c>
      <c r="L2611">
        <v>1474120.36</v>
      </c>
      <c r="M2611" s="1">
        <v>43101</v>
      </c>
      <c r="N2611" t="s">
        <v>45</v>
      </c>
      <c r="O2611" t="s">
        <v>361</v>
      </c>
      <c r="P2611" t="s">
        <v>396</v>
      </c>
      <c r="Q2611" s="1">
        <v>43852</v>
      </c>
      <c r="R2611" t="s">
        <v>396</v>
      </c>
      <c r="S2611" t="s">
        <v>87</v>
      </c>
      <c r="T2611" t="s">
        <v>88</v>
      </c>
      <c r="U2611" t="s">
        <v>85</v>
      </c>
      <c r="V2611">
        <v>1400000</v>
      </c>
      <c r="W2611">
        <v>100000</v>
      </c>
      <c r="X2611" s="1">
        <v>43808</v>
      </c>
      <c r="Y2611" t="s">
        <v>51</v>
      </c>
      <c r="Z2611" t="s">
        <v>43</v>
      </c>
      <c r="AA2611" t="s">
        <v>86</v>
      </c>
      <c r="AB2611" t="s">
        <v>89</v>
      </c>
      <c r="AC2611" t="s">
        <v>90</v>
      </c>
      <c r="AF2611" t="s">
        <v>91</v>
      </c>
      <c r="AG2611" s="1">
        <v>43852</v>
      </c>
      <c r="AH2611" t="s">
        <v>85</v>
      </c>
      <c r="AI2611" t="s">
        <v>92</v>
      </c>
      <c r="AJ2611">
        <v>19888</v>
      </c>
      <c r="AK2611">
        <v>128777</v>
      </c>
      <c r="AL2611">
        <v>198882</v>
      </c>
    </row>
    <row r="2612" spans="1:38" x14ac:dyDescent="0.25">
      <c r="A2612" t="s">
        <v>273</v>
      </c>
      <c r="B2612" t="s">
        <v>610</v>
      </c>
      <c r="C2612" t="s">
        <v>71</v>
      </c>
      <c r="D2612" s="1">
        <v>43101</v>
      </c>
      <c r="E2612" s="1">
        <v>43465</v>
      </c>
      <c r="F2612" t="s">
        <v>84</v>
      </c>
      <c r="G2612">
        <v>10</v>
      </c>
      <c r="H2612" t="s">
        <v>85</v>
      </c>
      <c r="I2612" t="s">
        <v>43</v>
      </c>
      <c r="J2612" t="s">
        <v>86</v>
      </c>
      <c r="K2612" t="s">
        <v>44</v>
      </c>
      <c r="L2612">
        <v>1474120.36</v>
      </c>
      <c r="M2612" s="1">
        <v>43101</v>
      </c>
      <c r="N2612" t="s">
        <v>45</v>
      </c>
      <c r="O2612" t="s">
        <v>361</v>
      </c>
      <c r="P2612" t="s">
        <v>396</v>
      </c>
      <c r="Q2612" s="1">
        <v>43852</v>
      </c>
      <c r="R2612" t="s">
        <v>396</v>
      </c>
      <c r="S2612" t="s">
        <v>87</v>
      </c>
      <c r="T2612" t="s">
        <v>88</v>
      </c>
      <c r="U2612" t="s">
        <v>85</v>
      </c>
      <c r="V2612">
        <v>1400000</v>
      </c>
      <c r="W2612">
        <v>100000</v>
      </c>
      <c r="X2612" s="1">
        <v>43808</v>
      </c>
      <c r="Y2612" t="s">
        <v>51</v>
      </c>
      <c r="Z2612" t="s">
        <v>43</v>
      </c>
      <c r="AA2612" t="s">
        <v>86</v>
      </c>
      <c r="AB2612" t="s">
        <v>89</v>
      </c>
      <c r="AC2612" t="s">
        <v>90</v>
      </c>
      <c r="AF2612" t="s">
        <v>93</v>
      </c>
      <c r="AG2612" s="1">
        <v>43843</v>
      </c>
      <c r="AH2612" t="s">
        <v>85</v>
      </c>
      <c r="AI2612" t="s">
        <v>92</v>
      </c>
      <c r="AJ2612">
        <v>19888</v>
      </c>
      <c r="AK2612">
        <v>128777</v>
      </c>
      <c r="AL2612">
        <v>198882</v>
      </c>
    </row>
    <row r="2613" spans="1:38" x14ac:dyDescent="0.25">
      <c r="A2613" t="s">
        <v>273</v>
      </c>
      <c r="B2613" t="s">
        <v>610</v>
      </c>
      <c r="C2613" t="s">
        <v>71</v>
      </c>
      <c r="D2613" s="1">
        <v>43101</v>
      </c>
      <c r="E2613" s="1">
        <v>43465</v>
      </c>
      <c r="F2613" t="s">
        <v>84</v>
      </c>
      <c r="G2613">
        <v>10</v>
      </c>
      <c r="H2613" t="s">
        <v>85</v>
      </c>
      <c r="I2613" t="s">
        <v>43</v>
      </c>
      <c r="J2613" t="s">
        <v>86</v>
      </c>
      <c r="K2613" t="s">
        <v>44</v>
      </c>
      <c r="L2613">
        <v>1474120.36</v>
      </c>
      <c r="M2613" s="1">
        <v>43101</v>
      </c>
      <c r="N2613" t="s">
        <v>45</v>
      </c>
      <c r="O2613" t="s">
        <v>361</v>
      </c>
      <c r="P2613" t="s">
        <v>396</v>
      </c>
      <c r="Q2613" s="1">
        <v>43852</v>
      </c>
      <c r="R2613" t="s">
        <v>396</v>
      </c>
      <c r="S2613" t="s">
        <v>94</v>
      </c>
      <c r="T2613" t="s">
        <v>95</v>
      </c>
      <c r="U2613" t="s">
        <v>85</v>
      </c>
      <c r="V2613">
        <v>4500000</v>
      </c>
      <c r="W2613">
        <v>300000</v>
      </c>
      <c r="X2613" s="1">
        <v>43767</v>
      </c>
      <c r="Y2613" t="s">
        <v>51</v>
      </c>
      <c r="Z2613" t="s">
        <v>43</v>
      </c>
      <c r="AA2613" t="s">
        <v>86</v>
      </c>
      <c r="AB2613" t="s">
        <v>89</v>
      </c>
      <c r="AC2613" t="s">
        <v>90</v>
      </c>
      <c r="AF2613" t="s">
        <v>91</v>
      </c>
      <c r="AG2613" s="1">
        <v>43852</v>
      </c>
      <c r="AH2613" t="s">
        <v>85</v>
      </c>
      <c r="AI2613" t="s">
        <v>92</v>
      </c>
      <c r="AJ2613">
        <v>19888</v>
      </c>
      <c r="AK2613">
        <v>128777</v>
      </c>
      <c r="AL2613">
        <v>198882</v>
      </c>
    </row>
    <row r="2614" spans="1:38" x14ac:dyDescent="0.25">
      <c r="A2614" t="s">
        <v>273</v>
      </c>
      <c r="B2614" t="s">
        <v>610</v>
      </c>
      <c r="C2614" t="s">
        <v>71</v>
      </c>
      <c r="D2614" s="1">
        <v>43101</v>
      </c>
      <c r="E2614" s="1">
        <v>43465</v>
      </c>
      <c r="F2614" t="s">
        <v>84</v>
      </c>
      <c r="G2614">
        <v>10</v>
      </c>
      <c r="H2614" t="s">
        <v>85</v>
      </c>
      <c r="I2614" t="s">
        <v>43</v>
      </c>
      <c r="J2614" t="s">
        <v>86</v>
      </c>
      <c r="K2614" t="s">
        <v>44</v>
      </c>
      <c r="L2614">
        <v>1474120.36</v>
      </c>
      <c r="M2614" s="1">
        <v>43101</v>
      </c>
      <c r="N2614" t="s">
        <v>45</v>
      </c>
      <c r="O2614" t="s">
        <v>361</v>
      </c>
      <c r="P2614" t="s">
        <v>396</v>
      </c>
      <c r="Q2614" s="1">
        <v>43852</v>
      </c>
      <c r="R2614" t="s">
        <v>396</v>
      </c>
      <c r="S2614" t="s">
        <v>94</v>
      </c>
      <c r="T2614" t="s">
        <v>95</v>
      </c>
      <c r="U2614" t="s">
        <v>85</v>
      </c>
      <c r="V2614">
        <v>4500000</v>
      </c>
      <c r="W2614">
        <v>300000</v>
      </c>
      <c r="X2614" s="1">
        <v>43767</v>
      </c>
      <c r="Y2614" t="s">
        <v>51</v>
      </c>
      <c r="Z2614" t="s">
        <v>43</v>
      </c>
      <c r="AA2614" t="s">
        <v>86</v>
      </c>
      <c r="AB2614" t="s">
        <v>89</v>
      </c>
      <c r="AC2614" t="s">
        <v>90</v>
      </c>
      <c r="AF2614" t="s">
        <v>93</v>
      </c>
      <c r="AG2614" s="1">
        <v>43843</v>
      </c>
      <c r="AH2614" t="s">
        <v>85</v>
      </c>
      <c r="AI2614" t="s">
        <v>92</v>
      </c>
      <c r="AJ2614">
        <v>19888</v>
      </c>
      <c r="AK2614">
        <v>128777</v>
      </c>
      <c r="AL2614">
        <v>198882</v>
      </c>
    </row>
    <row r="2615" spans="1:38" x14ac:dyDescent="0.25">
      <c r="A2615" t="s">
        <v>273</v>
      </c>
      <c r="B2615" t="s">
        <v>610</v>
      </c>
      <c r="C2615" t="s">
        <v>71</v>
      </c>
      <c r="D2615" s="1">
        <v>43101</v>
      </c>
      <c r="E2615" s="1">
        <v>43465</v>
      </c>
      <c r="F2615" t="s">
        <v>84</v>
      </c>
      <c r="G2615">
        <v>10</v>
      </c>
      <c r="H2615" t="s">
        <v>85</v>
      </c>
      <c r="I2615" t="s">
        <v>43</v>
      </c>
      <c r="J2615" t="s">
        <v>86</v>
      </c>
      <c r="K2615" t="s">
        <v>44</v>
      </c>
      <c r="L2615">
        <v>1474120.36</v>
      </c>
      <c r="M2615" s="1">
        <v>43101</v>
      </c>
      <c r="N2615" t="s">
        <v>45</v>
      </c>
      <c r="O2615" t="s">
        <v>361</v>
      </c>
      <c r="P2615" t="s">
        <v>396</v>
      </c>
      <c r="Q2615" s="1">
        <v>43852</v>
      </c>
      <c r="R2615" t="s">
        <v>396</v>
      </c>
      <c r="S2615" t="s">
        <v>96</v>
      </c>
      <c r="T2615" t="s">
        <v>97</v>
      </c>
      <c r="U2615" t="s">
        <v>85</v>
      </c>
      <c r="V2615">
        <v>600000</v>
      </c>
      <c r="W2615">
        <v>100000</v>
      </c>
      <c r="X2615" s="1">
        <v>43799</v>
      </c>
      <c r="Y2615" t="s">
        <v>51</v>
      </c>
      <c r="Z2615" t="s">
        <v>43</v>
      </c>
      <c r="AA2615" t="s">
        <v>98</v>
      </c>
      <c r="AB2615" t="s">
        <v>89</v>
      </c>
      <c r="AC2615" t="s">
        <v>90</v>
      </c>
      <c r="AF2615" t="s">
        <v>91</v>
      </c>
      <c r="AG2615" s="1">
        <v>43852</v>
      </c>
      <c r="AH2615" t="s">
        <v>85</v>
      </c>
      <c r="AI2615" t="s">
        <v>92</v>
      </c>
      <c r="AJ2615">
        <v>19888</v>
      </c>
      <c r="AK2615">
        <v>128777</v>
      </c>
      <c r="AL2615">
        <v>198882</v>
      </c>
    </row>
    <row r="2616" spans="1:38" x14ac:dyDescent="0.25">
      <c r="A2616" t="s">
        <v>273</v>
      </c>
      <c r="B2616" t="s">
        <v>610</v>
      </c>
      <c r="C2616" t="s">
        <v>71</v>
      </c>
      <c r="D2616" s="1">
        <v>43101</v>
      </c>
      <c r="E2616" s="1">
        <v>43465</v>
      </c>
      <c r="F2616" t="s">
        <v>84</v>
      </c>
      <c r="G2616">
        <v>10</v>
      </c>
      <c r="H2616" t="s">
        <v>85</v>
      </c>
      <c r="I2616" t="s">
        <v>43</v>
      </c>
      <c r="J2616" t="s">
        <v>86</v>
      </c>
      <c r="K2616" t="s">
        <v>44</v>
      </c>
      <c r="L2616">
        <v>1474120.36</v>
      </c>
      <c r="M2616" s="1">
        <v>43101</v>
      </c>
      <c r="N2616" t="s">
        <v>45</v>
      </c>
      <c r="O2616" t="s">
        <v>361</v>
      </c>
      <c r="P2616" t="s">
        <v>396</v>
      </c>
      <c r="Q2616" s="1">
        <v>43852</v>
      </c>
      <c r="R2616" t="s">
        <v>396</v>
      </c>
      <c r="S2616" t="s">
        <v>96</v>
      </c>
      <c r="T2616" t="s">
        <v>97</v>
      </c>
      <c r="U2616" t="s">
        <v>85</v>
      </c>
      <c r="V2616">
        <v>600000</v>
      </c>
      <c r="W2616">
        <v>100000</v>
      </c>
      <c r="X2616" s="1">
        <v>43799</v>
      </c>
      <c r="Y2616" t="s">
        <v>51</v>
      </c>
      <c r="Z2616" t="s">
        <v>43</v>
      </c>
      <c r="AA2616" t="s">
        <v>98</v>
      </c>
      <c r="AB2616" t="s">
        <v>89</v>
      </c>
      <c r="AC2616" t="s">
        <v>90</v>
      </c>
      <c r="AF2616" t="s">
        <v>93</v>
      </c>
      <c r="AG2616" s="1">
        <v>43843</v>
      </c>
      <c r="AH2616" t="s">
        <v>85</v>
      </c>
      <c r="AI2616" t="s">
        <v>92</v>
      </c>
      <c r="AJ2616">
        <v>19888</v>
      </c>
      <c r="AK2616">
        <v>128777</v>
      </c>
      <c r="AL2616">
        <v>198882</v>
      </c>
    </row>
    <row r="2617" spans="1:38" x14ac:dyDescent="0.25">
      <c r="A2617" t="s">
        <v>273</v>
      </c>
      <c r="B2617" t="s">
        <v>610</v>
      </c>
      <c r="C2617" t="s">
        <v>71</v>
      </c>
      <c r="D2617" s="1">
        <v>43101</v>
      </c>
      <c r="E2617" s="1">
        <v>43465</v>
      </c>
      <c r="F2617" t="s">
        <v>84</v>
      </c>
      <c r="G2617">
        <v>10</v>
      </c>
      <c r="H2617" t="s">
        <v>85</v>
      </c>
      <c r="I2617" t="s">
        <v>43</v>
      </c>
      <c r="J2617" t="s">
        <v>86</v>
      </c>
      <c r="K2617" t="s">
        <v>44</v>
      </c>
      <c r="L2617">
        <v>1474120.36</v>
      </c>
      <c r="M2617" s="1">
        <v>43101</v>
      </c>
      <c r="N2617" t="s">
        <v>45</v>
      </c>
      <c r="O2617" t="s">
        <v>361</v>
      </c>
      <c r="P2617" t="s">
        <v>396</v>
      </c>
      <c r="Q2617" s="1">
        <v>43852</v>
      </c>
      <c r="R2617" t="s">
        <v>396</v>
      </c>
      <c r="S2617" t="s">
        <v>99</v>
      </c>
      <c r="T2617" t="s">
        <v>100</v>
      </c>
      <c r="U2617" t="s">
        <v>85</v>
      </c>
      <c r="V2617">
        <v>210000</v>
      </c>
      <c r="W2617">
        <v>35000</v>
      </c>
      <c r="X2617" s="1">
        <v>43799</v>
      </c>
      <c r="Y2617" t="s">
        <v>51</v>
      </c>
      <c r="Z2617" t="s">
        <v>43</v>
      </c>
      <c r="AA2617" t="s">
        <v>98</v>
      </c>
      <c r="AB2617" t="s">
        <v>89</v>
      </c>
      <c r="AC2617" t="s">
        <v>101</v>
      </c>
      <c r="AF2617" t="s">
        <v>91</v>
      </c>
      <c r="AG2617" s="1">
        <v>43852</v>
      </c>
      <c r="AH2617" t="s">
        <v>85</v>
      </c>
      <c r="AI2617" t="s">
        <v>92</v>
      </c>
      <c r="AJ2617">
        <v>19888</v>
      </c>
      <c r="AK2617">
        <v>128777</v>
      </c>
      <c r="AL2617">
        <v>198882</v>
      </c>
    </row>
    <row r="2618" spans="1:38" x14ac:dyDescent="0.25">
      <c r="A2618" t="s">
        <v>273</v>
      </c>
      <c r="B2618" t="s">
        <v>610</v>
      </c>
      <c r="C2618" t="s">
        <v>71</v>
      </c>
      <c r="D2618" s="1">
        <v>43101</v>
      </c>
      <c r="E2618" s="1">
        <v>43465</v>
      </c>
      <c r="F2618" t="s">
        <v>84</v>
      </c>
      <c r="G2618">
        <v>10</v>
      </c>
      <c r="H2618" t="s">
        <v>85</v>
      </c>
      <c r="I2618" t="s">
        <v>43</v>
      </c>
      <c r="J2618" t="s">
        <v>86</v>
      </c>
      <c r="K2618" t="s">
        <v>44</v>
      </c>
      <c r="L2618">
        <v>1474120.36</v>
      </c>
      <c r="M2618" s="1">
        <v>43101</v>
      </c>
      <c r="N2618" t="s">
        <v>45</v>
      </c>
      <c r="O2618" t="s">
        <v>361</v>
      </c>
      <c r="P2618" t="s">
        <v>396</v>
      </c>
      <c r="Q2618" s="1">
        <v>43852</v>
      </c>
      <c r="R2618" t="s">
        <v>396</v>
      </c>
      <c r="S2618" t="s">
        <v>99</v>
      </c>
      <c r="T2618" t="s">
        <v>100</v>
      </c>
      <c r="U2618" t="s">
        <v>85</v>
      </c>
      <c r="V2618">
        <v>210000</v>
      </c>
      <c r="W2618">
        <v>35000</v>
      </c>
      <c r="X2618" s="1">
        <v>43799</v>
      </c>
      <c r="Y2618" t="s">
        <v>51</v>
      </c>
      <c r="Z2618" t="s">
        <v>43</v>
      </c>
      <c r="AA2618" t="s">
        <v>98</v>
      </c>
      <c r="AB2618" t="s">
        <v>89</v>
      </c>
      <c r="AC2618" t="s">
        <v>101</v>
      </c>
      <c r="AF2618" t="s">
        <v>93</v>
      </c>
      <c r="AG2618" s="1">
        <v>43843</v>
      </c>
      <c r="AH2618" t="s">
        <v>85</v>
      </c>
      <c r="AI2618" t="s">
        <v>92</v>
      </c>
      <c r="AJ2618">
        <v>19888</v>
      </c>
      <c r="AK2618">
        <v>128777</v>
      </c>
      <c r="AL2618">
        <v>198882</v>
      </c>
    </row>
    <row r="2619" spans="1:38" x14ac:dyDescent="0.25">
      <c r="A2619" t="s">
        <v>273</v>
      </c>
      <c r="B2619" t="s">
        <v>610</v>
      </c>
      <c r="C2619" t="s">
        <v>71</v>
      </c>
      <c r="D2619" s="1">
        <v>43101</v>
      </c>
      <c r="E2619" s="1">
        <v>43465</v>
      </c>
      <c r="F2619" t="s">
        <v>84</v>
      </c>
      <c r="G2619">
        <v>10</v>
      </c>
      <c r="H2619" t="s">
        <v>85</v>
      </c>
      <c r="I2619" t="s">
        <v>43</v>
      </c>
      <c r="J2619" t="s">
        <v>86</v>
      </c>
      <c r="K2619" t="s">
        <v>44</v>
      </c>
      <c r="L2619">
        <v>1474120.36</v>
      </c>
      <c r="M2619" s="1">
        <v>43101</v>
      </c>
      <c r="N2619" t="s">
        <v>45</v>
      </c>
      <c r="O2619" t="s">
        <v>361</v>
      </c>
      <c r="P2619" t="s">
        <v>396</v>
      </c>
      <c r="Q2619" s="1">
        <v>43852</v>
      </c>
      <c r="R2619" t="s">
        <v>396</v>
      </c>
      <c r="S2619" t="s">
        <v>102</v>
      </c>
      <c r="T2619" t="s">
        <v>103</v>
      </c>
      <c r="U2619" t="s">
        <v>85</v>
      </c>
      <c r="V2619">
        <v>5000000</v>
      </c>
      <c r="W2619">
        <v>250000</v>
      </c>
      <c r="X2619" s="1">
        <v>43799</v>
      </c>
      <c r="Y2619" t="s">
        <v>51</v>
      </c>
      <c r="Z2619" t="s">
        <v>43</v>
      </c>
      <c r="AA2619" t="s">
        <v>86</v>
      </c>
      <c r="AB2619" t="s">
        <v>89</v>
      </c>
      <c r="AC2619" t="s">
        <v>90</v>
      </c>
      <c r="AF2619" t="s">
        <v>91</v>
      </c>
      <c r="AG2619" s="1">
        <v>43852</v>
      </c>
      <c r="AH2619" t="s">
        <v>85</v>
      </c>
      <c r="AI2619" t="s">
        <v>92</v>
      </c>
      <c r="AJ2619">
        <v>19888</v>
      </c>
      <c r="AK2619">
        <v>128777</v>
      </c>
      <c r="AL2619">
        <v>198882</v>
      </c>
    </row>
    <row r="2620" spans="1:38" x14ac:dyDescent="0.25">
      <c r="A2620" t="s">
        <v>273</v>
      </c>
      <c r="B2620" t="s">
        <v>610</v>
      </c>
      <c r="C2620" t="s">
        <v>71</v>
      </c>
      <c r="D2620" s="1">
        <v>43101</v>
      </c>
      <c r="E2620" s="1">
        <v>43465</v>
      </c>
      <c r="F2620" t="s">
        <v>84</v>
      </c>
      <c r="G2620">
        <v>10</v>
      </c>
      <c r="H2620" t="s">
        <v>85</v>
      </c>
      <c r="I2620" t="s">
        <v>43</v>
      </c>
      <c r="J2620" t="s">
        <v>86</v>
      </c>
      <c r="K2620" t="s">
        <v>44</v>
      </c>
      <c r="L2620">
        <v>1474120.36</v>
      </c>
      <c r="M2620" s="1">
        <v>43101</v>
      </c>
      <c r="N2620" t="s">
        <v>45</v>
      </c>
      <c r="O2620" t="s">
        <v>361</v>
      </c>
      <c r="P2620" t="s">
        <v>396</v>
      </c>
      <c r="Q2620" s="1">
        <v>43852</v>
      </c>
      <c r="R2620" t="s">
        <v>396</v>
      </c>
      <c r="S2620" t="s">
        <v>102</v>
      </c>
      <c r="T2620" t="s">
        <v>103</v>
      </c>
      <c r="U2620" t="s">
        <v>85</v>
      </c>
      <c r="V2620">
        <v>5000000</v>
      </c>
      <c r="W2620">
        <v>250000</v>
      </c>
      <c r="X2620" s="1">
        <v>43799</v>
      </c>
      <c r="Y2620" t="s">
        <v>51</v>
      </c>
      <c r="Z2620" t="s">
        <v>43</v>
      </c>
      <c r="AA2620" t="s">
        <v>86</v>
      </c>
      <c r="AB2620" t="s">
        <v>89</v>
      </c>
      <c r="AC2620" t="s">
        <v>90</v>
      </c>
      <c r="AF2620" t="s">
        <v>93</v>
      </c>
      <c r="AG2620" s="1">
        <v>43843</v>
      </c>
      <c r="AH2620" t="s">
        <v>85</v>
      </c>
      <c r="AI2620" t="s">
        <v>92</v>
      </c>
      <c r="AJ2620">
        <v>19888</v>
      </c>
      <c r="AK2620">
        <v>128777</v>
      </c>
      <c r="AL2620">
        <v>198882</v>
      </c>
    </row>
    <row r="2621" spans="1:38" x14ac:dyDescent="0.25">
      <c r="A2621" t="s">
        <v>274</v>
      </c>
      <c r="B2621" t="s">
        <v>610</v>
      </c>
      <c r="C2621" t="s">
        <v>71</v>
      </c>
      <c r="D2621" s="1">
        <v>43101</v>
      </c>
      <c r="E2621" s="1">
        <v>43465</v>
      </c>
      <c r="F2621" t="s">
        <v>84</v>
      </c>
      <c r="G2621">
        <v>10</v>
      </c>
      <c r="H2621" t="s">
        <v>85</v>
      </c>
      <c r="I2621" t="s">
        <v>43</v>
      </c>
      <c r="J2621" t="s">
        <v>86</v>
      </c>
      <c r="K2621" t="s">
        <v>44</v>
      </c>
      <c r="L2621">
        <v>13134.29</v>
      </c>
      <c r="M2621" s="1">
        <v>43371</v>
      </c>
      <c r="N2621" t="s">
        <v>108</v>
      </c>
      <c r="O2621" t="s">
        <v>361</v>
      </c>
      <c r="P2621" t="s">
        <v>47</v>
      </c>
      <c r="Q2621" s="1">
        <v>43852</v>
      </c>
      <c r="R2621" t="s">
        <v>48</v>
      </c>
      <c r="S2621" t="s">
        <v>87</v>
      </c>
      <c r="T2621" t="s">
        <v>88</v>
      </c>
      <c r="U2621" t="s">
        <v>85</v>
      </c>
      <c r="V2621">
        <v>1400000</v>
      </c>
      <c r="W2621">
        <v>100000</v>
      </c>
      <c r="X2621" s="1">
        <v>43808</v>
      </c>
      <c r="Y2621" t="s">
        <v>51</v>
      </c>
      <c r="Z2621" t="s">
        <v>43</v>
      </c>
      <c r="AA2621" t="s">
        <v>86</v>
      </c>
      <c r="AB2621" t="s">
        <v>89</v>
      </c>
      <c r="AC2621" t="s">
        <v>90</v>
      </c>
      <c r="AF2621" t="s">
        <v>91</v>
      </c>
      <c r="AG2621" s="1">
        <v>43852</v>
      </c>
      <c r="AH2621" t="s">
        <v>85</v>
      </c>
      <c r="AI2621" t="s">
        <v>92</v>
      </c>
      <c r="AJ2621">
        <v>19888</v>
      </c>
      <c r="AK2621">
        <v>128777</v>
      </c>
      <c r="AL2621">
        <v>198882</v>
      </c>
    </row>
    <row r="2622" spans="1:38" x14ac:dyDescent="0.25">
      <c r="A2622" t="s">
        <v>274</v>
      </c>
      <c r="B2622" t="s">
        <v>610</v>
      </c>
      <c r="C2622" t="s">
        <v>71</v>
      </c>
      <c r="D2622" s="1">
        <v>43101</v>
      </c>
      <c r="E2622" s="1">
        <v>43465</v>
      </c>
      <c r="F2622" t="s">
        <v>84</v>
      </c>
      <c r="G2622">
        <v>10</v>
      </c>
      <c r="H2622" t="s">
        <v>85</v>
      </c>
      <c r="I2622" t="s">
        <v>43</v>
      </c>
      <c r="J2622" t="s">
        <v>86</v>
      </c>
      <c r="K2622" t="s">
        <v>44</v>
      </c>
      <c r="L2622">
        <v>13134.29</v>
      </c>
      <c r="M2622" s="1">
        <v>43371</v>
      </c>
      <c r="N2622" t="s">
        <v>108</v>
      </c>
      <c r="O2622" t="s">
        <v>361</v>
      </c>
      <c r="P2622" t="s">
        <v>47</v>
      </c>
      <c r="Q2622" s="1">
        <v>43852</v>
      </c>
      <c r="R2622" t="s">
        <v>48</v>
      </c>
      <c r="S2622" t="s">
        <v>87</v>
      </c>
      <c r="T2622" t="s">
        <v>88</v>
      </c>
      <c r="U2622" t="s">
        <v>85</v>
      </c>
      <c r="V2622">
        <v>1400000</v>
      </c>
      <c r="W2622">
        <v>100000</v>
      </c>
      <c r="X2622" s="1">
        <v>43808</v>
      </c>
      <c r="Y2622" t="s">
        <v>51</v>
      </c>
      <c r="Z2622" t="s">
        <v>43</v>
      </c>
      <c r="AA2622" t="s">
        <v>86</v>
      </c>
      <c r="AB2622" t="s">
        <v>89</v>
      </c>
      <c r="AC2622" t="s">
        <v>90</v>
      </c>
      <c r="AF2622" t="s">
        <v>93</v>
      </c>
      <c r="AG2622" s="1">
        <v>43843</v>
      </c>
      <c r="AH2622" t="s">
        <v>85</v>
      </c>
      <c r="AI2622" t="s">
        <v>92</v>
      </c>
      <c r="AJ2622">
        <v>19888</v>
      </c>
      <c r="AK2622">
        <v>128777</v>
      </c>
      <c r="AL2622">
        <v>198882</v>
      </c>
    </row>
    <row r="2623" spans="1:38" x14ac:dyDescent="0.25">
      <c r="A2623" t="s">
        <v>274</v>
      </c>
      <c r="B2623" t="s">
        <v>610</v>
      </c>
      <c r="C2623" t="s">
        <v>71</v>
      </c>
      <c r="D2623" s="1">
        <v>43101</v>
      </c>
      <c r="E2623" s="1">
        <v>43465</v>
      </c>
      <c r="F2623" t="s">
        <v>84</v>
      </c>
      <c r="G2623">
        <v>10</v>
      </c>
      <c r="H2623" t="s">
        <v>85</v>
      </c>
      <c r="I2623" t="s">
        <v>43</v>
      </c>
      <c r="J2623" t="s">
        <v>86</v>
      </c>
      <c r="K2623" t="s">
        <v>44</v>
      </c>
      <c r="L2623">
        <v>13134.29</v>
      </c>
      <c r="M2623" s="1">
        <v>43371</v>
      </c>
      <c r="N2623" t="s">
        <v>108</v>
      </c>
      <c r="O2623" t="s">
        <v>361</v>
      </c>
      <c r="P2623" t="s">
        <v>47</v>
      </c>
      <c r="Q2623" s="1">
        <v>43852</v>
      </c>
      <c r="R2623" t="s">
        <v>48</v>
      </c>
      <c r="S2623" t="s">
        <v>94</v>
      </c>
      <c r="T2623" t="s">
        <v>95</v>
      </c>
      <c r="U2623" t="s">
        <v>85</v>
      </c>
      <c r="V2623">
        <v>4500000</v>
      </c>
      <c r="W2623">
        <v>300000</v>
      </c>
      <c r="X2623" s="1">
        <v>43767</v>
      </c>
      <c r="Y2623" t="s">
        <v>51</v>
      </c>
      <c r="Z2623" t="s">
        <v>43</v>
      </c>
      <c r="AA2623" t="s">
        <v>86</v>
      </c>
      <c r="AB2623" t="s">
        <v>89</v>
      </c>
      <c r="AC2623" t="s">
        <v>90</v>
      </c>
      <c r="AF2623" t="s">
        <v>91</v>
      </c>
      <c r="AG2623" s="1">
        <v>43852</v>
      </c>
      <c r="AH2623" t="s">
        <v>85</v>
      </c>
      <c r="AI2623" t="s">
        <v>92</v>
      </c>
      <c r="AJ2623">
        <v>19888</v>
      </c>
      <c r="AK2623">
        <v>128777</v>
      </c>
      <c r="AL2623">
        <v>198882</v>
      </c>
    </row>
    <row r="2624" spans="1:38" x14ac:dyDescent="0.25">
      <c r="A2624" t="s">
        <v>274</v>
      </c>
      <c r="B2624" t="s">
        <v>610</v>
      </c>
      <c r="C2624" t="s">
        <v>71</v>
      </c>
      <c r="D2624" s="1">
        <v>43101</v>
      </c>
      <c r="E2624" s="1">
        <v>43465</v>
      </c>
      <c r="F2624" t="s">
        <v>84</v>
      </c>
      <c r="G2624">
        <v>10</v>
      </c>
      <c r="H2624" t="s">
        <v>85</v>
      </c>
      <c r="I2624" t="s">
        <v>43</v>
      </c>
      <c r="J2624" t="s">
        <v>86</v>
      </c>
      <c r="K2624" t="s">
        <v>44</v>
      </c>
      <c r="L2624">
        <v>13134.29</v>
      </c>
      <c r="M2624" s="1">
        <v>43371</v>
      </c>
      <c r="N2624" t="s">
        <v>108</v>
      </c>
      <c r="O2624" t="s">
        <v>361</v>
      </c>
      <c r="P2624" t="s">
        <v>47</v>
      </c>
      <c r="Q2624" s="1">
        <v>43852</v>
      </c>
      <c r="R2624" t="s">
        <v>48</v>
      </c>
      <c r="S2624" t="s">
        <v>94</v>
      </c>
      <c r="T2624" t="s">
        <v>95</v>
      </c>
      <c r="U2624" t="s">
        <v>85</v>
      </c>
      <c r="V2624">
        <v>4500000</v>
      </c>
      <c r="W2624">
        <v>300000</v>
      </c>
      <c r="X2624" s="1">
        <v>43767</v>
      </c>
      <c r="Y2624" t="s">
        <v>51</v>
      </c>
      <c r="Z2624" t="s">
        <v>43</v>
      </c>
      <c r="AA2624" t="s">
        <v>86</v>
      </c>
      <c r="AB2624" t="s">
        <v>89</v>
      </c>
      <c r="AC2624" t="s">
        <v>90</v>
      </c>
      <c r="AF2624" t="s">
        <v>93</v>
      </c>
      <c r="AG2624" s="1">
        <v>43843</v>
      </c>
      <c r="AH2624" t="s">
        <v>85</v>
      </c>
      <c r="AI2624" t="s">
        <v>92</v>
      </c>
      <c r="AJ2624">
        <v>19888</v>
      </c>
      <c r="AK2624">
        <v>128777</v>
      </c>
      <c r="AL2624">
        <v>198882</v>
      </c>
    </row>
    <row r="2625" spans="1:38" x14ac:dyDescent="0.25">
      <c r="A2625" t="s">
        <v>274</v>
      </c>
      <c r="B2625" t="s">
        <v>610</v>
      </c>
      <c r="C2625" t="s">
        <v>71</v>
      </c>
      <c r="D2625" s="1">
        <v>43101</v>
      </c>
      <c r="E2625" s="1">
        <v>43465</v>
      </c>
      <c r="F2625" t="s">
        <v>84</v>
      </c>
      <c r="G2625">
        <v>10</v>
      </c>
      <c r="H2625" t="s">
        <v>85</v>
      </c>
      <c r="I2625" t="s">
        <v>43</v>
      </c>
      <c r="J2625" t="s">
        <v>86</v>
      </c>
      <c r="K2625" t="s">
        <v>44</v>
      </c>
      <c r="L2625">
        <v>13134.29</v>
      </c>
      <c r="M2625" s="1">
        <v>43371</v>
      </c>
      <c r="N2625" t="s">
        <v>108</v>
      </c>
      <c r="O2625" t="s">
        <v>361</v>
      </c>
      <c r="P2625" t="s">
        <v>47</v>
      </c>
      <c r="Q2625" s="1">
        <v>43852</v>
      </c>
      <c r="R2625" t="s">
        <v>48</v>
      </c>
      <c r="S2625" t="s">
        <v>96</v>
      </c>
      <c r="T2625" t="s">
        <v>97</v>
      </c>
      <c r="U2625" t="s">
        <v>85</v>
      </c>
      <c r="V2625">
        <v>600000</v>
      </c>
      <c r="W2625">
        <v>100000</v>
      </c>
      <c r="X2625" s="1">
        <v>43799</v>
      </c>
      <c r="Y2625" t="s">
        <v>51</v>
      </c>
      <c r="Z2625" t="s">
        <v>43</v>
      </c>
      <c r="AA2625" t="s">
        <v>98</v>
      </c>
      <c r="AB2625" t="s">
        <v>89</v>
      </c>
      <c r="AC2625" t="s">
        <v>90</v>
      </c>
      <c r="AF2625" t="s">
        <v>91</v>
      </c>
      <c r="AG2625" s="1">
        <v>43852</v>
      </c>
      <c r="AH2625" t="s">
        <v>85</v>
      </c>
      <c r="AI2625" t="s">
        <v>92</v>
      </c>
      <c r="AJ2625">
        <v>19888</v>
      </c>
      <c r="AK2625">
        <v>128777</v>
      </c>
      <c r="AL2625">
        <v>198882</v>
      </c>
    </row>
    <row r="2626" spans="1:38" x14ac:dyDescent="0.25">
      <c r="A2626" t="s">
        <v>274</v>
      </c>
      <c r="B2626" t="s">
        <v>610</v>
      </c>
      <c r="C2626" t="s">
        <v>71</v>
      </c>
      <c r="D2626" s="1">
        <v>43101</v>
      </c>
      <c r="E2626" s="1">
        <v>43465</v>
      </c>
      <c r="F2626" t="s">
        <v>84</v>
      </c>
      <c r="G2626">
        <v>10</v>
      </c>
      <c r="H2626" t="s">
        <v>85</v>
      </c>
      <c r="I2626" t="s">
        <v>43</v>
      </c>
      <c r="J2626" t="s">
        <v>86</v>
      </c>
      <c r="K2626" t="s">
        <v>44</v>
      </c>
      <c r="L2626">
        <v>13134.29</v>
      </c>
      <c r="M2626" s="1">
        <v>43371</v>
      </c>
      <c r="N2626" t="s">
        <v>108</v>
      </c>
      <c r="O2626" t="s">
        <v>361</v>
      </c>
      <c r="P2626" t="s">
        <v>47</v>
      </c>
      <c r="Q2626" s="1">
        <v>43852</v>
      </c>
      <c r="R2626" t="s">
        <v>48</v>
      </c>
      <c r="S2626" t="s">
        <v>96</v>
      </c>
      <c r="T2626" t="s">
        <v>97</v>
      </c>
      <c r="U2626" t="s">
        <v>85</v>
      </c>
      <c r="V2626">
        <v>600000</v>
      </c>
      <c r="W2626">
        <v>100000</v>
      </c>
      <c r="X2626" s="1">
        <v>43799</v>
      </c>
      <c r="Y2626" t="s">
        <v>51</v>
      </c>
      <c r="Z2626" t="s">
        <v>43</v>
      </c>
      <c r="AA2626" t="s">
        <v>98</v>
      </c>
      <c r="AB2626" t="s">
        <v>89</v>
      </c>
      <c r="AC2626" t="s">
        <v>90</v>
      </c>
      <c r="AF2626" t="s">
        <v>93</v>
      </c>
      <c r="AG2626" s="1">
        <v>43843</v>
      </c>
      <c r="AH2626" t="s">
        <v>85</v>
      </c>
      <c r="AI2626" t="s">
        <v>92</v>
      </c>
      <c r="AJ2626">
        <v>19888</v>
      </c>
      <c r="AK2626">
        <v>128777</v>
      </c>
      <c r="AL2626">
        <v>198882</v>
      </c>
    </row>
    <row r="2627" spans="1:38" x14ac:dyDescent="0.25">
      <c r="A2627" t="s">
        <v>274</v>
      </c>
      <c r="B2627" t="s">
        <v>610</v>
      </c>
      <c r="C2627" t="s">
        <v>71</v>
      </c>
      <c r="D2627" s="1">
        <v>43101</v>
      </c>
      <c r="E2627" s="1">
        <v>43465</v>
      </c>
      <c r="F2627" t="s">
        <v>84</v>
      </c>
      <c r="G2627">
        <v>10</v>
      </c>
      <c r="H2627" t="s">
        <v>85</v>
      </c>
      <c r="I2627" t="s">
        <v>43</v>
      </c>
      <c r="J2627" t="s">
        <v>86</v>
      </c>
      <c r="K2627" t="s">
        <v>44</v>
      </c>
      <c r="L2627">
        <v>13134.29</v>
      </c>
      <c r="M2627" s="1">
        <v>43371</v>
      </c>
      <c r="N2627" t="s">
        <v>108</v>
      </c>
      <c r="O2627" t="s">
        <v>361</v>
      </c>
      <c r="P2627" t="s">
        <v>47</v>
      </c>
      <c r="Q2627" s="1">
        <v>43852</v>
      </c>
      <c r="R2627" t="s">
        <v>48</v>
      </c>
      <c r="S2627" t="s">
        <v>99</v>
      </c>
      <c r="T2627" t="s">
        <v>100</v>
      </c>
      <c r="U2627" t="s">
        <v>85</v>
      </c>
      <c r="V2627">
        <v>210000</v>
      </c>
      <c r="W2627">
        <v>35000</v>
      </c>
      <c r="X2627" s="1">
        <v>43799</v>
      </c>
      <c r="Y2627" t="s">
        <v>51</v>
      </c>
      <c r="Z2627" t="s">
        <v>43</v>
      </c>
      <c r="AA2627" t="s">
        <v>98</v>
      </c>
      <c r="AB2627" t="s">
        <v>89</v>
      </c>
      <c r="AC2627" t="s">
        <v>101</v>
      </c>
      <c r="AF2627" t="s">
        <v>91</v>
      </c>
      <c r="AG2627" s="1">
        <v>43852</v>
      </c>
      <c r="AH2627" t="s">
        <v>85</v>
      </c>
      <c r="AI2627" t="s">
        <v>92</v>
      </c>
      <c r="AJ2627">
        <v>19888</v>
      </c>
      <c r="AK2627">
        <v>128777</v>
      </c>
      <c r="AL2627">
        <v>198882</v>
      </c>
    </row>
    <row r="2628" spans="1:38" x14ac:dyDescent="0.25">
      <c r="A2628" t="s">
        <v>274</v>
      </c>
      <c r="B2628" t="s">
        <v>610</v>
      </c>
      <c r="C2628" t="s">
        <v>71</v>
      </c>
      <c r="D2628" s="1">
        <v>43101</v>
      </c>
      <c r="E2628" s="1">
        <v>43465</v>
      </c>
      <c r="F2628" t="s">
        <v>84</v>
      </c>
      <c r="G2628">
        <v>10</v>
      </c>
      <c r="H2628" t="s">
        <v>85</v>
      </c>
      <c r="I2628" t="s">
        <v>43</v>
      </c>
      <c r="J2628" t="s">
        <v>86</v>
      </c>
      <c r="K2628" t="s">
        <v>44</v>
      </c>
      <c r="L2628">
        <v>13134.29</v>
      </c>
      <c r="M2628" s="1">
        <v>43371</v>
      </c>
      <c r="N2628" t="s">
        <v>108</v>
      </c>
      <c r="O2628" t="s">
        <v>361</v>
      </c>
      <c r="P2628" t="s">
        <v>47</v>
      </c>
      <c r="Q2628" s="1">
        <v>43852</v>
      </c>
      <c r="R2628" t="s">
        <v>48</v>
      </c>
      <c r="S2628" t="s">
        <v>99</v>
      </c>
      <c r="T2628" t="s">
        <v>100</v>
      </c>
      <c r="U2628" t="s">
        <v>85</v>
      </c>
      <c r="V2628">
        <v>210000</v>
      </c>
      <c r="W2628">
        <v>35000</v>
      </c>
      <c r="X2628" s="1">
        <v>43799</v>
      </c>
      <c r="Y2628" t="s">
        <v>51</v>
      </c>
      <c r="Z2628" t="s">
        <v>43</v>
      </c>
      <c r="AA2628" t="s">
        <v>98</v>
      </c>
      <c r="AB2628" t="s">
        <v>89</v>
      </c>
      <c r="AC2628" t="s">
        <v>101</v>
      </c>
      <c r="AF2628" t="s">
        <v>93</v>
      </c>
      <c r="AG2628" s="1">
        <v>43843</v>
      </c>
      <c r="AH2628" t="s">
        <v>85</v>
      </c>
      <c r="AI2628" t="s">
        <v>92</v>
      </c>
      <c r="AJ2628">
        <v>19888</v>
      </c>
      <c r="AK2628">
        <v>128777</v>
      </c>
      <c r="AL2628">
        <v>198882</v>
      </c>
    </row>
    <row r="2629" spans="1:38" x14ac:dyDescent="0.25">
      <c r="A2629" t="s">
        <v>274</v>
      </c>
      <c r="B2629" t="s">
        <v>610</v>
      </c>
      <c r="C2629" t="s">
        <v>71</v>
      </c>
      <c r="D2629" s="1">
        <v>43101</v>
      </c>
      <c r="E2629" s="1">
        <v>43465</v>
      </c>
      <c r="F2629" t="s">
        <v>84</v>
      </c>
      <c r="G2629">
        <v>10</v>
      </c>
      <c r="H2629" t="s">
        <v>85</v>
      </c>
      <c r="I2629" t="s">
        <v>43</v>
      </c>
      <c r="J2629" t="s">
        <v>86</v>
      </c>
      <c r="K2629" t="s">
        <v>44</v>
      </c>
      <c r="L2629">
        <v>13134.29</v>
      </c>
      <c r="M2629" s="1">
        <v>43371</v>
      </c>
      <c r="N2629" t="s">
        <v>108</v>
      </c>
      <c r="O2629" t="s">
        <v>361</v>
      </c>
      <c r="P2629" t="s">
        <v>47</v>
      </c>
      <c r="Q2629" s="1">
        <v>43852</v>
      </c>
      <c r="R2629" t="s">
        <v>48</v>
      </c>
      <c r="S2629" t="s">
        <v>102</v>
      </c>
      <c r="T2629" t="s">
        <v>103</v>
      </c>
      <c r="U2629" t="s">
        <v>85</v>
      </c>
      <c r="V2629">
        <v>5000000</v>
      </c>
      <c r="W2629">
        <v>250000</v>
      </c>
      <c r="X2629" s="1">
        <v>43799</v>
      </c>
      <c r="Y2629" t="s">
        <v>51</v>
      </c>
      <c r="Z2629" t="s">
        <v>43</v>
      </c>
      <c r="AA2629" t="s">
        <v>86</v>
      </c>
      <c r="AB2629" t="s">
        <v>89</v>
      </c>
      <c r="AC2629" t="s">
        <v>90</v>
      </c>
      <c r="AF2629" t="s">
        <v>91</v>
      </c>
      <c r="AG2629" s="1">
        <v>43852</v>
      </c>
      <c r="AH2629" t="s">
        <v>85</v>
      </c>
      <c r="AI2629" t="s">
        <v>92</v>
      </c>
      <c r="AJ2629">
        <v>19888</v>
      </c>
      <c r="AK2629">
        <v>128777</v>
      </c>
      <c r="AL2629">
        <v>198882</v>
      </c>
    </row>
    <row r="2630" spans="1:38" x14ac:dyDescent="0.25">
      <c r="A2630" t="s">
        <v>274</v>
      </c>
      <c r="B2630" t="s">
        <v>610</v>
      </c>
      <c r="C2630" t="s">
        <v>71</v>
      </c>
      <c r="D2630" s="1">
        <v>43101</v>
      </c>
      <c r="E2630" s="1">
        <v>43465</v>
      </c>
      <c r="F2630" t="s">
        <v>84</v>
      </c>
      <c r="G2630">
        <v>10</v>
      </c>
      <c r="H2630" t="s">
        <v>85</v>
      </c>
      <c r="I2630" t="s">
        <v>43</v>
      </c>
      <c r="J2630" t="s">
        <v>86</v>
      </c>
      <c r="K2630" t="s">
        <v>44</v>
      </c>
      <c r="L2630">
        <v>13134.29</v>
      </c>
      <c r="M2630" s="1">
        <v>43371</v>
      </c>
      <c r="N2630" t="s">
        <v>108</v>
      </c>
      <c r="O2630" t="s">
        <v>361</v>
      </c>
      <c r="P2630" t="s">
        <v>47</v>
      </c>
      <c r="Q2630" s="1">
        <v>43852</v>
      </c>
      <c r="R2630" t="s">
        <v>48</v>
      </c>
      <c r="S2630" t="s">
        <v>102</v>
      </c>
      <c r="T2630" t="s">
        <v>103</v>
      </c>
      <c r="U2630" t="s">
        <v>85</v>
      </c>
      <c r="V2630">
        <v>5000000</v>
      </c>
      <c r="W2630">
        <v>250000</v>
      </c>
      <c r="X2630" s="1">
        <v>43799</v>
      </c>
      <c r="Y2630" t="s">
        <v>51</v>
      </c>
      <c r="Z2630" t="s">
        <v>43</v>
      </c>
      <c r="AA2630" t="s">
        <v>86</v>
      </c>
      <c r="AB2630" t="s">
        <v>89</v>
      </c>
      <c r="AC2630" t="s">
        <v>90</v>
      </c>
      <c r="AF2630" t="s">
        <v>93</v>
      </c>
      <c r="AG2630" s="1">
        <v>43843</v>
      </c>
      <c r="AH2630" t="s">
        <v>85</v>
      </c>
      <c r="AI2630" t="s">
        <v>92</v>
      </c>
      <c r="AJ2630">
        <v>19888</v>
      </c>
      <c r="AK2630">
        <v>128777</v>
      </c>
      <c r="AL2630">
        <v>198882</v>
      </c>
    </row>
    <row r="2631" spans="1:38" x14ac:dyDescent="0.25">
      <c r="A2631" t="s">
        <v>275</v>
      </c>
      <c r="B2631" t="s">
        <v>611</v>
      </c>
      <c r="C2631" t="s">
        <v>71</v>
      </c>
      <c r="D2631" s="1">
        <v>43101</v>
      </c>
      <c r="E2631" s="1">
        <v>43465</v>
      </c>
      <c r="F2631" t="s">
        <v>84</v>
      </c>
      <c r="G2631">
        <v>10</v>
      </c>
      <c r="H2631" t="s">
        <v>85</v>
      </c>
      <c r="I2631" t="s">
        <v>43</v>
      </c>
      <c r="J2631" t="s">
        <v>86</v>
      </c>
      <c r="K2631" t="s">
        <v>44</v>
      </c>
      <c r="L2631">
        <v>34349.81</v>
      </c>
      <c r="M2631" s="1">
        <v>43101</v>
      </c>
      <c r="N2631" t="s">
        <v>45</v>
      </c>
      <c r="O2631" t="s">
        <v>361</v>
      </c>
      <c r="P2631" t="s">
        <v>396</v>
      </c>
      <c r="Q2631" s="1">
        <v>43852</v>
      </c>
      <c r="R2631" t="s">
        <v>396</v>
      </c>
      <c r="S2631" t="s">
        <v>87</v>
      </c>
      <c r="T2631" t="s">
        <v>88</v>
      </c>
      <c r="U2631" t="s">
        <v>85</v>
      </c>
      <c r="V2631">
        <v>1400000</v>
      </c>
      <c r="W2631">
        <v>100000</v>
      </c>
      <c r="X2631" s="1">
        <v>43808</v>
      </c>
      <c r="Y2631" t="s">
        <v>51</v>
      </c>
      <c r="Z2631" t="s">
        <v>43</v>
      </c>
      <c r="AA2631" t="s">
        <v>86</v>
      </c>
      <c r="AB2631" t="s">
        <v>89</v>
      </c>
      <c r="AC2631" t="s">
        <v>90</v>
      </c>
      <c r="AF2631" t="s">
        <v>91</v>
      </c>
      <c r="AG2631" s="1">
        <v>43852</v>
      </c>
      <c r="AH2631" t="s">
        <v>85</v>
      </c>
      <c r="AI2631" t="s">
        <v>92</v>
      </c>
      <c r="AJ2631">
        <v>19888</v>
      </c>
      <c r="AK2631">
        <v>128777</v>
      </c>
      <c r="AL2631">
        <v>198882</v>
      </c>
    </row>
    <row r="2632" spans="1:38" x14ac:dyDescent="0.25">
      <c r="A2632" t="s">
        <v>275</v>
      </c>
      <c r="B2632" t="s">
        <v>611</v>
      </c>
      <c r="C2632" t="s">
        <v>71</v>
      </c>
      <c r="D2632" s="1">
        <v>43101</v>
      </c>
      <c r="E2632" s="1">
        <v>43465</v>
      </c>
      <c r="F2632" t="s">
        <v>84</v>
      </c>
      <c r="G2632">
        <v>10</v>
      </c>
      <c r="H2632" t="s">
        <v>85</v>
      </c>
      <c r="I2632" t="s">
        <v>43</v>
      </c>
      <c r="J2632" t="s">
        <v>86</v>
      </c>
      <c r="K2632" t="s">
        <v>44</v>
      </c>
      <c r="L2632">
        <v>34349.81</v>
      </c>
      <c r="M2632" s="1">
        <v>43101</v>
      </c>
      <c r="N2632" t="s">
        <v>45</v>
      </c>
      <c r="O2632" t="s">
        <v>361</v>
      </c>
      <c r="P2632" t="s">
        <v>396</v>
      </c>
      <c r="Q2632" s="1">
        <v>43852</v>
      </c>
      <c r="R2632" t="s">
        <v>396</v>
      </c>
      <c r="S2632" t="s">
        <v>87</v>
      </c>
      <c r="T2632" t="s">
        <v>88</v>
      </c>
      <c r="U2632" t="s">
        <v>85</v>
      </c>
      <c r="V2632">
        <v>1400000</v>
      </c>
      <c r="W2632">
        <v>100000</v>
      </c>
      <c r="X2632" s="1">
        <v>43808</v>
      </c>
      <c r="Y2632" t="s">
        <v>51</v>
      </c>
      <c r="Z2632" t="s">
        <v>43</v>
      </c>
      <c r="AA2632" t="s">
        <v>86</v>
      </c>
      <c r="AB2632" t="s">
        <v>89</v>
      </c>
      <c r="AC2632" t="s">
        <v>90</v>
      </c>
      <c r="AF2632" t="s">
        <v>93</v>
      </c>
      <c r="AG2632" s="1">
        <v>43843</v>
      </c>
      <c r="AH2632" t="s">
        <v>85</v>
      </c>
      <c r="AI2632" t="s">
        <v>92</v>
      </c>
      <c r="AJ2632">
        <v>19888</v>
      </c>
      <c r="AK2632">
        <v>128777</v>
      </c>
      <c r="AL2632">
        <v>198882</v>
      </c>
    </row>
    <row r="2633" spans="1:38" x14ac:dyDescent="0.25">
      <c r="A2633" t="s">
        <v>275</v>
      </c>
      <c r="B2633" t="s">
        <v>611</v>
      </c>
      <c r="C2633" t="s">
        <v>71</v>
      </c>
      <c r="D2633" s="1">
        <v>43101</v>
      </c>
      <c r="E2633" s="1">
        <v>43465</v>
      </c>
      <c r="F2633" t="s">
        <v>84</v>
      </c>
      <c r="G2633">
        <v>10</v>
      </c>
      <c r="H2633" t="s">
        <v>85</v>
      </c>
      <c r="I2633" t="s">
        <v>43</v>
      </c>
      <c r="J2633" t="s">
        <v>86</v>
      </c>
      <c r="K2633" t="s">
        <v>44</v>
      </c>
      <c r="L2633">
        <v>34349.81</v>
      </c>
      <c r="M2633" s="1">
        <v>43101</v>
      </c>
      <c r="N2633" t="s">
        <v>45</v>
      </c>
      <c r="O2633" t="s">
        <v>361</v>
      </c>
      <c r="P2633" t="s">
        <v>396</v>
      </c>
      <c r="Q2633" s="1">
        <v>43852</v>
      </c>
      <c r="R2633" t="s">
        <v>396</v>
      </c>
      <c r="S2633" t="s">
        <v>94</v>
      </c>
      <c r="T2633" t="s">
        <v>95</v>
      </c>
      <c r="U2633" t="s">
        <v>85</v>
      </c>
      <c r="V2633">
        <v>4500000</v>
      </c>
      <c r="W2633">
        <v>300000</v>
      </c>
      <c r="X2633" s="1">
        <v>43767</v>
      </c>
      <c r="Y2633" t="s">
        <v>51</v>
      </c>
      <c r="Z2633" t="s">
        <v>43</v>
      </c>
      <c r="AA2633" t="s">
        <v>86</v>
      </c>
      <c r="AB2633" t="s">
        <v>89</v>
      </c>
      <c r="AC2633" t="s">
        <v>90</v>
      </c>
      <c r="AF2633" t="s">
        <v>91</v>
      </c>
      <c r="AG2633" s="1">
        <v>43852</v>
      </c>
      <c r="AH2633" t="s">
        <v>85</v>
      </c>
      <c r="AI2633" t="s">
        <v>92</v>
      </c>
      <c r="AJ2633">
        <v>19888</v>
      </c>
      <c r="AK2633">
        <v>128777</v>
      </c>
      <c r="AL2633">
        <v>198882</v>
      </c>
    </row>
    <row r="2634" spans="1:38" x14ac:dyDescent="0.25">
      <c r="A2634" t="s">
        <v>275</v>
      </c>
      <c r="B2634" t="s">
        <v>611</v>
      </c>
      <c r="C2634" t="s">
        <v>71</v>
      </c>
      <c r="D2634" s="1">
        <v>43101</v>
      </c>
      <c r="E2634" s="1">
        <v>43465</v>
      </c>
      <c r="F2634" t="s">
        <v>84</v>
      </c>
      <c r="G2634">
        <v>10</v>
      </c>
      <c r="H2634" t="s">
        <v>85</v>
      </c>
      <c r="I2634" t="s">
        <v>43</v>
      </c>
      <c r="J2634" t="s">
        <v>86</v>
      </c>
      <c r="K2634" t="s">
        <v>44</v>
      </c>
      <c r="L2634">
        <v>34349.81</v>
      </c>
      <c r="M2634" s="1">
        <v>43101</v>
      </c>
      <c r="N2634" t="s">
        <v>45</v>
      </c>
      <c r="O2634" t="s">
        <v>361</v>
      </c>
      <c r="P2634" t="s">
        <v>396</v>
      </c>
      <c r="Q2634" s="1">
        <v>43852</v>
      </c>
      <c r="R2634" t="s">
        <v>396</v>
      </c>
      <c r="S2634" t="s">
        <v>94</v>
      </c>
      <c r="T2634" t="s">
        <v>95</v>
      </c>
      <c r="U2634" t="s">
        <v>85</v>
      </c>
      <c r="V2634">
        <v>4500000</v>
      </c>
      <c r="W2634">
        <v>300000</v>
      </c>
      <c r="X2634" s="1">
        <v>43767</v>
      </c>
      <c r="Y2634" t="s">
        <v>51</v>
      </c>
      <c r="Z2634" t="s">
        <v>43</v>
      </c>
      <c r="AA2634" t="s">
        <v>86</v>
      </c>
      <c r="AB2634" t="s">
        <v>89</v>
      </c>
      <c r="AC2634" t="s">
        <v>90</v>
      </c>
      <c r="AF2634" t="s">
        <v>93</v>
      </c>
      <c r="AG2634" s="1">
        <v>43843</v>
      </c>
      <c r="AH2634" t="s">
        <v>85</v>
      </c>
      <c r="AI2634" t="s">
        <v>92</v>
      </c>
      <c r="AJ2634">
        <v>19888</v>
      </c>
      <c r="AK2634">
        <v>128777</v>
      </c>
      <c r="AL2634">
        <v>198882</v>
      </c>
    </row>
    <row r="2635" spans="1:38" x14ac:dyDescent="0.25">
      <c r="A2635" t="s">
        <v>275</v>
      </c>
      <c r="B2635" t="s">
        <v>611</v>
      </c>
      <c r="C2635" t="s">
        <v>71</v>
      </c>
      <c r="D2635" s="1">
        <v>43101</v>
      </c>
      <c r="E2635" s="1">
        <v>43465</v>
      </c>
      <c r="F2635" t="s">
        <v>84</v>
      </c>
      <c r="G2635">
        <v>10</v>
      </c>
      <c r="H2635" t="s">
        <v>85</v>
      </c>
      <c r="I2635" t="s">
        <v>43</v>
      </c>
      <c r="J2635" t="s">
        <v>86</v>
      </c>
      <c r="K2635" t="s">
        <v>44</v>
      </c>
      <c r="L2635">
        <v>34349.81</v>
      </c>
      <c r="M2635" s="1">
        <v>43101</v>
      </c>
      <c r="N2635" t="s">
        <v>45</v>
      </c>
      <c r="O2635" t="s">
        <v>361</v>
      </c>
      <c r="P2635" t="s">
        <v>396</v>
      </c>
      <c r="Q2635" s="1">
        <v>43852</v>
      </c>
      <c r="R2635" t="s">
        <v>396</v>
      </c>
      <c r="S2635" t="s">
        <v>96</v>
      </c>
      <c r="T2635" t="s">
        <v>97</v>
      </c>
      <c r="U2635" t="s">
        <v>85</v>
      </c>
      <c r="V2635">
        <v>600000</v>
      </c>
      <c r="W2635">
        <v>100000</v>
      </c>
      <c r="X2635" s="1">
        <v>43799</v>
      </c>
      <c r="Y2635" t="s">
        <v>51</v>
      </c>
      <c r="Z2635" t="s">
        <v>43</v>
      </c>
      <c r="AA2635" t="s">
        <v>98</v>
      </c>
      <c r="AB2635" t="s">
        <v>89</v>
      </c>
      <c r="AC2635" t="s">
        <v>90</v>
      </c>
      <c r="AF2635" t="s">
        <v>91</v>
      </c>
      <c r="AG2635" s="1">
        <v>43852</v>
      </c>
      <c r="AH2635" t="s">
        <v>85</v>
      </c>
      <c r="AI2635" t="s">
        <v>92</v>
      </c>
      <c r="AJ2635">
        <v>19888</v>
      </c>
      <c r="AK2635">
        <v>128777</v>
      </c>
      <c r="AL2635">
        <v>198882</v>
      </c>
    </row>
    <row r="2636" spans="1:38" x14ac:dyDescent="0.25">
      <c r="A2636" t="s">
        <v>275</v>
      </c>
      <c r="B2636" t="s">
        <v>611</v>
      </c>
      <c r="C2636" t="s">
        <v>71</v>
      </c>
      <c r="D2636" s="1">
        <v>43101</v>
      </c>
      <c r="E2636" s="1">
        <v>43465</v>
      </c>
      <c r="F2636" t="s">
        <v>84</v>
      </c>
      <c r="G2636">
        <v>10</v>
      </c>
      <c r="H2636" t="s">
        <v>85</v>
      </c>
      <c r="I2636" t="s">
        <v>43</v>
      </c>
      <c r="J2636" t="s">
        <v>86</v>
      </c>
      <c r="K2636" t="s">
        <v>44</v>
      </c>
      <c r="L2636">
        <v>34349.81</v>
      </c>
      <c r="M2636" s="1">
        <v>43101</v>
      </c>
      <c r="N2636" t="s">
        <v>45</v>
      </c>
      <c r="O2636" t="s">
        <v>361</v>
      </c>
      <c r="P2636" t="s">
        <v>396</v>
      </c>
      <c r="Q2636" s="1">
        <v>43852</v>
      </c>
      <c r="R2636" t="s">
        <v>396</v>
      </c>
      <c r="S2636" t="s">
        <v>96</v>
      </c>
      <c r="T2636" t="s">
        <v>97</v>
      </c>
      <c r="U2636" t="s">
        <v>85</v>
      </c>
      <c r="V2636">
        <v>600000</v>
      </c>
      <c r="W2636">
        <v>100000</v>
      </c>
      <c r="X2636" s="1">
        <v>43799</v>
      </c>
      <c r="Y2636" t="s">
        <v>51</v>
      </c>
      <c r="Z2636" t="s">
        <v>43</v>
      </c>
      <c r="AA2636" t="s">
        <v>98</v>
      </c>
      <c r="AB2636" t="s">
        <v>89</v>
      </c>
      <c r="AC2636" t="s">
        <v>90</v>
      </c>
      <c r="AF2636" t="s">
        <v>93</v>
      </c>
      <c r="AG2636" s="1">
        <v>43843</v>
      </c>
      <c r="AH2636" t="s">
        <v>85</v>
      </c>
      <c r="AI2636" t="s">
        <v>92</v>
      </c>
      <c r="AJ2636">
        <v>19888</v>
      </c>
      <c r="AK2636">
        <v>128777</v>
      </c>
      <c r="AL2636">
        <v>198882</v>
      </c>
    </row>
    <row r="2637" spans="1:38" x14ac:dyDescent="0.25">
      <c r="A2637" t="s">
        <v>275</v>
      </c>
      <c r="B2637" t="s">
        <v>611</v>
      </c>
      <c r="C2637" t="s">
        <v>71</v>
      </c>
      <c r="D2637" s="1">
        <v>43101</v>
      </c>
      <c r="E2637" s="1">
        <v>43465</v>
      </c>
      <c r="F2637" t="s">
        <v>84</v>
      </c>
      <c r="G2637">
        <v>10</v>
      </c>
      <c r="H2637" t="s">
        <v>85</v>
      </c>
      <c r="I2637" t="s">
        <v>43</v>
      </c>
      <c r="J2637" t="s">
        <v>86</v>
      </c>
      <c r="K2637" t="s">
        <v>44</v>
      </c>
      <c r="L2637">
        <v>34349.81</v>
      </c>
      <c r="M2637" s="1">
        <v>43101</v>
      </c>
      <c r="N2637" t="s">
        <v>45</v>
      </c>
      <c r="O2637" t="s">
        <v>361</v>
      </c>
      <c r="P2637" t="s">
        <v>396</v>
      </c>
      <c r="Q2637" s="1">
        <v>43852</v>
      </c>
      <c r="R2637" t="s">
        <v>396</v>
      </c>
      <c r="S2637" t="s">
        <v>99</v>
      </c>
      <c r="T2637" t="s">
        <v>100</v>
      </c>
      <c r="U2637" t="s">
        <v>85</v>
      </c>
      <c r="V2637">
        <v>210000</v>
      </c>
      <c r="W2637">
        <v>35000</v>
      </c>
      <c r="X2637" s="1">
        <v>43799</v>
      </c>
      <c r="Y2637" t="s">
        <v>51</v>
      </c>
      <c r="Z2637" t="s">
        <v>43</v>
      </c>
      <c r="AA2637" t="s">
        <v>98</v>
      </c>
      <c r="AB2637" t="s">
        <v>89</v>
      </c>
      <c r="AC2637" t="s">
        <v>101</v>
      </c>
      <c r="AF2637" t="s">
        <v>91</v>
      </c>
      <c r="AG2637" s="1">
        <v>43852</v>
      </c>
      <c r="AH2637" t="s">
        <v>85</v>
      </c>
      <c r="AI2637" t="s">
        <v>92</v>
      </c>
      <c r="AJ2637">
        <v>19888</v>
      </c>
      <c r="AK2637">
        <v>128777</v>
      </c>
      <c r="AL2637">
        <v>198882</v>
      </c>
    </row>
    <row r="2638" spans="1:38" x14ac:dyDescent="0.25">
      <c r="A2638" t="s">
        <v>275</v>
      </c>
      <c r="B2638" t="s">
        <v>611</v>
      </c>
      <c r="C2638" t="s">
        <v>71</v>
      </c>
      <c r="D2638" s="1">
        <v>43101</v>
      </c>
      <c r="E2638" s="1">
        <v>43465</v>
      </c>
      <c r="F2638" t="s">
        <v>84</v>
      </c>
      <c r="G2638">
        <v>10</v>
      </c>
      <c r="H2638" t="s">
        <v>85</v>
      </c>
      <c r="I2638" t="s">
        <v>43</v>
      </c>
      <c r="J2638" t="s">
        <v>86</v>
      </c>
      <c r="K2638" t="s">
        <v>44</v>
      </c>
      <c r="L2638">
        <v>34349.81</v>
      </c>
      <c r="M2638" s="1">
        <v>43101</v>
      </c>
      <c r="N2638" t="s">
        <v>45</v>
      </c>
      <c r="O2638" t="s">
        <v>361</v>
      </c>
      <c r="P2638" t="s">
        <v>396</v>
      </c>
      <c r="Q2638" s="1">
        <v>43852</v>
      </c>
      <c r="R2638" t="s">
        <v>396</v>
      </c>
      <c r="S2638" t="s">
        <v>99</v>
      </c>
      <c r="T2638" t="s">
        <v>100</v>
      </c>
      <c r="U2638" t="s">
        <v>85</v>
      </c>
      <c r="V2638">
        <v>210000</v>
      </c>
      <c r="W2638">
        <v>35000</v>
      </c>
      <c r="X2638" s="1">
        <v>43799</v>
      </c>
      <c r="Y2638" t="s">
        <v>51</v>
      </c>
      <c r="Z2638" t="s">
        <v>43</v>
      </c>
      <c r="AA2638" t="s">
        <v>98</v>
      </c>
      <c r="AB2638" t="s">
        <v>89</v>
      </c>
      <c r="AC2638" t="s">
        <v>101</v>
      </c>
      <c r="AF2638" t="s">
        <v>93</v>
      </c>
      <c r="AG2638" s="1">
        <v>43843</v>
      </c>
      <c r="AH2638" t="s">
        <v>85</v>
      </c>
      <c r="AI2638" t="s">
        <v>92</v>
      </c>
      <c r="AJ2638">
        <v>19888</v>
      </c>
      <c r="AK2638">
        <v>128777</v>
      </c>
      <c r="AL2638">
        <v>198882</v>
      </c>
    </row>
    <row r="2639" spans="1:38" x14ac:dyDescent="0.25">
      <c r="A2639" t="s">
        <v>275</v>
      </c>
      <c r="B2639" t="s">
        <v>611</v>
      </c>
      <c r="C2639" t="s">
        <v>71</v>
      </c>
      <c r="D2639" s="1">
        <v>43101</v>
      </c>
      <c r="E2639" s="1">
        <v>43465</v>
      </c>
      <c r="F2639" t="s">
        <v>84</v>
      </c>
      <c r="G2639">
        <v>10</v>
      </c>
      <c r="H2639" t="s">
        <v>85</v>
      </c>
      <c r="I2639" t="s">
        <v>43</v>
      </c>
      <c r="J2639" t="s">
        <v>86</v>
      </c>
      <c r="K2639" t="s">
        <v>44</v>
      </c>
      <c r="L2639">
        <v>34349.81</v>
      </c>
      <c r="M2639" s="1">
        <v>43101</v>
      </c>
      <c r="N2639" t="s">
        <v>45</v>
      </c>
      <c r="O2639" t="s">
        <v>361</v>
      </c>
      <c r="P2639" t="s">
        <v>396</v>
      </c>
      <c r="Q2639" s="1">
        <v>43852</v>
      </c>
      <c r="R2639" t="s">
        <v>396</v>
      </c>
      <c r="S2639" t="s">
        <v>102</v>
      </c>
      <c r="T2639" t="s">
        <v>103</v>
      </c>
      <c r="U2639" t="s">
        <v>85</v>
      </c>
      <c r="V2639">
        <v>5000000</v>
      </c>
      <c r="W2639">
        <v>250000</v>
      </c>
      <c r="X2639" s="1">
        <v>43799</v>
      </c>
      <c r="Y2639" t="s">
        <v>51</v>
      </c>
      <c r="Z2639" t="s">
        <v>43</v>
      </c>
      <c r="AA2639" t="s">
        <v>86</v>
      </c>
      <c r="AB2639" t="s">
        <v>89</v>
      </c>
      <c r="AC2639" t="s">
        <v>90</v>
      </c>
      <c r="AF2639" t="s">
        <v>91</v>
      </c>
      <c r="AG2639" s="1">
        <v>43852</v>
      </c>
      <c r="AH2639" t="s">
        <v>85</v>
      </c>
      <c r="AI2639" t="s">
        <v>92</v>
      </c>
      <c r="AJ2639">
        <v>19888</v>
      </c>
      <c r="AK2639">
        <v>128777</v>
      </c>
      <c r="AL2639">
        <v>198882</v>
      </c>
    </row>
    <row r="2640" spans="1:38" x14ac:dyDescent="0.25">
      <c r="A2640" t="s">
        <v>275</v>
      </c>
      <c r="B2640" t="s">
        <v>611</v>
      </c>
      <c r="C2640" t="s">
        <v>71</v>
      </c>
      <c r="D2640" s="1">
        <v>43101</v>
      </c>
      <c r="E2640" s="1">
        <v>43465</v>
      </c>
      <c r="F2640" t="s">
        <v>84</v>
      </c>
      <c r="G2640">
        <v>10</v>
      </c>
      <c r="H2640" t="s">
        <v>85</v>
      </c>
      <c r="I2640" t="s">
        <v>43</v>
      </c>
      <c r="J2640" t="s">
        <v>86</v>
      </c>
      <c r="K2640" t="s">
        <v>44</v>
      </c>
      <c r="L2640">
        <v>34349.81</v>
      </c>
      <c r="M2640" s="1">
        <v>43101</v>
      </c>
      <c r="N2640" t="s">
        <v>45</v>
      </c>
      <c r="O2640" t="s">
        <v>361</v>
      </c>
      <c r="P2640" t="s">
        <v>396</v>
      </c>
      <c r="Q2640" s="1">
        <v>43852</v>
      </c>
      <c r="R2640" t="s">
        <v>396</v>
      </c>
      <c r="S2640" t="s">
        <v>102</v>
      </c>
      <c r="T2640" t="s">
        <v>103</v>
      </c>
      <c r="U2640" t="s">
        <v>85</v>
      </c>
      <c r="V2640">
        <v>5000000</v>
      </c>
      <c r="W2640">
        <v>250000</v>
      </c>
      <c r="X2640" s="1">
        <v>43799</v>
      </c>
      <c r="Y2640" t="s">
        <v>51</v>
      </c>
      <c r="Z2640" t="s">
        <v>43</v>
      </c>
      <c r="AA2640" t="s">
        <v>86</v>
      </c>
      <c r="AB2640" t="s">
        <v>89</v>
      </c>
      <c r="AC2640" t="s">
        <v>90</v>
      </c>
      <c r="AF2640" t="s">
        <v>93</v>
      </c>
      <c r="AG2640" s="1">
        <v>43843</v>
      </c>
      <c r="AH2640" t="s">
        <v>85</v>
      </c>
      <c r="AI2640" t="s">
        <v>92</v>
      </c>
      <c r="AJ2640">
        <v>19888</v>
      </c>
      <c r="AK2640">
        <v>128777</v>
      </c>
      <c r="AL2640">
        <v>198882</v>
      </c>
    </row>
    <row r="2641" spans="1:38" x14ac:dyDescent="0.25">
      <c r="A2641" t="s">
        <v>277</v>
      </c>
      <c r="B2641">
        <v>5051621</v>
      </c>
      <c r="C2641" t="s">
        <v>71</v>
      </c>
      <c r="D2641" s="1">
        <v>43101</v>
      </c>
      <c r="E2641" s="1">
        <v>43465</v>
      </c>
      <c r="F2641" t="s">
        <v>84</v>
      </c>
      <c r="G2641">
        <v>10</v>
      </c>
      <c r="H2641" t="s">
        <v>85</v>
      </c>
      <c r="I2641" t="s">
        <v>43</v>
      </c>
      <c r="J2641" t="s">
        <v>86</v>
      </c>
      <c r="K2641" t="s">
        <v>44</v>
      </c>
      <c r="L2641">
        <v>51883.58</v>
      </c>
      <c r="M2641" s="1">
        <v>43101</v>
      </c>
      <c r="N2641" t="s">
        <v>45</v>
      </c>
      <c r="O2641" t="s">
        <v>361</v>
      </c>
      <c r="P2641" t="s">
        <v>396</v>
      </c>
      <c r="Q2641" s="1">
        <v>43852</v>
      </c>
      <c r="R2641" t="s">
        <v>396</v>
      </c>
      <c r="S2641" t="s">
        <v>87</v>
      </c>
      <c r="T2641" t="s">
        <v>88</v>
      </c>
      <c r="U2641" t="s">
        <v>85</v>
      </c>
      <c r="V2641">
        <v>1400000</v>
      </c>
      <c r="W2641">
        <v>100000</v>
      </c>
      <c r="X2641" s="1">
        <v>43808</v>
      </c>
      <c r="Y2641" t="s">
        <v>51</v>
      </c>
      <c r="Z2641" t="s">
        <v>43</v>
      </c>
      <c r="AA2641" t="s">
        <v>86</v>
      </c>
      <c r="AB2641" t="s">
        <v>89</v>
      </c>
      <c r="AC2641" t="s">
        <v>90</v>
      </c>
      <c r="AF2641" t="s">
        <v>91</v>
      </c>
      <c r="AG2641" s="1">
        <v>43852</v>
      </c>
      <c r="AH2641" t="s">
        <v>85</v>
      </c>
      <c r="AI2641" t="s">
        <v>92</v>
      </c>
      <c r="AJ2641">
        <v>19888</v>
      </c>
      <c r="AK2641">
        <v>128777</v>
      </c>
      <c r="AL2641">
        <v>198882</v>
      </c>
    </row>
    <row r="2642" spans="1:38" x14ac:dyDescent="0.25">
      <c r="A2642" t="s">
        <v>277</v>
      </c>
      <c r="B2642">
        <v>5051621</v>
      </c>
      <c r="C2642" t="s">
        <v>71</v>
      </c>
      <c r="D2642" s="1">
        <v>43101</v>
      </c>
      <c r="E2642" s="1">
        <v>43465</v>
      </c>
      <c r="F2642" t="s">
        <v>84</v>
      </c>
      <c r="G2642">
        <v>10</v>
      </c>
      <c r="H2642" t="s">
        <v>85</v>
      </c>
      <c r="I2642" t="s">
        <v>43</v>
      </c>
      <c r="J2642" t="s">
        <v>86</v>
      </c>
      <c r="K2642" t="s">
        <v>44</v>
      </c>
      <c r="L2642">
        <v>51883.58</v>
      </c>
      <c r="M2642" s="1">
        <v>43101</v>
      </c>
      <c r="N2642" t="s">
        <v>45</v>
      </c>
      <c r="O2642" t="s">
        <v>361</v>
      </c>
      <c r="P2642" t="s">
        <v>396</v>
      </c>
      <c r="Q2642" s="1">
        <v>43852</v>
      </c>
      <c r="R2642" t="s">
        <v>396</v>
      </c>
      <c r="S2642" t="s">
        <v>87</v>
      </c>
      <c r="T2642" t="s">
        <v>88</v>
      </c>
      <c r="U2642" t="s">
        <v>85</v>
      </c>
      <c r="V2642">
        <v>1400000</v>
      </c>
      <c r="W2642">
        <v>100000</v>
      </c>
      <c r="X2642" s="1">
        <v>43808</v>
      </c>
      <c r="Y2642" t="s">
        <v>51</v>
      </c>
      <c r="Z2642" t="s">
        <v>43</v>
      </c>
      <c r="AA2642" t="s">
        <v>86</v>
      </c>
      <c r="AB2642" t="s">
        <v>89</v>
      </c>
      <c r="AC2642" t="s">
        <v>90</v>
      </c>
      <c r="AF2642" t="s">
        <v>93</v>
      </c>
      <c r="AG2642" s="1">
        <v>43843</v>
      </c>
      <c r="AH2642" t="s">
        <v>85</v>
      </c>
      <c r="AI2642" t="s">
        <v>92</v>
      </c>
      <c r="AJ2642">
        <v>19888</v>
      </c>
      <c r="AK2642">
        <v>128777</v>
      </c>
      <c r="AL2642">
        <v>198882</v>
      </c>
    </row>
    <row r="2643" spans="1:38" x14ac:dyDescent="0.25">
      <c r="A2643" t="s">
        <v>277</v>
      </c>
      <c r="B2643">
        <v>5051621</v>
      </c>
      <c r="C2643" t="s">
        <v>71</v>
      </c>
      <c r="D2643" s="1">
        <v>43101</v>
      </c>
      <c r="E2643" s="1">
        <v>43465</v>
      </c>
      <c r="F2643" t="s">
        <v>84</v>
      </c>
      <c r="G2643">
        <v>10</v>
      </c>
      <c r="H2643" t="s">
        <v>85</v>
      </c>
      <c r="I2643" t="s">
        <v>43</v>
      </c>
      <c r="J2643" t="s">
        <v>86</v>
      </c>
      <c r="K2643" t="s">
        <v>44</v>
      </c>
      <c r="L2643">
        <v>51883.58</v>
      </c>
      <c r="M2643" s="1">
        <v>43101</v>
      </c>
      <c r="N2643" t="s">
        <v>45</v>
      </c>
      <c r="O2643" t="s">
        <v>361</v>
      </c>
      <c r="P2643" t="s">
        <v>396</v>
      </c>
      <c r="Q2643" s="1">
        <v>43852</v>
      </c>
      <c r="R2643" t="s">
        <v>396</v>
      </c>
      <c r="S2643" t="s">
        <v>94</v>
      </c>
      <c r="T2643" t="s">
        <v>95</v>
      </c>
      <c r="U2643" t="s">
        <v>85</v>
      </c>
      <c r="V2643">
        <v>4500000</v>
      </c>
      <c r="W2643">
        <v>300000</v>
      </c>
      <c r="X2643" s="1">
        <v>43767</v>
      </c>
      <c r="Y2643" t="s">
        <v>51</v>
      </c>
      <c r="Z2643" t="s">
        <v>43</v>
      </c>
      <c r="AA2643" t="s">
        <v>86</v>
      </c>
      <c r="AB2643" t="s">
        <v>89</v>
      </c>
      <c r="AC2643" t="s">
        <v>90</v>
      </c>
      <c r="AF2643" t="s">
        <v>91</v>
      </c>
      <c r="AG2643" s="1">
        <v>43852</v>
      </c>
      <c r="AH2643" t="s">
        <v>85</v>
      </c>
      <c r="AI2643" t="s">
        <v>92</v>
      </c>
      <c r="AJ2643">
        <v>19888</v>
      </c>
      <c r="AK2643">
        <v>128777</v>
      </c>
      <c r="AL2643">
        <v>198882</v>
      </c>
    </row>
    <row r="2644" spans="1:38" x14ac:dyDescent="0.25">
      <c r="A2644" t="s">
        <v>277</v>
      </c>
      <c r="B2644">
        <v>5051621</v>
      </c>
      <c r="C2644" t="s">
        <v>71</v>
      </c>
      <c r="D2644" s="1">
        <v>43101</v>
      </c>
      <c r="E2644" s="1">
        <v>43465</v>
      </c>
      <c r="F2644" t="s">
        <v>84</v>
      </c>
      <c r="G2644">
        <v>10</v>
      </c>
      <c r="H2644" t="s">
        <v>85</v>
      </c>
      <c r="I2644" t="s">
        <v>43</v>
      </c>
      <c r="J2644" t="s">
        <v>86</v>
      </c>
      <c r="K2644" t="s">
        <v>44</v>
      </c>
      <c r="L2644">
        <v>51883.58</v>
      </c>
      <c r="M2644" s="1">
        <v>43101</v>
      </c>
      <c r="N2644" t="s">
        <v>45</v>
      </c>
      <c r="O2644" t="s">
        <v>361</v>
      </c>
      <c r="P2644" t="s">
        <v>396</v>
      </c>
      <c r="Q2644" s="1">
        <v>43852</v>
      </c>
      <c r="R2644" t="s">
        <v>396</v>
      </c>
      <c r="S2644" t="s">
        <v>94</v>
      </c>
      <c r="T2644" t="s">
        <v>95</v>
      </c>
      <c r="U2644" t="s">
        <v>85</v>
      </c>
      <c r="V2644">
        <v>4500000</v>
      </c>
      <c r="W2644">
        <v>300000</v>
      </c>
      <c r="X2644" s="1">
        <v>43767</v>
      </c>
      <c r="Y2644" t="s">
        <v>51</v>
      </c>
      <c r="Z2644" t="s">
        <v>43</v>
      </c>
      <c r="AA2644" t="s">
        <v>86</v>
      </c>
      <c r="AB2644" t="s">
        <v>89</v>
      </c>
      <c r="AC2644" t="s">
        <v>90</v>
      </c>
      <c r="AF2644" t="s">
        <v>93</v>
      </c>
      <c r="AG2644" s="1">
        <v>43843</v>
      </c>
      <c r="AH2644" t="s">
        <v>85</v>
      </c>
      <c r="AI2644" t="s">
        <v>92</v>
      </c>
      <c r="AJ2644">
        <v>19888</v>
      </c>
      <c r="AK2644">
        <v>128777</v>
      </c>
      <c r="AL2644">
        <v>198882</v>
      </c>
    </row>
    <row r="2645" spans="1:38" x14ac:dyDescent="0.25">
      <c r="A2645" t="s">
        <v>277</v>
      </c>
      <c r="B2645">
        <v>5051621</v>
      </c>
      <c r="C2645" t="s">
        <v>71</v>
      </c>
      <c r="D2645" s="1">
        <v>43101</v>
      </c>
      <c r="E2645" s="1">
        <v>43465</v>
      </c>
      <c r="F2645" t="s">
        <v>84</v>
      </c>
      <c r="G2645">
        <v>10</v>
      </c>
      <c r="H2645" t="s">
        <v>85</v>
      </c>
      <c r="I2645" t="s">
        <v>43</v>
      </c>
      <c r="J2645" t="s">
        <v>86</v>
      </c>
      <c r="K2645" t="s">
        <v>44</v>
      </c>
      <c r="L2645">
        <v>51883.58</v>
      </c>
      <c r="M2645" s="1">
        <v>43101</v>
      </c>
      <c r="N2645" t="s">
        <v>45</v>
      </c>
      <c r="O2645" t="s">
        <v>361</v>
      </c>
      <c r="P2645" t="s">
        <v>396</v>
      </c>
      <c r="Q2645" s="1">
        <v>43852</v>
      </c>
      <c r="R2645" t="s">
        <v>396</v>
      </c>
      <c r="S2645" t="s">
        <v>96</v>
      </c>
      <c r="T2645" t="s">
        <v>97</v>
      </c>
      <c r="U2645" t="s">
        <v>85</v>
      </c>
      <c r="V2645">
        <v>600000</v>
      </c>
      <c r="W2645">
        <v>100000</v>
      </c>
      <c r="X2645" s="1">
        <v>43799</v>
      </c>
      <c r="Y2645" t="s">
        <v>51</v>
      </c>
      <c r="Z2645" t="s">
        <v>43</v>
      </c>
      <c r="AA2645" t="s">
        <v>98</v>
      </c>
      <c r="AB2645" t="s">
        <v>89</v>
      </c>
      <c r="AC2645" t="s">
        <v>90</v>
      </c>
      <c r="AF2645" t="s">
        <v>91</v>
      </c>
      <c r="AG2645" s="1">
        <v>43852</v>
      </c>
      <c r="AH2645" t="s">
        <v>85</v>
      </c>
      <c r="AI2645" t="s">
        <v>92</v>
      </c>
      <c r="AJ2645">
        <v>19888</v>
      </c>
      <c r="AK2645">
        <v>128777</v>
      </c>
      <c r="AL2645">
        <v>198882</v>
      </c>
    </row>
    <row r="2646" spans="1:38" x14ac:dyDescent="0.25">
      <c r="A2646" t="s">
        <v>277</v>
      </c>
      <c r="B2646">
        <v>5051621</v>
      </c>
      <c r="C2646" t="s">
        <v>71</v>
      </c>
      <c r="D2646" s="1">
        <v>43101</v>
      </c>
      <c r="E2646" s="1">
        <v>43465</v>
      </c>
      <c r="F2646" t="s">
        <v>84</v>
      </c>
      <c r="G2646">
        <v>10</v>
      </c>
      <c r="H2646" t="s">
        <v>85</v>
      </c>
      <c r="I2646" t="s">
        <v>43</v>
      </c>
      <c r="J2646" t="s">
        <v>86</v>
      </c>
      <c r="K2646" t="s">
        <v>44</v>
      </c>
      <c r="L2646">
        <v>51883.58</v>
      </c>
      <c r="M2646" s="1">
        <v>43101</v>
      </c>
      <c r="N2646" t="s">
        <v>45</v>
      </c>
      <c r="O2646" t="s">
        <v>361</v>
      </c>
      <c r="P2646" t="s">
        <v>396</v>
      </c>
      <c r="Q2646" s="1">
        <v>43852</v>
      </c>
      <c r="R2646" t="s">
        <v>396</v>
      </c>
      <c r="S2646" t="s">
        <v>96</v>
      </c>
      <c r="T2646" t="s">
        <v>97</v>
      </c>
      <c r="U2646" t="s">
        <v>85</v>
      </c>
      <c r="V2646">
        <v>600000</v>
      </c>
      <c r="W2646">
        <v>100000</v>
      </c>
      <c r="X2646" s="1">
        <v>43799</v>
      </c>
      <c r="Y2646" t="s">
        <v>51</v>
      </c>
      <c r="Z2646" t="s">
        <v>43</v>
      </c>
      <c r="AA2646" t="s">
        <v>98</v>
      </c>
      <c r="AB2646" t="s">
        <v>89</v>
      </c>
      <c r="AC2646" t="s">
        <v>90</v>
      </c>
      <c r="AF2646" t="s">
        <v>93</v>
      </c>
      <c r="AG2646" s="1">
        <v>43843</v>
      </c>
      <c r="AH2646" t="s">
        <v>85</v>
      </c>
      <c r="AI2646" t="s">
        <v>92</v>
      </c>
      <c r="AJ2646">
        <v>19888</v>
      </c>
      <c r="AK2646">
        <v>128777</v>
      </c>
      <c r="AL2646">
        <v>198882</v>
      </c>
    </row>
    <row r="2647" spans="1:38" x14ac:dyDescent="0.25">
      <c r="A2647" t="s">
        <v>277</v>
      </c>
      <c r="B2647">
        <v>5051621</v>
      </c>
      <c r="C2647" t="s">
        <v>71</v>
      </c>
      <c r="D2647" s="1">
        <v>43101</v>
      </c>
      <c r="E2647" s="1">
        <v>43465</v>
      </c>
      <c r="F2647" t="s">
        <v>84</v>
      </c>
      <c r="G2647">
        <v>10</v>
      </c>
      <c r="H2647" t="s">
        <v>85</v>
      </c>
      <c r="I2647" t="s">
        <v>43</v>
      </c>
      <c r="J2647" t="s">
        <v>86</v>
      </c>
      <c r="K2647" t="s">
        <v>44</v>
      </c>
      <c r="L2647">
        <v>51883.58</v>
      </c>
      <c r="M2647" s="1">
        <v>43101</v>
      </c>
      <c r="N2647" t="s">
        <v>45</v>
      </c>
      <c r="O2647" t="s">
        <v>361</v>
      </c>
      <c r="P2647" t="s">
        <v>396</v>
      </c>
      <c r="Q2647" s="1">
        <v>43852</v>
      </c>
      <c r="R2647" t="s">
        <v>396</v>
      </c>
      <c r="S2647" t="s">
        <v>99</v>
      </c>
      <c r="T2647" t="s">
        <v>100</v>
      </c>
      <c r="U2647" t="s">
        <v>85</v>
      </c>
      <c r="V2647">
        <v>210000</v>
      </c>
      <c r="W2647">
        <v>35000</v>
      </c>
      <c r="X2647" s="1">
        <v>43799</v>
      </c>
      <c r="Y2647" t="s">
        <v>51</v>
      </c>
      <c r="Z2647" t="s">
        <v>43</v>
      </c>
      <c r="AA2647" t="s">
        <v>98</v>
      </c>
      <c r="AB2647" t="s">
        <v>89</v>
      </c>
      <c r="AC2647" t="s">
        <v>101</v>
      </c>
      <c r="AF2647" t="s">
        <v>91</v>
      </c>
      <c r="AG2647" s="1">
        <v>43852</v>
      </c>
      <c r="AH2647" t="s">
        <v>85</v>
      </c>
      <c r="AI2647" t="s">
        <v>92</v>
      </c>
      <c r="AJ2647">
        <v>19888</v>
      </c>
      <c r="AK2647">
        <v>128777</v>
      </c>
      <c r="AL2647">
        <v>198882</v>
      </c>
    </row>
    <row r="2648" spans="1:38" x14ac:dyDescent="0.25">
      <c r="A2648" t="s">
        <v>277</v>
      </c>
      <c r="B2648">
        <v>5051621</v>
      </c>
      <c r="C2648" t="s">
        <v>71</v>
      </c>
      <c r="D2648" s="1">
        <v>43101</v>
      </c>
      <c r="E2648" s="1">
        <v>43465</v>
      </c>
      <c r="F2648" t="s">
        <v>84</v>
      </c>
      <c r="G2648">
        <v>10</v>
      </c>
      <c r="H2648" t="s">
        <v>85</v>
      </c>
      <c r="I2648" t="s">
        <v>43</v>
      </c>
      <c r="J2648" t="s">
        <v>86</v>
      </c>
      <c r="K2648" t="s">
        <v>44</v>
      </c>
      <c r="L2648">
        <v>51883.58</v>
      </c>
      <c r="M2648" s="1">
        <v>43101</v>
      </c>
      <c r="N2648" t="s">
        <v>45</v>
      </c>
      <c r="O2648" t="s">
        <v>361</v>
      </c>
      <c r="P2648" t="s">
        <v>396</v>
      </c>
      <c r="Q2648" s="1">
        <v>43852</v>
      </c>
      <c r="R2648" t="s">
        <v>396</v>
      </c>
      <c r="S2648" t="s">
        <v>99</v>
      </c>
      <c r="T2648" t="s">
        <v>100</v>
      </c>
      <c r="U2648" t="s">
        <v>85</v>
      </c>
      <c r="V2648">
        <v>210000</v>
      </c>
      <c r="W2648">
        <v>35000</v>
      </c>
      <c r="X2648" s="1">
        <v>43799</v>
      </c>
      <c r="Y2648" t="s">
        <v>51</v>
      </c>
      <c r="Z2648" t="s">
        <v>43</v>
      </c>
      <c r="AA2648" t="s">
        <v>98</v>
      </c>
      <c r="AB2648" t="s">
        <v>89</v>
      </c>
      <c r="AC2648" t="s">
        <v>101</v>
      </c>
      <c r="AF2648" t="s">
        <v>93</v>
      </c>
      <c r="AG2648" s="1">
        <v>43843</v>
      </c>
      <c r="AH2648" t="s">
        <v>85</v>
      </c>
      <c r="AI2648" t="s">
        <v>92</v>
      </c>
      <c r="AJ2648">
        <v>19888</v>
      </c>
      <c r="AK2648">
        <v>128777</v>
      </c>
      <c r="AL2648">
        <v>198882</v>
      </c>
    </row>
    <row r="2649" spans="1:38" x14ac:dyDescent="0.25">
      <c r="A2649" t="s">
        <v>277</v>
      </c>
      <c r="B2649">
        <v>5051621</v>
      </c>
      <c r="C2649" t="s">
        <v>71</v>
      </c>
      <c r="D2649" s="1">
        <v>43101</v>
      </c>
      <c r="E2649" s="1">
        <v>43465</v>
      </c>
      <c r="F2649" t="s">
        <v>84</v>
      </c>
      <c r="G2649">
        <v>10</v>
      </c>
      <c r="H2649" t="s">
        <v>85</v>
      </c>
      <c r="I2649" t="s">
        <v>43</v>
      </c>
      <c r="J2649" t="s">
        <v>86</v>
      </c>
      <c r="K2649" t="s">
        <v>44</v>
      </c>
      <c r="L2649">
        <v>51883.58</v>
      </c>
      <c r="M2649" s="1">
        <v>43101</v>
      </c>
      <c r="N2649" t="s">
        <v>45</v>
      </c>
      <c r="O2649" t="s">
        <v>361</v>
      </c>
      <c r="P2649" t="s">
        <v>396</v>
      </c>
      <c r="Q2649" s="1">
        <v>43852</v>
      </c>
      <c r="R2649" t="s">
        <v>396</v>
      </c>
      <c r="S2649" t="s">
        <v>102</v>
      </c>
      <c r="T2649" t="s">
        <v>103</v>
      </c>
      <c r="U2649" t="s">
        <v>85</v>
      </c>
      <c r="V2649">
        <v>5000000</v>
      </c>
      <c r="W2649">
        <v>250000</v>
      </c>
      <c r="X2649" s="1">
        <v>43799</v>
      </c>
      <c r="Y2649" t="s">
        <v>51</v>
      </c>
      <c r="Z2649" t="s">
        <v>43</v>
      </c>
      <c r="AA2649" t="s">
        <v>86</v>
      </c>
      <c r="AB2649" t="s">
        <v>89</v>
      </c>
      <c r="AC2649" t="s">
        <v>90</v>
      </c>
      <c r="AF2649" t="s">
        <v>91</v>
      </c>
      <c r="AG2649" s="1">
        <v>43852</v>
      </c>
      <c r="AH2649" t="s">
        <v>85</v>
      </c>
      <c r="AI2649" t="s">
        <v>92</v>
      </c>
      <c r="AJ2649">
        <v>19888</v>
      </c>
      <c r="AK2649">
        <v>128777</v>
      </c>
      <c r="AL2649">
        <v>198882</v>
      </c>
    </row>
    <row r="2650" spans="1:38" x14ac:dyDescent="0.25">
      <c r="A2650" t="s">
        <v>277</v>
      </c>
      <c r="B2650">
        <v>5051621</v>
      </c>
      <c r="C2650" t="s">
        <v>71</v>
      </c>
      <c r="D2650" s="1">
        <v>43101</v>
      </c>
      <c r="E2650" s="1">
        <v>43465</v>
      </c>
      <c r="F2650" t="s">
        <v>84</v>
      </c>
      <c r="G2650">
        <v>10</v>
      </c>
      <c r="H2650" t="s">
        <v>85</v>
      </c>
      <c r="I2650" t="s">
        <v>43</v>
      </c>
      <c r="J2650" t="s">
        <v>86</v>
      </c>
      <c r="K2650" t="s">
        <v>44</v>
      </c>
      <c r="L2650">
        <v>51883.58</v>
      </c>
      <c r="M2650" s="1">
        <v>43101</v>
      </c>
      <c r="N2650" t="s">
        <v>45</v>
      </c>
      <c r="O2650" t="s">
        <v>361</v>
      </c>
      <c r="P2650" t="s">
        <v>396</v>
      </c>
      <c r="Q2650" s="1">
        <v>43852</v>
      </c>
      <c r="R2650" t="s">
        <v>396</v>
      </c>
      <c r="S2650" t="s">
        <v>102</v>
      </c>
      <c r="T2650" t="s">
        <v>103</v>
      </c>
      <c r="U2650" t="s">
        <v>85</v>
      </c>
      <c r="V2650">
        <v>5000000</v>
      </c>
      <c r="W2650">
        <v>250000</v>
      </c>
      <c r="X2650" s="1">
        <v>43799</v>
      </c>
      <c r="Y2650" t="s">
        <v>51</v>
      </c>
      <c r="Z2650" t="s">
        <v>43</v>
      </c>
      <c r="AA2650" t="s">
        <v>86</v>
      </c>
      <c r="AB2650" t="s">
        <v>89</v>
      </c>
      <c r="AC2650" t="s">
        <v>90</v>
      </c>
      <c r="AF2650" t="s">
        <v>93</v>
      </c>
      <c r="AG2650" s="1">
        <v>43843</v>
      </c>
      <c r="AH2650" t="s">
        <v>85</v>
      </c>
      <c r="AI2650" t="s">
        <v>92</v>
      </c>
      <c r="AJ2650">
        <v>19888</v>
      </c>
      <c r="AK2650">
        <v>128777</v>
      </c>
      <c r="AL2650">
        <v>198882</v>
      </c>
    </row>
    <row r="2651" spans="1:38" x14ac:dyDescent="0.25">
      <c r="A2651" t="s">
        <v>278</v>
      </c>
      <c r="B2651">
        <v>43145480</v>
      </c>
      <c r="C2651" t="s">
        <v>71</v>
      </c>
      <c r="D2651" s="1">
        <v>42919</v>
      </c>
      <c r="E2651" s="1">
        <v>43283</v>
      </c>
      <c r="F2651" t="s">
        <v>76</v>
      </c>
      <c r="G2651">
        <v>13</v>
      </c>
      <c r="H2651" t="s">
        <v>316</v>
      </c>
      <c r="I2651" t="s">
        <v>43</v>
      </c>
      <c r="J2651" t="s">
        <v>86</v>
      </c>
      <c r="K2651" t="s">
        <v>44</v>
      </c>
      <c r="L2651">
        <v>15963.92</v>
      </c>
      <c r="M2651" s="1">
        <v>42919</v>
      </c>
      <c r="N2651" t="s">
        <v>45</v>
      </c>
      <c r="O2651" t="s">
        <v>46</v>
      </c>
      <c r="P2651" t="s">
        <v>47</v>
      </c>
      <c r="Q2651" s="1">
        <v>43852</v>
      </c>
      <c r="R2651" t="s">
        <v>48</v>
      </c>
    </row>
    <row r="2652" spans="1:38" x14ac:dyDescent="0.25">
      <c r="A2652" t="s">
        <v>279</v>
      </c>
      <c r="B2652">
        <v>43168449</v>
      </c>
      <c r="C2652" t="s">
        <v>71</v>
      </c>
      <c r="D2652" s="1">
        <v>43284</v>
      </c>
      <c r="E2652" s="1">
        <v>43648</v>
      </c>
      <c r="F2652" t="s">
        <v>76</v>
      </c>
      <c r="G2652">
        <v>13</v>
      </c>
      <c r="H2652" t="s">
        <v>316</v>
      </c>
      <c r="I2652" t="s">
        <v>43</v>
      </c>
      <c r="J2652" t="s">
        <v>86</v>
      </c>
      <c r="K2652" t="s">
        <v>44</v>
      </c>
      <c r="L2652">
        <v>0</v>
      </c>
      <c r="M2652" s="1">
        <v>43284</v>
      </c>
      <c r="N2652" t="s">
        <v>45</v>
      </c>
      <c r="O2652" t="s">
        <v>44</v>
      </c>
      <c r="P2652" t="s">
        <v>47</v>
      </c>
      <c r="Q2652" s="1">
        <v>43852</v>
      </c>
      <c r="R2652" t="s">
        <v>48</v>
      </c>
    </row>
    <row r="2653" spans="1:38" x14ac:dyDescent="0.25">
      <c r="A2653" t="s">
        <v>280</v>
      </c>
      <c r="B2653">
        <v>43191791</v>
      </c>
      <c r="C2653" t="s">
        <v>40</v>
      </c>
      <c r="D2653" s="1">
        <v>43649</v>
      </c>
      <c r="E2653" s="1">
        <v>43740</v>
      </c>
      <c r="F2653" t="s">
        <v>76</v>
      </c>
      <c r="G2653">
        <v>13</v>
      </c>
      <c r="H2653" t="s">
        <v>316</v>
      </c>
      <c r="I2653" t="s">
        <v>43</v>
      </c>
      <c r="J2653" t="s">
        <v>86</v>
      </c>
      <c r="K2653" t="s">
        <v>44</v>
      </c>
      <c r="L2653">
        <v>956.34</v>
      </c>
      <c r="M2653" s="1">
        <v>43649</v>
      </c>
      <c r="N2653" t="s">
        <v>45</v>
      </c>
      <c r="O2653" t="s">
        <v>44</v>
      </c>
      <c r="P2653" t="s">
        <v>47</v>
      </c>
      <c r="Q2653" s="1">
        <v>43852</v>
      </c>
      <c r="R2653" t="s">
        <v>48</v>
      </c>
    </row>
    <row r="2654" spans="1:38" x14ac:dyDescent="0.25">
      <c r="A2654" t="s">
        <v>282</v>
      </c>
      <c r="B2654" s="2">
        <v>2.221E+19</v>
      </c>
      <c r="C2654" t="s">
        <v>71</v>
      </c>
      <c r="D2654" s="1">
        <v>43112</v>
      </c>
      <c r="E2654" s="1">
        <v>43476</v>
      </c>
      <c r="F2654" t="s">
        <v>72</v>
      </c>
      <c r="G2654">
        <v>13</v>
      </c>
      <c r="H2654" t="s">
        <v>316</v>
      </c>
      <c r="I2654" t="s">
        <v>43</v>
      </c>
      <c r="J2654" t="s">
        <v>115</v>
      </c>
      <c r="K2654" t="s">
        <v>68</v>
      </c>
      <c r="L2654">
        <v>5416.62</v>
      </c>
      <c r="M2654" s="1">
        <v>43112</v>
      </c>
      <c r="N2654" t="s">
        <v>45</v>
      </c>
      <c r="O2654" t="s">
        <v>46</v>
      </c>
      <c r="P2654" t="s">
        <v>47</v>
      </c>
      <c r="Q2654" s="1">
        <v>43852</v>
      </c>
      <c r="R2654" t="s">
        <v>48</v>
      </c>
    </row>
    <row r="2655" spans="1:38" x14ac:dyDescent="0.25">
      <c r="A2655" t="s">
        <v>284</v>
      </c>
      <c r="B2655" s="2">
        <v>2.221E+19</v>
      </c>
      <c r="C2655" t="s">
        <v>71</v>
      </c>
      <c r="D2655" s="1">
        <v>43112</v>
      </c>
      <c r="E2655" s="1">
        <v>43476</v>
      </c>
      <c r="F2655" t="s">
        <v>41</v>
      </c>
      <c r="G2655">
        <v>13</v>
      </c>
      <c r="H2655" t="s">
        <v>316</v>
      </c>
      <c r="I2655" t="s">
        <v>43</v>
      </c>
      <c r="J2655" t="s">
        <v>41</v>
      </c>
      <c r="K2655" t="s">
        <v>68</v>
      </c>
      <c r="L2655">
        <v>6195.75</v>
      </c>
      <c r="M2655" s="1">
        <v>43112</v>
      </c>
      <c r="N2655" t="s">
        <v>45</v>
      </c>
      <c r="O2655" t="s">
        <v>46</v>
      </c>
      <c r="P2655" t="s">
        <v>47</v>
      </c>
      <c r="Q2655" s="1">
        <v>43852</v>
      </c>
      <c r="R2655" t="s">
        <v>48</v>
      </c>
    </row>
    <row r="2656" spans="1:38" x14ac:dyDescent="0.25">
      <c r="A2656" t="s">
        <v>296</v>
      </c>
      <c r="B2656" s="2">
        <v>2.221E+19</v>
      </c>
      <c r="C2656" t="s">
        <v>71</v>
      </c>
      <c r="D2656" s="1">
        <v>43112</v>
      </c>
      <c r="E2656" s="1">
        <v>43476</v>
      </c>
      <c r="F2656" t="s">
        <v>76</v>
      </c>
      <c r="G2656">
        <v>13</v>
      </c>
      <c r="H2656" t="s">
        <v>316</v>
      </c>
      <c r="I2656" t="s">
        <v>43</v>
      </c>
      <c r="J2656" t="s">
        <v>115</v>
      </c>
      <c r="K2656" t="s">
        <v>127</v>
      </c>
      <c r="L2656">
        <v>518.13</v>
      </c>
      <c r="M2656" s="1">
        <v>43112</v>
      </c>
      <c r="N2656" t="s">
        <v>45</v>
      </c>
      <c r="O2656" t="s">
        <v>46</v>
      </c>
      <c r="P2656" t="s">
        <v>47</v>
      </c>
      <c r="Q2656" s="1">
        <v>43852</v>
      </c>
      <c r="R2656" t="s">
        <v>48</v>
      </c>
    </row>
    <row r="2657" spans="1:38" x14ac:dyDescent="0.25">
      <c r="A2657" t="s">
        <v>297</v>
      </c>
      <c r="B2657" s="2">
        <v>3.1142E+18</v>
      </c>
      <c r="C2657" t="s">
        <v>71</v>
      </c>
      <c r="D2657" s="1">
        <v>43392</v>
      </c>
      <c r="E2657" s="1">
        <v>43756</v>
      </c>
      <c r="F2657" t="s">
        <v>76</v>
      </c>
      <c r="G2657">
        <v>13</v>
      </c>
      <c r="H2657" t="s">
        <v>316</v>
      </c>
      <c r="I2657" t="s">
        <v>43</v>
      </c>
      <c r="J2657" t="s">
        <v>77</v>
      </c>
      <c r="K2657" t="s">
        <v>127</v>
      </c>
      <c r="L2657">
        <v>2767.5</v>
      </c>
      <c r="M2657" s="1">
        <v>43392</v>
      </c>
      <c r="N2657" t="s">
        <v>45</v>
      </c>
      <c r="O2657" t="s">
        <v>361</v>
      </c>
      <c r="P2657" t="s">
        <v>469</v>
      </c>
      <c r="Q2657" s="1">
        <v>43852</v>
      </c>
      <c r="R2657" t="s">
        <v>469</v>
      </c>
    </row>
    <row r="2658" spans="1:38" x14ac:dyDescent="0.25">
      <c r="A2658" t="s">
        <v>298</v>
      </c>
      <c r="B2658" s="2">
        <v>3.1142E+18</v>
      </c>
      <c r="C2658" t="s">
        <v>40</v>
      </c>
      <c r="D2658" s="1">
        <v>43763</v>
      </c>
      <c r="E2658" s="1">
        <v>44128</v>
      </c>
      <c r="F2658" t="s">
        <v>76</v>
      </c>
      <c r="G2658">
        <v>13</v>
      </c>
      <c r="H2658" t="s">
        <v>316</v>
      </c>
      <c r="I2658" t="s">
        <v>43</v>
      </c>
      <c r="J2658" t="s">
        <v>77</v>
      </c>
      <c r="K2658" t="s">
        <v>127</v>
      </c>
      <c r="L2658">
        <v>8198.25</v>
      </c>
      <c r="M2658" s="1">
        <v>43763</v>
      </c>
      <c r="N2658" t="s">
        <v>45</v>
      </c>
      <c r="O2658" t="s">
        <v>46</v>
      </c>
      <c r="P2658" t="s">
        <v>47</v>
      </c>
      <c r="Q2658" s="1">
        <v>43852</v>
      </c>
      <c r="R2658" t="s">
        <v>48</v>
      </c>
    </row>
    <row r="2659" spans="1:38" x14ac:dyDescent="0.25">
      <c r="A2659" t="s">
        <v>299</v>
      </c>
      <c r="B2659" t="s">
        <v>612</v>
      </c>
      <c r="C2659" t="s">
        <v>40</v>
      </c>
      <c r="D2659" s="1">
        <v>43477</v>
      </c>
      <c r="E2659" s="1">
        <v>43841</v>
      </c>
      <c r="F2659" t="s">
        <v>41</v>
      </c>
      <c r="G2659">
        <v>13</v>
      </c>
      <c r="H2659" t="s">
        <v>316</v>
      </c>
      <c r="I2659" t="s">
        <v>43</v>
      </c>
      <c r="J2659" t="s">
        <v>41</v>
      </c>
      <c r="K2659" t="s">
        <v>68</v>
      </c>
      <c r="L2659">
        <v>9075</v>
      </c>
      <c r="M2659" s="1">
        <v>43477</v>
      </c>
      <c r="N2659" t="s">
        <v>45</v>
      </c>
      <c r="O2659" t="s">
        <v>44</v>
      </c>
      <c r="P2659" t="s">
        <v>47</v>
      </c>
      <c r="Q2659" s="1">
        <v>43852</v>
      </c>
      <c r="R2659" t="s">
        <v>48</v>
      </c>
    </row>
    <row r="2660" spans="1:38" x14ac:dyDescent="0.25">
      <c r="A2660" t="s">
        <v>300</v>
      </c>
      <c r="B2660" t="s">
        <v>612</v>
      </c>
      <c r="C2660" t="s">
        <v>40</v>
      </c>
      <c r="D2660" s="1">
        <v>43477</v>
      </c>
      <c r="E2660" s="1">
        <v>43841</v>
      </c>
      <c r="F2660" t="s">
        <v>41</v>
      </c>
      <c r="G2660">
        <v>13</v>
      </c>
      <c r="H2660" t="s">
        <v>316</v>
      </c>
      <c r="I2660" t="s">
        <v>43</v>
      </c>
      <c r="J2660" t="s">
        <v>41</v>
      </c>
      <c r="K2660" t="s">
        <v>68</v>
      </c>
      <c r="L2660">
        <v>9075</v>
      </c>
      <c r="M2660" s="1">
        <v>43477</v>
      </c>
      <c r="N2660" t="s">
        <v>45</v>
      </c>
      <c r="O2660" t="s">
        <v>44</v>
      </c>
      <c r="P2660" t="s">
        <v>47</v>
      </c>
      <c r="Q2660" s="1">
        <v>43852</v>
      </c>
      <c r="R2660" t="s">
        <v>48</v>
      </c>
    </row>
    <row r="2661" spans="1:38" x14ac:dyDescent="0.25">
      <c r="A2661" t="s">
        <v>302</v>
      </c>
      <c r="B2661" t="s">
        <v>613</v>
      </c>
      <c r="C2661" t="s">
        <v>40</v>
      </c>
      <c r="D2661" s="1">
        <v>43477</v>
      </c>
      <c r="E2661" s="1">
        <v>43841</v>
      </c>
      <c r="F2661" t="s">
        <v>76</v>
      </c>
      <c r="G2661">
        <v>13</v>
      </c>
      <c r="H2661" t="s">
        <v>316</v>
      </c>
      <c r="I2661" t="s">
        <v>43</v>
      </c>
      <c r="J2661" t="s">
        <v>115</v>
      </c>
      <c r="K2661" t="s">
        <v>127</v>
      </c>
      <c r="L2661">
        <v>521.25</v>
      </c>
      <c r="M2661" s="1">
        <v>43477</v>
      </c>
      <c r="N2661" t="s">
        <v>45</v>
      </c>
      <c r="O2661" t="s">
        <v>44</v>
      </c>
      <c r="P2661" t="s">
        <v>47</v>
      </c>
      <c r="Q2661" s="1">
        <v>43852</v>
      </c>
      <c r="R2661" t="s">
        <v>48</v>
      </c>
    </row>
    <row r="2662" spans="1:38" x14ac:dyDescent="0.25">
      <c r="A2662" t="s">
        <v>304</v>
      </c>
      <c r="B2662" t="s">
        <v>614</v>
      </c>
      <c r="C2662" t="s">
        <v>40</v>
      </c>
      <c r="D2662" s="1">
        <v>43477</v>
      </c>
      <c r="E2662" s="1">
        <v>43841</v>
      </c>
      <c r="F2662" t="s">
        <v>72</v>
      </c>
      <c r="G2662">
        <v>13</v>
      </c>
      <c r="H2662" t="s">
        <v>316</v>
      </c>
      <c r="I2662" t="s">
        <v>43</v>
      </c>
      <c r="J2662" t="s">
        <v>115</v>
      </c>
      <c r="K2662" t="s">
        <v>68</v>
      </c>
      <c r="L2662">
        <v>7889.31</v>
      </c>
      <c r="M2662" s="1">
        <v>43477</v>
      </c>
      <c r="N2662" t="s">
        <v>45</v>
      </c>
      <c r="O2662" t="s">
        <v>44</v>
      </c>
      <c r="P2662" t="s">
        <v>47</v>
      </c>
      <c r="Q2662" s="1">
        <v>43852</v>
      </c>
      <c r="R2662" t="s">
        <v>48</v>
      </c>
    </row>
    <row r="2663" spans="1:38" x14ac:dyDescent="0.25">
      <c r="A2663" t="s">
        <v>307</v>
      </c>
      <c r="B2663">
        <v>33393</v>
      </c>
      <c r="C2663" t="s">
        <v>71</v>
      </c>
      <c r="D2663" s="1">
        <v>43405</v>
      </c>
      <c r="E2663" s="1">
        <v>43769</v>
      </c>
      <c r="F2663" t="s">
        <v>84</v>
      </c>
      <c r="G2663">
        <v>10</v>
      </c>
      <c r="H2663" t="s">
        <v>85</v>
      </c>
      <c r="I2663" t="s">
        <v>43</v>
      </c>
      <c r="J2663" t="s">
        <v>86</v>
      </c>
      <c r="K2663" t="s">
        <v>44</v>
      </c>
      <c r="L2663">
        <v>90307.75</v>
      </c>
      <c r="M2663" s="1">
        <v>43405</v>
      </c>
      <c r="N2663" t="s">
        <v>45</v>
      </c>
      <c r="O2663" t="s">
        <v>46</v>
      </c>
      <c r="P2663" t="s">
        <v>47</v>
      </c>
      <c r="Q2663" s="1">
        <v>43852</v>
      </c>
      <c r="R2663" t="s">
        <v>48</v>
      </c>
      <c r="S2663" t="s">
        <v>87</v>
      </c>
      <c r="T2663" t="s">
        <v>88</v>
      </c>
      <c r="U2663" t="s">
        <v>85</v>
      </c>
      <c r="V2663">
        <v>1400000</v>
      </c>
      <c r="W2663">
        <v>100000</v>
      </c>
      <c r="X2663" s="1">
        <v>43808</v>
      </c>
      <c r="Y2663" t="s">
        <v>51</v>
      </c>
      <c r="Z2663" t="s">
        <v>43</v>
      </c>
      <c r="AA2663" t="s">
        <v>86</v>
      </c>
      <c r="AB2663" t="s">
        <v>89</v>
      </c>
      <c r="AC2663" t="s">
        <v>90</v>
      </c>
      <c r="AF2663" t="s">
        <v>91</v>
      </c>
      <c r="AG2663" s="1">
        <v>43852</v>
      </c>
      <c r="AH2663" t="s">
        <v>85</v>
      </c>
      <c r="AI2663" t="s">
        <v>92</v>
      </c>
      <c r="AJ2663">
        <v>19888</v>
      </c>
      <c r="AK2663">
        <v>128777</v>
      </c>
      <c r="AL2663">
        <v>198882</v>
      </c>
    </row>
    <row r="2664" spans="1:38" x14ac:dyDescent="0.25">
      <c r="A2664" t="s">
        <v>307</v>
      </c>
      <c r="B2664">
        <v>33393</v>
      </c>
      <c r="C2664" t="s">
        <v>71</v>
      </c>
      <c r="D2664" s="1">
        <v>43405</v>
      </c>
      <c r="E2664" s="1">
        <v>43769</v>
      </c>
      <c r="F2664" t="s">
        <v>84</v>
      </c>
      <c r="G2664">
        <v>10</v>
      </c>
      <c r="H2664" t="s">
        <v>85</v>
      </c>
      <c r="I2664" t="s">
        <v>43</v>
      </c>
      <c r="J2664" t="s">
        <v>86</v>
      </c>
      <c r="K2664" t="s">
        <v>44</v>
      </c>
      <c r="L2664">
        <v>90307.75</v>
      </c>
      <c r="M2664" s="1">
        <v>43405</v>
      </c>
      <c r="N2664" t="s">
        <v>45</v>
      </c>
      <c r="O2664" t="s">
        <v>46</v>
      </c>
      <c r="P2664" t="s">
        <v>47</v>
      </c>
      <c r="Q2664" s="1">
        <v>43852</v>
      </c>
      <c r="R2664" t="s">
        <v>48</v>
      </c>
      <c r="S2664" t="s">
        <v>87</v>
      </c>
      <c r="T2664" t="s">
        <v>88</v>
      </c>
      <c r="U2664" t="s">
        <v>85</v>
      </c>
      <c r="V2664">
        <v>1400000</v>
      </c>
      <c r="W2664">
        <v>100000</v>
      </c>
      <c r="X2664" s="1">
        <v>43808</v>
      </c>
      <c r="Y2664" t="s">
        <v>51</v>
      </c>
      <c r="Z2664" t="s">
        <v>43</v>
      </c>
      <c r="AA2664" t="s">
        <v>86</v>
      </c>
      <c r="AB2664" t="s">
        <v>89</v>
      </c>
      <c r="AC2664" t="s">
        <v>90</v>
      </c>
      <c r="AF2664" t="s">
        <v>93</v>
      </c>
      <c r="AG2664" s="1">
        <v>43843</v>
      </c>
      <c r="AH2664" t="s">
        <v>85</v>
      </c>
      <c r="AI2664" t="s">
        <v>92</v>
      </c>
      <c r="AJ2664">
        <v>19888</v>
      </c>
      <c r="AK2664">
        <v>128777</v>
      </c>
      <c r="AL2664">
        <v>198882</v>
      </c>
    </row>
    <row r="2665" spans="1:38" x14ac:dyDescent="0.25">
      <c r="A2665" t="s">
        <v>307</v>
      </c>
      <c r="B2665">
        <v>33393</v>
      </c>
      <c r="C2665" t="s">
        <v>71</v>
      </c>
      <c r="D2665" s="1">
        <v>43405</v>
      </c>
      <c r="E2665" s="1">
        <v>43769</v>
      </c>
      <c r="F2665" t="s">
        <v>84</v>
      </c>
      <c r="G2665">
        <v>10</v>
      </c>
      <c r="H2665" t="s">
        <v>85</v>
      </c>
      <c r="I2665" t="s">
        <v>43</v>
      </c>
      <c r="J2665" t="s">
        <v>86</v>
      </c>
      <c r="K2665" t="s">
        <v>44</v>
      </c>
      <c r="L2665">
        <v>90307.75</v>
      </c>
      <c r="M2665" s="1">
        <v>43405</v>
      </c>
      <c r="N2665" t="s">
        <v>45</v>
      </c>
      <c r="O2665" t="s">
        <v>46</v>
      </c>
      <c r="P2665" t="s">
        <v>47</v>
      </c>
      <c r="Q2665" s="1">
        <v>43852</v>
      </c>
      <c r="R2665" t="s">
        <v>48</v>
      </c>
      <c r="S2665" t="s">
        <v>94</v>
      </c>
      <c r="T2665" t="s">
        <v>95</v>
      </c>
      <c r="U2665" t="s">
        <v>85</v>
      </c>
      <c r="V2665">
        <v>4500000</v>
      </c>
      <c r="W2665">
        <v>300000</v>
      </c>
      <c r="X2665" s="1">
        <v>43767</v>
      </c>
      <c r="Y2665" t="s">
        <v>51</v>
      </c>
      <c r="Z2665" t="s">
        <v>43</v>
      </c>
      <c r="AA2665" t="s">
        <v>86</v>
      </c>
      <c r="AB2665" t="s">
        <v>89</v>
      </c>
      <c r="AC2665" t="s">
        <v>90</v>
      </c>
      <c r="AF2665" t="s">
        <v>91</v>
      </c>
      <c r="AG2665" s="1">
        <v>43852</v>
      </c>
      <c r="AH2665" t="s">
        <v>85</v>
      </c>
      <c r="AI2665" t="s">
        <v>92</v>
      </c>
      <c r="AJ2665">
        <v>19888</v>
      </c>
      <c r="AK2665">
        <v>128777</v>
      </c>
      <c r="AL2665">
        <v>198882</v>
      </c>
    </row>
    <row r="2666" spans="1:38" x14ac:dyDescent="0.25">
      <c r="A2666" t="s">
        <v>307</v>
      </c>
      <c r="B2666">
        <v>33393</v>
      </c>
      <c r="C2666" t="s">
        <v>71</v>
      </c>
      <c r="D2666" s="1">
        <v>43405</v>
      </c>
      <c r="E2666" s="1">
        <v>43769</v>
      </c>
      <c r="F2666" t="s">
        <v>84</v>
      </c>
      <c r="G2666">
        <v>10</v>
      </c>
      <c r="H2666" t="s">
        <v>85</v>
      </c>
      <c r="I2666" t="s">
        <v>43</v>
      </c>
      <c r="J2666" t="s">
        <v>86</v>
      </c>
      <c r="K2666" t="s">
        <v>44</v>
      </c>
      <c r="L2666">
        <v>90307.75</v>
      </c>
      <c r="M2666" s="1">
        <v>43405</v>
      </c>
      <c r="N2666" t="s">
        <v>45</v>
      </c>
      <c r="O2666" t="s">
        <v>46</v>
      </c>
      <c r="P2666" t="s">
        <v>47</v>
      </c>
      <c r="Q2666" s="1">
        <v>43852</v>
      </c>
      <c r="R2666" t="s">
        <v>48</v>
      </c>
      <c r="S2666" t="s">
        <v>94</v>
      </c>
      <c r="T2666" t="s">
        <v>95</v>
      </c>
      <c r="U2666" t="s">
        <v>85</v>
      </c>
      <c r="V2666">
        <v>4500000</v>
      </c>
      <c r="W2666">
        <v>300000</v>
      </c>
      <c r="X2666" s="1">
        <v>43767</v>
      </c>
      <c r="Y2666" t="s">
        <v>51</v>
      </c>
      <c r="Z2666" t="s">
        <v>43</v>
      </c>
      <c r="AA2666" t="s">
        <v>86</v>
      </c>
      <c r="AB2666" t="s">
        <v>89</v>
      </c>
      <c r="AC2666" t="s">
        <v>90</v>
      </c>
      <c r="AF2666" t="s">
        <v>93</v>
      </c>
      <c r="AG2666" s="1">
        <v>43843</v>
      </c>
      <c r="AH2666" t="s">
        <v>85</v>
      </c>
      <c r="AI2666" t="s">
        <v>92</v>
      </c>
      <c r="AJ2666">
        <v>19888</v>
      </c>
      <c r="AK2666">
        <v>128777</v>
      </c>
      <c r="AL2666">
        <v>198882</v>
      </c>
    </row>
    <row r="2667" spans="1:38" x14ac:dyDescent="0.25">
      <c r="A2667" t="s">
        <v>307</v>
      </c>
      <c r="B2667">
        <v>33393</v>
      </c>
      <c r="C2667" t="s">
        <v>71</v>
      </c>
      <c r="D2667" s="1">
        <v>43405</v>
      </c>
      <c r="E2667" s="1">
        <v>43769</v>
      </c>
      <c r="F2667" t="s">
        <v>84</v>
      </c>
      <c r="G2667">
        <v>10</v>
      </c>
      <c r="H2667" t="s">
        <v>85</v>
      </c>
      <c r="I2667" t="s">
        <v>43</v>
      </c>
      <c r="J2667" t="s">
        <v>86</v>
      </c>
      <c r="K2667" t="s">
        <v>44</v>
      </c>
      <c r="L2667">
        <v>90307.75</v>
      </c>
      <c r="M2667" s="1">
        <v>43405</v>
      </c>
      <c r="N2667" t="s">
        <v>45</v>
      </c>
      <c r="O2667" t="s">
        <v>46</v>
      </c>
      <c r="P2667" t="s">
        <v>47</v>
      </c>
      <c r="Q2667" s="1">
        <v>43852</v>
      </c>
      <c r="R2667" t="s">
        <v>48</v>
      </c>
      <c r="S2667" t="s">
        <v>96</v>
      </c>
      <c r="T2667" t="s">
        <v>97</v>
      </c>
      <c r="U2667" t="s">
        <v>85</v>
      </c>
      <c r="V2667">
        <v>600000</v>
      </c>
      <c r="W2667">
        <v>100000</v>
      </c>
      <c r="X2667" s="1">
        <v>43799</v>
      </c>
      <c r="Y2667" t="s">
        <v>51</v>
      </c>
      <c r="Z2667" t="s">
        <v>43</v>
      </c>
      <c r="AA2667" t="s">
        <v>98</v>
      </c>
      <c r="AB2667" t="s">
        <v>89</v>
      </c>
      <c r="AC2667" t="s">
        <v>90</v>
      </c>
      <c r="AF2667" t="s">
        <v>91</v>
      </c>
      <c r="AG2667" s="1">
        <v>43852</v>
      </c>
      <c r="AH2667" t="s">
        <v>85</v>
      </c>
      <c r="AI2667" t="s">
        <v>92</v>
      </c>
      <c r="AJ2667">
        <v>19888</v>
      </c>
      <c r="AK2667">
        <v>128777</v>
      </c>
      <c r="AL2667">
        <v>198882</v>
      </c>
    </row>
    <row r="2668" spans="1:38" x14ac:dyDescent="0.25">
      <c r="A2668" t="s">
        <v>307</v>
      </c>
      <c r="B2668">
        <v>33393</v>
      </c>
      <c r="C2668" t="s">
        <v>71</v>
      </c>
      <c r="D2668" s="1">
        <v>43405</v>
      </c>
      <c r="E2668" s="1">
        <v>43769</v>
      </c>
      <c r="F2668" t="s">
        <v>84</v>
      </c>
      <c r="G2668">
        <v>10</v>
      </c>
      <c r="H2668" t="s">
        <v>85</v>
      </c>
      <c r="I2668" t="s">
        <v>43</v>
      </c>
      <c r="J2668" t="s">
        <v>86</v>
      </c>
      <c r="K2668" t="s">
        <v>44</v>
      </c>
      <c r="L2668">
        <v>90307.75</v>
      </c>
      <c r="M2668" s="1">
        <v>43405</v>
      </c>
      <c r="N2668" t="s">
        <v>45</v>
      </c>
      <c r="O2668" t="s">
        <v>46</v>
      </c>
      <c r="P2668" t="s">
        <v>47</v>
      </c>
      <c r="Q2668" s="1">
        <v>43852</v>
      </c>
      <c r="R2668" t="s">
        <v>48</v>
      </c>
      <c r="S2668" t="s">
        <v>96</v>
      </c>
      <c r="T2668" t="s">
        <v>97</v>
      </c>
      <c r="U2668" t="s">
        <v>85</v>
      </c>
      <c r="V2668">
        <v>600000</v>
      </c>
      <c r="W2668">
        <v>100000</v>
      </c>
      <c r="X2668" s="1">
        <v>43799</v>
      </c>
      <c r="Y2668" t="s">
        <v>51</v>
      </c>
      <c r="Z2668" t="s">
        <v>43</v>
      </c>
      <c r="AA2668" t="s">
        <v>98</v>
      </c>
      <c r="AB2668" t="s">
        <v>89</v>
      </c>
      <c r="AC2668" t="s">
        <v>90</v>
      </c>
      <c r="AF2668" t="s">
        <v>93</v>
      </c>
      <c r="AG2668" s="1">
        <v>43843</v>
      </c>
      <c r="AH2668" t="s">
        <v>85</v>
      </c>
      <c r="AI2668" t="s">
        <v>92</v>
      </c>
      <c r="AJ2668">
        <v>19888</v>
      </c>
      <c r="AK2668">
        <v>128777</v>
      </c>
      <c r="AL2668">
        <v>198882</v>
      </c>
    </row>
    <row r="2669" spans="1:38" x14ac:dyDescent="0.25">
      <c r="A2669" t="s">
        <v>307</v>
      </c>
      <c r="B2669">
        <v>33393</v>
      </c>
      <c r="C2669" t="s">
        <v>71</v>
      </c>
      <c r="D2669" s="1">
        <v>43405</v>
      </c>
      <c r="E2669" s="1">
        <v>43769</v>
      </c>
      <c r="F2669" t="s">
        <v>84</v>
      </c>
      <c r="G2669">
        <v>10</v>
      </c>
      <c r="H2669" t="s">
        <v>85</v>
      </c>
      <c r="I2669" t="s">
        <v>43</v>
      </c>
      <c r="J2669" t="s">
        <v>86</v>
      </c>
      <c r="K2669" t="s">
        <v>44</v>
      </c>
      <c r="L2669">
        <v>90307.75</v>
      </c>
      <c r="M2669" s="1">
        <v>43405</v>
      </c>
      <c r="N2669" t="s">
        <v>45</v>
      </c>
      <c r="O2669" t="s">
        <v>46</v>
      </c>
      <c r="P2669" t="s">
        <v>47</v>
      </c>
      <c r="Q2669" s="1">
        <v>43852</v>
      </c>
      <c r="R2669" t="s">
        <v>48</v>
      </c>
      <c r="S2669" t="s">
        <v>99</v>
      </c>
      <c r="T2669" t="s">
        <v>100</v>
      </c>
      <c r="U2669" t="s">
        <v>85</v>
      </c>
      <c r="V2669">
        <v>210000</v>
      </c>
      <c r="W2669">
        <v>35000</v>
      </c>
      <c r="X2669" s="1">
        <v>43799</v>
      </c>
      <c r="Y2669" t="s">
        <v>51</v>
      </c>
      <c r="Z2669" t="s">
        <v>43</v>
      </c>
      <c r="AA2669" t="s">
        <v>98</v>
      </c>
      <c r="AB2669" t="s">
        <v>89</v>
      </c>
      <c r="AC2669" t="s">
        <v>101</v>
      </c>
      <c r="AF2669" t="s">
        <v>91</v>
      </c>
      <c r="AG2669" s="1">
        <v>43852</v>
      </c>
      <c r="AH2669" t="s">
        <v>85</v>
      </c>
      <c r="AI2669" t="s">
        <v>92</v>
      </c>
      <c r="AJ2669">
        <v>19888</v>
      </c>
      <c r="AK2669">
        <v>128777</v>
      </c>
      <c r="AL2669">
        <v>198882</v>
      </c>
    </row>
    <row r="2670" spans="1:38" x14ac:dyDescent="0.25">
      <c r="A2670" t="s">
        <v>307</v>
      </c>
      <c r="B2670">
        <v>33393</v>
      </c>
      <c r="C2670" t="s">
        <v>71</v>
      </c>
      <c r="D2670" s="1">
        <v>43405</v>
      </c>
      <c r="E2670" s="1">
        <v>43769</v>
      </c>
      <c r="F2670" t="s">
        <v>84</v>
      </c>
      <c r="G2670">
        <v>10</v>
      </c>
      <c r="H2670" t="s">
        <v>85</v>
      </c>
      <c r="I2670" t="s">
        <v>43</v>
      </c>
      <c r="J2670" t="s">
        <v>86</v>
      </c>
      <c r="K2670" t="s">
        <v>44</v>
      </c>
      <c r="L2670">
        <v>90307.75</v>
      </c>
      <c r="M2670" s="1">
        <v>43405</v>
      </c>
      <c r="N2670" t="s">
        <v>45</v>
      </c>
      <c r="O2670" t="s">
        <v>46</v>
      </c>
      <c r="P2670" t="s">
        <v>47</v>
      </c>
      <c r="Q2670" s="1">
        <v>43852</v>
      </c>
      <c r="R2670" t="s">
        <v>48</v>
      </c>
      <c r="S2670" t="s">
        <v>99</v>
      </c>
      <c r="T2670" t="s">
        <v>100</v>
      </c>
      <c r="U2670" t="s">
        <v>85</v>
      </c>
      <c r="V2670">
        <v>210000</v>
      </c>
      <c r="W2670">
        <v>35000</v>
      </c>
      <c r="X2670" s="1">
        <v>43799</v>
      </c>
      <c r="Y2670" t="s">
        <v>51</v>
      </c>
      <c r="Z2670" t="s">
        <v>43</v>
      </c>
      <c r="AA2670" t="s">
        <v>98</v>
      </c>
      <c r="AB2670" t="s">
        <v>89</v>
      </c>
      <c r="AC2670" t="s">
        <v>101</v>
      </c>
      <c r="AF2670" t="s">
        <v>93</v>
      </c>
      <c r="AG2670" s="1">
        <v>43843</v>
      </c>
      <c r="AH2670" t="s">
        <v>85</v>
      </c>
      <c r="AI2670" t="s">
        <v>92</v>
      </c>
      <c r="AJ2670">
        <v>19888</v>
      </c>
      <c r="AK2670">
        <v>128777</v>
      </c>
      <c r="AL2670">
        <v>198882</v>
      </c>
    </row>
    <row r="2671" spans="1:38" x14ac:dyDescent="0.25">
      <c r="A2671" t="s">
        <v>307</v>
      </c>
      <c r="B2671">
        <v>33393</v>
      </c>
      <c r="C2671" t="s">
        <v>71</v>
      </c>
      <c r="D2671" s="1">
        <v>43405</v>
      </c>
      <c r="E2671" s="1">
        <v>43769</v>
      </c>
      <c r="F2671" t="s">
        <v>84</v>
      </c>
      <c r="G2671">
        <v>10</v>
      </c>
      <c r="H2671" t="s">
        <v>85</v>
      </c>
      <c r="I2671" t="s">
        <v>43</v>
      </c>
      <c r="J2671" t="s">
        <v>86</v>
      </c>
      <c r="K2671" t="s">
        <v>44</v>
      </c>
      <c r="L2671">
        <v>90307.75</v>
      </c>
      <c r="M2671" s="1">
        <v>43405</v>
      </c>
      <c r="N2671" t="s">
        <v>45</v>
      </c>
      <c r="O2671" t="s">
        <v>46</v>
      </c>
      <c r="P2671" t="s">
        <v>47</v>
      </c>
      <c r="Q2671" s="1">
        <v>43852</v>
      </c>
      <c r="R2671" t="s">
        <v>48</v>
      </c>
      <c r="S2671" t="s">
        <v>102</v>
      </c>
      <c r="T2671" t="s">
        <v>103</v>
      </c>
      <c r="U2671" t="s">
        <v>85</v>
      </c>
      <c r="V2671">
        <v>5000000</v>
      </c>
      <c r="W2671">
        <v>250000</v>
      </c>
      <c r="X2671" s="1">
        <v>43799</v>
      </c>
      <c r="Y2671" t="s">
        <v>51</v>
      </c>
      <c r="Z2671" t="s">
        <v>43</v>
      </c>
      <c r="AA2671" t="s">
        <v>86</v>
      </c>
      <c r="AB2671" t="s">
        <v>89</v>
      </c>
      <c r="AC2671" t="s">
        <v>90</v>
      </c>
      <c r="AF2671" t="s">
        <v>91</v>
      </c>
      <c r="AG2671" s="1">
        <v>43852</v>
      </c>
      <c r="AH2671" t="s">
        <v>85</v>
      </c>
      <c r="AI2671" t="s">
        <v>92</v>
      </c>
      <c r="AJ2671">
        <v>19888</v>
      </c>
      <c r="AK2671">
        <v>128777</v>
      </c>
      <c r="AL2671">
        <v>198882</v>
      </c>
    </row>
    <row r="2672" spans="1:38" x14ac:dyDescent="0.25">
      <c r="A2672" t="s">
        <v>307</v>
      </c>
      <c r="B2672">
        <v>33393</v>
      </c>
      <c r="C2672" t="s">
        <v>71</v>
      </c>
      <c r="D2672" s="1">
        <v>43405</v>
      </c>
      <c r="E2672" s="1">
        <v>43769</v>
      </c>
      <c r="F2672" t="s">
        <v>84</v>
      </c>
      <c r="G2672">
        <v>10</v>
      </c>
      <c r="H2672" t="s">
        <v>85</v>
      </c>
      <c r="I2672" t="s">
        <v>43</v>
      </c>
      <c r="J2672" t="s">
        <v>86</v>
      </c>
      <c r="K2672" t="s">
        <v>44</v>
      </c>
      <c r="L2672">
        <v>90307.75</v>
      </c>
      <c r="M2672" s="1">
        <v>43405</v>
      </c>
      <c r="N2672" t="s">
        <v>45</v>
      </c>
      <c r="O2672" t="s">
        <v>46</v>
      </c>
      <c r="P2672" t="s">
        <v>47</v>
      </c>
      <c r="Q2672" s="1">
        <v>43852</v>
      </c>
      <c r="R2672" t="s">
        <v>48</v>
      </c>
      <c r="S2672" t="s">
        <v>102</v>
      </c>
      <c r="T2672" t="s">
        <v>103</v>
      </c>
      <c r="U2672" t="s">
        <v>85</v>
      </c>
      <c r="V2672">
        <v>5000000</v>
      </c>
      <c r="W2672">
        <v>250000</v>
      </c>
      <c r="X2672" s="1">
        <v>43799</v>
      </c>
      <c r="Y2672" t="s">
        <v>51</v>
      </c>
      <c r="Z2672" t="s">
        <v>43</v>
      </c>
      <c r="AA2672" t="s">
        <v>86</v>
      </c>
      <c r="AB2672" t="s">
        <v>89</v>
      </c>
      <c r="AC2672" t="s">
        <v>90</v>
      </c>
      <c r="AF2672" t="s">
        <v>93</v>
      </c>
      <c r="AG2672" s="1">
        <v>43843</v>
      </c>
      <c r="AH2672" t="s">
        <v>85</v>
      </c>
      <c r="AI2672" t="s">
        <v>92</v>
      </c>
      <c r="AJ2672">
        <v>19888</v>
      </c>
      <c r="AK2672">
        <v>128777</v>
      </c>
      <c r="AL2672">
        <v>198882</v>
      </c>
    </row>
    <row r="2673" spans="1:38" x14ac:dyDescent="0.25">
      <c r="A2673" t="s">
        <v>308</v>
      </c>
      <c r="B2673">
        <v>3393</v>
      </c>
      <c r="C2673" t="s">
        <v>40</v>
      </c>
      <c r="D2673" s="1">
        <v>43770</v>
      </c>
      <c r="E2673" s="1">
        <v>44135</v>
      </c>
      <c r="F2673" t="s">
        <v>84</v>
      </c>
      <c r="G2673">
        <v>10</v>
      </c>
      <c r="H2673" t="s">
        <v>85</v>
      </c>
      <c r="I2673" t="s">
        <v>43</v>
      </c>
      <c r="J2673" t="s">
        <v>86</v>
      </c>
      <c r="K2673" t="s">
        <v>44</v>
      </c>
      <c r="L2673">
        <v>114751.5</v>
      </c>
      <c r="M2673" s="1">
        <v>43770</v>
      </c>
      <c r="N2673" t="s">
        <v>45</v>
      </c>
      <c r="O2673" t="s">
        <v>44</v>
      </c>
      <c r="P2673" t="s">
        <v>47</v>
      </c>
      <c r="Q2673" s="1">
        <v>43852</v>
      </c>
      <c r="R2673" t="s">
        <v>48</v>
      </c>
      <c r="S2673" t="s">
        <v>87</v>
      </c>
      <c r="T2673" t="s">
        <v>88</v>
      </c>
      <c r="U2673" t="s">
        <v>85</v>
      </c>
      <c r="V2673">
        <v>1400000</v>
      </c>
      <c r="W2673">
        <v>100000</v>
      </c>
      <c r="X2673" s="1">
        <v>43808</v>
      </c>
      <c r="Y2673" t="s">
        <v>51</v>
      </c>
      <c r="Z2673" t="s">
        <v>43</v>
      </c>
      <c r="AA2673" t="s">
        <v>86</v>
      </c>
      <c r="AB2673" t="s">
        <v>89</v>
      </c>
      <c r="AC2673" t="s">
        <v>90</v>
      </c>
      <c r="AF2673" t="s">
        <v>91</v>
      </c>
      <c r="AG2673" s="1">
        <v>43852</v>
      </c>
      <c r="AH2673" t="s">
        <v>85</v>
      </c>
      <c r="AI2673" t="s">
        <v>92</v>
      </c>
      <c r="AJ2673">
        <v>19888</v>
      </c>
      <c r="AK2673">
        <v>128777</v>
      </c>
      <c r="AL2673">
        <v>198882</v>
      </c>
    </row>
    <row r="2674" spans="1:38" x14ac:dyDescent="0.25">
      <c r="A2674" t="s">
        <v>308</v>
      </c>
      <c r="B2674">
        <v>3393</v>
      </c>
      <c r="C2674" t="s">
        <v>40</v>
      </c>
      <c r="D2674" s="1">
        <v>43770</v>
      </c>
      <c r="E2674" s="1">
        <v>44135</v>
      </c>
      <c r="F2674" t="s">
        <v>84</v>
      </c>
      <c r="G2674">
        <v>10</v>
      </c>
      <c r="H2674" t="s">
        <v>85</v>
      </c>
      <c r="I2674" t="s">
        <v>43</v>
      </c>
      <c r="J2674" t="s">
        <v>86</v>
      </c>
      <c r="K2674" t="s">
        <v>44</v>
      </c>
      <c r="L2674">
        <v>114751.5</v>
      </c>
      <c r="M2674" s="1">
        <v>43770</v>
      </c>
      <c r="N2674" t="s">
        <v>45</v>
      </c>
      <c r="O2674" t="s">
        <v>44</v>
      </c>
      <c r="P2674" t="s">
        <v>47</v>
      </c>
      <c r="Q2674" s="1">
        <v>43852</v>
      </c>
      <c r="R2674" t="s">
        <v>48</v>
      </c>
      <c r="S2674" t="s">
        <v>87</v>
      </c>
      <c r="T2674" t="s">
        <v>88</v>
      </c>
      <c r="U2674" t="s">
        <v>85</v>
      </c>
      <c r="V2674">
        <v>1400000</v>
      </c>
      <c r="W2674">
        <v>100000</v>
      </c>
      <c r="X2674" s="1">
        <v>43808</v>
      </c>
      <c r="Y2674" t="s">
        <v>51</v>
      </c>
      <c r="Z2674" t="s">
        <v>43</v>
      </c>
      <c r="AA2674" t="s">
        <v>86</v>
      </c>
      <c r="AB2674" t="s">
        <v>89</v>
      </c>
      <c r="AC2674" t="s">
        <v>90</v>
      </c>
      <c r="AF2674" t="s">
        <v>93</v>
      </c>
      <c r="AG2674" s="1">
        <v>43843</v>
      </c>
      <c r="AH2674" t="s">
        <v>85</v>
      </c>
      <c r="AI2674" t="s">
        <v>92</v>
      </c>
      <c r="AJ2674">
        <v>19888</v>
      </c>
      <c r="AK2674">
        <v>128777</v>
      </c>
      <c r="AL2674">
        <v>198882</v>
      </c>
    </row>
    <row r="2675" spans="1:38" x14ac:dyDescent="0.25">
      <c r="A2675" t="s">
        <v>308</v>
      </c>
      <c r="B2675">
        <v>3393</v>
      </c>
      <c r="C2675" t="s">
        <v>40</v>
      </c>
      <c r="D2675" s="1">
        <v>43770</v>
      </c>
      <c r="E2675" s="1">
        <v>44135</v>
      </c>
      <c r="F2675" t="s">
        <v>84</v>
      </c>
      <c r="G2675">
        <v>10</v>
      </c>
      <c r="H2675" t="s">
        <v>85</v>
      </c>
      <c r="I2675" t="s">
        <v>43</v>
      </c>
      <c r="J2675" t="s">
        <v>86</v>
      </c>
      <c r="K2675" t="s">
        <v>44</v>
      </c>
      <c r="L2675">
        <v>114751.5</v>
      </c>
      <c r="M2675" s="1">
        <v>43770</v>
      </c>
      <c r="N2675" t="s">
        <v>45</v>
      </c>
      <c r="O2675" t="s">
        <v>44</v>
      </c>
      <c r="P2675" t="s">
        <v>47</v>
      </c>
      <c r="Q2675" s="1">
        <v>43852</v>
      </c>
      <c r="R2675" t="s">
        <v>48</v>
      </c>
      <c r="S2675" t="s">
        <v>94</v>
      </c>
      <c r="T2675" t="s">
        <v>95</v>
      </c>
      <c r="U2675" t="s">
        <v>85</v>
      </c>
      <c r="V2675">
        <v>4500000</v>
      </c>
      <c r="W2675">
        <v>300000</v>
      </c>
      <c r="X2675" s="1">
        <v>43767</v>
      </c>
      <c r="Y2675" t="s">
        <v>51</v>
      </c>
      <c r="Z2675" t="s">
        <v>43</v>
      </c>
      <c r="AA2675" t="s">
        <v>86</v>
      </c>
      <c r="AB2675" t="s">
        <v>89</v>
      </c>
      <c r="AC2675" t="s">
        <v>90</v>
      </c>
      <c r="AF2675" t="s">
        <v>91</v>
      </c>
      <c r="AG2675" s="1">
        <v>43852</v>
      </c>
      <c r="AH2675" t="s">
        <v>85</v>
      </c>
      <c r="AI2675" t="s">
        <v>92</v>
      </c>
      <c r="AJ2675">
        <v>19888</v>
      </c>
      <c r="AK2675">
        <v>128777</v>
      </c>
      <c r="AL2675">
        <v>198882</v>
      </c>
    </row>
    <row r="2676" spans="1:38" x14ac:dyDescent="0.25">
      <c r="A2676" t="s">
        <v>308</v>
      </c>
      <c r="B2676">
        <v>3393</v>
      </c>
      <c r="C2676" t="s">
        <v>40</v>
      </c>
      <c r="D2676" s="1">
        <v>43770</v>
      </c>
      <c r="E2676" s="1">
        <v>44135</v>
      </c>
      <c r="F2676" t="s">
        <v>84</v>
      </c>
      <c r="G2676">
        <v>10</v>
      </c>
      <c r="H2676" t="s">
        <v>85</v>
      </c>
      <c r="I2676" t="s">
        <v>43</v>
      </c>
      <c r="J2676" t="s">
        <v>86</v>
      </c>
      <c r="K2676" t="s">
        <v>44</v>
      </c>
      <c r="L2676">
        <v>114751.5</v>
      </c>
      <c r="M2676" s="1">
        <v>43770</v>
      </c>
      <c r="N2676" t="s">
        <v>45</v>
      </c>
      <c r="O2676" t="s">
        <v>44</v>
      </c>
      <c r="P2676" t="s">
        <v>47</v>
      </c>
      <c r="Q2676" s="1">
        <v>43852</v>
      </c>
      <c r="R2676" t="s">
        <v>48</v>
      </c>
      <c r="S2676" t="s">
        <v>94</v>
      </c>
      <c r="T2676" t="s">
        <v>95</v>
      </c>
      <c r="U2676" t="s">
        <v>85</v>
      </c>
      <c r="V2676">
        <v>4500000</v>
      </c>
      <c r="W2676">
        <v>300000</v>
      </c>
      <c r="X2676" s="1">
        <v>43767</v>
      </c>
      <c r="Y2676" t="s">
        <v>51</v>
      </c>
      <c r="Z2676" t="s">
        <v>43</v>
      </c>
      <c r="AA2676" t="s">
        <v>86</v>
      </c>
      <c r="AB2676" t="s">
        <v>89</v>
      </c>
      <c r="AC2676" t="s">
        <v>90</v>
      </c>
      <c r="AF2676" t="s">
        <v>93</v>
      </c>
      <c r="AG2676" s="1">
        <v>43843</v>
      </c>
      <c r="AH2676" t="s">
        <v>85</v>
      </c>
      <c r="AI2676" t="s">
        <v>92</v>
      </c>
      <c r="AJ2676">
        <v>19888</v>
      </c>
      <c r="AK2676">
        <v>128777</v>
      </c>
      <c r="AL2676">
        <v>198882</v>
      </c>
    </row>
    <row r="2677" spans="1:38" x14ac:dyDescent="0.25">
      <c r="A2677" t="s">
        <v>308</v>
      </c>
      <c r="B2677">
        <v>3393</v>
      </c>
      <c r="C2677" t="s">
        <v>40</v>
      </c>
      <c r="D2677" s="1">
        <v>43770</v>
      </c>
      <c r="E2677" s="1">
        <v>44135</v>
      </c>
      <c r="F2677" t="s">
        <v>84</v>
      </c>
      <c r="G2677">
        <v>10</v>
      </c>
      <c r="H2677" t="s">
        <v>85</v>
      </c>
      <c r="I2677" t="s">
        <v>43</v>
      </c>
      <c r="J2677" t="s">
        <v>86</v>
      </c>
      <c r="K2677" t="s">
        <v>44</v>
      </c>
      <c r="L2677">
        <v>114751.5</v>
      </c>
      <c r="M2677" s="1">
        <v>43770</v>
      </c>
      <c r="N2677" t="s">
        <v>45</v>
      </c>
      <c r="O2677" t="s">
        <v>44</v>
      </c>
      <c r="P2677" t="s">
        <v>47</v>
      </c>
      <c r="Q2677" s="1">
        <v>43852</v>
      </c>
      <c r="R2677" t="s">
        <v>48</v>
      </c>
      <c r="S2677" t="s">
        <v>96</v>
      </c>
      <c r="T2677" t="s">
        <v>97</v>
      </c>
      <c r="U2677" t="s">
        <v>85</v>
      </c>
      <c r="V2677">
        <v>600000</v>
      </c>
      <c r="W2677">
        <v>100000</v>
      </c>
      <c r="X2677" s="1">
        <v>43799</v>
      </c>
      <c r="Y2677" t="s">
        <v>51</v>
      </c>
      <c r="Z2677" t="s">
        <v>43</v>
      </c>
      <c r="AA2677" t="s">
        <v>98</v>
      </c>
      <c r="AB2677" t="s">
        <v>89</v>
      </c>
      <c r="AC2677" t="s">
        <v>90</v>
      </c>
      <c r="AF2677" t="s">
        <v>91</v>
      </c>
      <c r="AG2677" s="1">
        <v>43852</v>
      </c>
      <c r="AH2677" t="s">
        <v>85</v>
      </c>
      <c r="AI2677" t="s">
        <v>92</v>
      </c>
      <c r="AJ2677">
        <v>19888</v>
      </c>
      <c r="AK2677">
        <v>128777</v>
      </c>
      <c r="AL2677">
        <v>198882</v>
      </c>
    </row>
    <row r="2678" spans="1:38" x14ac:dyDescent="0.25">
      <c r="A2678" t="s">
        <v>308</v>
      </c>
      <c r="B2678">
        <v>3393</v>
      </c>
      <c r="C2678" t="s">
        <v>40</v>
      </c>
      <c r="D2678" s="1">
        <v>43770</v>
      </c>
      <c r="E2678" s="1">
        <v>44135</v>
      </c>
      <c r="F2678" t="s">
        <v>84</v>
      </c>
      <c r="G2678">
        <v>10</v>
      </c>
      <c r="H2678" t="s">
        <v>85</v>
      </c>
      <c r="I2678" t="s">
        <v>43</v>
      </c>
      <c r="J2678" t="s">
        <v>86</v>
      </c>
      <c r="K2678" t="s">
        <v>44</v>
      </c>
      <c r="L2678">
        <v>114751.5</v>
      </c>
      <c r="M2678" s="1">
        <v>43770</v>
      </c>
      <c r="N2678" t="s">
        <v>45</v>
      </c>
      <c r="O2678" t="s">
        <v>44</v>
      </c>
      <c r="P2678" t="s">
        <v>47</v>
      </c>
      <c r="Q2678" s="1">
        <v>43852</v>
      </c>
      <c r="R2678" t="s">
        <v>48</v>
      </c>
      <c r="S2678" t="s">
        <v>96</v>
      </c>
      <c r="T2678" t="s">
        <v>97</v>
      </c>
      <c r="U2678" t="s">
        <v>85</v>
      </c>
      <c r="V2678">
        <v>600000</v>
      </c>
      <c r="W2678">
        <v>100000</v>
      </c>
      <c r="X2678" s="1">
        <v>43799</v>
      </c>
      <c r="Y2678" t="s">
        <v>51</v>
      </c>
      <c r="Z2678" t="s">
        <v>43</v>
      </c>
      <c r="AA2678" t="s">
        <v>98</v>
      </c>
      <c r="AB2678" t="s">
        <v>89</v>
      </c>
      <c r="AC2678" t="s">
        <v>90</v>
      </c>
      <c r="AF2678" t="s">
        <v>93</v>
      </c>
      <c r="AG2678" s="1">
        <v>43843</v>
      </c>
      <c r="AH2678" t="s">
        <v>85</v>
      </c>
      <c r="AI2678" t="s">
        <v>92</v>
      </c>
      <c r="AJ2678">
        <v>19888</v>
      </c>
      <c r="AK2678">
        <v>128777</v>
      </c>
      <c r="AL2678">
        <v>198882</v>
      </c>
    </row>
    <row r="2679" spans="1:38" x14ac:dyDescent="0.25">
      <c r="A2679" t="s">
        <v>308</v>
      </c>
      <c r="B2679">
        <v>3393</v>
      </c>
      <c r="C2679" t="s">
        <v>40</v>
      </c>
      <c r="D2679" s="1">
        <v>43770</v>
      </c>
      <c r="E2679" s="1">
        <v>44135</v>
      </c>
      <c r="F2679" t="s">
        <v>84</v>
      </c>
      <c r="G2679">
        <v>10</v>
      </c>
      <c r="H2679" t="s">
        <v>85</v>
      </c>
      <c r="I2679" t="s">
        <v>43</v>
      </c>
      <c r="J2679" t="s">
        <v>86</v>
      </c>
      <c r="K2679" t="s">
        <v>44</v>
      </c>
      <c r="L2679">
        <v>114751.5</v>
      </c>
      <c r="M2679" s="1">
        <v>43770</v>
      </c>
      <c r="N2679" t="s">
        <v>45</v>
      </c>
      <c r="O2679" t="s">
        <v>44</v>
      </c>
      <c r="P2679" t="s">
        <v>47</v>
      </c>
      <c r="Q2679" s="1">
        <v>43852</v>
      </c>
      <c r="R2679" t="s">
        <v>48</v>
      </c>
      <c r="S2679" t="s">
        <v>99</v>
      </c>
      <c r="T2679" t="s">
        <v>100</v>
      </c>
      <c r="U2679" t="s">
        <v>85</v>
      </c>
      <c r="V2679">
        <v>210000</v>
      </c>
      <c r="W2679">
        <v>35000</v>
      </c>
      <c r="X2679" s="1">
        <v>43799</v>
      </c>
      <c r="Y2679" t="s">
        <v>51</v>
      </c>
      <c r="Z2679" t="s">
        <v>43</v>
      </c>
      <c r="AA2679" t="s">
        <v>98</v>
      </c>
      <c r="AB2679" t="s">
        <v>89</v>
      </c>
      <c r="AC2679" t="s">
        <v>101</v>
      </c>
      <c r="AF2679" t="s">
        <v>91</v>
      </c>
      <c r="AG2679" s="1">
        <v>43852</v>
      </c>
      <c r="AH2679" t="s">
        <v>85</v>
      </c>
      <c r="AI2679" t="s">
        <v>92</v>
      </c>
      <c r="AJ2679">
        <v>19888</v>
      </c>
      <c r="AK2679">
        <v>128777</v>
      </c>
      <c r="AL2679">
        <v>198882</v>
      </c>
    </row>
    <row r="2680" spans="1:38" x14ac:dyDescent="0.25">
      <c r="A2680" t="s">
        <v>308</v>
      </c>
      <c r="B2680">
        <v>3393</v>
      </c>
      <c r="C2680" t="s">
        <v>40</v>
      </c>
      <c r="D2680" s="1">
        <v>43770</v>
      </c>
      <c r="E2680" s="1">
        <v>44135</v>
      </c>
      <c r="F2680" t="s">
        <v>84</v>
      </c>
      <c r="G2680">
        <v>10</v>
      </c>
      <c r="H2680" t="s">
        <v>85</v>
      </c>
      <c r="I2680" t="s">
        <v>43</v>
      </c>
      <c r="J2680" t="s">
        <v>86</v>
      </c>
      <c r="K2680" t="s">
        <v>44</v>
      </c>
      <c r="L2680">
        <v>114751.5</v>
      </c>
      <c r="M2680" s="1">
        <v>43770</v>
      </c>
      <c r="N2680" t="s">
        <v>45</v>
      </c>
      <c r="O2680" t="s">
        <v>44</v>
      </c>
      <c r="P2680" t="s">
        <v>47</v>
      </c>
      <c r="Q2680" s="1">
        <v>43852</v>
      </c>
      <c r="R2680" t="s">
        <v>48</v>
      </c>
      <c r="S2680" t="s">
        <v>99</v>
      </c>
      <c r="T2680" t="s">
        <v>100</v>
      </c>
      <c r="U2680" t="s">
        <v>85</v>
      </c>
      <c r="V2680">
        <v>210000</v>
      </c>
      <c r="W2680">
        <v>35000</v>
      </c>
      <c r="X2680" s="1">
        <v>43799</v>
      </c>
      <c r="Y2680" t="s">
        <v>51</v>
      </c>
      <c r="Z2680" t="s">
        <v>43</v>
      </c>
      <c r="AA2680" t="s">
        <v>98</v>
      </c>
      <c r="AB2680" t="s">
        <v>89</v>
      </c>
      <c r="AC2680" t="s">
        <v>101</v>
      </c>
      <c r="AF2680" t="s">
        <v>93</v>
      </c>
      <c r="AG2680" s="1">
        <v>43843</v>
      </c>
      <c r="AH2680" t="s">
        <v>85</v>
      </c>
      <c r="AI2680" t="s">
        <v>92</v>
      </c>
      <c r="AJ2680">
        <v>19888</v>
      </c>
      <c r="AK2680">
        <v>128777</v>
      </c>
      <c r="AL2680">
        <v>198882</v>
      </c>
    </row>
    <row r="2681" spans="1:38" x14ac:dyDescent="0.25">
      <c r="A2681" t="s">
        <v>308</v>
      </c>
      <c r="B2681">
        <v>3393</v>
      </c>
      <c r="C2681" t="s">
        <v>40</v>
      </c>
      <c r="D2681" s="1">
        <v>43770</v>
      </c>
      <c r="E2681" s="1">
        <v>44135</v>
      </c>
      <c r="F2681" t="s">
        <v>84</v>
      </c>
      <c r="G2681">
        <v>10</v>
      </c>
      <c r="H2681" t="s">
        <v>85</v>
      </c>
      <c r="I2681" t="s">
        <v>43</v>
      </c>
      <c r="J2681" t="s">
        <v>86</v>
      </c>
      <c r="K2681" t="s">
        <v>44</v>
      </c>
      <c r="L2681">
        <v>114751.5</v>
      </c>
      <c r="M2681" s="1">
        <v>43770</v>
      </c>
      <c r="N2681" t="s">
        <v>45</v>
      </c>
      <c r="O2681" t="s">
        <v>44</v>
      </c>
      <c r="P2681" t="s">
        <v>47</v>
      </c>
      <c r="Q2681" s="1">
        <v>43852</v>
      </c>
      <c r="R2681" t="s">
        <v>48</v>
      </c>
      <c r="S2681" t="s">
        <v>102</v>
      </c>
      <c r="T2681" t="s">
        <v>103</v>
      </c>
      <c r="U2681" t="s">
        <v>85</v>
      </c>
      <c r="V2681">
        <v>5000000</v>
      </c>
      <c r="W2681">
        <v>250000</v>
      </c>
      <c r="X2681" s="1">
        <v>43799</v>
      </c>
      <c r="Y2681" t="s">
        <v>51</v>
      </c>
      <c r="Z2681" t="s">
        <v>43</v>
      </c>
      <c r="AA2681" t="s">
        <v>86</v>
      </c>
      <c r="AB2681" t="s">
        <v>89</v>
      </c>
      <c r="AC2681" t="s">
        <v>90</v>
      </c>
      <c r="AF2681" t="s">
        <v>91</v>
      </c>
      <c r="AG2681" s="1">
        <v>43852</v>
      </c>
      <c r="AH2681" t="s">
        <v>85</v>
      </c>
      <c r="AI2681" t="s">
        <v>92</v>
      </c>
      <c r="AJ2681">
        <v>19888</v>
      </c>
      <c r="AK2681">
        <v>128777</v>
      </c>
      <c r="AL2681">
        <v>198882</v>
      </c>
    </row>
    <row r="2682" spans="1:38" x14ac:dyDescent="0.25">
      <c r="A2682" t="s">
        <v>308</v>
      </c>
      <c r="B2682">
        <v>3393</v>
      </c>
      <c r="C2682" t="s">
        <v>40</v>
      </c>
      <c r="D2682" s="1">
        <v>43770</v>
      </c>
      <c r="E2682" s="1">
        <v>44135</v>
      </c>
      <c r="F2682" t="s">
        <v>84</v>
      </c>
      <c r="G2682">
        <v>10</v>
      </c>
      <c r="H2682" t="s">
        <v>85</v>
      </c>
      <c r="I2682" t="s">
        <v>43</v>
      </c>
      <c r="J2682" t="s">
        <v>86</v>
      </c>
      <c r="K2682" t="s">
        <v>44</v>
      </c>
      <c r="L2682">
        <v>114751.5</v>
      </c>
      <c r="M2682" s="1">
        <v>43770</v>
      </c>
      <c r="N2682" t="s">
        <v>45</v>
      </c>
      <c r="O2682" t="s">
        <v>44</v>
      </c>
      <c r="P2682" t="s">
        <v>47</v>
      </c>
      <c r="Q2682" s="1">
        <v>43852</v>
      </c>
      <c r="R2682" t="s">
        <v>48</v>
      </c>
      <c r="S2682" t="s">
        <v>102</v>
      </c>
      <c r="T2682" t="s">
        <v>103</v>
      </c>
      <c r="U2682" t="s">
        <v>85</v>
      </c>
      <c r="V2682">
        <v>5000000</v>
      </c>
      <c r="W2682">
        <v>250000</v>
      </c>
      <c r="X2682" s="1">
        <v>43799</v>
      </c>
      <c r="Y2682" t="s">
        <v>51</v>
      </c>
      <c r="Z2682" t="s">
        <v>43</v>
      </c>
      <c r="AA2682" t="s">
        <v>86</v>
      </c>
      <c r="AB2682" t="s">
        <v>89</v>
      </c>
      <c r="AC2682" t="s">
        <v>90</v>
      </c>
      <c r="AF2682" t="s">
        <v>93</v>
      </c>
      <c r="AG2682" s="1">
        <v>43843</v>
      </c>
      <c r="AH2682" t="s">
        <v>85</v>
      </c>
      <c r="AI2682" t="s">
        <v>92</v>
      </c>
      <c r="AJ2682">
        <v>19888</v>
      </c>
      <c r="AK2682">
        <v>128777</v>
      </c>
      <c r="AL2682">
        <v>198882</v>
      </c>
    </row>
    <row r="2683" spans="1:38" x14ac:dyDescent="0.25">
      <c r="A2683" t="s">
        <v>309</v>
      </c>
      <c r="B2683">
        <v>2301001342</v>
      </c>
      <c r="C2683" t="s">
        <v>40</v>
      </c>
      <c r="D2683" s="1">
        <v>43405</v>
      </c>
      <c r="E2683" s="1">
        <v>43769</v>
      </c>
      <c r="F2683" t="s">
        <v>77</v>
      </c>
      <c r="G2683">
        <v>3</v>
      </c>
      <c r="H2683" t="s">
        <v>125</v>
      </c>
      <c r="I2683" t="s">
        <v>43</v>
      </c>
      <c r="J2683" t="s">
        <v>126</v>
      </c>
      <c r="K2683" t="s">
        <v>44</v>
      </c>
      <c r="L2683">
        <v>52751.13</v>
      </c>
      <c r="M2683" s="1">
        <v>43405</v>
      </c>
      <c r="N2683" t="s">
        <v>45</v>
      </c>
      <c r="O2683" t="s">
        <v>46</v>
      </c>
      <c r="P2683" t="s">
        <v>47</v>
      </c>
      <c r="Q2683" s="1">
        <v>43852</v>
      </c>
      <c r="R2683" t="s">
        <v>48</v>
      </c>
    </row>
    <row r="2684" spans="1:38" x14ac:dyDescent="0.25">
      <c r="A2684" t="s">
        <v>310</v>
      </c>
      <c r="B2684">
        <v>2302002435</v>
      </c>
      <c r="C2684" t="s">
        <v>40</v>
      </c>
      <c r="D2684" s="1">
        <v>43405</v>
      </c>
      <c r="E2684" s="1">
        <v>43769</v>
      </c>
      <c r="F2684" t="s">
        <v>77</v>
      </c>
      <c r="G2684">
        <v>3</v>
      </c>
      <c r="H2684" t="s">
        <v>125</v>
      </c>
      <c r="I2684" t="s">
        <v>43</v>
      </c>
      <c r="J2684" t="s">
        <v>126</v>
      </c>
      <c r="K2684" t="s">
        <v>44</v>
      </c>
      <c r="L2684">
        <v>53125</v>
      </c>
      <c r="M2684" s="1">
        <v>43405</v>
      </c>
      <c r="N2684" t="s">
        <v>45</v>
      </c>
      <c r="O2684" t="s">
        <v>46</v>
      </c>
      <c r="P2684" t="s">
        <v>47</v>
      </c>
      <c r="Q2684" s="1">
        <v>43852</v>
      </c>
      <c r="R2684" t="s">
        <v>48</v>
      </c>
    </row>
    <row r="2685" spans="1:38" x14ac:dyDescent="0.25">
      <c r="A2685" t="s">
        <v>311</v>
      </c>
      <c r="B2685" t="s">
        <v>615</v>
      </c>
      <c r="C2685" t="s">
        <v>40</v>
      </c>
      <c r="D2685" s="1">
        <v>43405</v>
      </c>
      <c r="E2685" s="1">
        <v>43769</v>
      </c>
      <c r="F2685" t="s">
        <v>76</v>
      </c>
      <c r="G2685">
        <v>3</v>
      </c>
      <c r="H2685" t="s">
        <v>125</v>
      </c>
      <c r="I2685" t="s">
        <v>43</v>
      </c>
      <c r="J2685" t="s">
        <v>126</v>
      </c>
      <c r="K2685" t="s">
        <v>44</v>
      </c>
      <c r="L2685">
        <v>359.13</v>
      </c>
      <c r="M2685" s="1">
        <v>43405</v>
      </c>
      <c r="N2685" t="s">
        <v>45</v>
      </c>
      <c r="O2685" t="s">
        <v>46</v>
      </c>
      <c r="P2685" t="s">
        <v>47</v>
      </c>
      <c r="Q2685" s="1">
        <v>43852</v>
      </c>
      <c r="R2685" t="s">
        <v>48</v>
      </c>
    </row>
    <row r="2686" spans="1:38" x14ac:dyDescent="0.25">
      <c r="A2686" t="s">
        <v>312</v>
      </c>
      <c r="B2686" t="s">
        <v>616</v>
      </c>
      <c r="C2686" t="s">
        <v>40</v>
      </c>
      <c r="D2686" s="1">
        <v>43405</v>
      </c>
      <c r="E2686" s="1">
        <v>43769</v>
      </c>
      <c r="F2686" t="s">
        <v>76</v>
      </c>
      <c r="G2686">
        <v>3</v>
      </c>
      <c r="H2686" t="s">
        <v>125</v>
      </c>
      <c r="I2686" t="s">
        <v>43</v>
      </c>
      <c r="J2686" t="s">
        <v>126</v>
      </c>
      <c r="K2686" t="s">
        <v>44</v>
      </c>
      <c r="L2686">
        <v>0</v>
      </c>
      <c r="M2686" s="1">
        <v>43405</v>
      </c>
      <c r="N2686" t="s">
        <v>45</v>
      </c>
      <c r="O2686" t="s">
        <v>46</v>
      </c>
      <c r="P2686" t="s">
        <v>47</v>
      </c>
      <c r="Q2686" s="1">
        <v>43852</v>
      </c>
      <c r="R2686" t="s">
        <v>48</v>
      </c>
    </row>
    <row r="2687" spans="1:38" x14ac:dyDescent="0.25">
      <c r="A2687" t="s">
        <v>617</v>
      </c>
      <c r="B2687" t="s">
        <v>618</v>
      </c>
      <c r="C2687" t="s">
        <v>40</v>
      </c>
      <c r="D2687" s="1">
        <v>43405</v>
      </c>
      <c r="E2687" s="1">
        <v>43769</v>
      </c>
      <c r="F2687" t="s">
        <v>77</v>
      </c>
      <c r="G2687">
        <v>3</v>
      </c>
      <c r="H2687" t="s">
        <v>125</v>
      </c>
      <c r="I2687" t="s">
        <v>43</v>
      </c>
      <c r="J2687" t="s">
        <v>126</v>
      </c>
      <c r="K2687" t="s">
        <v>44</v>
      </c>
      <c r="L2687">
        <v>0</v>
      </c>
      <c r="M2687" s="1">
        <v>43405</v>
      </c>
      <c r="N2687" t="s">
        <v>45</v>
      </c>
      <c r="O2687" t="s">
        <v>46</v>
      </c>
      <c r="P2687" t="s">
        <v>47</v>
      </c>
      <c r="Q2687" s="1">
        <v>43852</v>
      </c>
      <c r="R2687" t="s">
        <v>48</v>
      </c>
    </row>
    <row r="2688" spans="1:38" x14ac:dyDescent="0.25">
      <c r="A2688" t="s">
        <v>617</v>
      </c>
      <c r="B2688" t="s">
        <v>619</v>
      </c>
      <c r="C2688" t="s">
        <v>40</v>
      </c>
      <c r="D2688" s="1">
        <v>43405</v>
      </c>
      <c r="E2688" s="1">
        <v>43769</v>
      </c>
      <c r="F2688" t="s">
        <v>72</v>
      </c>
      <c r="G2688">
        <v>3</v>
      </c>
      <c r="H2688" t="s">
        <v>125</v>
      </c>
      <c r="I2688" t="s">
        <v>43</v>
      </c>
      <c r="J2688" t="s">
        <v>126</v>
      </c>
      <c r="K2688" t="s">
        <v>44</v>
      </c>
      <c r="L2688">
        <v>0</v>
      </c>
      <c r="M2688" s="1">
        <v>43405</v>
      </c>
      <c r="N2688" t="s">
        <v>45</v>
      </c>
      <c r="O2688" t="s">
        <v>46</v>
      </c>
      <c r="P2688" t="s">
        <v>47</v>
      </c>
      <c r="Q2688" s="1">
        <v>43852</v>
      </c>
      <c r="R2688" t="s">
        <v>48</v>
      </c>
      <c r="S2688" t="s">
        <v>266</v>
      </c>
      <c r="T2688" t="s">
        <v>267</v>
      </c>
      <c r="U2688" t="s">
        <v>125</v>
      </c>
      <c r="V2688">
        <v>700000</v>
      </c>
      <c r="W2688">
        <v>100000</v>
      </c>
      <c r="X2688" s="1">
        <v>43830</v>
      </c>
      <c r="Y2688" t="s">
        <v>51</v>
      </c>
      <c r="Z2688" t="s">
        <v>43</v>
      </c>
      <c r="AA2688" t="s">
        <v>115</v>
      </c>
      <c r="AB2688" t="s">
        <v>268</v>
      </c>
      <c r="AC2688" t="s">
        <v>269</v>
      </c>
      <c r="AF2688" t="s">
        <v>134</v>
      </c>
      <c r="AG2688" s="1">
        <v>43843</v>
      </c>
      <c r="AH2688" t="s">
        <v>125</v>
      </c>
      <c r="AI2688" t="s">
        <v>92</v>
      </c>
      <c r="AJ2688">
        <v>1278023</v>
      </c>
      <c r="AK2688">
        <v>12365300</v>
      </c>
      <c r="AL2688">
        <v>12900</v>
      </c>
    </row>
    <row r="2689" spans="1:38" x14ac:dyDescent="0.25">
      <c r="A2689" t="s">
        <v>617</v>
      </c>
      <c r="B2689" t="s">
        <v>619</v>
      </c>
      <c r="C2689" t="s">
        <v>40</v>
      </c>
      <c r="D2689" s="1">
        <v>43405</v>
      </c>
      <c r="E2689" s="1">
        <v>43769</v>
      </c>
      <c r="F2689" t="s">
        <v>72</v>
      </c>
      <c r="G2689">
        <v>3</v>
      </c>
      <c r="H2689" t="s">
        <v>125</v>
      </c>
      <c r="I2689" t="s">
        <v>43</v>
      </c>
      <c r="J2689" t="s">
        <v>126</v>
      </c>
      <c r="K2689" t="s">
        <v>44</v>
      </c>
      <c r="L2689">
        <v>0</v>
      </c>
      <c r="M2689" s="1">
        <v>43405</v>
      </c>
      <c r="N2689" t="s">
        <v>45</v>
      </c>
      <c r="O2689" t="s">
        <v>46</v>
      </c>
      <c r="P2689" t="s">
        <v>47</v>
      </c>
      <c r="Q2689" s="1">
        <v>43852</v>
      </c>
      <c r="R2689" t="s">
        <v>48</v>
      </c>
      <c r="S2689" t="s">
        <v>266</v>
      </c>
      <c r="T2689" t="s">
        <v>267</v>
      </c>
      <c r="U2689" t="s">
        <v>125</v>
      </c>
      <c r="V2689">
        <v>700000</v>
      </c>
      <c r="W2689">
        <v>100000</v>
      </c>
      <c r="X2689" s="1">
        <v>43830</v>
      </c>
      <c r="Y2689" t="s">
        <v>51</v>
      </c>
      <c r="Z2689" t="s">
        <v>43</v>
      </c>
      <c r="AA2689" t="s">
        <v>115</v>
      </c>
      <c r="AB2689" t="s">
        <v>268</v>
      </c>
      <c r="AC2689" t="s">
        <v>269</v>
      </c>
      <c r="AF2689" t="s">
        <v>135</v>
      </c>
      <c r="AG2689" s="1">
        <v>43843</v>
      </c>
      <c r="AH2689" t="s">
        <v>125</v>
      </c>
      <c r="AI2689" t="s">
        <v>92</v>
      </c>
      <c r="AJ2689">
        <v>1278023</v>
      </c>
      <c r="AK2689">
        <v>12365300</v>
      </c>
      <c r="AL2689">
        <v>12900</v>
      </c>
    </row>
    <row r="2690" spans="1:38" x14ac:dyDescent="0.25">
      <c r="A2690" t="s">
        <v>617</v>
      </c>
      <c r="B2690" t="s">
        <v>619</v>
      </c>
      <c r="C2690" t="s">
        <v>40</v>
      </c>
      <c r="D2690" s="1">
        <v>43405</v>
      </c>
      <c r="E2690" s="1">
        <v>43769</v>
      </c>
      <c r="F2690" t="s">
        <v>72</v>
      </c>
      <c r="G2690">
        <v>3</v>
      </c>
      <c r="H2690" t="s">
        <v>125</v>
      </c>
      <c r="I2690" t="s">
        <v>43</v>
      </c>
      <c r="J2690" t="s">
        <v>126</v>
      </c>
      <c r="K2690" t="s">
        <v>44</v>
      </c>
      <c r="L2690">
        <v>0</v>
      </c>
      <c r="M2690" s="1">
        <v>43405</v>
      </c>
      <c r="N2690" t="s">
        <v>45</v>
      </c>
      <c r="O2690" t="s">
        <v>46</v>
      </c>
      <c r="P2690" t="s">
        <v>47</v>
      </c>
      <c r="Q2690" s="1">
        <v>43852</v>
      </c>
      <c r="R2690" t="s">
        <v>48</v>
      </c>
      <c r="S2690" t="s">
        <v>266</v>
      </c>
      <c r="T2690" t="s">
        <v>267</v>
      </c>
      <c r="U2690" t="s">
        <v>125</v>
      </c>
      <c r="V2690">
        <v>700000</v>
      </c>
      <c r="W2690">
        <v>100000</v>
      </c>
      <c r="X2690" s="1">
        <v>43830</v>
      </c>
      <c r="Y2690" t="s">
        <v>51</v>
      </c>
      <c r="Z2690" t="s">
        <v>43</v>
      </c>
      <c r="AA2690" t="s">
        <v>115</v>
      </c>
      <c r="AB2690" t="s">
        <v>268</v>
      </c>
      <c r="AC2690" t="s">
        <v>269</v>
      </c>
      <c r="AF2690" t="s">
        <v>136</v>
      </c>
      <c r="AG2690" s="1">
        <v>43839</v>
      </c>
      <c r="AH2690" t="s">
        <v>125</v>
      </c>
      <c r="AI2690" t="s">
        <v>92</v>
      </c>
      <c r="AJ2690">
        <v>1278023</v>
      </c>
      <c r="AK2690">
        <v>12365300</v>
      </c>
      <c r="AL2690">
        <v>12900</v>
      </c>
    </row>
    <row r="2691" spans="1:38" x14ac:dyDescent="0.25">
      <c r="A2691" t="s">
        <v>617</v>
      </c>
      <c r="B2691" t="s">
        <v>619</v>
      </c>
      <c r="C2691" t="s">
        <v>40</v>
      </c>
      <c r="D2691" s="1">
        <v>43405</v>
      </c>
      <c r="E2691" s="1">
        <v>43769</v>
      </c>
      <c r="F2691" t="s">
        <v>72</v>
      </c>
      <c r="G2691">
        <v>3</v>
      </c>
      <c r="H2691" t="s">
        <v>125</v>
      </c>
      <c r="I2691" t="s">
        <v>43</v>
      </c>
      <c r="J2691" t="s">
        <v>126</v>
      </c>
      <c r="K2691" t="s">
        <v>44</v>
      </c>
      <c r="L2691">
        <v>0</v>
      </c>
      <c r="M2691" s="1">
        <v>43405</v>
      </c>
      <c r="N2691" t="s">
        <v>45</v>
      </c>
      <c r="O2691" t="s">
        <v>46</v>
      </c>
      <c r="P2691" t="s">
        <v>47</v>
      </c>
      <c r="Q2691" s="1">
        <v>43852</v>
      </c>
      <c r="R2691" t="s">
        <v>48</v>
      </c>
      <c r="S2691" t="s">
        <v>266</v>
      </c>
      <c r="T2691" t="s">
        <v>267</v>
      </c>
      <c r="U2691" t="s">
        <v>125</v>
      </c>
      <c r="V2691">
        <v>700000</v>
      </c>
      <c r="W2691">
        <v>100000</v>
      </c>
      <c r="X2691" s="1">
        <v>43830</v>
      </c>
      <c r="Y2691" t="s">
        <v>51</v>
      </c>
      <c r="Z2691" t="s">
        <v>43</v>
      </c>
      <c r="AA2691" t="s">
        <v>115</v>
      </c>
      <c r="AB2691" t="s">
        <v>268</v>
      </c>
      <c r="AC2691" t="s">
        <v>269</v>
      </c>
      <c r="AF2691" t="s">
        <v>137</v>
      </c>
      <c r="AG2691" s="1">
        <v>43840</v>
      </c>
      <c r="AH2691" t="s">
        <v>125</v>
      </c>
      <c r="AI2691" t="s">
        <v>92</v>
      </c>
      <c r="AJ2691">
        <v>1278023</v>
      </c>
      <c r="AK2691">
        <v>12365300</v>
      </c>
      <c r="AL2691">
        <v>12900</v>
      </c>
    </row>
    <row r="2692" spans="1:38" x14ac:dyDescent="0.25">
      <c r="A2692" t="s">
        <v>617</v>
      </c>
      <c r="B2692" t="s">
        <v>619</v>
      </c>
      <c r="C2692" t="s">
        <v>40</v>
      </c>
      <c r="D2692" s="1">
        <v>43405</v>
      </c>
      <c r="E2692" s="1">
        <v>43769</v>
      </c>
      <c r="F2692" t="s">
        <v>72</v>
      </c>
      <c r="G2692">
        <v>3</v>
      </c>
      <c r="H2692" t="s">
        <v>125</v>
      </c>
      <c r="I2692" t="s">
        <v>43</v>
      </c>
      <c r="J2692" t="s">
        <v>126</v>
      </c>
      <c r="K2692" t="s">
        <v>44</v>
      </c>
      <c r="L2692">
        <v>0</v>
      </c>
      <c r="M2692" s="1">
        <v>43405</v>
      </c>
      <c r="N2692" t="s">
        <v>45</v>
      </c>
      <c r="O2692" t="s">
        <v>46</v>
      </c>
      <c r="P2692" t="s">
        <v>47</v>
      </c>
      <c r="Q2692" s="1">
        <v>43852</v>
      </c>
      <c r="R2692" t="s">
        <v>48</v>
      </c>
      <c r="S2692" t="s">
        <v>72</v>
      </c>
      <c r="T2692" t="s">
        <v>270</v>
      </c>
      <c r="U2692" t="s">
        <v>125</v>
      </c>
      <c r="V2692">
        <v>0</v>
      </c>
      <c r="W2692">
        <v>500000</v>
      </c>
      <c r="X2692" s="1">
        <v>43739</v>
      </c>
      <c r="Y2692" t="s">
        <v>131</v>
      </c>
      <c r="Z2692" t="s">
        <v>43</v>
      </c>
      <c r="AA2692" t="s">
        <v>115</v>
      </c>
      <c r="AB2692" t="s">
        <v>268</v>
      </c>
      <c r="AC2692" t="s">
        <v>269</v>
      </c>
      <c r="AF2692" t="s">
        <v>134</v>
      </c>
      <c r="AG2692" s="1">
        <v>43843</v>
      </c>
      <c r="AH2692" t="s">
        <v>125</v>
      </c>
      <c r="AI2692" t="s">
        <v>92</v>
      </c>
      <c r="AJ2692">
        <v>1278023</v>
      </c>
      <c r="AK2692">
        <v>12365300</v>
      </c>
      <c r="AL2692">
        <v>12900</v>
      </c>
    </row>
    <row r="2693" spans="1:38" x14ac:dyDescent="0.25">
      <c r="A2693" t="s">
        <v>617</v>
      </c>
      <c r="B2693" t="s">
        <v>619</v>
      </c>
      <c r="C2693" t="s">
        <v>40</v>
      </c>
      <c r="D2693" s="1">
        <v>43405</v>
      </c>
      <c r="E2693" s="1">
        <v>43769</v>
      </c>
      <c r="F2693" t="s">
        <v>72</v>
      </c>
      <c r="G2693">
        <v>3</v>
      </c>
      <c r="H2693" t="s">
        <v>125</v>
      </c>
      <c r="I2693" t="s">
        <v>43</v>
      </c>
      <c r="J2693" t="s">
        <v>126</v>
      </c>
      <c r="K2693" t="s">
        <v>44</v>
      </c>
      <c r="L2693">
        <v>0</v>
      </c>
      <c r="M2693" s="1">
        <v>43405</v>
      </c>
      <c r="N2693" t="s">
        <v>45</v>
      </c>
      <c r="O2693" t="s">
        <v>46</v>
      </c>
      <c r="P2693" t="s">
        <v>47</v>
      </c>
      <c r="Q2693" s="1">
        <v>43852</v>
      </c>
      <c r="R2693" t="s">
        <v>48</v>
      </c>
      <c r="S2693" t="s">
        <v>72</v>
      </c>
      <c r="T2693" t="s">
        <v>270</v>
      </c>
      <c r="U2693" t="s">
        <v>125</v>
      </c>
      <c r="V2693">
        <v>0</v>
      </c>
      <c r="W2693">
        <v>500000</v>
      </c>
      <c r="X2693" s="1">
        <v>43739</v>
      </c>
      <c r="Y2693" t="s">
        <v>131</v>
      </c>
      <c r="Z2693" t="s">
        <v>43</v>
      </c>
      <c r="AA2693" t="s">
        <v>115</v>
      </c>
      <c r="AB2693" t="s">
        <v>268</v>
      </c>
      <c r="AC2693" t="s">
        <v>269</v>
      </c>
      <c r="AF2693" t="s">
        <v>135</v>
      </c>
      <c r="AG2693" s="1">
        <v>43843</v>
      </c>
      <c r="AH2693" t="s">
        <v>125</v>
      </c>
      <c r="AI2693" t="s">
        <v>92</v>
      </c>
      <c r="AJ2693">
        <v>1278023</v>
      </c>
      <c r="AK2693">
        <v>12365300</v>
      </c>
      <c r="AL2693">
        <v>12900</v>
      </c>
    </row>
    <row r="2694" spans="1:38" x14ac:dyDescent="0.25">
      <c r="A2694" t="s">
        <v>617</v>
      </c>
      <c r="B2694" t="s">
        <v>619</v>
      </c>
      <c r="C2694" t="s">
        <v>40</v>
      </c>
      <c r="D2694" s="1">
        <v>43405</v>
      </c>
      <c r="E2694" s="1">
        <v>43769</v>
      </c>
      <c r="F2694" t="s">
        <v>72</v>
      </c>
      <c r="G2694">
        <v>3</v>
      </c>
      <c r="H2694" t="s">
        <v>125</v>
      </c>
      <c r="I2694" t="s">
        <v>43</v>
      </c>
      <c r="J2694" t="s">
        <v>126</v>
      </c>
      <c r="K2694" t="s">
        <v>44</v>
      </c>
      <c r="L2694">
        <v>0</v>
      </c>
      <c r="M2694" s="1">
        <v>43405</v>
      </c>
      <c r="N2694" t="s">
        <v>45</v>
      </c>
      <c r="O2694" t="s">
        <v>46</v>
      </c>
      <c r="P2694" t="s">
        <v>47</v>
      </c>
      <c r="Q2694" s="1">
        <v>43852</v>
      </c>
      <c r="R2694" t="s">
        <v>48</v>
      </c>
      <c r="S2694" t="s">
        <v>72</v>
      </c>
      <c r="T2694" t="s">
        <v>270</v>
      </c>
      <c r="U2694" t="s">
        <v>125</v>
      </c>
      <c r="V2694">
        <v>0</v>
      </c>
      <c r="W2694">
        <v>500000</v>
      </c>
      <c r="X2694" s="1">
        <v>43739</v>
      </c>
      <c r="Y2694" t="s">
        <v>131</v>
      </c>
      <c r="Z2694" t="s">
        <v>43</v>
      </c>
      <c r="AA2694" t="s">
        <v>115</v>
      </c>
      <c r="AB2694" t="s">
        <v>268</v>
      </c>
      <c r="AC2694" t="s">
        <v>269</v>
      </c>
      <c r="AF2694" t="s">
        <v>136</v>
      </c>
      <c r="AG2694" s="1">
        <v>43839</v>
      </c>
      <c r="AH2694" t="s">
        <v>125</v>
      </c>
      <c r="AI2694" t="s">
        <v>92</v>
      </c>
      <c r="AJ2694">
        <v>1278023</v>
      </c>
      <c r="AK2694">
        <v>12365300</v>
      </c>
      <c r="AL2694">
        <v>12900</v>
      </c>
    </row>
    <row r="2695" spans="1:38" x14ac:dyDescent="0.25">
      <c r="A2695" t="s">
        <v>617</v>
      </c>
      <c r="B2695" t="s">
        <v>619</v>
      </c>
      <c r="C2695" t="s">
        <v>40</v>
      </c>
      <c r="D2695" s="1">
        <v>43405</v>
      </c>
      <c r="E2695" s="1">
        <v>43769</v>
      </c>
      <c r="F2695" t="s">
        <v>72</v>
      </c>
      <c r="G2695">
        <v>3</v>
      </c>
      <c r="H2695" t="s">
        <v>125</v>
      </c>
      <c r="I2695" t="s">
        <v>43</v>
      </c>
      <c r="J2695" t="s">
        <v>126</v>
      </c>
      <c r="K2695" t="s">
        <v>44</v>
      </c>
      <c r="L2695">
        <v>0</v>
      </c>
      <c r="M2695" s="1">
        <v>43405</v>
      </c>
      <c r="N2695" t="s">
        <v>45</v>
      </c>
      <c r="O2695" t="s">
        <v>46</v>
      </c>
      <c r="P2695" t="s">
        <v>47</v>
      </c>
      <c r="Q2695" s="1">
        <v>43852</v>
      </c>
      <c r="R2695" t="s">
        <v>48</v>
      </c>
      <c r="S2695" t="s">
        <v>72</v>
      </c>
      <c r="T2695" t="s">
        <v>270</v>
      </c>
      <c r="U2695" t="s">
        <v>125</v>
      </c>
      <c r="V2695">
        <v>0</v>
      </c>
      <c r="W2695">
        <v>500000</v>
      </c>
      <c r="X2695" s="1">
        <v>43739</v>
      </c>
      <c r="Y2695" t="s">
        <v>131</v>
      </c>
      <c r="Z2695" t="s">
        <v>43</v>
      </c>
      <c r="AA2695" t="s">
        <v>115</v>
      </c>
      <c r="AB2695" t="s">
        <v>268</v>
      </c>
      <c r="AC2695" t="s">
        <v>269</v>
      </c>
      <c r="AF2695" t="s">
        <v>137</v>
      </c>
      <c r="AG2695" s="1">
        <v>43840</v>
      </c>
      <c r="AH2695" t="s">
        <v>125</v>
      </c>
      <c r="AI2695" t="s">
        <v>92</v>
      </c>
      <c r="AJ2695">
        <v>1278023</v>
      </c>
      <c r="AK2695">
        <v>12365300</v>
      </c>
      <c r="AL2695">
        <v>12900</v>
      </c>
    </row>
    <row r="2696" spans="1:38" x14ac:dyDescent="0.25">
      <c r="A2696" t="s">
        <v>617</v>
      </c>
      <c r="B2696" t="s">
        <v>619</v>
      </c>
      <c r="C2696" t="s">
        <v>40</v>
      </c>
      <c r="D2696" s="1">
        <v>43405</v>
      </c>
      <c r="E2696" s="1">
        <v>43769</v>
      </c>
      <c r="F2696" t="s">
        <v>72</v>
      </c>
      <c r="G2696">
        <v>3</v>
      </c>
      <c r="H2696" t="s">
        <v>125</v>
      </c>
      <c r="I2696" t="s">
        <v>43</v>
      </c>
      <c r="J2696" t="s">
        <v>126</v>
      </c>
      <c r="K2696" t="s">
        <v>44</v>
      </c>
      <c r="L2696">
        <v>0</v>
      </c>
      <c r="M2696" s="1">
        <v>43405</v>
      </c>
      <c r="N2696" t="s">
        <v>45</v>
      </c>
      <c r="O2696" t="s">
        <v>46</v>
      </c>
      <c r="P2696" t="s">
        <v>47</v>
      </c>
      <c r="Q2696" s="1">
        <v>43852</v>
      </c>
      <c r="R2696" t="s">
        <v>48</v>
      </c>
      <c r="S2696" t="s">
        <v>271</v>
      </c>
      <c r="T2696" t="s">
        <v>272</v>
      </c>
      <c r="U2696" t="s">
        <v>125</v>
      </c>
      <c r="V2696">
        <v>0</v>
      </c>
      <c r="W2696">
        <v>50000</v>
      </c>
      <c r="X2696" s="1">
        <v>43738</v>
      </c>
      <c r="Y2696" t="s">
        <v>140</v>
      </c>
      <c r="Z2696" t="s">
        <v>43</v>
      </c>
      <c r="AA2696" t="s">
        <v>115</v>
      </c>
      <c r="AB2696" t="s">
        <v>268</v>
      </c>
      <c r="AC2696" t="s">
        <v>269</v>
      </c>
      <c r="AF2696" t="s">
        <v>134</v>
      </c>
      <c r="AG2696" s="1">
        <v>43843</v>
      </c>
      <c r="AH2696" t="s">
        <v>125</v>
      </c>
      <c r="AI2696" t="s">
        <v>92</v>
      </c>
      <c r="AJ2696">
        <v>1278023</v>
      </c>
      <c r="AK2696">
        <v>12365300</v>
      </c>
      <c r="AL2696">
        <v>12900</v>
      </c>
    </row>
    <row r="2697" spans="1:38" x14ac:dyDescent="0.25">
      <c r="A2697" t="s">
        <v>617</v>
      </c>
      <c r="B2697" t="s">
        <v>619</v>
      </c>
      <c r="C2697" t="s">
        <v>40</v>
      </c>
      <c r="D2697" s="1">
        <v>43405</v>
      </c>
      <c r="E2697" s="1">
        <v>43769</v>
      </c>
      <c r="F2697" t="s">
        <v>72</v>
      </c>
      <c r="G2697">
        <v>3</v>
      </c>
      <c r="H2697" t="s">
        <v>125</v>
      </c>
      <c r="I2697" t="s">
        <v>43</v>
      </c>
      <c r="J2697" t="s">
        <v>126</v>
      </c>
      <c r="K2697" t="s">
        <v>44</v>
      </c>
      <c r="L2697">
        <v>0</v>
      </c>
      <c r="M2697" s="1">
        <v>43405</v>
      </c>
      <c r="N2697" t="s">
        <v>45</v>
      </c>
      <c r="O2697" t="s">
        <v>46</v>
      </c>
      <c r="P2697" t="s">
        <v>47</v>
      </c>
      <c r="Q2697" s="1">
        <v>43852</v>
      </c>
      <c r="R2697" t="s">
        <v>48</v>
      </c>
      <c r="S2697" t="s">
        <v>271</v>
      </c>
      <c r="T2697" t="s">
        <v>272</v>
      </c>
      <c r="U2697" t="s">
        <v>125</v>
      </c>
      <c r="V2697">
        <v>0</v>
      </c>
      <c r="W2697">
        <v>50000</v>
      </c>
      <c r="X2697" s="1">
        <v>43738</v>
      </c>
      <c r="Y2697" t="s">
        <v>140</v>
      </c>
      <c r="Z2697" t="s">
        <v>43</v>
      </c>
      <c r="AA2697" t="s">
        <v>115</v>
      </c>
      <c r="AB2697" t="s">
        <v>268</v>
      </c>
      <c r="AC2697" t="s">
        <v>269</v>
      </c>
      <c r="AF2697" t="s">
        <v>135</v>
      </c>
      <c r="AG2697" s="1">
        <v>43843</v>
      </c>
      <c r="AH2697" t="s">
        <v>125</v>
      </c>
      <c r="AI2697" t="s">
        <v>92</v>
      </c>
      <c r="AJ2697">
        <v>1278023</v>
      </c>
      <c r="AK2697">
        <v>12365300</v>
      </c>
      <c r="AL2697">
        <v>12900</v>
      </c>
    </row>
    <row r="2698" spans="1:38" x14ac:dyDescent="0.25">
      <c r="A2698" t="s">
        <v>617</v>
      </c>
      <c r="B2698" t="s">
        <v>619</v>
      </c>
      <c r="C2698" t="s">
        <v>40</v>
      </c>
      <c r="D2698" s="1">
        <v>43405</v>
      </c>
      <c r="E2698" s="1">
        <v>43769</v>
      </c>
      <c r="F2698" t="s">
        <v>72</v>
      </c>
      <c r="G2698">
        <v>3</v>
      </c>
      <c r="H2698" t="s">
        <v>125</v>
      </c>
      <c r="I2698" t="s">
        <v>43</v>
      </c>
      <c r="J2698" t="s">
        <v>126</v>
      </c>
      <c r="K2698" t="s">
        <v>44</v>
      </c>
      <c r="L2698">
        <v>0</v>
      </c>
      <c r="M2698" s="1">
        <v>43405</v>
      </c>
      <c r="N2698" t="s">
        <v>45</v>
      </c>
      <c r="O2698" t="s">
        <v>46</v>
      </c>
      <c r="P2698" t="s">
        <v>47</v>
      </c>
      <c r="Q2698" s="1">
        <v>43852</v>
      </c>
      <c r="R2698" t="s">
        <v>48</v>
      </c>
      <c r="S2698" t="s">
        <v>271</v>
      </c>
      <c r="T2698" t="s">
        <v>272</v>
      </c>
      <c r="U2698" t="s">
        <v>125</v>
      </c>
      <c r="V2698">
        <v>0</v>
      </c>
      <c r="W2698">
        <v>50000</v>
      </c>
      <c r="X2698" s="1">
        <v>43738</v>
      </c>
      <c r="Y2698" t="s">
        <v>140</v>
      </c>
      <c r="Z2698" t="s">
        <v>43</v>
      </c>
      <c r="AA2698" t="s">
        <v>115</v>
      </c>
      <c r="AB2698" t="s">
        <v>268</v>
      </c>
      <c r="AC2698" t="s">
        <v>269</v>
      </c>
      <c r="AF2698" t="s">
        <v>136</v>
      </c>
      <c r="AG2698" s="1">
        <v>43839</v>
      </c>
      <c r="AH2698" t="s">
        <v>125</v>
      </c>
      <c r="AI2698" t="s">
        <v>92</v>
      </c>
      <c r="AJ2698">
        <v>1278023</v>
      </c>
      <c r="AK2698">
        <v>12365300</v>
      </c>
      <c r="AL2698">
        <v>12900</v>
      </c>
    </row>
    <row r="2699" spans="1:38" x14ac:dyDescent="0.25">
      <c r="A2699" t="s">
        <v>617</v>
      </c>
      <c r="B2699" t="s">
        <v>619</v>
      </c>
      <c r="C2699" t="s">
        <v>40</v>
      </c>
      <c r="D2699" s="1">
        <v>43405</v>
      </c>
      <c r="E2699" s="1">
        <v>43769</v>
      </c>
      <c r="F2699" t="s">
        <v>72</v>
      </c>
      <c r="G2699">
        <v>3</v>
      </c>
      <c r="H2699" t="s">
        <v>125</v>
      </c>
      <c r="I2699" t="s">
        <v>43</v>
      </c>
      <c r="J2699" t="s">
        <v>126</v>
      </c>
      <c r="K2699" t="s">
        <v>44</v>
      </c>
      <c r="L2699">
        <v>0</v>
      </c>
      <c r="M2699" s="1">
        <v>43405</v>
      </c>
      <c r="N2699" t="s">
        <v>45</v>
      </c>
      <c r="O2699" t="s">
        <v>46</v>
      </c>
      <c r="P2699" t="s">
        <v>47</v>
      </c>
      <c r="Q2699" s="1">
        <v>43852</v>
      </c>
      <c r="R2699" t="s">
        <v>48</v>
      </c>
      <c r="S2699" t="s">
        <v>271</v>
      </c>
      <c r="T2699" t="s">
        <v>272</v>
      </c>
      <c r="U2699" t="s">
        <v>125</v>
      </c>
      <c r="V2699">
        <v>0</v>
      </c>
      <c r="W2699">
        <v>50000</v>
      </c>
      <c r="X2699" s="1">
        <v>43738</v>
      </c>
      <c r="Y2699" t="s">
        <v>140</v>
      </c>
      <c r="Z2699" t="s">
        <v>43</v>
      </c>
      <c r="AA2699" t="s">
        <v>115</v>
      </c>
      <c r="AB2699" t="s">
        <v>268</v>
      </c>
      <c r="AC2699" t="s">
        <v>269</v>
      </c>
      <c r="AF2699" t="s">
        <v>137</v>
      </c>
      <c r="AG2699" s="1">
        <v>43840</v>
      </c>
      <c r="AH2699" t="s">
        <v>125</v>
      </c>
      <c r="AI2699" t="s">
        <v>92</v>
      </c>
      <c r="AJ2699">
        <v>1278023</v>
      </c>
      <c r="AK2699">
        <v>12365300</v>
      </c>
      <c r="AL2699">
        <v>12900</v>
      </c>
    </row>
    <row r="2700" spans="1:38" x14ac:dyDescent="0.25">
      <c r="A2700" t="s">
        <v>617</v>
      </c>
      <c r="B2700">
        <v>54407334</v>
      </c>
      <c r="C2700" t="s">
        <v>40</v>
      </c>
      <c r="D2700" s="1">
        <v>43466</v>
      </c>
      <c r="E2700" s="1">
        <v>43830</v>
      </c>
      <c r="F2700" t="s">
        <v>84</v>
      </c>
      <c r="G2700">
        <v>10</v>
      </c>
      <c r="H2700" t="s">
        <v>85</v>
      </c>
      <c r="I2700" t="s">
        <v>43</v>
      </c>
      <c r="J2700" t="s">
        <v>86</v>
      </c>
      <c r="K2700" t="s">
        <v>44</v>
      </c>
      <c r="L2700">
        <v>23387.4</v>
      </c>
      <c r="M2700" s="1">
        <v>43466</v>
      </c>
      <c r="N2700" t="s">
        <v>45</v>
      </c>
      <c r="O2700" t="s">
        <v>46</v>
      </c>
      <c r="P2700" t="s">
        <v>47</v>
      </c>
      <c r="Q2700" s="1">
        <v>43852</v>
      </c>
      <c r="R2700" t="s">
        <v>48</v>
      </c>
      <c r="S2700" t="s">
        <v>87</v>
      </c>
      <c r="T2700" t="s">
        <v>88</v>
      </c>
      <c r="U2700" t="s">
        <v>85</v>
      </c>
      <c r="V2700">
        <v>1400000</v>
      </c>
      <c r="W2700">
        <v>100000</v>
      </c>
      <c r="X2700" s="1">
        <v>43808</v>
      </c>
      <c r="Y2700" t="s">
        <v>51</v>
      </c>
      <c r="Z2700" t="s">
        <v>43</v>
      </c>
      <c r="AA2700" t="s">
        <v>86</v>
      </c>
      <c r="AB2700" t="s">
        <v>89</v>
      </c>
      <c r="AC2700" t="s">
        <v>90</v>
      </c>
      <c r="AF2700" t="s">
        <v>91</v>
      </c>
      <c r="AG2700" s="1">
        <v>43852</v>
      </c>
      <c r="AH2700" t="s">
        <v>85</v>
      </c>
      <c r="AI2700" t="s">
        <v>92</v>
      </c>
      <c r="AJ2700">
        <v>19888</v>
      </c>
      <c r="AK2700">
        <v>128777</v>
      </c>
      <c r="AL2700">
        <v>198882</v>
      </c>
    </row>
    <row r="2701" spans="1:38" x14ac:dyDescent="0.25">
      <c r="A2701" t="s">
        <v>617</v>
      </c>
      <c r="B2701">
        <v>54407334</v>
      </c>
      <c r="C2701" t="s">
        <v>40</v>
      </c>
      <c r="D2701" s="1">
        <v>43466</v>
      </c>
      <c r="E2701" s="1">
        <v>43830</v>
      </c>
      <c r="F2701" t="s">
        <v>84</v>
      </c>
      <c r="G2701">
        <v>10</v>
      </c>
      <c r="H2701" t="s">
        <v>85</v>
      </c>
      <c r="I2701" t="s">
        <v>43</v>
      </c>
      <c r="J2701" t="s">
        <v>86</v>
      </c>
      <c r="K2701" t="s">
        <v>44</v>
      </c>
      <c r="L2701">
        <v>23387.4</v>
      </c>
      <c r="M2701" s="1">
        <v>43466</v>
      </c>
      <c r="N2701" t="s">
        <v>45</v>
      </c>
      <c r="O2701" t="s">
        <v>46</v>
      </c>
      <c r="P2701" t="s">
        <v>47</v>
      </c>
      <c r="Q2701" s="1">
        <v>43852</v>
      </c>
      <c r="R2701" t="s">
        <v>48</v>
      </c>
      <c r="S2701" t="s">
        <v>87</v>
      </c>
      <c r="T2701" t="s">
        <v>88</v>
      </c>
      <c r="U2701" t="s">
        <v>85</v>
      </c>
      <c r="V2701">
        <v>1400000</v>
      </c>
      <c r="W2701">
        <v>100000</v>
      </c>
      <c r="X2701" s="1">
        <v>43808</v>
      </c>
      <c r="Y2701" t="s">
        <v>51</v>
      </c>
      <c r="Z2701" t="s">
        <v>43</v>
      </c>
      <c r="AA2701" t="s">
        <v>86</v>
      </c>
      <c r="AB2701" t="s">
        <v>89</v>
      </c>
      <c r="AC2701" t="s">
        <v>90</v>
      </c>
      <c r="AF2701" t="s">
        <v>93</v>
      </c>
      <c r="AG2701" s="1">
        <v>43843</v>
      </c>
      <c r="AH2701" t="s">
        <v>85</v>
      </c>
      <c r="AI2701" t="s">
        <v>92</v>
      </c>
      <c r="AJ2701">
        <v>19888</v>
      </c>
      <c r="AK2701">
        <v>128777</v>
      </c>
      <c r="AL2701">
        <v>198882</v>
      </c>
    </row>
    <row r="2702" spans="1:38" x14ac:dyDescent="0.25">
      <c r="A2702" t="s">
        <v>617</v>
      </c>
      <c r="B2702">
        <v>54407334</v>
      </c>
      <c r="C2702" t="s">
        <v>40</v>
      </c>
      <c r="D2702" s="1">
        <v>43466</v>
      </c>
      <c r="E2702" s="1">
        <v>43830</v>
      </c>
      <c r="F2702" t="s">
        <v>84</v>
      </c>
      <c r="G2702">
        <v>10</v>
      </c>
      <c r="H2702" t="s">
        <v>85</v>
      </c>
      <c r="I2702" t="s">
        <v>43</v>
      </c>
      <c r="J2702" t="s">
        <v>86</v>
      </c>
      <c r="K2702" t="s">
        <v>44</v>
      </c>
      <c r="L2702">
        <v>23387.4</v>
      </c>
      <c r="M2702" s="1">
        <v>43466</v>
      </c>
      <c r="N2702" t="s">
        <v>45</v>
      </c>
      <c r="O2702" t="s">
        <v>46</v>
      </c>
      <c r="P2702" t="s">
        <v>47</v>
      </c>
      <c r="Q2702" s="1">
        <v>43852</v>
      </c>
      <c r="R2702" t="s">
        <v>48</v>
      </c>
      <c r="S2702" t="s">
        <v>94</v>
      </c>
      <c r="T2702" t="s">
        <v>95</v>
      </c>
      <c r="U2702" t="s">
        <v>85</v>
      </c>
      <c r="V2702">
        <v>4500000</v>
      </c>
      <c r="W2702">
        <v>300000</v>
      </c>
      <c r="X2702" s="1">
        <v>43767</v>
      </c>
      <c r="Y2702" t="s">
        <v>51</v>
      </c>
      <c r="Z2702" t="s">
        <v>43</v>
      </c>
      <c r="AA2702" t="s">
        <v>86</v>
      </c>
      <c r="AB2702" t="s">
        <v>89</v>
      </c>
      <c r="AC2702" t="s">
        <v>90</v>
      </c>
      <c r="AF2702" t="s">
        <v>91</v>
      </c>
      <c r="AG2702" s="1">
        <v>43852</v>
      </c>
      <c r="AH2702" t="s">
        <v>85</v>
      </c>
      <c r="AI2702" t="s">
        <v>92</v>
      </c>
      <c r="AJ2702">
        <v>19888</v>
      </c>
      <c r="AK2702">
        <v>128777</v>
      </c>
      <c r="AL2702">
        <v>198882</v>
      </c>
    </row>
    <row r="2703" spans="1:38" x14ac:dyDescent="0.25">
      <c r="A2703" t="s">
        <v>617</v>
      </c>
      <c r="B2703">
        <v>54407334</v>
      </c>
      <c r="C2703" t="s">
        <v>40</v>
      </c>
      <c r="D2703" s="1">
        <v>43466</v>
      </c>
      <c r="E2703" s="1">
        <v>43830</v>
      </c>
      <c r="F2703" t="s">
        <v>84</v>
      </c>
      <c r="G2703">
        <v>10</v>
      </c>
      <c r="H2703" t="s">
        <v>85</v>
      </c>
      <c r="I2703" t="s">
        <v>43</v>
      </c>
      <c r="J2703" t="s">
        <v>86</v>
      </c>
      <c r="K2703" t="s">
        <v>44</v>
      </c>
      <c r="L2703">
        <v>23387.4</v>
      </c>
      <c r="M2703" s="1">
        <v>43466</v>
      </c>
      <c r="N2703" t="s">
        <v>45</v>
      </c>
      <c r="O2703" t="s">
        <v>46</v>
      </c>
      <c r="P2703" t="s">
        <v>47</v>
      </c>
      <c r="Q2703" s="1">
        <v>43852</v>
      </c>
      <c r="R2703" t="s">
        <v>48</v>
      </c>
      <c r="S2703" t="s">
        <v>94</v>
      </c>
      <c r="T2703" t="s">
        <v>95</v>
      </c>
      <c r="U2703" t="s">
        <v>85</v>
      </c>
      <c r="V2703">
        <v>4500000</v>
      </c>
      <c r="W2703">
        <v>300000</v>
      </c>
      <c r="X2703" s="1">
        <v>43767</v>
      </c>
      <c r="Y2703" t="s">
        <v>51</v>
      </c>
      <c r="Z2703" t="s">
        <v>43</v>
      </c>
      <c r="AA2703" t="s">
        <v>86</v>
      </c>
      <c r="AB2703" t="s">
        <v>89</v>
      </c>
      <c r="AC2703" t="s">
        <v>90</v>
      </c>
      <c r="AF2703" t="s">
        <v>93</v>
      </c>
      <c r="AG2703" s="1">
        <v>43843</v>
      </c>
      <c r="AH2703" t="s">
        <v>85</v>
      </c>
      <c r="AI2703" t="s">
        <v>92</v>
      </c>
      <c r="AJ2703">
        <v>19888</v>
      </c>
      <c r="AK2703">
        <v>128777</v>
      </c>
      <c r="AL2703">
        <v>198882</v>
      </c>
    </row>
    <row r="2704" spans="1:38" x14ac:dyDescent="0.25">
      <c r="A2704" t="s">
        <v>617</v>
      </c>
      <c r="B2704">
        <v>54407334</v>
      </c>
      <c r="C2704" t="s">
        <v>40</v>
      </c>
      <c r="D2704" s="1">
        <v>43466</v>
      </c>
      <c r="E2704" s="1">
        <v>43830</v>
      </c>
      <c r="F2704" t="s">
        <v>84</v>
      </c>
      <c r="G2704">
        <v>10</v>
      </c>
      <c r="H2704" t="s">
        <v>85</v>
      </c>
      <c r="I2704" t="s">
        <v>43</v>
      </c>
      <c r="J2704" t="s">
        <v>86</v>
      </c>
      <c r="K2704" t="s">
        <v>44</v>
      </c>
      <c r="L2704">
        <v>23387.4</v>
      </c>
      <c r="M2704" s="1">
        <v>43466</v>
      </c>
      <c r="N2704" t="s">
        <v>45</v>
      </c>
      <c r="O2704" t="s">
        <v>46</v>
      </c>
      <c r="P2704" t="s">
        <v>47</v>
      </c>
      <c r="Q2704" s="1">
        <v>43852</v>
      </c>
      <c r="R2704" t="s">
        <v>48</v>
      </c>
      <c r="S2704" t="s">
        <v>96</v>
      </c>
      <c r="T2704" t="s">
        <v>97</v>
      </c>
      <c r="U2704" t="s">
        <v>85</v>
      </c>
      <c r="V2704">
        <v>600000</v>
      </c>
      <c r="W2704">
        <v>100000</v>
      </c>
      <c r="X2704" s="1">
        <v>43799</v>
      </c>
      <c r="Y2704" t="s">
        <v>51</v>
      </c>
      <c r="Z2704" t="s">
        <v>43</v>
      </c>
      <c r="AA2704" t="s">
        <v>98</v>
      </c>
      <c r="AB2704" t="s">
        <v>89</v>
      </c>
      <c r="AC2704" t="s">
        <v>90</v>
      </c>
      <c r="AF2704" t="s">
        <v>91</v>
      </c>
      <c r="AG2704" s="1">
        <v>43852</v>
      </c>
      <c r="AH2704" t="s">
        <v>85</v>
      </c>
      <c r="AI2704" t="s">
        <v>92</v>
      </c>
      <c r="AJ2704">
        <v>19888</v>
      </c>
      <c r="AK2704">
        <v>128777</v>
      </c>
      <c r="AL2704">
        <v>198882</v>
      </c>
    </row>
    <row r="2705" spans="1:38" x14ac:dyDescent="0.25">
      <c r="A2705" t="s">
        <v>617</v>
      </c>
      <c r="B2705">
        <v>54407334</v>
      </c>
      <c r="C2705" t="s">
        <v>40</v>
      </c>
      <c r="D2705" s="1">
        <v>43466</v>
      </c>
      <c r="E2705" s="1">
        <v>43830</v>
      </c>
      <c r="F2705" t="s">
        <v>84</v>
      </c>
      <c r="G2705">
        <v>10</v>
      </c>
      <c r="H2705" t="s">
        <v>85</v>
      </c>
      <c r="I2705" t="s">
        <v>43</v>
      </c>
      <c r="J2705" t="s">
        <v>86</v>
      </c>
      <c r="K2705" t="s">
        <v>44</v>
      </c>
      <c r="L2705">
        <v>23387.4</v>
      </c>
      <c r="M2705" s="1">
        <v>43466</v>
      </c>
      <c r="N2705" t="s">
        <v>45</v>
      </c>
      <c r="O2705" t="s">
        <v>46</v>
      </c>
      <c r="P2705" t="s">
        <v>47</v>
      </c>
      <c r="Q2705" s="1">
        <v>43852</v>
      </c>
      <c r="R2705" t="s">
        <v>48</v>
      </c>
      <c r="S2705" t="s">
        <v>96</v>
      </c>
      <c r="T2705" t="s">
        <v>97</v>
      </c>
      <c r="U2705" t="s">
        <v>85</v>
      </c>
      <c r="V2705">
        <v>600000</v>
      </c>
      <c r="W2705">
        <v>100000</v>
      </c>
      <c r="X2705" s="1">
        <v>43799</v>
      </c>
      <c r="Y2705" t="s">
        <v>51</v>
      </c>
      <c r="Z2705" t="s">
        <v>43</v>
      </c>
      <c r="AA2705" t="s">
        <v>98</v>
      </c>
      <c r="AB2705" t="s">
        <v>89</v>
      </c>
      <c r="AC2705" t="s">
        <v>90</v>
      </c>
      <c r="AF2705" t="s">
        <v>93</v>
      </c>
      <c r="AG2705" s="1">
        <v>43843</v>
      </c>
      <c r="AH2705" t="s">
        <v>85</v>
      </c>
      <c r="AI2705" t="s">
        <v>92</v>
      </c>
      <c r="AJ2705">
        <v>19888</v>
      </c>
      <c r="AK2705">
        <v>128777</v>
      </c>
      <c r="AL2705">
        <v>198882</v>
      </c>
    </row>
    <row r="2706" spans="1:38" x14ac:dyDescent="0.25">
      <c r="A2706" t="s">
        <v>617</v>
      </c>
      <c r="B2706">
        <v>54407334</v>
      </c>
      <c r="C2706" t="s">
        <v>40</v>
      </c>
      <c r="D2706" s="1">
        <v>43466</v>
      </c>
      <c r="E2706" s="1">
        <v>43830</v>
      </c>
      <c r="F2706" t="s">
        <v>84</v>
      </c>
      <c r="G2706">
        <v>10</v>
      </c>
      <c r="H2706" t="s">
        <v>85</v>
      </c>
      <c r="I2706" t="s">
        <v>43</v>
      </c>
      <c r="J2706" t="s">
        <v>86</v>
      </c>
      <c r="K2706" t="s">
        <v>44</v>
      </c>
      <c r="L2706">
        <v>23387.4</v>
      </c>
      <c r="M2706" s="1">
        <v>43466</v>
      </c>
      <c r="N2706" t="s">
        <v>45</v>
      </c>
      <c r="O2706" t="s">
        <v>46</v>
      </c>
      <c r="P2706" t="s">
        <v>47</v>
      </c>
      <c r="Q2706" s="1">
        <v>43852</v>
      </c>
      <c r="R2706" t="s">
        <v>48</v>
      </c>
      <c r="S2706" t="s">
        <v>99</v>
      </c>
      <c r="T2706" t="s">
        <v>100</v>
      </c>
      <c r="U2706" t="s">
        <v>85</v>
      </c>
      <c r="V2706">
        <v>210000</v>
      </c>
      <c r="W2706">
        <v>35000</v>
      </c>
      <c r="X2706" s="1">
        <v>43799</v>
      </c>
      <c r="Y2706" t="s">
        <v>51</v>
      </c>
      <c r="Z2706" t="s">
        <v>43</v>
      </c>
      <c r="AA2706" t="s">
        <v>98</v>
      </c>
      <c r="AB2706" t="s">
        <v>89</v>
      </c>
      <c r="AC2706" t="s">
        <v>101</v>
      </c>
      <c r="AF2706" t="s">
        <v>91</v>
      </c>
      <c r="AG2706" s="1">
        <v>43852</v>
      </c>
      <c r="AH2706" t="s">
        <v>85</v>
      </c>
      <c r="AI2706" t="s">
        <v>92</v>
      </c>
      <c r="AJ2706">
        <v>19888</v>
      </c>
      <c r="AK2706">
        <v>128777</v>
      </c>
      <c r="AL2706">
        <v>198882</v>
      </c>
    </row>
    <row r="2707" spans="1:38" x14ac:dyDescent="0.25">
      <c r="A2707" t="s">
        <v>617</v>
      </c>
      <c r="B2707">
        <v>54407334</v>
      </c>
      <c r="C2707" t="s">
        <v>40</v>
      </c>
      <c r="D2707" s="1">
        <v>43466</v>
      </c>
      <c r="E2707" s="1">
        <v>43830</v>
      </c>
      <c r="F2707" t="s">
        <v>84</v>
      </c>
      <c r="G2707">
        <v>10</v>
      </c>
      <c r="H2707" t="s">
        <v>85</v>
      </c>
      <c r="I2707" t="s">
        <v>43</v>
      </c>
      <c r="J2707" t="s">
        <v>86</v>
      </c>
      <c r="K2707" t="s">
        <v>44</v>
      </c>
      <c r="L2707">
        <v>23387.4</v>
      </c>
      <c r="M2707" s="1">
        <v>43466</v>
      </c>
      <c r="N2707" t="s">
        <v>45</v>
      </c>
      <c r="O2707" t="s">
        <v>46</v>
      </c>
      <c r="P2707" t="s">
        <v>47</v>
      </c>
      <c r="Q2707" s="1">
        <v>43852</v>
      </c>
      <c r="R2707" t="s">
        <v>48</v>
      </c>
      <c r="S2707" t="s">
        <v>99</v>
      </c>
      <c r="T2707" t="s">
        <v>100</v>
      </c>
      <c r="U2707" t="s">
        <v>85</v>
      </c>
      <c r="V2707">
        <v>210000</v>
      </c>
      <c r="W2707">
        <v>35000</v>
      </c>
      <c r="X2707" s="1">
        <v>43799</v>
      </c>
      <c r="Y2707" t="s">
        <v>51</v>
      </c>
      <c r="Z2707" t="s">
        <v>43</v>
      </c>
      <c r="AA2707" t="s">
        <v>98</v>
      </c>
      <c r="AB2707" t="s">
        <v>89</v>
      </c>
      <c r="AC2707" t="s">
        <v>101</v>
      </c>
      <c r="AF2707" t="s">
        <v>93</v>
      </c>
      <c r="AG2707" s="1">
        <v>43843</v>
      </c>
      <c r="AH2707" t="s">
        <v>85</v>
      </c>
      <c r="AI2707" t="s">
        <v>92</v>
      </c>
      <c r="AJ2707">
        <v>19888</v>
      </c>
      <c r="AK2707">
        <v>128777</v>
      </c>
      <c r="AL2707">
        <v>198882</v>
      </c>
    </row>
    <row r="2708" spans="1:38" x14ac:dyDescent="0.25">
      <c r="A2708" t="s">
        <v>617</v>
      </c>
      <c r="B2708">
        <v>54407334</v>
      </c>
      <c r="C2708" t="s">
        <v>40</v>
      </c>
      <c r="D2708" s="1">
        <v>43466</v>
      </c>
      <c r="E2708" s="1">
        <v>43830</v>
      </c>
      <c r="F2708" t="s">
        <v>84</v>
      </c>
      <c r="G2708">
        <v>10</v>
      </c>
      <c r="H2708" t="s">
        <v>85</v>
      </c>
      <c r="I2708" t="s">
        <v>43</v>
      </c>
      <c r="J2708" t="s">
        <v>86</v>
      </c>
      <c r="K2708" t="s">
        <v>44</v>
      </c>
      <c r="L2708">
        <v>23387.4</v>
      </c>
      <c r="M2708" s="1">
        <v>43466</v>
      </c>
      <c r="N2708" t="s">
        <v>45</v>
      </c>
      <c r="O2708" t="s">
        <v>46</v>
      </c>
      <c r="P2708" t="s">
        <v>47</v>
      </c>
      <c r="Q2708" s="1">
        <v>43852</v>
      </c>
      <c r="R2708" t="s">
        <v>48</v>
      </c>
      <c r="S2708" t="s">
        <v>102</v>
      </c>
      <c r="T2708" t="s">
        <v>103</v>
      </c>
      <c r="U2708" t="s">
        <v>85</v>
      </c>
      <c r="V2708">
        <v>5000000</v>
      </c>
      <c r="W2708">
        <v>250000</v>
      </c>
      <c r="X2708" s="1">
        <v>43799</v>
      </c>
      <c r="Y2708" t="s">
        <v>51</v>
      </c>
      <c r="Z2708" t="s">
        <v>43</v>
      </c>
      <c r="AA2708" t="s">
        <v>86</v>
      </c>
      <c r="AB2708" t="s">
        <v>89</v>
      </c>
      <c r="AC2708" t="s">
        <v>90</v>
      </c>
      <c r="AF2708" t="s">
        <v>91</v>
      </c>
      <c r="AG2708" s="1">
        <v>43852</v>
      </c>
      <c r="AH2708" t="s">
        <v>85</v>
      </c>
      <c r="AI2708" t="s">
        <v>92</v>
      </c>
      <c r="AJ2708">
        <v>19888</v>
      </c>
      <c r="AK2708">
        <v>128777</v>
      </c>
      <c r="AL2708">
        <v>198882</v>
      </c>
    </row>
    <row r="2709" spans="1:38" x14ac:dyDescent="0.25">
      <c r="A2709" t="s">
        <v>617</v>
      </c>
      <c r="B2709">
        <v>54407334</v>
      </c>
      <c r="C2709" t="s">
        <v>40</v>
      </c>
      <c r="D2709" s="1">
        <v>43466</v>
      </c>
      <c r="E2709" s="1">
        <v>43830</v>
      </c>
      <c r="F2709" t="s">
        <v>84</v>
      </c>
      <c r="G2709">
        <v>10</v>
      </c>
      <c r="H2709" t="s">
        <v>85</v>
      </c>
      <c r="I2709" t="s">
        <v>43</v>
      </c>
      <c r="J2709" t="s">
        <v>86</v>
      </c>
      <c r="K2709" t="s">
        <v>44</v>
      </c>
      <c r="L2709">
        <v>23387.4</v>
      </c>
      <c r="M2709" s="1">
        <v>43466</v>
      </c>
      <c r="N2709" t="s">
        <v>45</v>
      </c>
      <c r="O2709" t="s">
        <v>46</v>
      </c>
      <c r="P2709" t="s">
        <v>47</v>
      </c>
      <c r="Q2709" s="1">
        <v>43852</v>
      </c>
      <c r="R2709" t="s">
        <v>48</v>
      </c>
      <c r="S2709" t="s">
        <v>102</v>
      </c>
      <c r="T2709" t="s">
        <v>103</v>
      </c>
      <c r="U2709" t="s">
        <v>85</v>
      </c>
      <c r="V2709">
        <v>5000000</v>
      </c>
      <c r="W2709">
        <v>250000</v>
      </c>
      <c r="X2709" s="1">
        <v>43799</v>
      </c>
      <c r="Y2709" t="s">
        <v>51</v>
      </c>
      <c r="Z2709" t="s">
        <v>43</v>
      </c>
      <c r="AA2709" t="s">
        <v>86</v>
      </c>
      <c r="AB2709" t="s">
        <v>89</v>
      </c>
      <c r="AC2709" t="s">
        <v>90</v>
      </c>
      <c r="AF2709" t="s">
        <v>93</v>
      </c>
      <c r="AG2709" s="1">
        <v>43843</v>
      </c>
      <c r="AH2709" t="s">
        <v>85</v>
      </c>
      <c r="AI2709" t="s">
        <v>92</v>
      </c>
      <c r="AJ2709">
        <v>19888</v>
      </c>
      <c r="AK2709">
        <v>128777</v>
      </c>
      <c r="AL2709">
        <v>198882</v>
      </c>
    </row>
    <row r="2710" spans="1:38" x14ac:dyDescent="0.25">
      <c r="A2710" t="s">
        <v>617</v>
      </c>
      <c r="B2710" t="s">
        <v>620</v>
      </c>
      <c r="C2710" t="s">
        <v>40</v>
      </c>
      <c r="D2710" s="1">
        <v>43466</v>
      </c>
      <c r="E2710" s="1">
        <v>43830</v>
      </c>
      <c r="F2710" t="s">
        <v>84</v>
      </c>
      <c r="G2710">
        <v>10</v>
      </c>
      <c r="H2710" t="s">
        <v>85</v>
      </c>
      <c r="I2710" t="s">
        <v>43</v>
      </c>
      <c r="J2710" t="s">
        <v>86</v>
      </c>
      <c r="K2710" t="s">
        <v>44</v>
      </c>
      <c r="L2710">
        <v>914998.58</v>
      </c>
      <c r="M2710" s="1">
        <v>43466</v>
      </c>
      <c r="N2710" t="s">
        <v>45</v>
      </c>
      <c r="O2710" t="s">
        <v>106</v>
      </c>
      <c r="P2710" t="s">
        <v>47</v>
      </c>
      <c r="Q2710" s="1">
        <v>43852</v>
      </c>
      <c r="R2710" t="s">
        <v>48</v>
      </c>
      <c r="S2710" t="s">
        <v>87</v>
      </c>
      <c r="T2710" t="s">
        <v>88</v>
      </c>
      <c r="U2710" t="s">
        <v>85</v>
      </c>
      <c r="V2710">
        <v>1400000</v>
      </c>
      <c r="W2710">
        <v>100000</v>
      </c>
      <c r="X2710" s="1">
        <v>43808</v>
      </c>
      <c r="Y2710" t="s">
        <v>51</v>
      </c>
      <c r="Z2710" t="s">
        <v>43</v>
      </c>
      <c r="AA2710" t="s">
        <v>86</v>
      </c>
      <c r="AB2710" t="s">
        <v>89</v>
      </c>
      <c r="AC2710" t="s">
        <v>90</v>
      </c>
      <c r="AF2710" t="s">
        <v>91</v>
      </c>
      <c r="AG2710" s="1">
        <v>43852</v>
      </c>
      <c r="AH2710" t="s">
        <v>85</v>
      </c>
      <c r="AI2710" t="s">
        <v>92</v>
      </c>
      <c r="AJ2710">
        <v>19888</v>
      </c>
      <c r="AK2710">
        <v>128777</v>
      </c>
      <c r="AL2710">
        <v>198882</v>
      </c>
    </row>
    <row r="2711" spans="1:38" x14ac:dyDescent="0.25">
      <c r="A2711" t="s">
        <v>617</v>
      </c>
      <c r="B2711" t="s">
        <v>620</v>
      </c>
      <c r="C2711" t="s">
        <v>40</v>
      </c>
      <c r="D2711" s="1">
        <v>43466</v>
      </c>
      <c r="E2711" s="1">
        <v>43830</v>
      </c>
      <c r="F2711" t="s">
        <v>84</v>
      </c>
      <c r="G2711">
        <v>10</v>
      </c>
      <c r="H2711" t="s">
        <v>85</v>
      </c>
      <c r="I2711" t="s">
        <v>43</v>
      </c>
      <c r="J2711" t="s">
        <v>86</v>
      </c>
      <c r="K2711" t="s">
        <v>44</v>
      </c>
      <c r="L2711">
        <v>914998.58</v>
      </c>
      <c r="M2711" s="1">
        <v>43466</v>
      </c>
      <c r="N2711" t="s">
        <v>45</v>
      </c>
      <c r="O2711" t="s">
        <v>106</v>
      </c>
      <c r="P2711" t="s">
        <v>47</v>
      </c>
      <c r="Q2711" s="1">
        <v>43852</v>
      </c>
      <c r="R2711" t="s">
        <v>48</v>
      </c>
      <c r="S2711" t="s">
        <v>87</v>
      </c>
      <c r="T2711" t="s">
        <v>88</v>
      </c>
      <c r="U2711" t="s">
        <v>85</v>
      </c>
      <c r="V2711">
        <v>1400000</v>
      </c>
      <c r="W2711">
        <v>100000</v>
      </c>
      <c r="X2711" s="1">
        <v>43808</v>
      </c>
      <c r="Y2711" t="s">
        <v>51</v>
      </c>
      <c r="Z2711" t="s">
        <v>43</v>
      </c>
      <c r="AA2711" t="s">
        <v>86</v>
      </c>
      <c r="AB2711" t="s">
        <v>89</v>
      </c>
      <c r="AC2711" t="s">
        <v>90</v>
      </c>
      <c r="AF2711" t="s">
        <v>93</v>
      </c>
      <c r="AG2711" s="1">
        <v>43843</v>
      </c>
      <c r="AH2711" t="s">
        <v>85</v>
      </c>
      <c r="AI2711" t="s">
        <v>92</v>
      </c>
      <c r="AJ2711">
        <v>19888</v>
      </c>
      <c r="AK2711">
        <v>128777</v>
      </c>
      <c r="AL2711">
        <v>198882</v>
      </c>
    </row>
    <row r="2712" spans="1:38" x14ac:dyDescent="0.25">
      <c r="A2712" t="s">
        <v>617</v>
      </c>
      <c r="B2712" t="s">
        <v>620</v>
      </c>
      <c r="C2712" t="s">
        <v>40</v>
      </c>
      <c r="D2712" s="1">
        <v>43466</v>
      </c>
      <c r="E2712" s="1">
        <v>43830</v>
      </c>
      <c r="F2712" t="s">
        <v>84</v>
      </c>
      <c r="G2712">
        <v>10</v>
      </c>
      <c r="H2712" t="s">
        <v>85</v>
      </c>
      <c r="I2712" t="s">
        <v>43</v>
      </c>
      <c r="J2712" t="s">
        <v>86</v>
      </c>
      <c r="K2712" t="s">
        <v>44</v>
      </c>
      <c r="L2712">
        <v>914998.58</v>
      </c>
      <c r="M2712" s="1">
        <v>43466</v>
      </c>
      <c r="N2712" t="s">
        <v>45</v>
      </c>
      <c r="O2712" t="s">
        <v>106</v>
      </c>
      <c r="P2712" t="s">
        <v>47</v>
      </c>
      <c r="Q2712" s="1">
        <v>43852</v>
      </c>
      <c r="R2712" t="s">
        <v>48</v>
      </c>
      <c r="S2712" t="s">
        <v>94</v>
      </c>
      <c r="T2712" t="s">
        <v>95</v>
      </c>
      <c r="U2712" t="s">
        <v>85</v>
      </c>
      <c r="V2712">
        <v>4500000</v>
      </c>
      <c r="W2712">
        <v>300000</v>
      </c>
      <c r="X2712" s="1">
        <v>43767</v>
      </c>
      <c r="Y2712" t="s">
        <v>51</v>
      </c>
      <c r="Z2712" t="s">
        <v>43</v>
      </c>
      <c r="AA2712" t="s">
        <v>86</v>
      </c>
      <c r="AB2712" t="s">
        <v>89</v>
      </c>
      <c r="AC2712" t="s">
        <v>90</v>
      </c>
      <c r="AF2712" t="s">
        <v>91</v>
      </c>
      <c r="AG2712" s="1">
        <v>43852</v>
      </c>
      <c r="AH2712" t="s">
        <v>85</v>
      </c>
      <c r="AI2712" t="s">
        <v>92</v>
      </c>
      <c r="AJ2712">
        <v>19888</v>
      </c>
      <c r="AK2712">
        <v>128777</v>
      </c>
      <c r="AL2712">
        <v>198882</v>
      </c>
    </row>
    <row r="2713" spans="1:38" x14ac:dyDescent="0.25">
      <c r="A2713" t="s">
        <v>617</v>
      </c>
      <c r="B2713" t="s">
        <v>620</v>
      </c>
      <c r="C2713" t="s">
        <v>40</v>
      </c>
      <c r="D2713" s="1">
        <v>43466</v>
      </c>
      <c r="E2713" s="1">
        <v>43830</v>
      </c>
      <c r="F2713" t="s">
        <v>84</v>
      </c>
      <c r="G2713">
        <v>10</v>
      </c>
      <c r="H2713" t="s">
        <v>85</v>
      </c>
      <c r="I2713" t="s">
        <v>43</v>
      </c>
      <c r="J2713" t="s">
        <v>86</v>
      </c>
      <c r="K2713" t="s">
        <v>44</v>
      </c>
      <c r="L2713">
        <v>914998.58</v>
      </c>
      <c r="M2713" s="1">
        <v>43466</v>
      </c>
      <c r="N2713" t="s">
        <v>45</v>
      </c>
      <c r="O2713" t="s">
        <v>106</v>
      </c>
      <c r="P2713" t="s">
        <v>47</v>
      </c>
      <c r="Q2713" s="1">
        <v>43852</v>
      </c>
      <c r="R2713" t="s">
        <v>48</v>
      </c>
      <c r="S2713" t="s">
        <v>94</v>
      </c>
      <c r="T2713" t="s">
        <v>95</v>
      </c>
      <c r="U2713" t="s">
        <v>85</v>
      </c>
      <c r="V2713">
        <v>4500000</v>
      </c>
      <c r="W2713">
        <v>300000</v>
      </c>
      <c r="X2713" s="1">
        <v>43767</v>
      </c>
      <c r="Y2713" t="s">
        <v>51</v>
      </c>
      <c r="Z2713" t="s">
        <v>43</v>
      </c>
      <c r="AA2713" t="s">
        <v>86</v>
      </c>
      <c r="AB2713" t="s">
        <v>89</v>
      </c>
      <c r="AC2713" t="s">
        <v>90</v>
      </c>
      <c r="AF2713" t="s">
        <v>93</v>
      </c>
      <c r="AG2713" s="1">
        <v>43843</v>
      </c>
      <c r="AH2713" t="s">
        <v>85</v>
      </c>
      <c r="AI2713" t="s">
        <v>92</v>
      </c>
      <c r="AJ2713">
        <v>19888</v>
      </c>
      <c r="AK2713">
        <v>128777</v>
      </c>
      <c r="AL2713">
        <v>198882</v>
      </c>
    </row>
    <row r="2714" spans="1:38" x14ac:dyDescent="0.25">
      <c r="A2714" t="s">
        <v>617</v>
      </c>
      <c r="B2714" t="s">
        <v>620</v>
      </c>
      <c r="C2714" t="s">
        <v>40</v>
      </c>
      <c r="D2714" s="1">
        <v>43466</v>
      </c>
      <c r="E2714" s="1">
        <v>43830</v>
      </c>
      <c r="F2714" t="s">
        <v>84</v>
      </c>
      <c r="G2714">
        <v>10</v>
      </c>
      <c r="H2714" t="s">
        <v>85</v>
      </c>
      <c r="I2714" t="s">
        <v>43</v>
      </c>
      <c r="J2714" t="s">
        <v>86</v>
      </c>
      <c r="K2714" t="s">
        <v>44</v>
      </c>
      <c r="L2714">
        <v>914998.58</v>
      </c>
      <c r="M2714" s="1">
        <v>43466</v>
      </c>
      <c r="N2714" t="s">
        <v>45</v>
      </c>
      <c r="O2714" t="s">
        <v>106</v>
      </c>
      <c r="P2714" t="s">
        <v>47</v>
      </c>
      <c r="Q2714" s="1">
        <v>43852</v>
      </c>
      <c r="R2714" t="s">
        <v>48</v>
      </c>
      <c r="S2714" t="s">
        <v>96</v>
      </c>
      <c r="T2714" t="s">
        <v>97</v>
      </c>
      <c r="U2714" t="s">
        <v>85</v>
      </c>
      <c r="V2714">
        <v>600000</v>
      </c>
      <c r="W2714">
        <v>100000</v>
      </c>
      <c r="X2714" s="1">
        <v>43799</v>
      </c>
      <c r="Y2714" t="s">
        <v>51</v>
      </c>
      <c r="Z2714" t="s">
        <v>43</v>
      </c>
      <c r="AA2714" t="s">
        <v>98</v>
      </c>
      <c r="AB2714" t="s">
        <v>89</v>
      </c>
      <c r="AC2714" t="s">
        <v>90</v>
      </c>
      <c r="AF2714" t="s">
        <v>91</v>
      </c>
      <c r="AG2714" s="1">
        <v>43852</v>
      </c>
      <c r="AH2714" t="s">
        <v>85</v>
      </c>
      <c r="AI2714" t="s">
        <v>92</v>
      </c>
      <c r="AJ2714">
        <v>19888</v>
      </c>
      <c r="AK2714">
        <v>128777</v>
      </c>
      <c r="AL2714">
        <v>198882</v>
      </c>
    </row>
    <row r="2715" spans="1:38" x14ac:dyDescent="0.25">
      <c r="A2715" t="s">
        <v>617</v>
      </c>
      <c r="B2715" t="s">
        <v>620</v>
      </c>
      <c r="C2715" t="s">
        <v>40</v>
      </c>
      <c r="D2715" s="1">
        <v>43466</v>
      </c>
      <c r="E2715" s="1">
        <v>43830</v>
      </c>
      <c r="F2715" t="s">
        <v>84</v>
      </c>
      <c r="G2715">
        <v>10</v>
      </c>
      <c r="H2715" t="s">
        <v>85</v>
      </c>
      <c r="I2715" t="s">
        <v>43</v>
      </c>
      <c r="J2715" t="s">
        <v>86</v>
      </c>
      <c r="K2715" t="s">
        <v>44</v>
      </c>
      <c r="L2715">
        <v>914998.58</v>
      </c>
      <c r="M2715" s="1">
        <v>43466</v>
      </c>
      <c r="N2715" t="s">
        <v>45</v>
      </c>
      <c r="O2715" t="s">
        <v>106</v>
      </c>
      <c r="P2715" t="s">
        <v>47</v>
      </c>
      <c r="Q2715" s="1">
        <v>43852</v>
      </c>
      <c r="R2715" t="s">
        <v>48</v>
      </c>
      <c r="S2715" t="s">
        <v>96</v>
      </c>
      <c r="T2715" t="s">
        <v>97</v>
      </c>
      <c r="U2715" t="s">
        <v>85</v>
      </c>
      <c r="V2715">
        <v>600000</v>
      </c>
      <c r="W2715">
        <v>100000</v>
      </c>
      <c r="X2715" s="1">
        <v>43799</v>
      </c>
      <c r="Y2715" t="s">
        <v>51</v>
      </c>
      <c r="Z2715" t="s">
        <v>43</v>
      </c>
      <c r="AA2715" t="s">
        <v>98</v>
      </c>
      <c r="AB2715" t="s">
        <v>89</v>
      </c>
      <c r="AC2715" t="s">
        <v>90</v>
      </c>
      <c r="AF2715" t="s">
        <v>93</v>
      </c>
      <c r="AG2715" s="1">
        <v>43843</v>
      </c>
      <c r="AH2715" t="s">
        <v>85</v>
      </c>
      <c r="AI2715" t="s">
        <v>92</v>
      </c>
      <c r="AJ2715">
        <v>19888</v>
      </c>
      <c r="AK2715">
        <v>128777</v>
      </c>
      <c r="AL2715">
        <v>198882</v>
      </c>
    </row>
    <row r="2716" spans="1:38" x14ac:dyDescent="0.25">
      <c r="A2716" t="s">
        <v>617</v>
      </c>
      <c r="B2716" t="s">
        <v>620</v>
      </c>
      <c r="C2716" t="s">
        <v>40</v>
      </c>
      <c r="D2716" s="1">
        <v>43466</v>
      </c>
      <c r="E2716" s="1">
        <v>43830</v>
      </c>
      <c r="F2716" t="s">
        <v>84</v>
      </c>
      <c r="G2716">
        <v>10</v>
      </c>
      <c r="H2716" t="s">
        <v>85</v>
      </c>
      <c r="I2716" t="s">
        <v>43</v>
      </c>
      <c r="J2716" t="s">
        <v>86</v>
      </c>
      <c r="K2716" t="s">
        <v>44</v>
      </c>
      <c r="L2716">
        <v>914998.58</v>
      </c>
      <c r="M2716" s="1">
        <v>43466</v>
      </c>
      <c r="N2716" t="s">
        <v>45</v>
      </c>
      <c r="O2716" t="s">
        <v>106</v>
      </c>
      <c r="P2716" t="s">
        <v>47</v>
      </c>
      <c r="Q2716" s="1">
        <v>43852</v>
      </c>
      <c r="R2716" t="s">
        <v>48</v>
      </c>
      <c r="S2716" t="s">
        <v>99</v>
      </c>
      <c r="T2716" t="s">
        <v>100</v>
      </c>
      <c r="U2716" t="s">
        <v>85</v>
      </c>
      <c r="V2716">
        <v>210000</v>
      </c>
      <c r="W2716">
        <v>35000</v>
      </c>
      <c r="X2716" s="1">
        <v>43799</v>
      </c>
      <c r="Y2716" t="s">
        <v>51</v>
      </c>
      <c r="Z2716" t="s">
        <v>43</v>
      </c>
      <c r="AA2716" t="s">
        <v>98</v>
      </c>
      <c r="AB2716" t="s">
        <v>89</v>
      </c>
      <c r="AC2716" t="s">
        <v>101</v>
      </c>
      <c r="AF2716" t="s">
        <v>91</v>
      </c>
      <c r="AG2716" s="1">
        <v>43852</v>
      </c>
      <c r="AH2716" t="s">
        <v>85</v>
      </c>
      <c r="AI2716" t="s">
        <v>92</v>
      </c>
      <c r="AJ2716">
        <v>19888</v>
      </c>
      <c r="AK2716">
        <v>128777</v>
      </c>
      <c r="AL2716">
        <v>198882</v>
      </c>
    </row>
    <row r="2717" spans="1:38" x14ac:dyDescent="0.25">
      <c r="A2717" t="s">
        <v>617</v>
      </c>
      <c r="B2717" t="s">
        <v>620</v>
      </c>
      <c r="C2717" t="s">
        <v>40</v>
      </c>
      <c r="D2717" s="1">
        <v>43466</v>
      </c>
      <c r="E2717" s="1">
        <v>43830</v>
      </c>
      <c r="F2717" t="s">
        <v>84</v>
      </c>
      <c r="G2717">
        <v>10</v>
      </c>
      <c r="H2717" t="s">
        <v>85</v>
      </c>
      <c r="I2717" t="s">
        <v>43</v>
      </c>
      <c r="J2717" t="s">
        <v>86</v>
      </c>
      <c r="K2717" t="s">
        <v>44</v>
      </c>
      <c r="L2717">
        <v>914998.58</v>
      </c>
      <c r="M2717" s="1">
        <v>43466</v>
      </c>
      <c r="N2717" t="s">
        <v>45</v>
      </c>
      <c r="O2717" t="s">
        <v>106</v>
      </c>
      <c r="P2717" t="s">
        <v>47</v>
      </c>
      <c r="Q2717" s="1">
        <v>43852</v>
      </c>
      <c r="R2717" t="s">
        <v>48</v>
      </c>
      <c r="S2717" t="s">
        <v>99</v>
      </c>
      <c r="T2717" t="s">
        <v>100</v>
      </c>
      <c r="U2717" t="s">
        <v>85</v>
      </c>
      <c r="V2717">
        <v>210000</v>
      </c>
      <c r="W2717">
        <v>35000</v>
      </c>
      <c r="X2717" s="1">
        <v>43799</v>
      </c>
      <c r="Y2717" t="s">
        <v>51</v>
      </c>
      <c r="Z2717" t="s">
        <v>43</v>
      </c>
      <c r="AA2717" t="s">
        <v>98</v>
      </c>
      <c r="AB2717" t="s">
        <v>89</v>
      </c>
      <c r="AC2717" t="s">
        <v>101</v>
      </c>
      <c r="AF2717" t="s">
        <v>93</v>
      </c>
      <c r="AG2717" s="1">
        <v>43843</v>
      </c>
      <c r="AH2717" t="s">
        <v>85</v>
      </c>
      <c r="AI2717" t="s">
        <v>92</v>
      </c>
      <c r="AJ2717">
        <v>19888</v>
      </c>
      <c r="AK2717">
        <v>128777</v>
      </c>
      <c r="AL2717">
        <v>198882</v>
      </c>
    </row>
    <row r="2718" spans="1:38" x14ac:dyDescent="0.25">
      <c r="A2718" t="s">
        <v>617</v>
      </c>
      <c r="B2718" t="s">
        <v>620</v>
      </c>
      <c r="C2718" t="s">
        <v>40</v>
      </c>
      <c r="D2718" s="1">
        <v>43466</v>
      </c>
      <c r="E2718" s="1">
        <v>43830</v>
      </c>
      <c r="F2718" t="s">
        <v>84</v>
      </c>
      <c r="G2718">
        <v>10</v>
      </c>
      <c r="H2718" t="s">
        <v>85</v>
      </c>
      <c r="I2718" t="s">
        <v>43</v>
      </c>
      <c r="J2718" t="s">
        <v>86</v>
      </c>
      <c r="K2718" t="s">
        <v>44</v>
      </c>
      <c r="L2718">
        <v>914998.58</v>
      </c>
      <c r="M2718" s="1">
        <v>43466</v>
      </c>
      <c r="N2718" t="s">
        <v>45</v>
      </c>
      <c r="O2718" t="s">
        <v>106</v>
      </c>
      <c r="P2718" t="s">
        <v>47</v>
      </c>
      <c r="Q2718" s="1">
        <v>43852</v>
      </c>
      <c r="R2718" t="s">
        <v>48</v>
      </c>
      <c r="S2718" t="s">
        <v>102</v>
      </c>
      <c r="T2718" t="s">
        <v>103</v>
      </c>
      <c r="U2718" t="s">
        <v>85</v>
      </c>
      <c r="V2718">
        <v>5000000</v>
      </c>
      <c r="W2718">
        <v>250000</v>
      </c>
      <c r="X2718" s="1">
        <v>43799</v>
      </c>
      <c r="Y2718" t="s">
        <v>51</v>
      </c>
      <c r="Z2718" t="s">
        <v>43</v>
      </c>
      <c r="AA2718" t="s">
        <v>86</v>
      </c>
      <c r="AB2718" t="s">
        <v>89</v>
      </c>
      <c r="AC2718" t="s">
        <v>90</v>
      </c>
      <c r="AF2718" t="s">
        <v>91</v>
      </c>
      <c r="AG2718" s="1">
        <v>43852</v>
      </c>
      <c r="AH2718" t="s">
        <v>85</v>
      </c>
      <c r="AI2718" t="s">
        <v>92</v>
      </c>
      <c r="AJ2718">
        <v>19888</v>
      </c>
      <c r="AK2718">
        <v>128777</v>
      </c>
      <c r="AL2718">
        <v>198882</v>
      </c>
    </row>
    <row r="2719" spans="1:38" x14ac:dyDescent="0.25">
      <c r="A2719" t="s">
        <v>617</v>
      </c>
      <c r="B2719" t="s">
        <v>620</v>
      </c>
      <c r="C2719" t="s">
        <v>40</v>
      </c>
      <c r="D2719" s="1">
        <v>43466</v>
      </c>
      <c r="E2719" s="1">
        <v>43830</v>
      </c>
      <c r="F2719" t="s">
        <v>84</v>
      </c>
      <c r="G2719">
        <v>10</v>
      </c>
      <c r="H2719" t="s">
        <v>85</v>
      </c>
      <c r="I2719" t="s">
        <v>43</v>
      </c>
      <c r="J2719" t="s">
        <v>86</v>
      </c>
      <c r="K2719" t="s">
        <v>44</v>
      </c>
      <c r="L2719">
        <v>914998.58</v>
      </c>
      <c r="M2719" s="1">
        <v>43466</v>
      </c>
      <c r="N2719" t="s">
        <v>45</v>
      </c>
      <c r="O2719" t="s">
        <v>106</v>
      </c>
      <c r="P2719" t="s">
        <v>47</v>
      </c>
      <c r="Q2719" s="1">
        <v>43852</v>
      </c>
      <c r="R2719" t="s">
        <v>48</v>
      </c>
      <c r="S2719" t="s">
        <v>102</v>
      </c>
      <c r="T2719" t="s">
        <v>103</v>
      </c>
      <c r="U2719" t="s">
        <v>85</v>
      </c>
      <c r="V2719">
        <v>5000000</v>
      </c>
      <c r="W2719">
        <v>250000</v>
      </c>
      <c r="X2719" s="1">
        <v>43799</v>
      </c>
      <c r="Y2719" t="s">
        <v>51</v>
      </c>
      <c r="Z2719" t="s">
        <v>43</v>
      </c>
      <c r="AA2719" t="s">
        <v>86</v>
      </c>
      <c r="AB2719" t="s">
        <v>89</v>
      </c>
      <c r="AC2719" t="s">
        <v>90</v>
      </c>
      <c r="AF2719" t="s">
        <v>93</v>
      </c>
      <c r="AG2719" s="1">
        <v>43843</v>
      </c>
      <c r="AH2719" t="s">
        <v>85</v>
      </c>
      <c r="AI2719" t="s">
        <v>92</v>
      </c>
      <c r="AJ2719">
        <v>19888</v>
      </c>
      <c r="AK2719">
        <v>128777</v>
      </c>
      <c r="AL2719">
        <v>198882</v>
      </c>
    </row>
    <row r="2720" spans="1:38" x14ac:dyDescent="0.25">
      <c r="A2720" t="s">
        <v>617</v>
      </c>
      <c r="B2720" t="s">
        <v>620</v>
      </c>
      <c r="C2720" t="s">
        <v>40</v>
      </c>
      <c r="D2720" s="1">
        <v>43466</v>
      </c>
      <c r="E2720" s="1">
        <v>43830</v>
      </c>
      <c r="F2720" t="s">
        <v>84</v>
      </c>
      <c r="G2720">
        <v>10</v>
      </c>
      <c r="H2720" t="s">
        <v>85</v>
      </c>
      <c r="I2720" t="s">
        <v>43</v>
      </c>
      <c r="J2720" t="s">
        <v>86</v>
      </c>
      <c r="K2720" t="s">
        <v>44</v>
      </c>
      <c r="L2720">
        <v>93906.08</v>
      </c>
      <c r="M2720" s="1">
        <v>43531</v>
      </c>
      <c r="N2720" t="s">
        <v>108</v>
      </c>
      <c r="O2720" t="s">
        <v>106</v>
      </c>
      <c r="P2720" t="s">
        <v>47</v>
      </c>
      <c r="Q2720" s="1">
        <v>43852</v>
      </c>
      <c r="R2720" t="s">
        <v>48</v>
      </c>
      <c r="S2720" t="s">
        <v>87</v>
      </c>
      <c r="T2720" t="s">
        <v>88</v>
      </c>
      <c r="U2720" t="s">
        <v>85</v>
      </c>
      <c r="V2720">
        <v>1400000</v>
      </c>
      <c r="W2720">
        <v>100000</v>
      </c>
      <c r="X2720" s="1">
        <v>43808</v>
      </c>
      <c r="Y2720" t="s">
        <v>51</v>
      </c>
      <c r="Z2720" t="s">
        <v>43</v>
      </c>
      <c r="AA2720" t="s">
        <v>86</v>
      </c>
      <c r="AB2720" t="s">
        <v>89</v>
      </c>
      <c r="AC2720" t="s">
        <v>90</v>
      </c>
      <c r="AF2720" t="s">
        <v>91</v>
      </c>
      <c r="AG2720" s="1">
        <v>43852</v>
      </c>
      <c r="AH2720" t="s">
        <v>85</v>
      </c>
      <c r="AI2720" t="s">
        <v>92</v>
      </c>
      <c r="AJ2720">
        <v>19888</v>
      </c>
      <c r="AK2720">
        <v>128777</v>
      </c>
      <c r="AL2720">
        <v>198882</v>
      </c>
    </row>
    <row r="2721" spans="1:38" x14ac:dyDescent="0.25">
      <c r="A2721" t="s">
        <v>617</v>
      </c>
      <c r="B2721" t="s">
        <v>620</v>
      </c>
      <c r="C2721" t="s">
        <v>40</v>
      </c>
      <c r="D2721" s="1">
        <v>43466</v>
      </c>
      <c r="E2721" s="1">
        <v>43830</v>
      </c>
      <c r="F2721" t="s">
        <v>84</v>
      </c>
      <c r="G2721">
        <v>10</v>
      </c>
      <c r="H2721" t="s">
        <v>85</v>
      </c>
      <c r="I2721" t="s">
        <v>43</v>
      </c>
      <c r="J2721" t="s">
        <v>86</v>
      </c>
      <c r="K2721" t="s">
        <v>44</v>
      </c>
      <c r="L2721">
        <v>93906.08</v>
      </c>
      <c r="M2721" s="1">
        <v>43531</v>
      </c>
      <c r="N2721" t="s">
        <v>108</v>
      </c>
      <c r="O2721" t="s">
        <v>106</v>
      </c>
      <c r="P2721" t="s">
        <v>47</v>
      </c>
      <c r="Q2721" s="1">
        <v>43852</v>
      </c>
      <c r="R2721" t="s">
        <v>48</v>
      </c>
      <c r="S2721" t="s">
        <v>87</v>
      </c>
      <c r="T2721" t="s">
        <v>88</v>
      </c>
      <c r="U2721" t="s">
        <v>85</v>
      </c>
      <c r="V2721">
        <v>1400000</v>
      </c>
      <c r="W2721">
        <v>100000</v>
      </c>
      <c r="X2721" s="1">
        <v>43808</v>
      </c>
      <c r="Y2721" t="s">
        <v>51</v>
      </c>
      <c r="Z2721" t="s">
        <v>43</v>
      </c>
      <c r="AA2721" t="s">
        <v>86</v>
      </c>
      <c r="AB2721" t="s">
        <v>89</v>
      </c>
      <c r="AC2721" t="s">
        <v>90</v>
      </c>
      <c r="AF2721" t="s">
        <v>93</v>
      </c>
      <c r="AG2721" s="1">
        <v>43843</v>
      </c>
      <c r="AH2721" t="s">
        <v>85</v>
      </c>
      <c r="AI2721" t="s">
        <v>92</v>
      </c>
      <c r="AJ2721">
        <v>19888</v>
      </c>
      <c r="AK2721">
        <v>128777</v>
      </c>
      <c r="AL2721">
        <v>198882</v>
      </c>
    </row>
    <row r="2722" spans="1:38" x14ac:dyDescent="0.25">
      <c r="A2722" t="s">
        <v>617</v>
      </c>
      <c r="B2722" t="s">
        <v>620</v>
      </c>
      <c r="C2722" t="s">
        <v>40</v>
      </c>
      <c r="D2722" s="1">
        <v>43466</v>
      </c>
      <c r="E2722" s="1">
        <v>43830</v>
      </c>
      <c r="F2722" t="s">
        <v>84</v>
      </c>
      <c r="G2722">
        <v>10</v>
      </c>
      <c r="H2722" t="s">
        <v>85</v>
      </c>
      <c r="I2722" t="s">
        <v>43</v>
      </c>
      <c r="J2722" t="s">
        <v>86</v>
      </c>
      <c r="K2722" t="s">
        <v>44</v>
      </c>
      <c r="L2722">
        <v>93906.08</v>
      </c>
      <c r="M2722" s="1">
        <v>43531</v>
      </c>
      <c r="N2722" t="s">
        <v>108</v>
      </c>
      <c r="O2722" t="s">
        <v>106</v>
      </c>
      <c r="P2722" t="s">
        <v>47</v>
      </c>
      <c r="Q2722" s="1">
        <v>43852</v>
      </c>
      <c r="R2722" t="s">
        <v>48</v>
      </c>
      <c r="S2722" t="s">
        <v>94</v>
      </c>
      <c r="T2722" t="s">
        <v>95</v>
      </c>
      <c r="U2722" t="s">
        <v>85</v>
      </c>
      <c r="V2722">
        <v>4500000</v>
      </c>
      <c r="W2722">
        <v>300000</v>
      </c>
      <c r="X2722" s="1">
        <v>43767</v>
      </c>
      <c r="Y2722" t="s">
        <v>51</v>
      </c>
      <c r="Z2722" t="s">
        <v>43</v>
      </c>
      <c r="AA2722" t="s">
        <v>86</v>
      </c>
      <c r="AB2722" t="s">
        <v>89</v>
      </c>
      <c r="AC2722" t="s">
        <v>90</v>
      </c>
      <c r="AF2722" t="s">
        <v>91</v>
      </c>
      <c r="AG2722" s="1">
        <v>43852</v>
      </c>
      <c r="AH2722" t="s">
        <v>85</v>
      </c>
      <c r="AI2722" t="s">
        <v>92</v>
      </c>
      <c r="AJ2722">
        <v>19888</v>
      </c>
      <c r="AK2722">
        <v>128777</v>
      </c>
      <c r="AL2722">
        <v>198882</v>
      </c>
    </row>
    <row r="2723" spans="1:38" x14ac:dyDescent="0.25">
      <c r="A2723" t="s">
        <v>617</v>
      </c>
      <c r="B2723" t="s">
        <v>620</v>
      </c>
      <c r="C2723" t="s">
        <v>40</v>
      </c>
      <c r="D2723" s="1">
        <v>43466</v>
      </c>
      <c r="E2723" s="1">
        <v>43830</v>
      </c>
      <c r="F2723" t="s">
        <v>84</v>
      </c>
      <c r="G2723">
        <v>10</v>
      </c>
      <c r="H2723" t="s">
        <v>85</v>
      </c>
      <c r="I2723" t="s">
        <v>43</v>
      </c>
      <c r="J2723" t="s">
        <v>86</v>
      </c>
      <c r="K2723" t="s">
        <v>44</v>
      </c>
      <c r="L2723">
        <v>93906.08</v>
      </c>
      <c r="M2723" s="1">
        <v>43531</v>
      </c>
      <c r="N2723" t="s">
        <v>108</v>
      </c>
      <c r="O2723" t="s">
        <v>106</v>
      </c>
      <c r="P2723" t="s">
        <v>47</v>
      </c>
      <c r="Q2723" s="1">
        <v>43852</v>
      </c>
      <c r="R2723" t="s">
        <v>48</v>
      </c>
      <c r="S2723" t="s">
        <v>94</v>
      </c>
      <c r="T2723" t="s">
        <v>95</v>
      </c>
      <c r="U2723" t="s">
        <v>85</v>
      </c>
      <c r="V2723">
        <v>4500000</v>
      </c>
      <c r="W2723">
        <v>300000</v>
      </c>
      <c r="X2723" s="1">
        <v>43767</v>
      </c>
      <c r="Y2723" t="s">
        <v>51</v>
      </c>
      <c r="Z2723" t="s">
        <v>43</v>
      </c>
      <c r="AA2723" t="s">
        <v>86</v>
      </c>
      <c r="AB2723" t="s">
        <v>89</v>
      </c>
      <c r="AC2723" t="s">
        <v>90</v>
      </c>
      <c r="AF2723" t="s">
        <v>93</v>
      </c>
      <c r="AG2723" s="1">
        <v>43843</v>
      </c>
      <c r="AH2723" t="s">
        <v>85</v>
      </c>
      <c r="AI2723" t="s">
        <v>92</v>
      </c>
      <c r="AJ2723">
        <v>19888</v>
      </c>
      <c r="AK2723">
        <v>128777</v>
      </c>
      <c r="AL2723">
        <v>198882</v>
      </c>
    </row>
    <row r="2724" spans="1:38" x14ac:dyDescent="0.25">
      <c r="A2724" t="s">
        <v>617</v>
      </c>
      <c r="B2724" t="s">
        <v>620</v>
      </c>
      <c r="C2724" t="s">
        <v>40</v>
      </c>
      <c r="D2724" s="1">
        <v>43466</v>
      </c>
      <c r="E2724" s="1">
        <v>43830</v>
      </c>
      <c r="F2724" t="s">
        <v>84</v>
      </c>
      <c r="G2724">
        <v>10</v>
      </c>
      <c r="H2724" t="s">
        <v>85</v>
      </c>
      <c r="I2724" t="s">
        <v>43</v>
      </c>
      <c r="J2724" t="s">
        <v>86</v>
      </c>
      <c r="K2724" t="s">
        <v>44</v>
      </c>
      <c r="L2724">
        <v>93906.08</v>
      </c>
      <c r="M2724" s="1">
        <v>43531</v>
      </c>
      <c r="N2724" t="s">
        <v>108</v>
      </c>
      <c r="O2724" t="s">
        <v>106</v>
      </c>
      <c r="P2724" t="s">
        <v>47</v>
      </c>
      <c r="Q2724" s="1">
        <v>43852</v>
      </c>
      <c r="R2724" t="s">
        <v>48</v>
      </c>
      <c r="S2724" t="s">
        <v>96</v>
      </c>
      <c r="T2724" t="s">
        <v>97</v>
      </c>
      <c r="U2724" t="s">
        <v>85</v>
      </c>
      <c r="V2724">
        <v>600000</v>
      </c>
      <c r="W2724">
        <v>100000</v>
      </c>
      <c r="X2724" s="1">
        <v>43799</v>
      </c>
      <c r="Y2724" t="s">
        <v>51</v>
      </c>
      <c r="Z2724" t="s">
        <v>43</v>
      </c>
      <c r="AA2724" t="s">
        <v>98</v>
      </c>
      <c r="AB2724" t="s">
        <v>89</v>
      </c>
      <c r="AC2724" t="s">
        <v>90</v>
      </c>
      <c r="AF2724" t="s">
        <v>91</v>
      </c>
      <c r="AG2724" s="1">
        <v>43852</v>
      </c>
      <c r="AH2724" t="s">
        <v>85</v>
      </c>
      <c r="AI2724" t="s">
        <v>92</v>
      </c>
      <c r="AJ2724">
        <v>19888</v>
      </c>
      <c r="AK2724">
        <v>128777</v>
      </c>
      <c r="AL2724">
        <v>198882</v>
      </c>
    </row>
    <row r="2725" spans="1:38" x14ac:dyDescent="0.25">
      <c r="A2725" t="s">
        <v>617</v>
      </c>
      <c r="B2725" t="s">
        <v>620</v>
      </c>
      <c r="C2725" t="s">
        <v>40</v>
      </c>
      <c r="D2725" s="1">
        <v>43466</v>
      </c>
      <c r="E2725" s="1">
        <v>43830</v>
      </c>
      <c r="F2725" t="s">
        <v>84</v>
      </c>
      <c r="G2725">
        <v>10</v>
      </c>
      <c r="H2725" t="s">
        <v>85</v>
      </c>
      <c r="I2725" t="s">
        <v>43</v>
      </c>
      <c r="J2725" t="s">
        <v>86</v>
      </c>
      <c r="K2725" t="s">
        <v>44</v>
      </c>
      <c r="L2725">
        <v>93906.08</v>
      </c>
      <c r="M2725" s="1">
        <v>43531</v>
      </c>
      <c r="N2725" t="s">
        <v>108</v>
      </c>
      <c r="O2725" t="s">
        <v>106</v>
      </c>
      <c r="P2725" t="s">
        <v>47</v>
      </c>
      <c r="Q2725" s="1">
        <v>43852</v>
      </c>
      <c r="R2725" t="s">
        <v>48</v>
      </c>
      <c r="S2725" t="s">
        <v>96</v>
      </c>
      <c r="T2725" t="s">
        <v>97</v>
      </c>
      <c r="U2725" t="s">
        <v>85</v>
      </c>
      <c r="V2725">
        <v>600000</v>
      </c>
      <c r="W2725">
        <v>100000</v>
      </c>
      <c r="X2725" s="1">
        <v>43799</v>
      </c>
      <c r="Y2725" t="s">
        <v>51</v>
      </c>
      <c r="Z2725" t="s">
        <v>43</v>
      </c>
      <c r="AA2725" t="s">
        <v>98</v>
      </c>
      <c r="AB2725" t="s">
        <v>89</v>
      </c>
      <c r="AC2725" t="s">
        <v>90</v>
      </c>
      <c r="AF2725" t="s">
        <v>93</v>
      </c>
      <c r="AG2725" s="1">
        <v>43843</v>
      </c>
      <c r="AH2725" t="s">
        <v>85</v>
      </c>
      <c r="AI2725" t="s">
        <v>92</v>
      </c>
      <c r="AJ2725">
        <v>19888</v>
      </c>
      <c r="AK2725">
        <v>128777</v>
      </c>
      <c r="AL2725">
        <v>198882</v>
      </c>
    </row>
    <row r="2726" spans="1:38" x14ac:dyDescent="0.25">
      <c r="A2726" t="s">
        <v>617</v>
      </c>
      <c r="B2726" t="s">
        <v>620</v>
      </c>
      <c r="C2726" t="s">
        <v>40</v>
      </c>
      <c r="D2726" s="1">
        <v>43466</v>
      </c>
      <c r="E2726" s="1">
        <v>43830</v>
      </c>
      <c r="F2726" t="s">
        <v>84</v>
      </c>
      <c r="G2726">
        <v>10</v>
      </c>
      <c r="H2726" t="s">
        <v>85</v>
      </c>
      <c r="I2726" t="s">
        <v>43</v>
      </c>
      <c r="J2726" t="s">
        <v>86</v>
      </c>
      <c r="K2726" t="s">
        <v>44</v>
      </c>
      <c r="L2726">
        <v>93906.08</v>
      </c>
      <c r="M2726" s="1">
        <v>43531</v>
      </c>
      <c r="N2726" t="s">
        <v>108</v>
      </c>
      <c r="O2726" t="s">
        <v>106</v>
      </c>
      <c r="P2726" t="s">
        <v>47</v>
      </c>
      <c r="Q2726" s="1">
        <v>43852</v>
      </c>
      <c r="R2726" t="s">
        <v>48</v>
      </c>
      <c r="S2726" t="s">
        <v>99</v>
      </c>
      <c r="T2726" t="s">
        <v>100</v>
      </c>
      <c r="U2726" t="s">
        <v>85</v>
      </c>
      <c r="V2726">
        <v>210000</v>
      </c>
      <c r="W2726">
        <v>35000</v>
      </c>
      <c r="X2726" s="1">
        <v>43799</v>
      </c>
      <c r="Y2726" t="s">
        <v>51</v>
      </c>
      <c r="Z2726" t="s">
        <v>43</v>
      </c>
      <c r="AA2726" t="s">
        <v>98</v>
      </c>
      <c r="AB2726" t="s">
        <v>89</v>
      </c>
      <c r="AC2726" t="s">
        <v>101</v>
      </c>
      <c r="AF2726" t="s">
        <v>91</v>
      </c>
      <c r="AG2726" s="1">
        <v>43852</v>
      </c>
      <c r="AH2726" t="s">
        <v>85</v>
      </c>
      <c r="AI2726" t="s">
        <v>92</v>
      </c>
      <c r="AJ2726">
        <v>19888</v>
      </c>
      <c r="AK2726">
        <v>128777</v>
      </c>
      <c r="AL2726">
        <v>198882</v>
      </c>
    </row>
    <row r="2727" spans="1:38" x14ac:dyDescent="0.25">
      <c r="A2727" t="s">
        <v>617</v>
      </c>
      <c r="B2727" t="s">
        <v>620</v>
      </c>
      <c r="C2727" t="s">
        <v>40</v>
      </c>
      <c r="D2727" s="1">
        <v>43466</v>
      </c>
      <c r="E2727" s="1">
        <v>43830</v>
      </c>
      <c r="F2727" t="s">
        <v>84</v>
      </c>
      <c r="G2727">
        <v>10</v>
      </c>
      <c r="H2727" t="s">
        <v>85</v>
      </c>
      <c r="I2727" t="s">
        <v>43</v>
      </c>
      <c r="J2727" t="s">
        <v>86</v>
      </c>
      <c r="K2727" t="s">
        <v>44</v>
      </c>
      <c r="L2727">
        <v>93906.08</v>
      </c>
      <c r="M2727" s="1">
        <v>43531</v>
      </c>
      <c r="N2727" t="s">
        <v>108</v>
      </c>
      <c r="O2727" t="s">
        <v>106</v>
      </c>
      <c r="P2727" t="s">
        <v>47</v>
      </c>
      <c r="Q2727" s="1">
        <v>43852</v>
      </c>
      <c r="R2727" t="s">
        <v>48</v>
      </c>
      <c r="S2727" t="s">
        <v>99</v>
      </c>
      <c r="T2727" t="s">
        <v>100</v>
      </c>
      <c r="U2727" t="s">
        <v>85</v>
      </c>
      <c r="V2727">
        <v>210000</v>
      </c>
      <c r="W2727">
        <v>35000</v>
      </c>
      <c r="X2727" s="1">
        <v>43799</v>
      </c>
      <c r="Y2727" t="s">
        <v>51</v>
      </c>
      <c r="Z2727" t="s">
        <v>43</v>
      </c>
      <c r="AA2727" t="s">
        <v>98</v>
      </c>
      <c r="AB2727" t="s">
        <v>89</v>
      </c>
      <c r="AC2727" t="s">
        <v>101</v>
      </c>
      <c r="AF2727" t="s">
        <v>93</v>
      </c>
      <c r="AG2727" s="1">
        <v>43843</v>
      </c>
      <c r="AH2727" t="s">
        <v>85</v>
      </c>
      <c r="AI2727" t="s">
        <v>92</v>
      </c>
      <c r="AJ2727">
        <v>19888</v>
      </c>
      <c r="AK2727">
        <v>128777</v>
      </c>
      <c r="AL2727">
        <v>198882</v>
      </c>
    </row>
    <row r="2728" spans="1:38" x14ac:dyDescent="0.25">
      <c r="A2728" t="s">
        <v>617</v>
      </c>
      <c r="B2728" t="s">
        <v>620</v>
      </c>
      <c r="C2728" t="s">
        <v>40</v>
      </c>
      <c r="D2728" s="1">
        <v>43466</v>
      </c>
      <c r="E2728" s="1">
        <v>43830</v>
      </c>
      <c r="F2728" t="s">
        <v>84</v>
      </c>
      <c r="G2728">
        <v>10</v>
      </c>
      <c r="H2728" t="s">
        <v>85</v>
      </c>
      <c r="I2728" t="s">
        <v>43</v>
      </c>
      <c r="J2728" t="s">
        <v>86</v>
      </c>
      <c r="K2728" t="s">
        <v>44</v>
      </c>
      <c r="L2728">
        <v>93906.08</v>
      </c>
      <c r="M2728" s="1">
        <v>43531</v>
      </c>
      <c r="N2728" t="s">
        <v>108</v>
      </c>
      <c r="O2728" t="s">
        <v>106</v>
      </c>
      <c r="P2728" t="s">
        <v>47</v>
      </c>
      <c r="Q2728" s="1">
        <v>43852</v>
      </c>
      <c r="R2728" t="s">
        <v>48</v>
      </c>
      <c r="S2728" t="s">
        <v>102</v>
      </c>
      <c r="T2728" t="s">
        <v>103</v>
      </c>
      <c r="U2728" t="s">
        <v>85</v>
      </c>
      <c r="V2728">
        <v>5000000</v>
      </c>
      <c r="W2728">
        <v>250000</v>
      </c>
      <c r="X2728" s="1">
        <v>43799</v>
      </c>
      <c r="Y2728" t="s">
        <v>51</v>
      </c>
      <c r="Z2728" t="s">
        <v>43</v>
      </c>
      <c r="AA2728" t="s">
        <v>86</v>
      </c>
      <c r="AB2728" t="s">
        <v>89</v>
      </c>
      <c r="AC2728" t="s">
        <v>90</v>
      </c>
      <c r="AF2728" t="s">
        <v>91</v>
      </c>
      <c r="AG2728" s="1">
        <v>43852</v>
      </c>
      <c r="AH2728" t="s">
        <v>85</v>
      </c>
      <c r="AI2728" t="s">
        <v>92</v>
      </c>
      <c r="AJ2728">
        <v>19888</v>
      </c>
      <c r="AK2728">
        <v>128777</v>
      </c>
      <c r="AL2728">
        <v>198882</v>
      </c>
    </row>
    <row r="2729" spans="1:38" x14ac:dyDescent="0.25">
      <c r="A2729" t="s">
        <v>617</v>
      </c>
      <c r="B2729" t="s">
        <v>620</v>
      </c>
      <c r="C2729" t="s">
        <v>40</v>
      </c>
      <c r="D2729" s="1">
        <v>43466</v>
      </c>
      <c r="E2729" s="1">
        <v>43830</v>
      </c>
      <c r="F2729" t="s">
        <v>84</v>
      </c>
      <c r="G2729">
        <v>10</v>
      </c>
      <c r="H2729" t="s">
        <v>85</v>
      </c>
      <c r="I2729" t="s">
        <v>43</v>
      </c>
      <c r="J2729" t="s">
        <v>86</v>
      </c>
      <c r="K2729" t="s">
        <v>44</v>
      </c>
      <c r="L2729">
        <v>93906.08</v>
      </c>
      <c r="M2729" s="1">
        <v>43531</v>
      </c>
      <c r="N2729" t="s">
        <v>108</v>
      </c>
      <c r="O2729" t="s">
        <v>106</v>
      </c>
      <c r="P2729" t="s">
        <v>47</v>
      </c>
      <c r="Q2729" s="1">
        <v>43852</v>
      </c>
      <c r="R2729" t="s">
        <v>48</v>
      </c>
      <c r="S2729" t="s">
        <v>102</v>
      </c>
      <c r="T2729" t="s">
        <v>103</v>
      </c>
      <c r="U2729" t="s">
        <v>85</v>
      </c>
      <c r="V2729">
        <v>5000000</v>
      </c>
      <c r="W2729">
        <v>250000</v>
      </c>
      <c r="X2729" s="1">
        <v>43799</v>
      </c>
      <c r="Y2729" t="s">
        <v>51</v>
      </c>
      <c r="Z2729" t="s">
        <v>43</v>
      </c>
      <c r="AA2729" t="s">
        <v>86</v>
      </c>
      <c r="AB2729" t="s">
        <v>89</v>
      </c>
      <c r="AC2729" t="s">
        <v>90</v>
      </c>
      <c r="AF2729" t="s">
        <v>93</v>
      </c>
      <c r="AG2729" s="1">
        <v>43843</v>
      </c>
      <c r="AH2729" t="s">
        <v>85</v>
      </c>
      <c r="AI2729" t="s">
        <v>92</v>
      </c>
      <c r="AJ2729">
        <v>19888</v>
      </c>
      <c r="AK2729">
        <v>128777</v>
      </c>
      <c r="AL2729">
        <v>198882</v>
      </c>
    </row>
    <row r="2730" spans="1:38" x14ac:dyDescent="0.25">
      <c r="A2730" t="s">
        <v>617</v>
      </c>
      <c r="B2730" t="s">
        <v>620</v>
      </c>
      <c r="C2730" t="s">
        <v>40</v>
      </c>
      <c r="D2730" s="1">
        <v>43466</v>
      </c>
      <c r="E2730" s="1">
        <v>43830</v>
      </c>
      <c r="F2730" t="s">
        <v>84</v>
      </c>
      <c r="G2730">
        <v>10</v>
      </c>
      <c r="H2730" t="s">
        <v>85</v>
      </c>
      <c r="I2730" t="s">
        <v>43</v>
      </c>
      <c r="J2730" t="s">
        <v>86</v>
      </c>
      <c r="K2730" t="s">
        <v>44</v>
      </c>
      <c r="L2730">
        <v>27435</v>
      </c>
      <c r="M2730" s="1">
        <v>43488</v>
      </c>
      <c r="N2730" t="s">
        <v>108</v>
      </c>
      <c r="O2730" t="s">
        <v>106</v>
      </c>
      <c r="P2730" t="s">
        <v>47</v>
      </c>
      <c r="Q2730" s="1">
        <v>43852</v>
      </c>
      <c r="R2730" t="s">
        <v>48</v>
      </c>
      <c r="S2730" t="s">
        <v>87</v>
      </c>
      <c r="T2730" t="s">
        <v>88</v>
      </c>
      <c r="U2730" t="s">
        <v>85</v>
      </c>
      <c r="V2730">
        <v>1400000</v>
      </c>
      <c r="W2730">
        <v>100000</v>
      </c>
      <c r="X2730" s="1">
        <v>43808</v>
      </c>
      <c r="Y2730" t="s">
        <v>51</v>
      </c>
      <c r="Z2730" t="s">
        <v>43</v>
      </c>
      <c r="AA2730" t="s">
        <v>86</v>
      </c>
      <c r="AB2730" t="s">
        <v>89</v>
      </c>
      <c r="AC2730" t="s">
        <v>90</v>
      </c>
      <c r="AF2730" t="s">
        <v>91</v>
      </c>
      <c r="AG2730" s="1">
        <v>43852</v>
      </c>
      <c r="AH2730" t="s">
        <v>85</v>
      </c>
      <c r="AI2730" t="s">
        <v>92</v>
      </c>
      <c r="AJ2730">
        <v>19888</v>
      </c>
      <c r="AK2730">
        <v>128777</v>
      </c>
      <c r="AL2730">
        <v>198882</v>
      </c>
    </row>
    <row r="2731" spans="1:38" x14ac:dyDescent="0.25">
      <c r="A2731" t="s">
        <v>617</v>
      </c>
      <c r="B2731" t="s">
        <v>620</v>
      </c>
      <c r="C2731" t="s">
        <v>40</v>
      </c>
      <c r="D2731" s="1">
        <v>43466</v>
      </c>
      <c r="E2731" s="1">
        <v>43830</v>
      </c>
      <c r="F2731" t="s">
        <v>84</v>
      </c>
      <c r="G2731">
        <v>10</v>
      </c>
      <c r="H2731" t="s">
        <v>85</v>
      </c>
      <c r="I2731" t="s">
        <v>43</v>
      </c>
      <c r="J2731" t="s">
        <v>86</v>
      </c>
      <c r="K2731" t="s">
        <v>44</v>
      </c>
      <c r="L2731">
        <v>27435</v>
      </c>
      <c r="M2731" s="1">
        <v>43488</v>
      </c>
      <c r="N2731" t="s">
        <v>108</v>
      </c>
      <c r="O2731" t="s">
        <v>106</v>
      </c>
      <c r="P2731" t="s">
        <v>47</v>
      </c>
      <c r="Q2731" s="1">
        <v>43852</v>
      </c>
      <c r="R2731" t="s">
        <v>48</v>
      </c>
      <c r="S2731" t="s">
        <v>87</v>
      </c>
      <c r="T2731" t="s">
        <v>88</v>
      </c>
      <c r="U2731" t="s">
        <v>85</v>
      </c>
      <c r="V2731">
        <v>1400000</v>
      </c>
      <c r="W2731">
        <v>100000</v>
      </c>
      <c r="X2731" s="1">
        <v>43808</v>
      </c>
      <c r="Y2731" t="s">
        <v>51</v>
      </c>
      <c r="Z2731" t="s">
        <v>43</v>
      </c>
      <c r="AA2731" t="s">
        <v>86</v>
      </c>
      <c r="AB2731" t="s">
        <v>89</v>
      </c>
      <c r="AC2731" t="s">
        <v>90</v>
      </c>
      <c r="AF2731" t="s">
        <v>93</v>
      </c>
      <c r="AG2731" s="1">
        <v>43843</v>
      </c>
      <c r="AH2731" t="s">
        <v>85</v>
      </c>
      <c r="AI2731" t="s">
        <v>92</v>
      </c>
      <c r="AJ2731">
        <v>19888</v>
      </c>
      <c r="AK2731">
        <v>128777</v>
      </c>
      <c r="AL2731">
        <v>198882</v>
      </c>
    </row>
    <row r="2732" spans="1:38" x14ac:dyDescent="0.25">
      <c r="A2732" t="s">
        <v>617</v>
      </c>
      <c r="B2732" t="s">
        <v>620</v>
      </c>
      <c r="C2732" t="s">
        <v>40</v>
      </c>
      <c r="D2732" s="1">
        <v>43466</v>
      </c>
      <c r="E2732" s="1">
        <v>43830</v>
      </c>
      <c r="F2732" t="s">
        <v>84</v>
      </c>
      <c r="G2732">
        <v>10</v>
      </c>
      <c r="H2732" t="s">
        <v>85</v>
      </c>
      <c r="I2732" t="s">
        <v>43</v>
      </c>
      <c r="J2732" t="s">
        <v>86</v>
      </c>
      <c r="K2732" t="s">
        <v>44</v>
      </c>
      <c r="L2732">
        <v>27435</v>
      </c>
      <c r="M2732" s="1">
        <v>43488</v>
      </c>
      <c r="N2732" t="s">
        <v>108</v>
      </c>
      <c r="O2732" t="s">
        <v>106</v>
      </c>
      <c r="P2732" t="s">
        <v>47</v>
      </c>
      <c r="Q2732" s="1">
        <v>43852</v>
      </c>
      <c r="R2732" t="s">
        <v>48</v>
      </c>
      <c r="S2732" t="s">
        <v>94</v>
      </c>
      <c r="T2732" t="s">
        <v>95</v>
      </c>
      <c r="U2732" t="s">
        <v>85</v>
      </c>
      <c r="V2732">
        <v>4500000</v>
      </c>
      <c r="W2732">
        <v>300000</v>
      </c>
      <c r="X2732" s="1">
        <v>43767</v>
      </c>
      <c r="Y2732" t="s">
        <v>51</v>
      </c>
      <c r="Z2732" t="s">
        <v>43</v>
      </c>
      <c r="AA2732" t="s">
        <v>86</v>
      </c>
      <c r="AB2732" t="s">
        <v>89</v>
      </c>
      <c r="AC2732" t="s">
        <v>90</v>
      </c>
      <c r="AF2732" t="s">
        <v>91</v>
      </c>
      <c r="AG2732" s="1">
        <v>43852</v>
      </c>
      <c r="AH2732" t="s">
        <v>85</v>
      </c>
      <c r="AI2732" t="s">
        <v>92</v>
      </c>
      <c r="AJ2732">
        <v>19888</v>
      </c>
      <c r="AK2732">
        <v>128777</v>
      </c>
      <c r="AL2732">
        <v>198882</v>
      </c>
    </row>
    <row r="2733" spans="1:38" x14ac:dyDescent="0.25">
      <c r="A2733" t="s">
        <v>617</v>
      </c>
      <c r="B2733" t="s">
        <v>620</v>
      </c>
      <c r="C2733" t="s">
        <v>40</v>
      </c>
      <c r="D2733" s="1">
        <v>43466</v>
      </c>
      <c r="E2733" s="1">
        <v>43830</v>
      </c>
      <c r="F2733" t="s">
        <v>84</v>
      </c>
      <c r="G2733">
        <v>10</v>
      </c>
      <c r="H2733" t="s">
        <v>85</v>
      </c>
      <c r="I2733" t="s">
        <v>43</v>
      </c>
      <c r="J2733" t="s">
        <v>86</v>
      </c>
      <c r="K2733" t="s">
        <v>44</v>
      </c>
      <c r="L2733">
        <v>27435</v>
      </c>
      <c r="M2733" s="1">
        <v>43488</v>
      </c>
      <c r="N2733" t="s">
        <v>108</v>
      </c>
      <c r="O2733" t="s">
        <v>106</v>
      </c>
      <c r="P2733" t="s">
        <v>47</v>
      </c>
      <c r="Q2733" s="1">
        <v>43852</v>
      </c>
      <c r="R2733" t="s">
        <v>48</v>
      </c>
      <c r="S2733" t="s">
        <v>94</v>
      </c>
      <c r="T2733" t="s">
        <v>95</v>
      </c>
      <c r="U2733" t="s">
        <v>85</v>
      </c>
      <c r="V2733">
        <v>4500000</v>
      </c>
      <c r="W2733">
        <v>300000</v>
      </c>
      <c r="X2733" s="1">
        <v>43767</v>
      </c>
      <c r="Y2733" t="s">
        <v>51</v>
      </c>
      <c r="Z2733" t="s">
        <v>43</v>
      </c>
      <c r="AA2733" t="s">
        <v>86</v>
      </c>
      <c r="AB2733" t="s">
        <v>89</v>
      </c>
      <c r="AC2733" t="s">
        <v>90</v>
      </c>
      <c r="AF2733" t="s">
        <v>93</v>
      </c>
      <c r="AG2733" s="1">
        <v>43843</v>
      </c>
      <c r="AH2733" t="s">
        <v>85</v>
      </c>
      <c r="AI2733" t="s">
        <v>92</v>
      </c>
      <c r="AJ2733">
        <v>19888</v>
      </c>
      <c r="AK2733">
        <v>128777</v>
      </c>
      <c r="AL2733">
        <v>198882</v>
      </c>
    </row>
    <row r="2734" spans="1:38" x14ac:dyDescent="0.25">
      <c r="A2734" t="s">
        <v>617</v>
      </c>
      <c r="B2734" t="s">
        <v>620</v>
      </c>
      <c r="C2734" t="s">
        <v>40</v>
      </c>
      <c r="D2734" s="1">
        <v>43466</v>
      </c>
      <c r="E2734" s="1">
        <v>43830</v>
      </c>
      <c r="F2734" t="s">
        <v>84</v>
      </c>
      <c r="G2734">
        <v>10</v>
      </c>
      <c r="H2734" t="s">
        <v>85</v>
      </c>
      <c r="I2734" t="s">
        <v>43</v>
      </c>
      <c r="J2734" t="s">
        <v>86</v>
      </c>
      <c r="K2734" t="s">
        <v>44</v>
      </c>
      <c r="L2734">
        <v>27435</v>
      </c>
      <c r="M2734" s="1">
        <v>43488</v>
      </c>
      <c r="N2734" t="s">
        <v>108</v>
      </c>
      <c r="O2734" t="s">
        <v>106</v>
      </c>
      <c r="P2734" t="s">
        <v>47</v>
      </c>
      <c r="Q2734" s="1">
        <v>43852</v>
      </c>
      <c r="R2734" t="s">
        <v>48</v>
      </c>
      <c r="S2734" t="s">
        <v>96</v>
      </c>
      <c r="T2734" t="s">
        <v>97</v>
      </c>
      <c r="U2734" t="s">
        <v>85</v>
      </c>
      <c r="V2734">
        <v>600000</v>
      </c>
      <c r="W2734">
        <v>100000</v>
      </c>
      <c r="X2734" s="1">
        <v>43799</v>
      </c>
      <c r="Y2734" t="s">
        <v>51</v>
      </c>
      <c r="Z2734" t="s">
        <v>43</v>
      </c>
      <c r="AA2734" t="s">
        <v>98</v>
      </c>
      <c r="AB2734" t="s">
        <v>89</v>
      </c>
      <c r="AC2734" t="s">
        <v>90</v>
      </c>
      <c r="AF2734" t="s">
        <v>91</v>
      </c>
      <c r="AG2734" s="1">
        <v>43852</v>
      </c>
      <c r="AH2734" t="s">
        <v>85</v>
      </c>
      <c r="AI2734" t="s">
        <v>92</v>
      </c>
      <c r="AJ2734">
        <v>19888</v>
      </c>
      <c r="AK2734">
        <v>128777</v>
      </c>
      <c r="AL2734">
        <v>198882</v>
      </c>
    </row>
    <row r="2735" spans="1:38" x14ac:dyDescent="0.25">
      <c r="A2735" t="s">
        <v>617</v>
      </c>
      <c r="B2735" t="s">
        <v>620</v>
      </c>
      <c r="C2735" t="s">
        <v>40</v>
      </c>
      <c r="D2735" s="1">
        <v>43466</v>
      </c>
      <c r="E2735" s="1">
        <v>43830</v>
      </c>
      <c r="F2735" t="s">
        <v>84</v>
      </c>
      <c r="G2735">
        <v>10</v>
      </c>
      <c r="H2735" t="s">
        <v>85</v>
      </c>
      <c r="I2735" t="s">
        <v>43</v>
      </c>
      <c r="J2735" t="s">
        <v>86</v>
      </c>
      <c r="K2735" t="s">
        <v>44</v>
      </c>
      <c r="L2735">
        <v>27435</v>
      </c>
      <c r="M2735" s="1">
        <v>43488</v>
      </c>
      <c r="N2735" t="s">
        <v>108</v>
      </c>
      <c r="O2735" t="s">
        <v>106</v>
      </c>
      <c r="P2735" t="s">
        <v>47</v>
      </c>
      <c r="Q2735" s="1">
        <v>43852</v>
      </c>
      <c r="R2735" t="s">
        <v>48</v>
      </c>
      <c r="S2735" t="s">
        <v>96</v>
      </c>
      <c r="T2735" t="s">
        <v>97</v>
      </c>
      <c r="U2735" t="s">
        <v>85</v>
      </c>
      <c r="V2735">
        <v>600000</v>
      </c>
      <c r="W2735">
        <v>100000</v>
      </c>
      <c r="X2735" s="1">
        <v>43799</v>
      </c>
      <c r="Y2735" t="s">
        <v>51</v>
      </c>
      <c r="Z2735" t="s">
        <v>43</v>
      </c>
      <c r="AA2735" t="s">
        <v>98</v>
      </c>
      <c r="AB2735" t="s">
        <v>89</v>
      </c>
      <c r="AC2735" t="s">
        <v>90</v>
      </c>
      <c r="AF2735" t="s">
        <v>93</v>
      </c>
      <c r="AG2735" s="1">
        <v>43843</v>
      </c>
      <c r="AH2735" t="s">
        <v>85</v>
      </c>
      <c r="AI2735" t="s">
        <v>92</v>
      </c>
      <c r="AJ2735">
        <v>19888</v>
      </c>
      <c r="AK2735">
        <v>128777</v>
      </c>
      <c r="AL2735">
        <v>198882</v>
      </c>
    </row>
    <row r="2736" spans="1:38" x14ac:dyDescent="0.25">
      <c r="A2736" t="s">
        <v>617</v>
      </c>
      <c r="B2736" t="s">
        <v>620</v>
      </c>
      <c r="C2736" t="s">
        <v>40</v>
      </c>
      <c r="D2736" s="1">
        <v>43466</v>
      </c>
      <c r="E2736" s="1">
        <v>43830</v>
      </c>
      <c r="F2736" t="s">
        <v>84</v>
      </c>
      <c r="G2736">
        <v>10</v>
      </c>
      <c r="H2736" t="s">
        <v>85</v>
      </c>
      <c r="I2736" t="s">
        <v>43</v>
      </c>
      <c r="J2736" t="s">
        <v>86</v>
      </c>
      <c r="K2736" t="s">
        <v>44</v>
      </c>
      <c r="L2736">
        <v>27435</v>
      </c>
      <c r="M2736" s="1">
        <v>43488</v>
      </c>
      <c r="N2736" t="s">
        <v>108</v>
      </c>
      <c r="O2736" t="s">
        <v>106</v>
      </c>
      <c r="P2736" t="s">
        <v>47</v>
      </c>
      <c r="Q2736" s="1">
        <v>43852</v>
      </c>
      <c r="R2736" t="s">
        <v>48</v>
      </c>
      <c r="S2736" t="s">
        <v>99</v>
      </c>
      <c r="T2736" t="s">
        <v>100</v>
      </c>
      <c r="U2736" t="s">
        <v>85</v>
      </c>
      <c r="V2736">
        <v>210000</v>
      </c>
      <c r="W2736">
        <v>35000</v>
      </c>
      <c r="X2736" s="1">
        <v>43799</v>
      </c>
      <c r="Y2736" t="s">
        <v>51</v>
      </c>
      <c r="Z2736" t="s">
        <v>43</v>
      </c>
      <c r="AA2736" t="s">
        <v>98</v>
      </c>
      <c r="AB2736" t="s">
        <v>89</v>
      </c>
      <c r="AC2736" t="s">
        <v>101</v>
      </c>
      <c r="AF2736" t="s">
        <v>91</v>
      </c>
      <c r="AG2736" s="1">
        <v>43852</v>
      </c>
      <c r="AH2736" t="s">
        <v>85</v>
      </c>
      <c r="AI2736" t="s">
        <v>92</v>
      </c>
      <c r="AJ2736">
        <v>19888</v>
      </c>
      <c r="AK2736">
        <v>128777</v>
      </c>
      <c r="AL2736">
        <v>198882</v>
      </c>
    </row>
    <row r="2737" spans="1:38" x14ac:dyDescent="0.25">
      <c r="A2737" t="s">
        <v>617</v>
      </c>
      <c r="B2737" t="s">
        <v>620</v>
      </c>
      <c r="C2737" t="s">
        <v>40</v>
      </c>
      <c r="D2737" s="1">
        <v>43466</v>
      </c>
      <c r="E2737" s="1">
        <v>43830</v>
      </c>
      <c r="F2737" t="s">
        <v>84</v>
      </c>
      <c r="G2737">
        <v>10</v>
      </c>
      <c r="H2737" t="s">
        <v>85</v>
      </c>
      <c r="I2737" t="s">
        <v>43</v>
      </c>
      <c r="J2737" t="s">
        <v>86</v>
      </c>
      <c r="K2737" t="s">
        <v>44</v>
      </c>
      <c r="L2737">
        <v>27435</v>
      </c>
      <c r="M2737" s="1">
        <v>43488</v>
      </c>
      <c r="N2737" t="s">
        <v>108</v>
      </c>
      <c r="O2737" t="s">
        <v>106</v>
      </c>
      <c r="P2737" t="s">
        <v>47</v>
      </c>
      <c r="Q2737" s="1">
        <v>43852</v>
      </c>
      <c r="R2737" t="s">
        <v>48</v>
      </c>
      <c r="S2737" t="s">
        <v>99</v>
      </c>
      <c r="T2737" t="s">
        <v>100</v>
      </c>
      <c r="U2737" t="s">
        <v>85</v>
      </c>
      <c r="V2737">
        <v>210000</v>
      </c>
      <c r="W2737">
        <v>35000</v>
      </c>
      <c r="X2737" s="1">
        <v>43799</v>
      </c>
      <c r="Y2737" t="s">
        <v>51</v>
      </c>
      <c r="Z2737" t="s">
        <v>43</v>
      </c>
      <c r="AA2737" t="s">
        <v>98</v>
      </c>
      <c r="AB2737" t="s">
        <v>89</v>
      </c>
      <c r="AC2737" t="s">
        <v>101</v>
      </c>
      <c r="AF2737" t="s">
        <v>93</v>
      </c>
      <c r="AG2737" s="1">
        <v>43843</v>
      </c>
      <c r="AH2737" t="s">
        <v>85</v>
      </c>
      <c r="AI2737" t="s">
        <v>92</v>
      </c>
      <c r="AJ2737">
        <v>19888</v>
      </c>
      <c r="AK2737">
        <v>128777</v>
      </c>
      <c r="AL2737">
        <v>198882</v>
      </c>
    </row>
    <row r="2738" spans="1:38" x14ac:dyDescent="0.25">
      <c r="A2738" t="s">
        <v>617</v>
      </c>
      <c r="B2738" t="s">
        <v>620</v>
      </c>
      <c r="C2738" t="s">
        <v>40</v>
      </c>
      <c r="D2738" s="1">
        <v>43466</v>
      </c>
      <c r="E2738" s="1">
        <v>43830</v>
      </c>
      <c r="F2738" t="s">
        <v>84</v>
      </c>
      <c r="G2738">
        <v>10</v>
      </c>
      <c r="H2738" t="s">
        <v>85</v>
      </c>
      <c r="I2738" t="s">
        <v>43</v>
      </c>
      <c r="J2738" t="s">
        <v>86</v>
      </c>
      <c r="K2738" t="s">
        <v>44</v>
      </c>
      <c r="L2738">
        <v>27435</v>
      </c>
      <c r="M2738" s="1">
        <v>43488</v>
      </c>
      <c r="N2738" t="s">
        <v>108</v>
      </c>
      <c r="O2738" t="s">
        <v>106</v>
      </c>
      <c r="P2738" t="s">
        <v>47</v>
      </c>
      <c r="Q2738" s="1">
        <v>43852</v>
      </c>
      <c r="R2738" t="s">
        <v>48</v>
      </c>
      <c r="S2738" t="s">
        <v>102</v>
      </c>
      <c r="T2738" t="s">
        <v>103</v>
      </c>
      <c r="U2738" t="s">
        <v>85</v>
      </c>
      <c r="V2738">
        <v>5000000</v>
      </c>
      <c r="W2738">
        <v>250000</v>
      </c>
      <c r="X2738" s="1">
        <v>43799</v>
      </c>
      <c r="Y2738" t="s">
        <v>51</v>
      </c>
      <c r="Z2738" t="s">
        <v>43</v>
      </c>
      <c r="AA2738" t="s">
        <v>86</v>
      </c>
      <c r="AB2738" t="s">
        <v>89</v>
      </c>
      <c r="AC2738" t="s">
        <v>90</v>
      </c>
      <c r="AF2738" t="s">
        <v>91</v>
      </c>
      <c r="AG2738" s="1">
        <v>43852</v>
      </c>
      <c r="AH2738" t="s">
        <v>85</v>
      </c>
      <c r="AI2738" t="s">
        <v>92</v>
      </c>
      <c r="AJ2738">
        <v>19888</v>
      </c>
      <c r="AK2738">
        <v>128777</v>
      </c>
      <c r="AL2738">
        <v>198882</v>
      </c>
    </row>
    <row r="2739" spans="1:38" x14ac:dyDescent="0.25">
      <c r="A2739" t="s">
        <v>617</v>
      </c>
      <c r="B2739" t="s">
        <v>620</v>
      </c>
      <c r="C2739" t="s">
        <v>40</v>
      </c>
      <c r="D2739" s="1">
        <v>43466</v>
      </c>
      <c r="E2739" s="1">
        <v>43830</v>
      </c>
      <c r="F2739" t="s">
        <v>84</v>
      </c>
      <c r="G2739">
        <v>10</v>
      </c>
      <c r="H2739" t="s">
        <v>85</v>
      </c>
      <c r="I2739" t="s">
        <v>43</v>
      </c>
      <c r="J2739" t="s">
        <v>86</v>
      </c>
      <c r="K2739" t="s">
        <v>44</v>
      </c>
      <c r="L2739">
        <v>27435</v>
      </c>
      <c r="M2739" s="1">
        <v>43488</v>
      </c>
      <c r="N2739" t="s">
        <v>108</v>
      </c>
      <c r="O2739" t="s">
        <v>106</v>
      </c>
      <c r="P2739" t="s">
        <v>47</v>
      </c>
      <c r="Q2739" s="1">
        <v>43852</v>
      </c>
      <c r="R2739" t="s">
        <v>48</v>
      </c>
      <c r="S2739" t="s">
        <v>102</v>
      </c>
      <c r="T2739" t="s">
        <v>103</v>
      </c>
      <c r="U2739" t="s">
        <v>85</v>
      </c>
      <c r="V2739">
        <v>5000000</v>
      </c>
      <c r="W2739">
        <v>250000</v>
      </c>
      <c r="X2739" s="1">
        <v>43799</v>
      </c>
      <c r="Y2739" t="s">
        <v>51</v>
      </c>
      <c r="Z2739" t="s">
        <v>43</v>
      </c>
      <c r="AA2739" t="s">
        <v>86</v>
      </c>
      <c r="AB2739" t="s">
        <v>89</v>
      </c>
      <c r="AC2739" t="s">
        <v>90</v>
      </c>
      <c r="AF2739" t="s">
        <v>93</v>
      </c>
      <c r="AG2739" s="1">
        <v>43843</v>
      </c>
      <c r="AH2739" t="s">
        <v>85</v>
      </c>
      <c r="AI2739" t="s">
        <v>92</v>
      </c>
      <c r="AJ2739">
        <v>19888</v>
      </c>
      <c r="AK2739">
        <v>128777</v>
      </c>
      <c r="AL2739">
        <v>198882</v>
      </c>
    </row>
    <row r="2740" spans="1:38" x14ac:dyDescent="0.25">
      <c r="A2740" t="s">
        <v>617</v>
      </c>
      <c r="B2740" t="s">
        <v>620</v>
      </c>
      <c r="C2740" t="s">
        <v>40</v>
      </c>
      <c r="D2740" s="1">
        <v>43466</v>
      </c>
      <c r="E2740" s="1">
        <v>43830</v>
      </c>
      <c r="F2740" t="s">
        <v>84</v>
      </c>
      <c r="G2740">
        <v>10</v>
      </c>
      <c r="H2740" t="s">
        <v>85</v>
      </c>
      <c r="I2740" t="s">
        <v>43</v>
      </c>
      <c r="J2740" t="s">
        <v>86</v>
      </c>
      <c r="K2740" t="s">
        <v>44</v>
      </c>
      <c r="L2740">
        <v>32391.85</v>
      </c>
      <c r="M2740" s="1">
        <v>43595</v>
      </c>
      <c r="N2740" t="s">
        <v>108</v>
      </c>
      <c r="O2740" t="s">
        <v>106</v>
      </c>
      <c r="P2740" t="s">
        <v>47</v>
      </c>
      <c r="Q2740" s="1">
        <v>43852</v>
      </c>
      <c r="R2740" t="s">
        <v>48</v>
      </c>
      <c r="S2740" t="s">
        <v>87</v>
      </c>
      <c r="T2740" t="s">
        <v>88</v>
      </c>
      <c r="U2740" t="s">
        <v>85</v>
      </c>
      <c r="V2740">
        <v>1400000</v>
      </c>
      <c r="W2740">
        <v>100000</v>
      </c>
      <c r="X2740" s="1">
        <v>43808</v>
      </c>
      <c r="Y2740" t="s">
        <v>51</v>
      </c>
      <c r="Z2740" t="s">
        <v>43</v>
      </c>
      <c r="AA2740" t="s">
        <v>86</v>
      </c>
      <c r="AB2740" t="s">
        <v>89</v>
      </c>
      <c r="AC2740" t="s">
        <v>90</v>
      </c>
      <c r="AF2740" t="s">
        <v>91</v>
      </c>
      <c r="AG2740" s="1">
        <v>43852</v>
      </c>
      <c r="AH2740" t="s">
        <v>85</v>
      </c>
      <c r="AI2740" t="s">
        <v>92</v>
      </c>
      <c r="AJ2740">
        <v>19888</v>
      </c>
      <c r="AK2740">
        <v>128777</v>
      </c>
      <c r="AL2740">
        <v>198882</v>
      </c>
    </row>
    <row r="2741" spans="1:38" x14ac:dyDescent="0.25">
      <c r="A2741" t="s">
        <v>617</v>
      </c>
      <c r="B2741" t="s">
        <v>620</v>
      </c>
      <c r="C2741" t="s">
        <v>40</v>
      </c>
      <c r="D2741" s="1">
        <v>43466</v>
      </c>
      <c r="E2741" s="1">
        <v>43830</v>
      </c>
      <c r="F2741" t="s">
        <v>84</v>
      </c>
      <c r="G2741">
        <v>10</v>
      </c>
      <c r="H2741" t="s">
        <v>85</v>
      </c>
      <c r="I2741" t="s">
        <v>43</v>
      </c>
      <c r="J2741" t="s">
        <v>86</v>
      </c>
      <c r="K2741" t="s">
        <v>44</v>
      </c>
      <c r="L2741">
        <v>32391.85</v>
      </c>
      <c r="M2741" s="1">
        <v>43595</v>
      </c>
      <c r="N2741" t="s">
        <v>108</v>
      </c>
      <c r="O2741" t="s">
        <v>106</v>
      </c>
      <c r="P2741" t="s">
        <v>47</v>
      </c>
      <c r="Q2741" s="1">
        <v>43852</v>
      </c>
      <c r="R2741" t="s">
        <v>48</v>
      </c>
      <c r="S2741" t="s">
        <v>87</v>
      </c>
      <c r="T2741" t="s">
        <v>88</v>
      </c>
      <c r="U2741" t="s">
        <v>85</v>
      </c>
      <c r="V2741">
        <v>1400000</v>
      </c>
      <c r="W2741">
        <v>100000</v>
      </c>
      <c r="X2741" s="1">
        <v>43808</v>
      </c>
      <c r="Y2741" t="s">
        <v>51</v>
      </c>
      <c r="Z2741" t="s">
        <v>43</v>
      </c>
      <c r="AA2741" t="s">
        <v>86</v>
      </c>
      <c r="AB2741" t="s">
        <v>89</v>
      </c>
      <c r="AC2741" t="s">
        <v>90</v>
      </c>
      <c r="AF2741" t="s">
        <v>93</v>
      </c>
      <c r="AG2741" s="1">
        <v>43843</v>
      </c>
      <c r="AH2741" t="s">
        <v>85</v>
      </c>
      <c r="AI2741" t="s">
        <v>92</v>
      </c>
      <c r="AJ2741">
        <v>19888</v>
      </c>
      <c r="AK2741">
        <v>128777</v>
      </c>
      <c r="AL2741">
        <v>198882</v>
      </c>
    </row>
    <row r="2742" spans="1:38" x14ac:dyDescent="0.25">
      <c r="A2742" t="s">
        <v>617</v>
      </c>
      <c r="B2742" t="s">
        <v>620</v>
      </c>
      <c r="C2742" t="s">
        <v>40</v>
      </c>
      <c r="D2742" s="1">
        <v>43466</v>
      </c>
      <c r="E2742" s="1">
        <v>43830</v>
      </c>
      <c r="F2742" t="s">
        <v>84</v>
      </c>
      <c r="G2742">
        <v>10</v>
      </c>
      <c r="H2742" t="s">
        <v>85</v>
      </c>
      <c r="I2742" t="s">
        <v>43</v>
      </c>
      <c r="J2742" t="s">
        <v>86</v>
      </c>
      <c r="K2742" t="s">
        <v>44</v>
      </c>
      <c r="L2742">
        <v>32391.85</v>
      </c>
      <c r="M2742" s="1">
        <v>43595</v>
      </c>
      <c r="N2742" t="s">
        <v>108</v>
      </c>
      <c r="O2742" t="s">
        <v>106</v>
      </c>
      <c r="P2742" t="s">
        <v>47</v>
      </c>
      <c r="Q2742" s="1">
        <v>43852</v>
      </c>
      <c r="R2742" t="s">
        <v>48</v>
      </c>
      <c r="S2742" t="s">
        <v>94</v>
      </c>
      <c r="T2742" t="s">
        <v>95</v>
      </c>
      <c r="U2742" t="s">
        <v>85</v>
      </c>
      <c r="V2742">
        <v>4500000</v>
      </c>
      <c r="W2742">
        <v>300000</v>
      </c>
      <c r="X2742" s="1">
        <v>43767</v>
      </c>
      <c r="Y2742" t="s">
        <v>51</v>
      </c>
      <c r="Z2742" t="s">
        <v>43</v>
      </c>
      <c r="AA2742" t="s">
        <v>86</v>
      </c>
      <c r="AB2742" t="s">
        <v>89</v>
      </c>
      <c r="AC2742" t="s">
        <v>90</v>
      </c>
      <c r="AF2742" t="s">
        <v>91</v>
      </c>
      <c r="AG2742" s="1">
        <v>43852</v>
      </c>
      <c r="AH2742" t="s">
        <v>85</v>
      </c>
      <c r="AI2742" t="s">
        <v>92</v>
      </c>
      <c r="AJ2742">
        <v>19888</v>
      </c>
      <c r="AK2742">
        <v>128777</v>
      </c>
      <c r="AL2742">
        <v>198882</v>
      </c>
    </row>
    <row r="2743" spans="1:38" x14ac:dyDescent="0.25">
      <c r="A2743" t="s">
        <v>617</v>
      </c>
      <c r="B2743" t="s">
        <v>620</v>
      </c>
      <c r="C2743" t="s">
        <v>40</v>
      </c>
      <c r="D2743" s="1">
        <v>43466</v>
      </c>
      <c r="E2743" s="1">
        <v>43830</v>
      </c>
      <c r="F2743" t="s">
        <v>84</v>
      </c>
      <c r="G2743">
        <v>10</v>
      </c>
      <c r="H2743" t="s">
        <v>85</v>
      </c>
      <c r="I2743" t="s">
        <v>43</v>
      </c>
      <c r="J2743" t="s">
        <v>86</v>
      </c>
      <c r="K2743" t="s">
        <v>44</v>
      </c>
      <c r="L2743">
        <v>32391.85</v>
      </c>
      <c r="M2743" s="1">
        <v>43595</v>
      </c>
      <c r="N2743" t="s">
        <v>108</v>
      </c>
      <c r="O2743" t="s">
        <v>106</v>
      </c>
      <c r="P2743" t="s">
        <v>47</v>
      </c>
      <c r="Q2743" s="1">
        <v>43852</v>
      </c>
      <c r="R2743" t="s">
        <v>48</v>
      </c>
      <c r="S2743" t="s">
        <v>94</v>
      </c>
      <c r="T2743" t="s">
        <v>95</v>
      </c>
      <c r="U2743" t="s">
        <v>85</v>
      </c>
      <c r="V2743">
        <v>4500000</v>
      </c>
      <c r="W2743">
        <v>300000</v>
      </c>
      <c r="X2743" s="1">
        <v>43767</v>
      </c>
      <c r="Y2743" t="s">
        <v>51</v>
      </c>
      <c r="Z2743" t="s">
        <v>43</v>
      </c>
      <c r="AA2743" t="s">
        <v>86</v>
      </c>
      <c r="AB2743" t="s">
        <v>89</v>
      </c>
      <c r="AC2743" t="s">
        <v>90</v>
      </c>
      <c r="AF2743" t="s">
        <v>93</v>
      </c>
      <c r="AG2743" s="1">
        <v>43843</v>
      </c>
      <c r="AH2743" t="s">
        <v>85</v>
      </c>
      <c r="AI2743" t="s">
        <v>92</v>
      </c>
      <c r="AJ2743">
        <v>19888</v>
      </c>
      <c r="AK2743">
        <v>128777</v>
      </c>
      <c r="AL2743">
        <v>198882</v>
      </c>
    </row>
    <row r="2744" spans="1:38" x14ac:dyDescent="0.25">
      <c r="A2744" t="s">
        <v>617</v>
      </c>
      <c r="B2744" t="s">
        <v>620</v>
      </c>
      <c r="C2744" t="s">
        <v>40</v>
      </c>
      <c r="D2744" s="1">
        <v>43466</v>
      </c>
      <c r="E2744" s="1">
        <v>43830</v>
      </c>
      <c r="F2744" t="s">
        <v>84</v>
      </c>
      <c r="G2744">
        <v>10</v>
      </c>
      <c r="H2744" t="s">
        <v>85</v>
      </c>
      <c r="I2744" t="s">
        <v>43</v>
      </c>
      <c r="J2744" t="s">
        <v>86</v>
      </c>
      <c r="K2744" t="s">
        <v>44</v>
      </c>
      <c r="L2744">
        <v>32391.85</v>
      </c>
      <c r="M2744" s="1">
        <v>43595</v>
      </c>
      <c r="N2744" t="s">
        <v>108</v>
      </c>
      <c r="O2744" t="s">
        <v>106</v>
      </c>
      <c r="P2744" t="s">
        <v>47</v>
      </c>
      <c r="Q2744" s="1">
        <v>43852</v>
      </c>
      <c r="R2744" t="s">
        <v>48</v>
      </c>
      <c r="S2744" t="s">
        <v>96</v>
      </c>
      <c r="T2744" t="s">
        <v>97</v>
      </c>
      <c r="U2744" t="s">
        <v>85</v>
      </c>
      <c r="V2744">
        <v>600000</v>
      </c>
      <c r="W2744">
        <v>100000</v>
      </c>
      <c r="X2744" s="1">
        <v>43799</v>
      </c>
      <c r="Y2744" t="s">
        <v>51</v>
      </c>
      <c r="Z2744" t="s">
        <v>43</v>
      </c>
      <c r="AA2744" t="s">
        <v>98</v>
      </c>
      <c r="AB2744" t="s">
        <v>89</v>
      </c>
      <c r="AC2744" t="s">
        <v>90</v>
      </c>
      <c r="AF2744" t="s">
        <v>91</v>
      </c>
      <c r="AG2744" s="1">
        <v>43852</v>
      </c>
      <c r="AH2744" t="s">
        <v>85</v>
      </c>
      <c r="AI2744" t="s">
        <v>92</v>
      </c>
      <c r="AJ2744">
        <v>19888</v>
      </c>
      <c r="AK2744">
        <v>128777</v>
      </c>
      <c r="AL2744">
        <v>198882</v>
      </c>
    </row>
    <row r="2745" spans="1:38" x14ac:dyDescent="0.25">
      <c r="A2745" t="s">
        <v>617</v>
      </c>
      <c r="B2745" t="s">
        <v>620</v>
      </c>
      <c r="C2745" t="s">
        <v>40</v>
      </c>
      <c r="D2745" s="1">
        <v>43466</v>
      </c>
      <c r="E2745" s="1">
        <v>43830</v>
      </c>
      <c r="F2745" t="s">
        <v>84</v>
      </c>
      <c r="G2745">
        <v>10</v>
      </c>
      <c r="H2745" t="s">
        <v>85</v>
      </c>
      <c r="I2745" t="s">
        <v>43</v>
      </c>
      <c r="J2745" t="s">
        <v>86</v>
      </c>
      <c r="K2745" t="s">
        <v>44</v>
      </c>
      <c r="L2745">
        <v>32391.85</v>
      </c>
      <c r="M2745" s="1">
        <v>43595</v>
      </c>
      <c r="N2745" t="s">
        <v>108</v>
      </c>
      <c r="O2745" t="s">
        <v>106</v>
      </c>
      <c r="P2745" t="s">
        <v>47</v>
      </c>
      <c r="Q2745" s="1">
        <v>43852</v>
      </c>
      <c r="R2745" t="s">
        <v>48</v>
      </c>
      <c r="S2745" t="s">
        <v>96</v>
      </c>
      <c r="T2745" t="s">
        <v>97</v>
      </c>
      <c r="U2745" t="s">
        <v>85</v>
      </c>
      <c r="V2745">
        <v>600000</v>
      </c>
      <c r="W2745">
        <v>100000</v>
      </c>
      <c r="X2745" s="1">
        <v>43799</v>
      </c>
      <c r="Y2745" t="s">
        <v>51</v>
      </c>
      <c r="Z2745" t="s">
        <v>43</v>
      </c>
      <c r="AA2745" t="s">
        <v>98</v>
      </c>
      <c r="AB2745" t="s">
        <v>89</v>
      </c>
      <c r="AC2745" t="s">
        <v>90</v>
      </c>
      <c r="AF2745" t="s">
        <v>93</v>
      </c>
      <c r="AG2745" s="1">
        <v>43843</v>
      </c>
      <c r="AH2745" t="s">
        <v>85</v>
      </c>
      <c r="AI2745" t="s">
        <v>92</v>
      </c>
      <c r="AJ2745">
        <v>19888</v>
      </c>
      <c r="AK2745">
        <v>128777</v>
      </c>
      <c r="AL2745">
        <v>198882</v>
      </c>
    </row>
    <row r="2746" spans="1:38" x14ac:dyDescent="0.25">
      <c r="A2746" t="s">
        <v>617</v>
      </c>
      <c r="B2746" t="s">
        <v>620</v>
      </c>
      <c r="C2746" t="s">
        <v>40</v>
      </c>
      <c r="D2746" s="1">
        <v>43466</v>
      </c>
      <c r="E2746" s="1">
        <v>43830</v>
      </c>
      <c r="F2746" t="s">
        <v>84</v>
      </c>
      <c r="G2746">
        <v>10</v>
      </c>
      <c r="H2746" t="s">
        <v>85</v>
      </c>
      <c r="I2746" t="s">
        <v>43</v>
      </c>
      <c r="J2746" t="s">
        <v>86</v>
      </c>
      <c r="K2746" t="s">
        <v>44</v>
      </c>
      <c r="L2746">
        <v>32391.85</v>
      </c>
      <c r="M2746" s="1">
        <v>43595</v>
      </c>
      <c r="N2746" t="s">
        <v>108</v>
      </c>
      <c r="O2746" t="s">
        <v>106</v>
      </c>
      <c r="P2746" t="s">
        <v>47</v>
      </c>
      <c r="Q2746" s="1">
        <v>43852</v>
      </c>
      <c r="R2746" t="s">
        <v>48</v>
      </c>
      <c r="S2746" t="s">
        <v>99</v>
      </c>
      <c r="T2746" t="s">
        <v>100</v>
      </c>
      <c r="U2746" t="s">
        <v>85</v>
      </c>
      <c r="V2746">
        <v>210000</v>
      </c>
      <c r="W2746">
        <v>35000</v>
      </c>
      <c r="X2746" s="1">
        <v>43799</v>
      </c>
      <c r="Y2746" t="s">
        <v>51</v>
      </c>
      <c r="Z2746" t="s">
        <v>43</v>
      </c>
      <c r="AA2746" t="s">
        <v>98</v>
      </c>
      <c r="AB2746" t="s">
        <v>89</v>
      </c>
      <c r="AC2746" t="s">
        <v>101</v>
      </c>
      <c r="AF2746" t="s">
        <v>91</v>
      </c>
      <c r="AG2746" s="1">
        <v>43852</v>
      </c>
      <c r="AH2746" t="s">
        <v>85</v>
      </c>
      <c r="AI2746" t="s">
        <v>92</v>
      </c>
      <c r="AJ2746">
        <v>19888</v>
      </c>
      <c r="AK2746">
        <v>128777</v>
      </c>
      <c r="AL2746">
        <v>198882</v>
      </c>
    </row>
    <row r="2747" spans="1:38" x14ac:dyDescent="0.25">
      <c r="A2747" t="s">
        <v>617</v>
      </c>
      <c r="B2747" t="s">
        <v>620</v>
      </c>
      <c r="C2747" t="s">
        <v>40</v>
      </c>
      <c r="D2747" s="1">
        <v>43466</v>
      </c>
      <c r="E2747" s="1">
        <v>43830</v>
      </c>
      <c r="F2747" t="s">
        <v>84</v>
      </c>
      <c r="G2747">
        <v>10</v>
      </c>
      <c r="H2747" t="s">
        <v>85</v>
      </c>
      <c r="I2747" t="s">
        <v>43</v>
      </c>
      <c r="J2747" t="s">
        <v>86</v>
      </c>
      <c r="K2747" t="s">
        <v>44</v>
      </c>
      <c r="L2747">
        <v>32391.85</v>
      </c>
      <c r="M2747" s="1">
        <v>43595</v>
      </c>
      <c r="N2747" t="s">
        <v>108</v>
      </c>
      <c r="O2747" t="s">
        <v>106</v>
      </c>
      <c r="P2747" t="s">
        <v>47</v>
      </c>
      <c r="Q2747" s="1">
        <v>43852</v>
      </c>
      <c r="R2747" t="s">
        <v>48</v>
      </c>
      <c r="S2747" t="s">
        <v>99</v>
      </c>
      <c r="T2747" t="s">
        <v>100</v>
      </c>
      <c r="U2747" t="s">
        <v>85</v>
      </c>
      <c r="V2747">
        <v>210000</v>
      </c>
      <c r="W2747">
        <v>35000</v>
      </c>
      <c r="X2747" s="1">
        <v>43799</v>
      </c>
      <c r="Y2747" t="s">
        <v>51</v>
      </c>
      <c r="Z2747" t="s">
        <v>43</v>
      </c>
      <c r="AA2747" t="s">
        <v>98</v>
      </c>
      <c r="AB2747" t="s">
        <v>89</v>
      </c>
      <c r="AC2747" t="s">
        <v>101</v>
      </c>
      <c r="AF2747" t="s">
        <v>93</v>
      </c>
      <c r="AG2747" s="1">
        <v>43843</v>
      </c>
      <c r="AH2747" t="s">
        <v>85</v>
      </c>
      <c r="AI2747" t="s">
        <v>92</v>
      </c>
      <c r="AJ2747">
        <v>19888</v>
      </c>
      <c r="AK2747">
        <v>128777</v>
      </c>
      <c r="AL2747">
        <v>198882</v>
      </c>
    </row>
    <row r="2748" spans="1:38" x14ac:dyDescent="0.25">
      <c r="A2748" t="s">
        <v>617</v>
      </c>
      <c r="B2748" t="s">
        <v>620</v>
      </c>
      <c r="C2748" t="s">
        <v>40</v>
      </c>
      <c r="D2748" s="1">
        <v>43466</v>
      </c>
      <c r="E2748" s="1">
        <v>43830</v>
      </c>
      <c r="F2748" t="s">
        <v>84</v>
      </c>
      <c r="G2748">
        <v>10</v>
      </c>
      <c r="H2748" t="s">
        <v>85</v>
      </c>
      <c r="I2748" t="s">
        <v>43</v>
      </c>
      <c r="J2748" t="s">
        <v>86</v>
      </c>
      <c r="K2748" t="s">
        <v>44</v>
      </c>
      <c r="L2748">
        <v>32391.85</v>
      </c>
      <c r="M2748" s="1">
        <v>43595</v>
      </c>
      <c r="N2748" t="s">
        <v>108</v>
      </c>
      <c r="O2748" t="s">
        <v>106</v>
      </c>
      <c r="P2748" t="s">
        <v>47</v>
      </c>
      <c r="Q2748" s="1">
        <v>43852</v>
      </c>
      <c r="R2748" t="s">
        <v>48</v>
      </c>
      <c r="S2748" t="s">
        <v>102</v>
      </c>
      <c r="T2748" t="s">
        <v>103</v>
      </c>
      <c r="U2748" t="s">
        <v>85</v>
      </c>
      <c r="V2748">
        <v>5000000</v>
      </c>
      <c r="W2748">
        <v>250000</v>
      </c>
      <c r="X2748" s="1">
        <v>43799</v>
      </c>
      <c r="Y2748" t="s">
        <v>51</v>
      </c>
      <c r="Z2748" t="s">
        <v>43</v>
      </c>
      <c r="AA2748" t="s">
        <v>86</v>
      </c>
      <c r="AB2748" t="s">
        <v>89</v>
      </c>
      <c r="AC2748" t="s">
        <v>90</v>
      </c>
      <c r="AF2748" t="s">
        <v>91</v>
      </c>
      <c r="AG2748" s="1">
        <v>43852</v>
      </c>
      <c r="AH2748" t="s">
        <v>85</v>
      </c>
      <c r="AI2748" t="s">
        <v>92</v>
      </c>
      <c r="AJ2748">
        <v>19888</v>
      </c>
      <c r="AK2748">
        <v>128777</v>
      </c>
      <c r="AL2748">
        <v>198882</v>
      </c>
    </row>
    <row r="2749" spans="1:38" x14ac:dyDescent="0.25">
      <c r="A2749" t="s">
        <v>617</v>
      </c>
      <c r="B2749" t="s">
        <v>620</v>
      </c>
      <c r="C2749" t="s">
        <v>40</v>
      </c>
      <c r="D2749" s="1">
        <v>43466</v>
      </c>
      <c r="E2749" s="1">
        <v>43830</v>
      </c>
      <c r="F2749" t="s">
        <v>84</v>
      </c>
      <c r="G2749">
        <v>10</v>
      </c>
      <c r="H2749" t="s">
        <v>85</v>
      </c>
      <c r="I2749" t="s">
        <v>43</v>
      </c>
      <c r="J2749" t="s">
        <v>86</v>
      </c>
      <c r="K2749" t="s">
        <v>44</v>
      </c>
      <c r="L2749">
        <v>32391.85</v>
      </c>
      <c r="M2749" s="1">
        <v>43595</v>
      </c>
      <c r="N2749" t="s">
        <v>108</v>
      </c>
      <c r="O2749" t="s">
        <v>106</v>
      </c>
      <c r="P2749" t="s">
        <v>47</v>
      </c>
      <c r="Q2749" s="1">
        <v>43852</v>
      </c>
      <c r="R2749" t="s">
        <v>48</v>
      </c>
      <c r="S2749" t="s">
        <v>102</v>
      </c>
      <c r="T2749" t="s">
        <v>103</v>
      </c>
      <c r="U2749" t="s">
        <v>85</v>
      </c>
      <c r="V2749">
        <v>5000000</v>
      </c>
      <c r="W2749">
        <v>250000</v>
      </c>
      <c r="X2749" s="1">
        <v>43799</v>
      </c>
      <c r="Y2749" t="s">
        <v>51</v>
      </c>
      <c r="Z2749" t="s">
        <v>43</v>
      </c>
      <c r="AA2749" t="s">
        <v>86</v>
      </c>
      <c r="AB2749" t="s">
        <v>89</v>
      </c>
      <c r="AC2749" t="s">
        <v>90</v>
      </c>
      <c r="AF2749" t="s">
        <v>93</v>
      </c>
      <c r="AG2749" s="1">
        <v>43843</v>
      </c>
      <c r="AH2749" t="s">
        <v>85</v>
      </c>
      <c r="AI2749" t="s">
        <v>92</v>
      </c>
      <c r="AJ2749">
        <v>19888</v>
      </c>
      <c r="AK2749">
        <v>128777</v>
      </c>
      <c r="AL2749">
        <v>198882</v>
      </c>
    </row>
    <row r="2750" spans="1:38" x14ac:dyDescent="0.25">
      <c r="A2750" t="s">
        <v>617</v>
      </c>
      <c r="B2750" t="s">
        <v>620</v>
      </c>
      <c r="C2750" t="s">
        <v>40</v>
      </c>
      <c r="D2750" s="1">
        <v>43466</v>
      </c>
      <c r="E2750" s="1">
        <v>43830</v>
      </c>
      <c r="F2750" t="s">
        <v>84</v>
      </c>
      <c r="G2750">
        <v>10</v>
      </c>
      <c r="H2750" t="s">
        <v>85</v>
      </c>
      <c r="I2750" t="s">
        <v>43</v>
      </c>
      <c r="J2750" t="s">
        <v>86</v>
      </c>
      <c r="K2750" t="s">
        <v>44</v>
      </c>
      <c r="L2750">
        <v>9941.16</v>
      </c>
      <c r="M2750" s="1">
        <v>43656</v>
      </c>
      <c r="N2750" t="s">
        <v>108</v>
      </c>
      <c r="O2750" t="s">
        <v>106</v>
      </c>
      <c r="P2750" t="s">
        <v>47</v>
      </c>
      <c r="Q2750" s="1">
        <v>43852</v>
      </c>
      <c r="R2750" t="s">
        <v>48</v>
      </c>
      <c r="S2750" t="s">
        <v>87</v>
      </c>
      <c r="T2750" t="s">
        <v>88</v>
      </c>
      <c r="U2750" t="s">
        <v>85</v>
      </c>
      <c r="V2750">
        <v>1400000</v>
      </c>
      <c r="W2750">
        <v>100000</v>
      </c>
      <c r="X2750" s="1">
        <v>43808</v>
      </c>
      <c r="Y2750" t="s">
        <v>51</v>
      </c>
      <c r="Z2750" t="s">
        <v>43</v>
      </c>
      <c r="AA2750" t="s">
        <v>86</v>
      </c>
      <c r="AB2750" t="s">
        <v>89</v>
      </c>
      <c r="AC2750" t="s">
        <v>90</v>
      </c>
      <c r="AF2750" t="s">
        <v>91</v>
      </c>
      <c r="AG2750" s="1">
        <v>43852</v>
      </c>
      <c r="AH2750" t="s">
        <v>85</v>
      </c>
      <c r="AI2750" t="s">
        <v>92</v>
      </c>
      <c r="AJ2750">
        <v>19888</v>
      </c>
      <c r="AK2750">
        <v>128777</v>
      </c>
      <c r="AL2750">
        <v>198882</v>
      </c>
    </row>
    <row r="2751" spans="1:38" x14ac:dyDescent="0.25">
      <c r="A2751" t="s">
        <v>617</v>
      </c>
      <c r="B2751" t="s">
        <v>620</v>
      </c>
      <c r="C2751" t="s">
        <v>40</v>
      </c>
      <c r="D2751" s="1">
        <v>43466</v>
      </c>
      <c r="E2751" s="1">
        <v>43830</v>
      </c>
      <c r="F2751" t="s">
        <v>84</v>
      </c>
      <c r="G2751">
        <v>10</v>
      </c>
      <c r="H2751" t="s">
        <v>85</v>
      </c>
      <c r="I2751" t="s">
        <v>43</v>
      </c>
      <c r="J2751" t="s">
        <v>86</v>
      </c>
      <c r="K2751" t="s">
        <v>44</v>
      </c>
      <c r="L2751">
        <v>9941.16</v>
      </c>
      <c r="M2751" s="1">
        <v>43656</v>
      </c>
      <c r="N2751" t="s">
        <v>108</v>
      </c>
      <c r="O2751" t="s">
        <v>106</v>
      </c>
      <c r="P2751" t="s">
        <v>47</v>
      </c>
      <c r="Q2751" s="1">
        <v>43852</v>
      </c>
      <c r="R2751" t="s">
        <v>48</v>
      </c>
      <c r="S2751" t="s">
        <v>87</v>
      </c>
      <c r="T2751" t="s">
        <v>88</v>
      </c>
      <c r="U2751" t="s">
        <v>85</v>
      </c>
      <c r="V2751">
        <v>1400000</v>
      </c>
      <c r="W2751">
        <v>100000</v>
      </c>
      <c r="X2751" s="1">
        <v>43808</v>
      </c>
      <c r="Y2751" t="s">
        <v>51</v>
      </c>
      <c r="Z2751" t="s">
        <v>43</v>
      </c>
      <c r="AA2751" t="s">
        <v>86</v>
      </c>
      <c r="AB2751" t="s">
        <v>89</v>
      </c>
      <c r="AC2751" t="s">
        <v>90</v>
      </c>
      <c r="AF2751" t="s">
        <v>93</v>
      </c>
      <c r="AG2751" s="1">
        <v>43843</v>
      </c>
      <c r="AH2751" t="s">
        <v>85</v>
      </c>
      <c r="AI2751" t="s">
        <v>92</v>
      </c>
      <c r="AJ2751">
        <v>19888</v>
      </c>
      <c r="AK2751">
        <v>128777</v>
      </c>
      <c r="AL2751">
        <v>198882</v>
      </c>
    </row>
    <row r="2752" spans="1:38" x14ac:dyDescent="0.25">
      <c r="A2752" t="s">
        <v>617</v>
      </c>
      <c r="B2752" t="s">
        <v>620</v>
      </c>
      <c r="C2752" t="s">
        <v>40</v>
      </c>
      <c r="D2752" s="1">
        <v>43466</v>
      </c>
      <c r="E2752" s="1">
        <v>43830</v>
      </c>
      <c r="F2752" t="s">
        <v>84</v>
      </c>
      <c r="G2752">
        <v>10</v>
      </c>
      <c r="H2752" t="s">
        <v>85</v>
      </c>
      <c r="I2752" t="s">
        <v>43</v>
      </c>
      <c r="J2752" t="s">
        <v>86</v>
      </c>
      <c r="K2752" t="s">
        <v>44</v>
      </c>
      <c r="L2752">
        <v>9941.16</v>
      </c>
      <c r="M2752" s="1">
        <v>43656</v>
      </c>
      <c r="N2752" t="s">
        <v>108</v>
      </c>
      <c r="O2752" t="s">
        <v>106</v>
      </c>
      <c r="P2752" t="s">
        <v>47</v>
      </c>
      <c r="Q2752" s="1">
        <v>43852</v>
      </c>
      <c r="R2752" t="s">
        <v>48</v>
      </c>
      <c r="S2752" t="s">
        <v>94</v>
      </c>
      <c r="T2752" t="s">
        <v>95</v>
      </c>
      <c r="U2752" t="s">
        <v>85</v>
      </c>
      <c r="V2752">
        <v>4500000</v>
      </c>
      <c r="W2752">
        <v>300000</v>
      </c>
      <c r="X2752" s="1">
        <v>43767</v>
      </c>
      <c r="Y2752" t="s">
        <v>51</v>
      </c>
      <c r="Z2752" t="s">
        <v>43</v>
      </c>
      <c r="AA2752" t="s">
        <v>86</v>
      </c>
      <c r="AB2752" t="s">
        <v>89</v>
      </c>
      <c r="AC2752" t="s">
        <v>90</v>
      </c>
      <c r="AF2752" t="s">
        <v>91</v>
      </c>
      <c r="AG2752" s="1">
        <v>43852</v>
      </c>
      <c r="AH2752" t="s">
        <v>85</v>
      </c>
      <c r="AI2752" t="s">
        <v>92</v>
      </c>
      <c r="AJ2752">
        <v>19888</v>
      </c>
      <c r="AK2752">
        <v>128777</v>
      </c>
      <c r="AL2752">
        <v>198882</v>
      </c>
    </row>
    <row r="2753" spans="1:38" x14ac:dyDescent="0.25">
      <c r="A2753" t="s">
        <v>617</v>
      </c>
      <c r="B2753" t="s">
        <v>620</v>
      </c>
      <c r="C2753" t="s">
        <v>40</v>
      </c>
      <c r="D2753" s="1">
        <v>43466</v>
      </c>
      <c r="E2753" s="1">
        <v>43830</v>
      </c>
      <c r="F2753" t="s">
        <v>84</v>
      </c>
      <c r="G2753">
        <v>10</v>
      </c>
      <c r="H2753" t="s">
        <v>85</v>
      </c>
      <c r="I2753" t="s">
        <v>43</v>
      </c>
      <c r="J2753" t="s">
        <v>86</v>
      </c>
      <c r="K2753" t="s">
        <v>44</v>
      </c>
      <c r="L2753">
        <v>9941.16</v>
      </c>
      <c r="M2753" s="1">
        <v>43656</v>
      </c>
      <c r="N2753" t="s">
        <v>108</v>
      </c>
      <c r="O2753" t="s">
        <v>106</v>
      </c>
      <c r="P2753" t="s">
        <v>47</v>
      </c>
      <c r="Q2753" s="1">
        <v>43852</v>
      </c>
      <c r="R2753" t="s">
        <v>48</v>
      </c>
      <c r="S2753" t="s">
        <v>94</v>
      </c>
      <c r="T2753" t="s">
        <v>95</v>
      </c>
      <c r="U2753" t="s">
        <v>85</v>
      </c>
      <c r="V2753">
        <v>4500000</v>
      </c>
      <c r="W2753">
        <v>300000</v>
      </c>
      <c r="X2753" s="1">
        <v>43767</v>
      </c>
      <c r="Y2753" t="s">
        <v>51</v>
      </c>
      <c r="Z2753" t="s">
        <v>43</v>
      </c>
      <c r="AA2753" t="s">
        <v>86</v>
      </c>
      <c r="AB2753" t="s">
        <v>89</v>
      </c>
      <c r="AC2753" t="s">
        <v>90</v>
      </c>
      <c r="AF2753" t="s">
        <v>93</v>
      </c>
      <c r="AG2753" s="1">
        <v>43843</v>
      </c>
      <c r="AH2753" t="s">
        <v>85</v>
      </c>
      <c r="AI2753" t="s">
        <v>92</v>
      </c>
      <c r="AJ2753">
        <v>19888</v>
      </c>
      <c r="AK2753">
        <v>128777</v>
      </c>
      <c r="AL2753">
        <v>198882</v>
      </c>
    </row>
    <row r="2754" spans="1:38" x14ac:dyDescent="0.25">
      <c r="A2754" t="s">
        <v>617</v>
      </c>
      <c r="B2754" t="s">
        <v>620</v>
      </c>
      <c r="C2754" t="s">
        <v>40</v>
      </c>
      <c r="D2754" s="1">
        <v>43466</v>
      </c>
      <c r="E2754" s="1">
        <v>43830</v>
      </c>
      <c r="F2754" t="s">
        <v>84</v>
      </c>
      <c r="G2754">
        <v>10</v>
      </c>
      <c r="H2754" t="s">
        <v>85</v>
      </c>
      <c r="I2754" t="s">
        <v>43</v>
      </c>
      <c r="J2754" t="s">
        <v>86</v>
      </c>
      <c r="K2754" t="s">
        <v>44</v>
      </c>
      <c r="L2754">
        <v>9941.16</v>
      </c>
      <c r="M2754" s="1">
        <v>43656</v>
      </c>
      <c r="N2754" t="s">
        <v>108</v>
      </c>
      <c r="O2754" t="s">
        <v>106</v>
      </c>
      <c r="P2754" t="s">
        <v>47</v>
      </c>
      <c r="Q2754" s="1">
        <v>43852</v>
      </c>
      <c r="R2754" t="s">
        <v>48</v>
      </c>
      <c r="S2754" t="s">
        <v>96</v>
      </c>
      <c r="T2754" t="s">
        <v>97</v>
      </c>
      <c r="U2754" t="s">
        <v>85</v>
      </c>
      <c r="V2754">
        <v>600000</v>
      </c>
      <c r="W2754">
        <v>100000</v>
      </c>
      <c r="X2754" s="1">
        <v>43799</v>
      </c>
      <c r="Y2754" t="s">
        <v>51</v>
      </c>
      <c r="Z2754" t="s">
        <v>43</v>
      </c>
      <c r="AA2754" t="s">
        <v>98</v>
      </c>
      <c r="AB2754" t="s">
        <v>89</v>
      </c>
      <c r="AC2754" t="s">
        <v>90</v>
      </c>
      <c r="AF2754" t="s">
        <v>91</v>
      </c>
      <c r="AG2754" s="1">
        <v>43852</v>
      </c>
      <c r="AH2754" t="s">
        <v>85</v>
      </c>
      <c r="AI2754" t="s">
        <v>92</v>
      </c>
      <c r="AJ2754">
        <v>19888</v>
      </c>
      <c r="AK2754">
        <v>128777</v>
      </c>
      <c r="AL2754">
        <v>198882</v>
      </c>
    </row>
    <row r="2755" spans="1:38" x14ac:dyDescent="0.25">
      <c r="A2755" t="s">
        <v>617</v>
      </c>
      <c r="B2755" t="s">
        <v>620</v>
      </c>
      <c r="C2755" t="s">
        <v>40</v>
      </c>
      <c r="D2755" s="1">
        <v>43466</v>
      </c>
      <c r="E2755" s="1">
        <v>43830</v>
      </c>
      <c r="F2755" t="s">
        <v>84</v>
      </c>
      <c r="G2755">
        <v>10</v>
      </c>
      <c r="H2755" t="s">
        <v>85</v>
      </c>
      <c r="I2755" t="s">
        <v>43</v>
      </c>
      <c r="J2755" t="s">
        <v>86</v>
      </c>
      <c r="K2755" t="s">
        <v>44</v>
      </c>
      <c r="L2755">
        <v>9941.16</v>
      </c>
      <c r="M2755" s="1">
        <v>43656</v>
      </c>
      <c r="N2755" t="s">
        <v>108</v>
      </c>
      <c r="O2755" t="s">
        <v>106</v>
      </c>
      <c r="P2755" t="s">
        <v>47</v>
      </c>
      <c r="Q2755" s="1">
        <v>43852</v>
      </c>
      <c r="R2755" t="s">
        <v>48</v>
      </c>
      <c r="S2755" t="s">
        <v>96</v>
      </c>
      <c r="T2755" t="s">
        <v>97</v>
      </c>
      <c r="U2755" t="s">
        <v>85</v>
      </c>
      <c r="V2755">
        <v>600000</v>
      </c>
      <c r="W2755">
        <v>100000</v>
      </c>
      <c r="X2755" s="1">
        <v>43799</v>
      </c>
      <c r="Y2755" t="s">
        <v>51</v>
      </c>
      <c r="Z2755" t="s">
        <v>43</v>
      </c>
      <c r="AA2755" t="s">
        <v>98</v>
      </c>
      <c r="AB2755" t="s">
        <v>89</v>
      </c>
      <c r="AC2755" t="s">
        <v>90</v>
      </c>
      <c r="AF2755" t="s">
        <v>93</v>
      </c>
      <c r="AG2755" s="1">
        <v>43843</v>
      </c>
      <c r="AH2755" t="s">
        <v>85</v>
      </c>
      <c r="AI2755" t="s">
        <v>92</v>
      </c>
      <c r="AJ2755">
        <v>19888</v>
      </c>
      <c r="AK2755">
        <v>128777</v>
      </c>
      <c r="AL2755">
        <v>198882</v>
      </c>
    </row>
    <row r="2756" spans="1:38" x14ac:dyDescent="0.25">
      <c r="A2756" t="s">
        <v>617</v>
      </c>
      <c r="B2756" t="s">
        <v>620</v>
      </c>
      <c r="C2756" t="s">
        <v>40</v>
      </c>
      <c r="D2756" s="1">
        <v>43466</v>
      </c>
      <c r="E2756" s="1">
        <v>43830</v>
      </c>
      <c r="F2756" t="s">
        <v>84</v>
      </c>
      <c r="G2756">
        <v>10</v>
      </c>
      <c r="H2756" t="s">
        <v>85</v>
      </c>
      <c r="I2756" t="s">
        <v>43</v>
      </c>
      <c r="J2756" t="s">
        <v>86</v>
      </c>
      <c r="K2756" t="s">
        <v>44</v>
      </c>
      <c r="L2756">
        <v>9941.16</v>
      </c>
      <c r="M2756" s="1">
        <v>43656</v>
      </c>
      <c r="N2756" t="s">
        <v>108</v>
      </c>
      <c r="O2756" t="s">
        <v>106</v>
      </c>
      <c r="P2756" t="s">
        <v>47</v>
      </c>
      <c r="Q2756" s="1">
        <v>43852</v>
      </c>
      <c r="R2756" t="s">
        <v>48</v>
      </c>
      <c r="S2756" t="s">
        <v>99</v>
      </c>
      <c r="T2756" t="s">
        <v>100</v>
      </c>
      <c r="U2756" t="s">
        <v>85</v>
      </c>
      <c r="V2756">
        <v>210000</v>
      </c>
      <c r="W2756">
        <v>35000</v>
      </c>
      <c r="X2756" s="1">
        <v>43799</v>
      </c>
      <c r="Y2756" t="s">
        <v>51</v>
      </c>
      <c r="Z2756" t="s">
        <v>43</v>
      </c>
      <c r="AA2756" t="s">
        <v>98</v>
      </c>
      <c r="AB2756" t="s">
        <v>89</v>
      </c>
      <c r="AC2756" t="s">
        <v>101</v>
      </c>
      <c r="AF2756" t="s">
        <v>91</v>
      </c>
      <c r="AG2756" s="1">
        <v>43852</v>
      </c>
      <c r="AH2756" t="s">
        <v>85</v>
      </c>
      <c r="AI2756" t="s">
        <v>92</v>
      </c>
      <c r="AJ2756">
        <v>19888</v>
      </c>
      <c r="AK2756">
        <v>128777</v>
      </c>
      <c r="AL2756">
        <v>198882</v>
      </c>
    </row>
    <row r="2757" spans="1:38" x14ac:dyDescent="0.25">
      <c r="A2757" t="s">
        <v>617</v>
      </c>
      <c r="B2757" t="s">
        <v>620</v>
      </c>
      <c r="C2757" t="s">
        <v>40</v>
      </c>
      <c r="D2757" s="1">
        <v>43466</v>
      </c>
      <c r="E2757" s="1">
        <v>43830</v>
      </c>
      <c r="F2757" t="s">
        <v>84</v>
      </c>
      <c r="G2757">
        <v>10</v>
      </c>
      <c r="H2757" t="s">
        <v>85</v>
      </c>
      <c r="I2757" t="s">
        <v>43</v>
      </c>
      <c r="J2757" t="s">
        <v>86</v>
      </c>
      <c r="K2757" t="s">
        <v>44</v>
      </c>
      <c r="L2757">
        <v>9941.16</v>
      </c>
      <c r="M2757" s="1">
        <v>43656</v>
      </c>
      <c r="N2757" t="s">
        <v>108</v>
      </c>
      <c r="O2757" t="s">
        <v>106</v>
      </c>
      <c r="P2757" t="s">
        <v>47</v>
      </c>
      <c r="Q2757" s="1">
        <v>43852</v>
      </c>
      <c r="R2757" t="s">
        <v>48</v>
      </c>
      <c r="S2757" t="s">
        <v>99</v>
      </c>
      <c r="T2757" t="s">
        <v>100</v>
      </c>
      <c r="U2757" t="s">
        <v>85</v>
      </c>
      <c r="V2757">
        <v>210000</v>
      </c>
      <c r="W2757">
        <v>35000</v>
      </c>
      <c r="X2757" s="1">
        <v>43799</v>
      </c>
      <c r="Y2757" t="s">
        <v>51</v>
      </c>
      <c r="Z2757" t="s">
        <v>43</v>
      </c>
      <c r="AA2757" t="s">
        <v>98</v>
      </c>
      <c r="AB2757" t="s">
        <v>89</v>
      </c>
      <c r="AC2757" t="s">
        <v>101</v>
      </c>
      <c r="AF2757" t="s">
        <v>93</v>
      </c>
      <c r="AG2757" s="1">
        <v>43843</v>
      </c>
      <c r="AH2757" t="s">
        <v>85</v>
      </c>
      <c r="AI2757" t="s">
        <v>92</v>
      </c>
      <c r="AJ2757">
        <v>19888</v>
      </c>
      <c r="AK2757">
        <v>128777</v>
      </c>
      <c r="AL2757">
        <v>198882</v>
      </c>
    </row>
    <row r="2758" spans="1:38" x14ac:dyDescent="0.25">
      <c r="A2758" t="s">
        <v>617</v>
      </c>
      <c r="B2758" t="s">
        <v>620</v>
      </c>
      <c r="C2758" t="s">
        <v>40</v>
      </c>
      <c r="D2758" s="1">
        <v>43466</v>
      </c>
      <c r="E2758" s="1">
        <v>43830</v>
      </c>
      <c r="F2758" t="s">
        <v>84</v>
      </c>
      <c r="G2758">
        <v>10</v>
      </c>
      <c r="H2758" t="s">
        <v>85</v>
      </c>
      <c r="I2758" t="s">
        <v>43</v>
      </c>
      <c r="J2758" t="s">
        <v>86</v>
      </c>
      <c r="K2758" t="s">
        <v>44</v>
      </c>
      <c r="L2758">
        <v>9941.16</v>
      </c>
      <c r="M2758" s="1">
        <v>43656</v>
      </c>
      <c r="N2758" t="s">
        <v>108</v>
      </c>
      <c r="O2758" t="s">
        <v>106</v>
      </c>
      <c r="P2758" t="s">
        <v>47</v>
      </c>
      <c r="Q2758" s="1">
        <v>43852</v>
      </c>
      <c r="R2758" t="s">
        <v>48</v>
      </c>
      <c r="S2758" t="s">
        <v>102</v>
      </c>
      <c r="T2758" t="s">
        <v>103</v>
      </c>
      <c r="U2758" t="s">
        <v>85</v>
      </c>
      <c r="V2758">
        <v>5000000</v>
      </c>
      <c r="W2758">
        <v>250000</v>
      </c>
      <c r="X2758" s="1">
        <v>43799</v>
      </c>
      <c r="Y2758" t="s">
        <v>51</v>
      </c>
      <c r="Z2758" t="s">
        <v>43</v>
      </c>
      <c r="AA2758" t="s">
        <v>86</v>
      </c>
      <c r="AB2758" t="s">
        <v>89</v>
      </c>
      <c r="AC2758" t="s">
        <v>90</v>
      </c>
      <c r="AF2758" t="s">
        <v>91</v>
      </c>
      <c r="AG2758" s="1">
        <v>43852</v>
      </c>
      <c r="AH2758" t="s">
        <v>85</v>
      </c>
      <c r="AI2758" t="s">
        <v>92</v>
      </c>
      <c r="AJ2758">
        <v>19888</v>
      </c>
      <c r="AK2758">
        <v>128777</v>
      </c>
      <c r="AL2758">
        <v>198882</v>
      </c>
    </row>
    <row r="2759" spans="1:38" x14ac:dyDescent="0.25">
      <c r="A2759" t="s">
        <v>617</v>
      </c>
      <c r="B2759" t="s">
        <v>620</v>
      </c>
      <c r="C2759" t="s">
        <v>40</v>
      </c>
      <c r="D2759" s="1">
        <v>43466</v>
      </c>
      <c r="E2759" s="1">
        <v>43830</v>
      </c>
      <c r="F2759" t="s">
        <v>84</v>
      </c>
      <c r="G2759">
        <v>10</v>
      </c>
      <c r="H2759" t="s">
        <v>85</v>
      </c>
      <c r="I2759" t="s">
        <v>43</v>
      </c>
      <c r="J2759" t="s">
        <v>86</v>
      </c>
      <c r="K2759" t="s">
        <v>44</v>
      </c>
      <c r="L2759">
        <v>9941.16</v>
      </c>
      <c r="M2759" s="1">
        <v>43656</v>
      </c>
      <c r="N2759" t="s">
        <v>108</v>
      </c>
      <c r="O2759" t="s">
        <v>106</v>
      </c>
      <c r="P2759" t="s">
        <v>47</v>
      </c>
      <c r="Q2759" s="1">
        <v>43852</v>
      </c>
      <c r="R2759" t="s">
        <v>48</v>
      </c>
      <c r="S2759" t="s">
        <v>102</v>
      </c>
      <c r="T2759" t="s">
        <v>103</v>
      </c>
      <c r="U2759" t="s">
        <v>85</v>
      </c>
      <c r="V2759">
        <v>5000000</v>
      </c>
      <c r="W2759">
        <v>250000</v>
      </c>
      <c r="X2759" s="1">
        <v>43799</v>
      </c>
      <c r="Y2759" t="s">
        <v>51</v>
      </c>
      <c r="Z2759" t="s">
        <v>43</v>
      </c>
      <c r="AA2759" t="s">
        <v>86</v>
      </c>
      <c r="AB2759" t="s">
        <v>89</v>
      </c>
      <c r="AC2759" t="s">
        <v>90</v>
      </c>
      <c r="AF2759" t="s">
        <v>93</v>
      </c>
      <c r="AG2759" s="1">
        <v>43843</v>
      </c>
      <c r="AH2759" t="s">
        <v>85</v>
      </c>
      <c r="AI2759" t="s">
        <v>92</v>
      </c>
      <c r="AJ2759">
        <v>19888</v>
      </c>
      <c r="AK2759">
        <v>128777</v>
      </c>
      <c r="AL2759">
        <v>198882</v>
      </c>
    </row>
    <row r="2760" spans="1:38" x14ac:dyDescent="0.25">
      <c r="A2760" t="s">
        <v>617</v>
      </c>
      <c r="B2760" t="s">
        <v>620</v>
      </c>
      <c r="C2760" t="s">
        <v>40</v>
      </c>
      <c r="D2760" s="1">
        <v>43466</v>
      </c>
      <c r="E2760" s="1">
        <v>43830</v>
      </c>
      <c r="F2760" t="s">
        <v>84</v>
      </c>
      <c r="G2760">
        <v>10</v>
      </c>
      <c r="H2760" t="s">
        <v>85</v>
      </c>
      <c r="I2760" t="s">
        <v>43</v>
      </c>
      <c r="J2760" t="s">
        <v>86</v>
      </c>
      <c r="K2760" t="s">
        <v>44</v>
      </c>
      <c r="L2760">
        <v>27681.48</v>
      </c>
      <c r="M2760" s="1">
        <v>43691</v>
      </c>
      <c r="N2760" t="s">
        <v>108</v>
      </c>
      <c r="O2760" t="s">
        <v>106</v>
      </c>
      <c r="P2760" t="s">
        <v>47</v>
      </c>
      <c r="Q2760" s="1">
        <v>43852</v>
      </c>
      <c r="R2760" t="s">
        <v>48</v>
      </c>
      <c r="S2760" t="s">
        <v>87</v>
      </c>
      <c r="T2760" t="s">
        <v>88</v>
      </c>
      <c r="U2760" t="s">
        <v>85</v>
      </c>
      <c r="V2760">
        <v>1400000</v>
      </c>
      <c r="W2760">
        <v>100000</v>
      </c>
      <c r="X2760" s="1">
        <v>43808</v>
      </c>
      <c r="Y2760" t="s">
        <v>51</v>
      </c>
      <c r="Z2760" t="s">
        <v>43</v>
      </c>
      <c r="AA2760" t="s">
        <v>86</v>
      </c>
      <c r="AB2760" t="s">
        <v>89</v>
      </c>
      <c r="AC2760" t="s">
        <v>90</v>
      </c>
      <c r="AF2760" t="s">
        <v>91</v>
      </c>
      <c r="AG2760" s="1">
        <v>43852</v>
      </c>
      <c r="AH2760" t="s">
        <v>85</v>
      </c>
      <c r="AI2760" t="s">
        <v>92</v>
      </c>
      <c r="AJ2760">
        <v>19888</v>
      </c>
      <c r="AK2760">
        <v>128777</v>
      </c>
      <c r="AL2760">
        <v>198882</v>
      </c>
    </row>
    <row r="2761" spans="1:38" x14ac:dyDescent="0.25">
      <c r="A2761" t="s">
        <v>617</v>
      </c>
      <c r="B2761" t="s">
        <v>620</v>
      </c>
      <c r="C2761" t="s">
        <v>40</v>
      </c>
      <c r="D2761" s="1">
        <v>43466</v>
      </c>
      <c r="E2761" s="1">
        <v>43830</v>
      </c>
      <c r="F2761" t="s">
        <v>84</v>
      </c>
      <c r="G2761">
        <v>10</v>
      </c>
      <c r="H2761" t="s">
        <v>85</v>
      </c>
      <c r="I2761" t="s">
        <v>43</v>
      </c>
      <c r="J2761" t="s">
        <v>86</v>
      </c>
      <c r="K2761" t="s">
        <v>44</v>
      </c>
      <c r="L2761">
        <v>27681.48</v>
      </c>
      <c r="M2761" s="1">
        <v>43691</v>
      </c>
      <c r="N2761" t="s">
        <v>108</v>
      </c>
      <c r="O2761" t="s">
        <v>106</v>
      </c>
      <c r="P2761" t="s">
        <v>47</v>
      </c>
      <c r="Q2761" s="1">
        <v>43852</v>
      </c>
      <c r="R2761" t="s">
        <v>48</v>
      </c>
      <c r="S2761" t="s">
        <v>87</v>
      </c>
      <c r="T2761" t="s">
        <v>88</v>
      </c>
      <c r="U2761" t="s">
        <v>85</v>
      </c>
      <c r="V2761">
        <v>1400000</v>
      </c>
      <c r="W2761">
        <v>100000</v>
      </c>
      <c r="X2761" s="1">
        <v>43808</v>
      </c>
      <c r="Y2761" t="s">
        <v>51</v>
      </c>
      <c r="Z2761" t="s">
        <v>43</v>
      </c>
      <c r="AA2761" t="s">
        <v>86</v>
      </c>
      <c r="AB2761" t="s">
        <v>89</v>
      </c>
      <c r="AC2761" t="s">
        <v>90</v>
      </c>
      <c r="AF2761" t="s">
        <v>93</v>
      </c>
      <c r="AG2761" s="1">
        <v>43843</v>
      </c>
      <c r="AH2761" t="s">
        <v>85</v>
      </c>
      <c r="AI2761" t="s">
        <v>92</v>
      </c>
      <c r="AJ2761">
        <v>19888</v>
      </c>
      <c r="AK2761">
        <v>128777</v>
      </c>
      <c r="AL2761">
        <v>198882</v>
      </c>
    </row>
    <row r="2762" spans="1:38" x14ac:dyDescent="0.25">
      <c r="A2762" t="s">
        <v>617</v>
      </c>
      <c r="B2762" t="s">
        <v>620</v>
      </c>
      <c r="C2762" t="s">
        <v>40</v>
      </c>
      <c r="D2762" s="1">
        <v>43466</v>
      </c>
      <c r="E2762" s="1">
        <v>43830</v>
      </c>
      <c r="F2762" t="s">
        <v>84</v>
      </c>
      <c r="G2762">
        <v>10</v>
      </c>
      <c r="H2762" t="s">
        <v>85</v>
      </c>
      <c r="I2762" t="s">
        <v>43</v>
      </c>
      <c r="J2762" t="s">
        <v>86</v>
      </c>
      <c r="K2762" t="s">
        <v>44</v>
      </c>
      <c r="L2762">
        <v>27681.48</v>
      </c>
      <c r="M2762" s="1">
        <v>43691</v>
      </c>
      <c r="N2762" t="s">
        <v>108</v>
      </c>
      <c r="O2762" t="s">
        <v>106</v>
      </c>
      <c r="P2762" t="s">
        <v>47</v>
      </c>
      <c r="Q2762" s="1">
        <v>43852</v>
      </c>
      <c r="R2762" t="s">
        <v>48</v>
      </c>
      <c r="S2762" t="s">
        <v>94</v>
      </c>
      <c r="T2762" t="s">
        <v>95</v>
      </c>
      <c r="U2762" t="s">
        <v>85</v>
      </c>
      <c r="V2762">
        <v>4500000</v>
      </c>
      <c r="W2762">
        <v>300000</v>
      </c>
      <c r="X2762" s="1">
        <v>43767</v>
      </c>
      <c r="Y2762" t="s">
        <v>51</v>
      </c>
      <c r="Z2762" t="s">
        <v>43</v>
      </c>
      <c r="AA2762" t="s">
        <v>86</v>
      </c>
      <c r="AB2762" t="s">
        <v>89</v>
      </c>
      <c r="AC2762" t="s">
        <v>90</v>
      </c>
      <c r="AF2762" t="s">
        <v>91</v>
      </c>
      <c r="AG2762" s="1">
        <v>43852</v>
      </c>
      <c r="AH2762" t="s">
        <v>85</v>
      </c>
      <c r="AI2762" t="s">
        <v>92</v>
      </c>
      <c r="AJ2762">
        <v>19888</v>
      </c>
      <c r="AK2762">
        <v>128777</v>
      </c>
      <c r="AL2762">
        <v>198882</v>
      </c>
    </row>
    <row r="2763" spans="1:38" x14ac:dyDescent="0.25">
      <c r="A2763" t="s">
        <v>617</v>
      </c>
      <c r="B2763" t="s">
        <v>620</v>
      </c>
      <c r="C2763" t="s">
        <v>40</v>
      </c>
      <c r="D2763" s="1">
        <v>43466</v>
      </c>
      <c r="E2763" s="1">
        <v>43830</v>
      </c>
      <c r="F2763" t="s">
        <v>84</v>
      </c>
      <c r="G2763">
        <v>10</v>
      </c>
      <c r="H2763" t="s">
        <v>85</v>
      </c>
      <c r="I2763" t="s">
        <v>43</v>
      </c>
      <c r="J2763" t="s">
        <v>86</v>
      </c>
      <c r="K2763" t="s">
        <v>44</v>
      </c>
      <c r="L2763">
        <v>27681.48</v>
      </c>
      <c r="M2763" s="1">
        <v>43691</v>
      </c>
      <c r="N2763" t="s">
        <v>108</v>
      </c>
      <c r="O2763" t="s">
        <v>106</v>
      </c>
      <c r="P2763" t="s">
        <v>47</v>
      </c>
      <c r="Q2763" s="1">
        <v>43852</v>
      </c>
      <c r="R2763" t="s">
        <v>48</v>
      </c>
      <c r="S2763" t="s">
        <v>94</v>
      </c>
      <c r="T2763" t="s">
        <v>95</v>
      </c>
      <c r="U2763" t="s">
        <v>85</v>
      </c>
      <c r="V2763">
        <v>4500000</v>
      </c>
      <c r="W2763">
        <v>300000</v>
      </c>
      <c r="X2763" s="1">
        <v>43767</v>
      </c>
      <c r="Y2763" t="s">
        <v>51</v>
      </c>
      <c r="Z2763" t="s">
        <v>43</v>
      </c>
      <c r="AA2763" t="s">
        <v>86</v>
      </c>
      <c r="AB2763" t="s">
        <v>89</v>
      </c>
      <c r="AC2763" t="s">
        <v>90</v>
      </c>
      <c r="AF2763" t="s">
        <v>93</v>
      </c>
      <c r="AG2763" s="1">
        <v>43843</v>
      </c>
      <c r="AH2763" t="s">
        <v>85</v>
      </c>
      <c r="AI2763" t="s">
        <v>92</v>
      </c>
      <c r="AJ2763">
        <v>19888</v>
      </c>
      <c r="AK2763">
        <v>128777</v>
      </c>
      <c r="AL2763">
        <v>198882</v>
      </c>
    </row>
    <row r="2764" spans="1:38" x14ac:dyDescent="0.25">
      <c r="A2764" t="s">
        <v>617</v>
      </c>
      <c r="B2764" t="s">
        <v>620</v>
      </c>
      <c r="C2764" t="s">
        <v>40</v>
      </c>
      <c r="D2764" s="1">
        <v>43466</v>
      </c>
      <c r="E2764" s="1">
        <v>43830</v>
      </c>
      <c r="F2764" t="s">
        <v>84</v>
      </c>
      <c r="G2764">
        <v>10</v>
      </c>
      <c r="H2764" t="s">
        <v>85</v>
      </c>
      <c r="I2764" t="s">
        <v>43</v>
      </c>
      <c r="J2764" t="s">
        <v>86</v>
      </c>
      <c r="K2764" t="s">
        <v>44</v>
      </c>
      <c r="L2764">
        <v>27681.48</v>
      </c>
      <c r="M2764" s="1">
        <v>43691</v>
      </c>
      <c r="N2764" t="s">
        <v>108</v>
      </c>
      <c r="O2764" t="s">
        <v>106</v>
      </c>
      <c r="P2764" t="s">
        <v>47</v>
      </c>
      <c r="Q2764" s="1">
        <v>43852</v>
      </c>
      <c r="R2764" t="s">
        <v>48</v>
      </c>
      <c r="S2764" t="s">
        <v>96</v>
      </c>
      <c r="T2764" t="s">
        <v>97</v>
      </c>
      <c r="U2764" t="s">
        <v>85</v>
      </c>
      <c r="V2764">
        <v>600000</v>
      </c>
      <c r="W2764">
        <v>100000</v>
      </c>
      <c r="X2764" s="1">
        <v>43799</v>
      </c>
      <c r="Y2764" t="s">
        <v>51</v>
      </c>
      <c r="Z2764" t="s">
        <v>43</v>
      </c>
      <c r="AA2764" t="s">
        <v>98</v>
      </c>
      <c r="AB2764" t="s">
        <v>89</v>
      </c>
      <c r="AC2764" t="s">
        <v>90</v>
      </c>
      <c r="AF2764" t="s">
        <v>91</v>
      </c>
      <c r="AG2764" s="1">
        <v>43852</v>
      </c>
      <c r="AH2764" t="s">
        <v>85</v>
      </c>
      <c r="AI2764" t="s">
        <v>92</v>
      </c>
      <c r="AJ2764">
        <v>19888</v>
      </c>
      <c r="AK2764">
        <v>128777</v>
      </c>
      <c r="AL2764">
        <v>198882</v>
      </c>
    </row>
    <row r="2765" spans="1:38" x14ac:dyDescent="0.25">
      <c r="A2765" t="s">
        <v>617</v>
      </c>
      <c r="B2765" t="s">
        <v>620</v>
      </c>
      <c r="C2765" t="s">
        <v>40</v>
      </c>
      <c r="D2765" s="1">
        <v>43466</v>
      </c>
      <c r="E2765" s="1">
        <v>43830</v>
      </c>
      <c r="F2765" t="s">
        <v>84</v>
      </c>
      <c r="G2765">
        <v>10</v>
      </c>
      <c r="H2765" t="s">
        <v>85</v>
      </c>
      <c r="I2765" t="s">
        <v>43</v>
      </c>
      <c r="J2765" t="s">
        <v>86</v>
      </c>
      <c r="K2765" t="s">
        <v>44</v>
      </c>
      <c r="L2765">
        <v>27681.48</v>
      </c>
      <c r="M2765" s="1">
        <v>43691</v>
      </c>
      <c r="N2765" t="s">
        <v>108</v>
      </c>
      <c r="O2765" t="s">
        <v>106</v>
      </c>
      <c r="P2765" t="s">
        <v>47</v>
      </c>
      <c r="Q2765" s="1">
        <v>43852</v>
      </c>
      <c r="R2765" t="s">
        <v>48</v>
      </c>
      <c r="S2765" t="s">
        <v>96</v>
      </c>
      <c r="T2765" t="s">
        <v>97</v>
      </c>
      <c r="U2765" t="s">
        <v>85</v>
      </c>
      <c r="V2765">
        <v>600000</v>
      </c>
      <c r="W2765">
        <v>100000</v>
      </c>
      <c r="X2765" s="1">
        <v>43799</v>
      </c>
      <c r="Y2765" t="s">
        <v>51</v>
      </c>
      <c r="Z2765" t="s">
        <v>43</v>
      </c>
      <c r="AA2765" t="s">
        <v>98</v>
      </c>
      <c r="AB2765" t="s">
        <v>89</v>
      </c>
      <c r="AC2765" t="s">
        <v>90</v>
      </c>
      <c r="AF2765" t="s">
        <v>93</v>
      </c>
      <c r="AG2765" s="1">
        <v>43843</v>
      </c>
      <c r="AH2765" t="s">
        <v>85</v>
      </c>
      <c r="AI2765" t="s">
        <v>92</v>
      </c>
      <c r="AJ2765">
        <v>19888</v>
      </c>
      <c r="AK2765">
        <v>128777</v>
      </c>
      <c r="AL2765">
        <v>198882</v>
      </c>
    </row>
    <row r="2766" spans="1:38" x14ac:dyDescent="0.25">
      <c r="A2766" t="s">
        <v>617</v>
      </c>
      <c r="B2766" t="s">
        <v>620</v>
      </c>
      <c r="C2766" t="s">
        <v>40</v>
      </c>
      <c r="D2766" s="1">
        <v>43466</v>
      </c>
      <c r="E2766" s="1">
        <v>43830</v>
      </c>
      <c r="F2766" t="s">
        <v>84</v>
      </c>
      <c r="G2766">
        <v>10</v>
      </c>
      <c r="H2766" t="s">
        <v>85</v>
      </c>
      <c r="I2766" t="s">
        <v>43</v>
      </c>
      <c r="J2766" t="s">
        <v>86</v>
      </c>
      <c r="K2766" t="s">
        <v>44</v>
      </c>
      <c r="L2766">
        <v>27681.48</v>
      </c>
      <c r="M2766" s="1">
        <v>43691</v>
      </c>
      <c r="N2766" t="s">
        <v>108</v>
      </c>
      <c r="O2766" t="s">
        <v>106</v>
      </c>
      <c r="P2766" t="s">
        <v>47</v>
      </c>
      <c r="Q2766" s="1">
        <v>43852</v>
      </c>
      <c r="R2766" t="s">
        <v>48</v>
      </c>
      <c r="S2766" t="s">
        <v>99</v>
      </c>
      <c r="T2766" t="s">
        <v>100</v>
      </c>
      <c r="U2766" t="s">
        <v>85</v>
      </c>
      <c r="V2766">
        <v>210000</v>
      </c>
      <c r="W2766">
        <v>35000</v>
      </c>
      <c r="X2766" s="1">
        <v>43799</v>
      </c>
      <c r="Y2766" t="s">
        <v>51</v>
      </c>
      <c r="Z2766" t="s">
        <v>43</v>
      </c>
      <c r="AA2766" t="s">
        <v>98</v>
      </c>
      <c r="AB2766" t="s">
        <v>89</v>
      </c>
      <c r="AC2766" t="s">
        <v>101</v>
      </c>
      <c r="AF2766" t="s">
        <v>91</v>
      </c>
      <c r="AG2766" s="1">
        <v>43852</v>
      </c>
      <c r="AH2766" t="s">
        <v>85</v>
      </c>
      <c r="AI2766" t="s">
        <v>92</v>
      </c>
      <c r="AJ2766">
        <v>19888</v>
      </c>
      <c r="AK2766">
        <v>128777</v>
      </c>
      <c r="AL2766">
        <v>198882</v>
      </c>
    </row>
    <row r="2767" spans="1:38" x14ac:dyDescent="0.25">
      <c r="A2767" t="s">
        <v>617</v>
      </c>
      <c r="B2767" t="s">
        <v>620</v>
      </c>
      <c r="C2767" t="s">
        <v>40</v>
      </c>
      <c r="D2767" s="1">
        <v>43466</v>
      </c>
      <c r="E2767" s="1">
        <v>43830</v>
      </c>
      <c r="F2767" t="s">
        <v>84</v>
      </c>
      <c r="G2767">
        <v>10</v>
      </c>
      <c r="H2767" t="s">
        <v>85</v>
      </c>
      <c r="I2767" t="s">
        <v>43</v>
      </c>
      <c r="J2767" t="s">
        <v>86</v>
      </c>
      <c r="K2767" t="s">
        <v>44</v>
      </c>
      <c r="L2767">
        <v>27681.48</v>
      </c>
      <c r="M2767" s="1">
        <v>43691</v>
      </c>
      <c r="N2767" t="s">
        <v>108</v>
      </c>
      <c r="O2767" t="s">
        <v>106</v>
      </c>
      <c r="P2767" t="s">
        <v>47</v>
      </c>
      <c r="Q2767" s="1">
        <v>43852</v>
      </c>
      <c r="R2767" t="s">
        <v>48</v>
      </c>
      <c r="S2767" t="s">
        <v>99</v>
      </c>
      <c r="T2767" t="s">
        <v>100</v>
      </c>
      <c r="U2767" t="s">
        <v>85</v>
      </c>
      <c r="V2767">
        <v>210000</v>
      </c>
      <c r="W2767">
        <v>35000</v>
      </c>
      <c r="X2767" s="1">
        <v>43799</v>
      </c>
      <c r="Y2767" t="s">
        <v>51</v>
      </c>
      <c r="Z2767" t="s">
        <v>43</v>
      </c>
      <c r="AA2767" t="s">
        <v>98</v>
      </c>
      <c r="AB2767" t="s">
        <v>89</v>
      </c>
      <c r="AC2767" t="s">
        <v>101</v>
      </c>
      <c r="AF2767" t="s">
        <v>93</v>
      </c>
      <c r="AG2767" s="1">
        <v>43843</v>
      </c>
      <c r="AH2767" t="s">
        <v>85</v>
      </c>
      <c r="AI2767" t="s">
        <v>92</v>
      </c>
      <c r="AJ2767">
        <v>19888</v>
      </c>
      <c r="AK2767">
        <v>128777</v>
      </c>
      <c r="AL2767">
        <v>198882</v>
      </c>
    </row>
    <row r="2768" spans="1:38" x14ac:dyDescent="0.25">
      <c r="A2768" t="s">
        <v>617</v>
      </c>
      <c r="B2768" t="s">
        <v>620</v>
      </c>
      <c r="C2768" t="s">
        <v>40</v>
      </c>
      <c r="D2768" s="1">
        <v>43466</v>
      </c>
      <c r="E2768" s="1">
        <v>43830</v>
      </c>
      <c r="F2768" t="s">
        <v>84</v>
      </c>
      <c r="G2768">
        <v>10</v>
      </c>
      <c r="H2768" t="s">
        <v>85</v>
      </c>
      <c r="I2768" t="s">
        <v>43</v>
      </c>
      <c r="J2768" t="s">
        <v>86</v>
      </c>
      <c r="K2768" t="s">
        <v>44</v>
      </c>
      <c r="L2768">
        <v>27681.48</v>
      </c>
      <c r="M2768" s="1">
        <v>43691</v>
      </c>
      <c r="N2768" t="s">
        <v>108</v>
      </c>
      <c r="O2768" t="s">
        <v>106</v>
      </c>
      <c r="P2768" t="s">
        <v>47</v>
      </c>
      <c r="Q2768" s="1">
        <v>43852</v>
      </c>
      <c r="R2768" t="s">
        <v>48</v>
      </c>
      <c r="S2768" t="s">
        <v>102</v>
      </c>
      <c r="T2768" t="s">
        <v>103</v>
      </c>
      <c r="U2768" t="s">
        <v>85</v>
      </c>
      <c r="V2768">
        <v>5000000</v>
      </c>
      <c r="W2768">
        <v>250000</v>
      </c>
      <c r="X2768" s="1">
        <v>43799</v>
      </c>
      <c r="Y2768" t="s">
        <v>51</v>
      </c>
      <c r="Z2768" t="s">
        <v>43</v>
      </c>
      <c r="AA2768" t="s">
        <v>86</v>
      </c>
      <c r="AB2768" t="s">
        <v>89</v>
      </c>
      <c r="AC2768" t="s">
        <v>90</v>
      </c>
      <c r="AF2768" t="s">
        <v>91</v>
      </c>
      <c r="AG2768" s="1">
        <v>43852</v>
      </c>
      <c r="AH2768" t="s">
        <v>85</v>
      </c>
      <c r="AI2768" t="s">
        <v>92</v>
      </c>
      <c r="AJ2768">
        <v>19888</v>
      </c>
      <c r="AK2768">
        <v>128777</v>
      </c>
      <c r="AL2768">
        <v>198882</v>
      </c>
    </row>
    <row r="2769" spans="1:38" x14ac:dyDescent="0.25">
      <c r="A2769" t="s">
        <v>617</v>
      </c>
      <c r="B2769" t="s">
        <v>620</v>
      </c>
      <c r="C2769" t="s">
        <v>40</v>
      </c>
      <c r="D2769" s="1">
        <v>43466</v>
      </c>
      <c r="E2769" s="1">
        <v>43830</v>
      </c>
      <c r="F2769" t="s">
        <v>84</v>
      </c>
      <c r="G2769">
        <v>10</v>
      </c>
      <c r="H2769" t="s">
        <v>85</v>
      </c>
      <c r="I2769" t="s">
        <v>43</v>
      </c>
      <c r="J2769" t="s">
        <v>86</v>
      </c>
      <c r="K2769" t="s">
        <v>44</v>
      </c>
      <c r="L2769">
        <v>27681.48</v>
      </c>
      <c r="M2769" s="1">
        <v>43691</v>
      </c>
      <c r="N2769" t="s">
        <v>108</v>
      </c>
      <c r="O2769" t="s">
        <v>106</v>
      </c>
      <c r="P2769" t="s">
        <v>47</v>
      </c>
      <c r="Q2769" s="1">
        <v>43852</v>
      </c>
      <c r="R2769" t="s">
        <v>48</v>
      </c>
      <c r="S2769" t="s">
        <v>102</v>
      </c>
      <c r="T2769" t="s">
        <v>103</v>
      </c>
      <c r="U2769" t="s">
        <v>85</v>
      </c>
      <c r="V2769">
        <v>5000000</v>
      </c>
      <c r="W2769">
        <v>250000</v>
      </c>
      <c r="X2769" s="1">
        <v>43799</v>
      </c>
      <c r="Y2769" t="s">
        <v>51</v>
      </c>
      <c r="Z2769" t="s">
        <v>43</v>
      </c>
      <c r="AA2769" t="s">
        <v>86</v>
      </c>
      <c r="AB2769" t="s">
        <v>89</v>
      </c>
      <c r="AC2769" t="s">
        <v>90</v>
      </c>
      <c r="AF2769" t="s">
        <v>93</v>
      </c>
      <c r="AG2769" s="1">
        <v>43843</v>
      </c>
      <c r="AH2769" t="s">
        <v>85</v>
      </c>
      <c r="AI2769" t="s">
        <v>92</v>
      </c>
      <c r="AJ2769">
        <v>19888</v>
      </c>
      <c r="AK2769">
        <v>128777</v>
      </c>
      <c r="AL2769">
        <v>198882</v>
      </c>
    </row>
    <row r="2770" spans="1:38" x14ac:dyDescent="0.25">
      <c r="A2770" t="s">
        <v>617</v>
      </c>
      <c r="B2770" t="s">
        <v>620</v>
      </c>
      <c r="C2770" t="s">
        <v>40</v>
      </c>
      <c r="D2770" s="1">
        <v>43466</v>
      </c>
      <c r="E2770" s="1">
        <v>43830</v>
      </c>
      <c r="F2770" t="s">
        <v>84</v>
      </c>
      <c r="G2770">
        <v>10</v>
      </c>
      <c r="H2770" t="s">
        <v>85</v>
      </c>
      <c r="I2770" t="s">
        <v>43</v>
      </c>
      <c r="J2770" t="s">
        <v>86</v>
      </c>
      <c r="K2770" t="s">
        <v>44</v>
      </c>
      <c r="L2770">
        <v>18901.02</v>
      </c>
      <c r="M2770" s="1">
        <v>43722</v>
      </c>
      <c r="N2770" t="s">
        <v>108</v>
      </c>
      <c r="O2770" t="s">
        <v>106</v>
      </c>
      <c r="P2770" t="s">
        <v>47</v>
      </c>
      <c r="Q2770" s="1">
        <v>43852</v>
      </c>
      <c r="R2770" t="s">
        <v>48</v>
      </c>
      <c r="S2770" t="s">
        <v>87</v>
      </c>
      <c r="T2770" t="s">
        <v>88</v>
      </c>
      <c r="U2770" t="s">
        <v>85</v>
      </c>
      <c r="V2770">
        <v>1400000</v>
      </c>
      <c r="W2770">
        <v>100000</v>
      </c>
      <c r="X2770" s="1">
        <v>43808</v>
      </c>
      <c r="Y2770" t="s">
        <v>51</v>
      </c>
      <c r="Z2770" t="s">
        <v>43</v>
      </c>
      <c r="AA2770" t="s">
        <v>86</v>
      </c>
      <c r="AB2770" t="s">
        <v>89</v>
      </c>
      <c r="AC2770" t="s">
        <v>90</v>
      </c>
      <c r="AF2770" t="s">
        <v>91</v>
      </c>
      <c r="AG2770" s="1">
        <v>43852</v>
      </c>
      <c r="AH2770" t="s">
        <v>85</v>
      </c>
      <c r="AI2770" t="s">
        <v>92</v>
      </c>
      <c r="AJ2770">
        <v>19888</v>
      </c>
      <c r="AK2770">
        <v>128777</v>
      </c>
      <c r="AL2770">
        <v>198882</v>
      </c>
    </row>
    <row r="2771" spans="1:38" x14ac:dyDescent="0.25">
      <c r="A2771" t="s">
        <v>617</v>
      </c>
      <c r="B2771" t="s">
        <v>620</v>
      </c>
      <c r="C2771" t="s">
        <v>40</v>
      </c>
      <c r="D2771" s="1">
        <v>43466</v>
      </c>
      <c r="E2771" s="1">
        <v>43830</v>
      </c>
      <c r="F2771" t="s">
        <v>84</v>
      </c>
      <c r="G2771">
        <v>10</v>
      </c>
      <c r="H2771" t="s">
        <v>85</v>
      </c>
      <c r="I2771" t="s">
        <v>43</v>
      </c>
      <c r="J2771" t="s">
        <v>86</v>
      </c>
      <c r="K2771" t="s">
        <v>44</v>
      </c>
      <c r="L2771">
        <v>18901.02</v>
      </c>
      <c r="M2771" s="1">
        <v>43722</v>
      </c>
      <c r="N2771" t="s">
        <v>108</v>
      </c>
      <c r="O2771" t="s">
        <v>106</v>
      </c>
      <c r="P2771" t="s">
        <v>47</v>
      </c>
      <c r="Q2771" s="1">
        <v>43852</v>
      </c>
      <c r="R2771" t="s">
        <v>48</v>
      </c>
      <c r="S2771" t="s">
        <v>87</v>
      </c>
      <c r="T2771" t="s">
        <v>88</v>
      </c>
      <c r="U2771" t="s">
        <v>85</v>
      </c>
      <c r="V2771">
        <v>1400000</v>
      </c>
      <c r="W2771">
        <v>100000</v>
      </c>
      <c r="X2771" s="1">
        <v>43808</v>
      </c>
      <c r="Y2771" t="s">
        <v>51</v>
      </c>
      <c r="Z2771" t="s">
        <v>43</v>
      </c>
      <c r="AA2771" t="s">
        <v>86</v>
      </c>
      <c r="AB2771" t="s">
        <v>89</v>
      </c>
      <c r="AC2771" t="s">
        <v>90</v>
      </c>
      <c r="AF2771" t="s">
        <v>93</v>
      </c>
      <c r="AG2771" s="1">
        <v>43843</v>
      </c>
      <c r="AH2771" t="s">
        <v>85</v>
      </c>
      <c r="AI2771" t="s">
        <v>92</v>
      </c>
      <c r="AJ2771">
        <v>19888</v>
      </c>
      <c r="AK2771">
        <v>128777</v>
      </c>
      <c r="AL2771">
        <v>198882</v>
      </c>
    </row>
    <row r="2772" spans="1:38" x14ac:dyDescent="0.25">
      <c r="A2772" t="s">
        <v>617</v>
      </c>
      <c r="B2772" t="s">
        <v>620</v>
      </c>
      <c r="C2772" t="s">
        <v>40</v>
      </c>
      <c r="D2772" s="1">
        <v>43466</v>
      </c>
      <c r="E2772" s="1">
        <v>43830</v>
      </c>
      <c r="F2772" t="s">
        <v>84</v>
      </c>
      <c r="G2772">
        <v>10</v>
      </c>
      <c r="H2772" t="s">
        <v>85</v>
      </c>
      <c r="I2772" t="s">
        <v>43</v>
      </c>
      <c r="J2772" t="s">
        <v>86</v>
      </c>
      <c r="K2772" t="s">
        <v>44</v>
      </c>
      <c r="L2772">
        <v>18901.02</v>
      </c>
      <c r="M2772" s="1">
        <v>43722</v>
      </c>
      <c r="N2772" t="s">
        <v>108</v>
      </c>
      <c r="O2772" t="s">
        <v>106</v>
      </c>
      <c r="P2772" t="s">
        <v>47</v>
      </c>
      <c r="Q2772" s="1">
        <v>43852</v>
      </c>
      <c r="R2772" t="s">
        <v>48</v>
      </c>
      <c r="S2772" t="s">
        <v>94</v>
      </c>
      <c r="T2772" t="s">
        <v>95</v>
      </c>
      <c r="U2772" t="s">
        <v>85</v>
      </c>
      <c r="V2772">
        <v>4500000</v>
      </c>
      <c r="W2772">
        <v>300000</v>
      </c>
      <c r="X2772" s="1">
        <v>43767</v>
      </c>
      <c r="Y2772" t="s">
        <v>51</v>
      </c>
      <c r="Z2772" t="s">
        <v>43</v>
      </c>
      <c r="AA2772" t="s">
        <v>86</v>
      </c>
      <c r="AB2772" t="s">
        <v>89</v>
      </c>
      <c r="AC2772" t="s">
        <v>90</v>
      </c>
      <c r="AF2772" t="s">
        <v>91</v>
      </c>
      <c r="AG2772" s="1">
        <v>43852</v>
      </c>
      <c r="AH2772" t="s">
        <v>85</v>
      </c>
      <c r="AI2772" t="s">
        <v>92</v>
      </c>
      <c r="AJ2772">
        <v>19888</v>
      </c>
      <c r="AK2772">
        <v>128777</v>
      </c>
      <c r="AL2772">
        <v>198882</v>
      </c>
    </row>
    <row r="2773" spans="1:38" x14ac:dyDescent="0.25">
      <c r="A2773" t="s">
        <v>617</v>
      </c>
      <c r="B2773" t="s">
        <v>620</v>
      </c>
      <c r="C2773" t="s">
        <v>40</v>
      </c>
      <c r="D2773" s="1">
        <v>43466</v>
      </c>
      <c r="E2773" s="1">
        <v>43830</v>
      </c>
      <c r="F2773" t="s">
        <v>84</v>
      </c>
      <c r="G2773">
        <v>10</v>
      </c>
      <c r="H2773" t="s">
        <v>85</v>
      </c>
      <c r="I2773" t="s">
        <v>43</v>
      </c>
      <c r="J2773" t="s">
        <v>86</v>
      </c>
      <c r="K2773" t="s">
        <v>44</v>
      </c>
      <c r="L2773">
        <v>18901.02</v>
      </c>
      <c r="M2773" s="1">
        <v>43722</v>
      </c>
      <c r="N2773" t="s">
        <v>108</v>
      </c>
      <c r="O2773" t="s">
        <v>106</v>
      </c>
      <c r="P2773" t="s">
        <v>47</v>
      </c>
      <c r="Q2773" s="1">
        <v>43852</v>
      </c>
      <c r="R2773" t="s">
        <v>48</v>
      </c>
      <c r="S2773" t="s">
        <v>94</v>
      </c>
      <c r="T2773" t="s">
        <v>95</v>
      </c>
      <c r="U2773" t="s">
        <v>85</v>
      </c>
      <c r="V2773">
        <v>4500000</v>
      </c>
      <c r="W2773">
        <v>300000</v>
      </c>
      <c r="X2773" s="1">
        <v>43767</v>
      </c>
      <c r="Y2773" t="s">
        <v>51</v>
      </c>
      <c r="Z2773" t="s">
        <v>43</v>
      </c>
      <c r="AA2773" t="s">
        <v>86</v>
      </c>
      <c r="AB2773" t="s">
        <v>89</v>
      </c>
      <c r="AC2773" t="s">
        <v>90</v>
      </c>
      <c r="AF2773" t="s">
        <v>93</v>
      </c>
      <c r="AG2773" s="1">
        <v>43843</v>
      </c>
      <c r="AH2773" t="s">
        <v>85</v>
      </c>
      <c r="AI2773" t="s">
        <v>92</v>
      </c>
      <c r="AJ2773">
        <v>19888</v>
      </c>
      <c r="AK2773">
        <v>128777</v>
      </c>
      <c r="AL2773">
        <v>198882</v>
      </c>
    </row>
    <row r="2774" spans="1:38" x14ac:dyDescent="0.25">
      <c r="A2774" t="s">
        <v>617</v>
      </c>
      <c r="B2774" t="s">
        <v>620</v>
      </c>
      <c r="C2774" t="s">
        <v>40</v>
      </c>
      <c r="D2774" s="1">
        <v>43466</v>
      </c>
      <c r="E2774" s="1">
        <v>43830</v>
      </c>
      <c r="F2774" t="s">
        <v>84</v>
      </c>
      <c r="G2774">
        <v>10</v>
      </c>
      <c r="H2774" t="s">
        <v>85</v>
      </c>
      <c r="I2774" t="s">
        <v>43</v>
      </c>
      <c r="J2774" t="s">
        <v>86</v>
      </c>
      <c r="K2774" t="s">
        <v>44</v>
      </c>
      <c r="L2774">
        <v>18901.02</v>
      </c>
      <c r="M2774" s="1">
        <v>43722</v>
      </c>
      <c r="N2774" t="s">
        <v>108</v>
      </c>
      <c r="O2774" t="s">
        <v>106</v>
      </c>
      <c r="P2774" t="s">
        <v>47</v>
      </c>
      <c r="Q2774" s="1">
        <v>43852</v>
      </c>
      <c r="R2774" t="s">
        <v>48</v>
      </c>
      <c r="S2774" t="s">
        <v>96</v>
      </c>
      <c r="T2774" t="s">
        <v>97</v>
      </c>
      <c r="U2774" t="s">
        <v>85</v>
      </c>
      <c r="V2774">
        <v>600000</v>
      </c>
      <c r="W2774">
        <v>100000</v>
      </c>
      <c r="X2774" s="1">
        <v>43799</v>
      </c>
      <c r="Y2774" t="s">
        <v>51</v>
      </c>
      <c r="Z2774" t="s">
        <v>43</v>
      </c>
      <c r="AA2774" t="s">
        <v>98</v>
      </c>
      <c r="AB2774" t="s">
        <v>89</v>
      </c>
      <c r="AC2774" t="s">
        <v>90</v>
      </c>
      <c r="AF2774" t="s">
        <v>91</v>
      </c>
      <c r="AG2774" s="1">
        <v>43852</v>
      </c>
      <c r="AH2774" t="s">
        <v>85</v>
      </c>
      <c r="AI2774" t="s">
        <v>92</v>
      </c>
      <c r="AJ2774">
        <v>19888</v>
      </c>
      <c r="AK2774">
        <v>128777</v>
      </c>
      <c r="AL2774">
        <v>198882</v>
      </c>
    </row>
    <row r="2775" spans="1:38" x14ac:dyDescent="0.25">
      <c r="A2775" t="s">
        <v>617</v>
      </c>
      <c r="B2775" t="s">
        <v>620</v>
      </c>
      <c r="C2775" t="s">
        <v>40</v>
      </c>
      <c r="D2775" s="1">
        <v>43466</v>
      </c>
      <c r="E2775" s="1">
        <v>43830</v>
      </c>
      <c r="F2775" t="s">
        <v>84</v>
      </c>
      <c r="G2775">
        <v>10</v>
      </c>
      <c r="H2775" t="s">
        <v>85</v>
      </c>
      <c r="I2775" t="s">
        <v>43</v>
      </c>
      <c r="J2775" t="s">
        <v>86</v>
      </c>
      <c r="K2775" t="s">
        <v>44</v>
      </c>
      <c r="L2775">
        <v>18901.02</v>
      </c>
      <c r="M2775" s="1">
        <v>43722</v>
      </c>
      <c r="N2775" t="s">
        <v>108</v>
      </c>
      <c r="O2775" t="s">
        <v>106</v>
      </c>
      <c r="P2775" t="s">
        <v>47</v>
      </c>
      <c r="Q2775" s="1">
        <v>43852</v>
      </c>
      <c r="R2775" t="s">
        <v>48</v>
      </c>
      <c r="S2775" t="s">
        <v>96</v>
      </c>
      <c r="T2775" t="s">
        <v>97</v>
      </c>
      <c r="U2775" t="s">
        <v>85</v>
      </c>
      <c r="V2775">
        <v>600000</v>
      </c>
      <c r="W2775">
        <v>100000</v>
      </c>
      <c r="X2775" s="1">
        <v>43799</v>
      </c>
      <c r="Y2775" t="s">
        <v>51</v>
      </c>
      <c r="Z2775" t="s">
        <v>43</v>
      </c>
      <c r="AA2775" t="s">
        <v>98</v>
      </c>
      <c r="AB2775" t="s">
        <v>89</v>
      </c>
      <c r="AC2775" t="s">
        <v>90</v>
      </c>
      <c r="AF2775" t="s">
        <v>93</v>
      </c>
      <c r="AG2775" s="1">
        <v>43843</v>
      </c>
      <c r="AH2775" t="s">
        <v>85</v>
      </c>
      <c r="AI2775" t="s">
        <v>92</v>
      </c>
      <c r="AJ2775">
        <v>19888</v>
      </c>
      <c r="AK2775">
        <v>128777</v>
      </c>
      <c r="AL2775">
        <v>198882</v>
      </c>
    </row>
    <row r="2776" spans="1:38" x14ac:dyDescent="0.25">
      <c r="A2776" t="s">
        <v>617</v>
      </c>
      <c r="B2776" t="s">
        <v>620</v>
      </c>
      <c r="C2776" t="s">
        <v>40</v>
      </c>
      <c r="D2776" s="1">
        <v>43466</v>
      </c>
      <c r="E2776" s="1">
        <v>43830</v>
      </c>
      <c r="F2776" t="s">
        <v>84</v>
      </c>
      <c r="G2776">
        <v>10</v>
      </c>
      <c r="H2776" t="s">
        <v>85</v>
      </c>
      <c r="I2776" t="s">
        <v>43</v>
      </c>
      <c r="J2776" t="s">
        <v>86</v>
      </c>
      <c r="K2776" t="s">
        <v>44</v>
      </c>
      <c r="L2776">
        <v>18901.02</v>
      </c>
      <c r="M2776" s="1">
        <v>43722</v>
      </c>
      <c r="N2776" t="s">
        <v>108</v>
      </c>
      <c r="O2776" t="s">
        <v>106</v>
      </c>
      <c r="P2776" t="s">
        <v>47</v>
      </c>
      <c r="Q2776" s="1">
        <v>43852</v>
      </c>
      <c r="R2776" t="s">
        <v>48</v>
      </c>
      <c r="S2776" t="s">
        <v>99</v>
      </c>
      <c r="T2776" t="s">
        <v>100</v>
      </c>
      <c r="U2776" t="s">
        <v>85</v>
      </c>
      <c r="V2776">
        <v>210000</v>
      </c>
      <c r="W2776">
        <v>35000</v>
      </c>
      <c r="X2776" s="1">
        <v>43799</v>
      </c>
      <c r="Y2776" t="s">
        <v>51</v>
      </c>
      <c r="Z2776" t="s">
        <v>43</v>
      </c>
      <c r="AA2776" t="s">
        <v>98</v>
      </c>
      <c r="AB2776" t="s">
        <v>89</v>
      </c>
      <c r="AC2776" t="s">
        <v>101</v>
      </c>
      <c r="AF2776" t="s">
        <v>91</v>
      </c>
      <c r="AG2776" s="1">
        <v>43852</v>
      </c>
      <c r="AH2776" t="s">
        <v>85</v>
      </c>
      <c r="AI2776" t="s">
        <v>92</v>
      </c>
      <c r="AJ2776">
        <v>19888</v>
      </c>
      <c r="AK2776">
        <v>128777</v>
      </c>
      <c r="AL2776">
        <v>198882</v>
      </c>
    </row>
    <row r="2777" spans="1:38" x14ac:dyDescent="0.25">
      <c r="A2777" t="s">
        <v>617</v>
      </c>
      <c r="B2777" t="s">
        <v>620</v>
      </c>
      <c r="C2777" t="s">
        <v>40</v>
      </c>
      <c r="D2777" s="1">
        <v>43466</v>
      </c>
      <c r="E2777" s="1">
        <v>43830</v>
      </c>
      <c r="F2777" t="s">
        <v>84</v>
      </c>
      <c r="G2777">
        <v>10</v>
      </c>
      <c r="H2777" t="s">
        <v>85</v>
      </c>
      <c r="I2777" t="s">
        <v>43</v>
      </c>
      <c r="J2777" t="s">
        <v>86</v>
      </c>
      <c r="K2777" t="s">
        <v>44</v>
      </c>
      <c r="L2777">
        <v>18901.02</v>
      </c>
      <c r="M2777" s="1">
        <v>43722</v>
      </c>
      <c r="N2777" t="s">
        <v>108</v>
      </c>
      <c r="O2777" t="s">
        <v>106</v>
      </c>
      <c r="P2777" t="s">
        <v>47</v>
      </c>
      <c r="Q2777" s="1">
        <v>43852</v>
      </c>
      <c r="R2777" t="s">
        <v>48</v>
      </c>
      <c r="S2777" t="s">
        <v>99</v>
      </c>
      <c r="T2777" t="s">
        <v>100</v>
      </c>
      <c r="U2777" t="s">
        <v>85</v>
      </c>
      <c r="V2777">
        <v>210000</v>
      </c>
      <c r="W2777">
        <v>35000</v>
      </c>
      <c r="X2777" s="1">
        <v>43799</v>
      </c>
      <c r="Y2777" t="s">
        <v>51</v>
      </c>
      <c r="Z2777" t="s">
        <v>43</v>
      </c>
      <c r="AA2777" t="s">
        <v>98</v>
      </c>
      <c r="AB2777" t="s">
        <v>89</v>
      </c>
      <c r="AC2777" t="s">
        <v>101</v>
      </c>
      <c r="AF2777" t="s">
        <v>93</v>
      </c>
      <c r="AG2777" s="1">
        <v>43843</v>
      </c>
      <c r="AH2777" t="s">
        <v>85</v>
      </c>
      <c r="AI2777" t="s">
        <v>92</v>
      </c>
      <c r="AJ2777">
        <v>19888</v>
      </c>
      <c r="AK2777">
        <v>128777</v>
      </c>
      <c r="AL2777">
        <v>198882</v>
      </c>
    </row>
    <row r="2778" spans="1:38" x14ac:dyDescent="0.25">
      <c r="A2778" t="s">
        <v>617</v>
      </c>
      <c r="B2778" t="s">
        <v>620</v>
      </c>
      <c r="C2778" t="s">
        <v>40</v>
      </c>
      <c r="D2778" s="1">
        <v>43466</v>
      </c>
      <c r="E2778" s="1">
        <v>43830</v>
      </c>
      <c r="F2778" t="s">
        <v>84</v>
      </c>
      <c r="G2778">
        <v>10</v>
      </c>
      <c r="H2778" t="s">
        <v>85</v>
      </c>
      <c r="I2778" t="s">
        <v>43</v>
      </c>
      <c r="J2778" t="s">
        <v>86</v>
      </c>
      <c r="K2778" t="s">
        <v>44</v>
      </c>
      <c r="L2778">
        <v>18901.02</v>
      </c>
      <c r="M2778" s="1">
        <v>43722</v>
      </c>
      <c r="N2778" t="s">
        <v>108</v>
      </c>
      <c r="O2778" t="s">
        <v>106</v>
      </c>
      <c r="P2778" t="s">
        <v>47</v>
      </c>
      <c r="Q2778" s="1">
        <v>43852</v>
      </c>
      <c r="R2778" t="s">
        <v>48</v>
      </c>
      <c r="S2778" t="s">
        <v>102</v>
      </c>
      <c r="T2778" t="s">
        <v>103</v>
      </c>
      <c r="U2778" t="s">
        <v>85</v>
      </c>
      <c r="V2778">
        <v>5000000</v>
      </c>
      <c r="W2778">
        <v>250000</v>
      </c>
      <c r="X2778" s="1">
        <v>43799</v>
      </c>
      <c r="Y2778" t="s">
        <v>51</v>
      </c>
      <c r="Z2778" t="s">
        <v>43</v>
      </c>
      <c r="AA2778" t="s">
        <v>86</v>
      </c>
      <c r="AB2778" t="s">
        <v>89</v>
      </c>
      <c r="AC2778" t="s">
        <v>90</v>
      </c>
      <c r="AF2778" t="s">
        <v>91</v>
      </c>
      <c r="AG2778" s="1">
        <v>43852</v>
      </c>
      <c r="AH2778" t="s">
        <v>85</v>
      </c>
      <c r="AI2778" t="s">
        <v>92</v>
      </c>
      <c r="AJ2778">
        <v>19888</v>
      </c>
      <c r="AK2778">
        <v>128777</v>
      </c>
      <c r="AL2778">
        <v>198882</v>
      </c>
    </row>
    <row r="2779" spans="1:38" x14ac:dyDescent="0.25">
      <c r="A2779" t="s">
        <v>617</v>
      </c>
      <c r="B2779" t="s">
        <v>620</v>
      </c>
      <c r="C2779" t="s">
        <v>40</v>
      </c>
      <c r="D2779" s="1">
        <v>43466</v>
      </c>
      <c r="E2779" s="1">
        <v>43830</v>
      </c>
      <c r="F2779" t="s">
        <v>84</v>
      </c>
      <c r="G2779">
        <v>10</v>
      </c>
      <c r="H2779" t="s">
        <v>85</v>
      </c>
      <c r="I2779" t="s">
        <v>43</v>
      </c>
      <c r="J2779" t="s">
        <v>86</v>
      </c>
      <c r="K2779" t="s">
        <v>44</v>
      </c>
      <c r="L2779">
        <v>18901.02</v>
      </c>
      <c r="M2779" s="1">
        <v>43722</v>
      </c>
      <c r="N2779" t="s">
        <v>108</v>
      </c>
      <c r="O2779" t="s">
        <v>106</v>
      </c>
      <c r="P2779" t="s">
        <v>47</v>
      </c>
      <c r="Q2779" s="1">
        <v>43852</v>
      </c>
      <c r="R2779" t="s">
        <v>48</v>
      </c>
      <c r="S2779" t="s">
        <v>102</v>
      </c>
      <c r="T2779" t="s">
        <v>103</v>
      </c>
      <c r="U2779" t="s">
        <v>85</v>
      </c>
      <c r="V2779">
        <v>5000000</v>
      </c>
      <c r="W2779">
        <v>250000</v>
      </c>
      <c r="X2779" s="1">
        <v>43799</v>
      </c>
      <c r="Y2779" t="s">
        <v>51</v>
      </c>
      <c r="Z2779" t="s">
        <v>43</v>
      </c>
      <c r="AA2779" t="s">
        <v>86</v>
      </c>
      <c r="AB2779" t="s">
        <v>89</v>
      </c>
      <c r="AC2779" t="s">
        <v>90</v>
      </c>
      <c r="AF2779" t="s">
        <v>93</v>
      </c>
      <c r="AG2779" s="1">
        <v>43843</v>
      </c>
      <c r="AH2779" t="s">
        <v>85</v>
      </c>
      <c r="AI2779" t="s">
        <v>92</v>
      </c>
      <c r="AJ2779">
        <v>19888</v>
      </c>
      <c r="AK2779">
        <v>128777</v>
      </c>
      <c r="AL2779">
        <v>198882</v>
      </c>
    </row>
    <row r="2780" spans="1:38" x14ac:dyDescent="0.25">
      <c r="A2780" t="s">
        <v>617</v>
      </c>
      <c r="B2780" t="s">
        <v>620</v>
      </c>
      <c r="C2780" t="s">
        <v>40</v>
      </c>
      <c r="D2780" s="1">
        <v>43466</v>
      </c>
      <c r="E2780" s="1">
        <v>43830</v>
      </c>
      <c r="F2780" t="s">
        <v>84</v>
      </c>
      <c r="G2780">
        <v>10</v>
      </c>
      <c r="H2780" t="s">
        <v>85</v>
      </c>
      <c r="I2780" t="s">
        <v>43</v>
      </c>
      <c r="J2780" t="s">
        <v>86</v>
      </c>
      <c r="K2780" t="s">
        <v>44</v>
      </c>
      <c r="L2780">
        <v>46994.85</v>
      </c>
      <c r="M2780" s="1">
        <v>43494</v>
      </c>
      <c r="N2780" t="s">
        <v>108</v>
      </c>
      <c r="O2780" t="s">
        <v>106</v>
      </c>
      <c r="P2780" t="s">
        <v>47</v>
      </c>
      <c r="Q2780" s="1">
        <v>43852</v>
      </c>
      <c r="R2780" t="s">
        <v>48</v>
      </c>
      <c r="S2780" t="s">
        <v>87</v>
      </c>
      <c r="T2780" t="s">
        <v>88</v>
      </c>
      <c r="U2780" t="s">
        <v>85</v>
      </c>
      <c r="V2780">
        <v>1400000</v>
      </c>
      <c r="W2780">
        <v>100000</v>
      </c>
      <c r="X2780" s="1">
        <v>43808</v>
      </c>
      <c r="Y2780" t="s">
        <v>51</v>
      </c>
      <c r="Z2780" t="s">
        <v>43</v>
      </c>
      <c r="AA2780" t="s">
        <v>86</v>
      </c>
      <c r="AB2780" t="s">
        <v>89</v>
      </c>
      <c r="AC2780" t="s">
        <v>90</v>
      </c>
      <c r="AF2780" t="s">
        <v>91</v>
      </c>
      <c r="AG2780" s="1">
        <v>43852</v>
      </c>
      <c r="AH2780" t="s">
        <v>85</v>
      </c>
      <c r="AI2780" t="s">
        <v>92</v>
      </c>
      <c r="AJ2780">
        <v>19888</v>
      </c>
      <c r="AK2780">
        <v>128777</v>
      </c>
      <c r="AL2780">
        <v>198882</v>
      </c>
    </row>
    <row r="2781" spans="1:38" x14ac:dyDescent="0.25">
      <c r="A2781" t="s">
        <v>617</v>
      </c>
      <c r="B2781" t="s">
        <v>620</v>
      </c>
      <c r="C2781" t="s">
        <v>40</v>
      </c>
      <c r="D2781" s="1">
        <v>43466</v>
      </c>
      <c r="E2781" s="1">
        <v>43830</v>
      </c>
      <c r="F2781" t="s">
        <v>84</v>
      </c>
      <c r="G2781">
        <v>10</v>
      </c>
      <c r="H2781" t="s">
        <v>85</v>
      </c>
      <c r="I2781" t="s">
        <v>43</v>
      </c>
      <c r="J2781" t="s">
        <v>86</v>
      </c>
      <c r="K2781" t="s">
        <v>44</v>
      </c>
      <c r="L2781">
        <v>46994.85</v>
      </c>
      <c r="M2781" s="1">
        <v>43494</v>
      </c>
      <c r="N2781" t="s">
        <v>108</v>
      </c>
      <c r="O2781" t="s">
        <v>106</v>
      </c>
      <c r="P2781" t="s">
        <v>47</v>
      </c>
      <c r="Q2781" s="1">
        <v>43852</v>
      </c>
      <c r="R2781" t="s">
        <v>48</v>
      </c>
      <c r="S2781" t="s">
        <v>87</v>
      </c>
      <c r="T2781" t="s">
        <v>88</v>
      </c>
      <c r="U2781" t="s">
        <v>85</v>
      </c>
      <c r="V2781">
        <v>1400000</v>
      </c>
      <c r="W2781">
        <v>100000</v>
      </c>
      <c r="X2781" s="1">
        <v>43808</v>
      </c>
      <c r="Y2781" t="s">
        <v>51</v>
      </c>
      <c r="Z2781" t="s">
        <v>43</v>
      </c>
      <c r="AA2781" t="s">
        <v>86</v>
      </c>
      <c r="AB2781" t="s">
        <v>89</v>
      </c>
      <c r="AC2781" t="s">
        <v>90</v>
      </c>
      <c r="AF2781" t="s">
        <v>93</v>
      </c>
      <c r="AG2781" s="1">
        <v>43843</v>
      </c>
      <c r="AH2781" t="s">
        <v>85</v>
      </c>
      <c r="AI2781" t="s">
        <v>92</v>
      </c>
      <c r="AJ2781">
        <v>19888</v>
      </c>
      <c r="AK2781">
        <v>128777</v>
      </c>
      <c r="AL2781">
        <v>198882</v>
      </c>
    </row>
    <row r="2782" spans="1:38" x14ac:dyDescent="0.25">
      <c r="A2782" t="s">
        <v>617</v>
      </c>
      <c r="B2782" t="s">
        <v>620</v>
      </c>
      <c r="C2782" t="s">
        <v>40</v>
      </c>
      <c r="D2782" s="1">
        <v>43466</v>
      </c>
      <c r="E2782" s="1">
        <v>43830</v>
      </c>
      <c r="F2782" t="s">
        <v>84</v>
      </c>
      <c r="G2782">
        <v>10</v>
      </c>
      <c r="H2782" t="s">
        <v>85</v>
      </c>
      <c r="I2782" t="s">
        <v>43</v>
      </c>
      <c r="J2782" t="s">
        <v>86</v>
      </c>
      <c r="K2782" t="s">
        <v>44</v>
      </c>
      <c r="L2782">
        <v>46994.85</v>
      </c>
      <c r="M2782" s="1">
        <v>43494</v>
      </c>
      <c r="N2782" t="s">
        <v>108</v>
      </c>
      <c r="O2782" t="s">
        <v>106</v>
      </c>
      <c r="P2782" t="s">
        <v>47</v>
      </c>
      <c r="Q2782" s="1">
        <v>43852</v>
      </c>
      <c r="R2782" t="s">
        <v>48</v>
      </c>
      <c r="S2782" t="s">
        <v>94</v>
      </c>
      <c r="T2782" t="s">
        <v>95</v>
      </c>
      <c r="U2782" t="s">
        <v>85</v>
      </c>
      <c r="V2782">
        <v>4500000</v>
      </c>
      <c r="W2782">
        <v>300000</v>
      </c>
      <c r="X2782" s="1">
        <v>43767</v>
      </c>
      <c r="Y2782" t="s">
        <v>51</v>
      </c>
      <c r="Z2782" t="s">
        <v>43</v>
      </c>
      <c r="AA2782" t="s">
        <v>86</v>
      </c>
      <c r="AB2782" t="s">
        <v>89</v>
      </c>
      <c r="AC2782" t="s">
        <v>90</v>
      </c>
      <c r="AF2782" t="s">
        <v>91</v>
      </c>
      <c r="AG2782" s="1">
        <v>43852</v>
      </c>
      <c r="AH2782" t="s">
        <v>85</v>
      </c>
      <c r="AI2782" t="s">
        <v>92</v>
      </c>
      <c r="AJ2782">
        <v>19888</v>
      </c>
      <c r="AK2782">
        <v>128777</v>
      </c>
      <c r="AL2782">
        <v>198882</v>
      </c>
    </row>
    <row r="2783" spans="1:38" x14ac:dyDescent="0.25">
      <c r="A2783" t="s">
        <v>617</v>
      </c>
      <c r="B2783" t="s">
        <v>620</v>
      </c>
      <c r="C2783" t="s">
        <v>40</v>
      </c>
      <c r="D2783" s="1">
        <v>43466</v>
      </c>
      <c r="E2783" s="1">
        <v>43830</v>
      </c>
      <c r="F2783" t="s">
        <v>84</v>
      </c>
      <c r="G2783">
        <v>10</v>
      </c>
      <c r="H2783" t="s">
        <v>85</v>
      </c>
      <c r="I2783" t="s">
        <v>43</v>
      </c>
      <c r="J2783" t="s">
        <v>86</v>
      </c>
      <c r="K2783" t="s">
        <v>44</v>
      </c>
      <c r="L2783">
        <v>46994.85</v>
      </c>
      <c r="M2783" s="1">
        <v>43494</v>
      </c>
      <c r="N2783" t="s">
        <v>108</v>
      </c>
      <c r="O2783" t="s">
        <v>106</v>
      </c>
      <c r="P2783" t="s">
        <v>47</v>
      </c>
      <c r="Q2783" s="1">
        <v>43852</v>
      </c>
      <c r="R2783" t="s">
        <v>48</v>
      </c>
      <c r="S2783" t="s">
        <v>94</v>
      </c>
      <c r="T2783" t="s">
        <v>95</v>
      </c>
      <c r="U2783" t="s">
        <v>85</v>
      </c>
      <c r="V2783">
        <v>4500000</v>
      </c>
      <c r="W2783">
        <v>300000</v>
      </c>
      <c r="X2783" s="1">
        <v>43767</v>
      </c>
      <c r="Y2783" t="s">
        <v>51</v>
      </c>
      <c r="Z2783" t="s">
        <v>43</v>
      </c>
      <c r="AA2783" t="s">
        <v>86</v>
      </c>
      <c r="AB2783" t="s">
        <v>89</v>
      </c>
      <c r="AC2783" t="s">
        <v>90</v>
      </c>
      <c r="AF2783" t="s">
        <v>93</v>
      </c>
      <c r="AG2783" s="1">
        <v>43843</v>
      </c>
      <c r="AH2783" t="s">
        <v>85</v>
      </c>
      <c r="AI2783" t="s">
        <v>92</v>
      </c>
      <c r="AJ2783">
        <v>19888</v>
      </c>
      <c r="AK2783">
        <v>128777</v>
      </c>
      <c r="AL2783">
        <v>198882</v>
      </c>
    </row>
    <row r="2784" spans="1:38" x14ac:dyDescent="0.25">
      <c r="A2784" t="s">
        <v>617</v>
      </c>
      <c r="B2784" t="s">
        <v>620</v>
      </c>
      <c r="C2784" t="s">
        <v>40</v>
      </c>
      <c r="D2784" s="1">
        <v>43466</v>
      </c>
      <c r="E2784" s="1">
        <v>43830</v>
      </c>
      <c r="F2784" t="s">
        <v>84</v>
      </c>
      <c r="G2784">
        <v>10</v>
      </c>
      <c r="H2784" t="s">
        <v>85</v>
      </c>
      <c r="I2784" t="s">
        <v>43</v>
      </c>
      <c r="J2784" t="s">
        <v>86</v>
      </c>
      <c r="K2784" t="s">
        <v>44</v>
      </c>
      <c r="L2784">
        <v>46994.85</v>
      </c>
      <c r="M2784" s="1">
        <v>43494</v>
      </c>
      <c r="N2784" t="s">
        <v>108</v>
      </c>
      <c r="O2784" t="s">
        <v>106</v>
      </c>
      <c r="P2784" t="s">
        <v>47</v>
      </c>
      <c r="Q2784" s="1">
        <v>43852</v>
      </c>
      <c r="R2784" t="s">
        <v>48</v>
      </c>
      <c r="S2784" t="s">
        <v>96</v>
      </c>
      <c r="T2784" t="s">
        <v>97</v>
      </c>
      <c r="U2784" t="s">
        <v>85</v>
      </c>
      <c r="V2784">
        <v>600000</v>
      </c>
      <c r="W2784">
        <v>100000</v>
      </c>
      <c r="X2784" s="1">
        <v>43799</v>
      </c>
      <c r="Y2784" t="s">
        <v>51</v>
      </c>
      <c r="Z2784" t="s">
        <v>43</v>
      </c>
      <c r="AA2784" t="s">
        <v>98</v>
      </c>
      <c r="AB2784" t="s">
        <v>89</v>
      </c>
      <c r="AC2784" t="s">
        <v>90</v>
      </c>
      <c r="AF2784" t="s">
        <v>91</v>
      </c>
      <c r="AG2784" s="1">
        <v>43852</v>
      </c>
      <c r="AH2784" t="s">
        <v>85</v>
      </c>
      <c r="AI2784" t="s">
        <v>92</v>
      </c>
      <c r="AJ2784">
        <v>19888</v>
      </c>
      <c r="AK2784">
        <v>128777</v>
      </c>
      <c r="AL2784">
        <v>198882</v>
      </c>
    </row>
    <row r="2785" spans="1:38" x14ac:dyDescent="0.25">
      <c r="A2785" t="s">
        <v>617</v>
      </c>
      <c r="B2785" t="s">
        <v>620</v>
      </c>
      <c r="C2785" t="s">
        <v>40</v>
      </c>
      <c r="D2785" s="1">
        <v>43466</v>
      </c>
      <c r="E2785" s="1">
        <v>43830</v>
      </c>
      <c r="F2785" t="s">
        <v>84</v>
      </c>
      <c r="G2785">
        <v>10</v>
      </c>
      <c r="H2785" t="s">
        <v>85</v>
      </c>
      <c r="I2785" t="s">
        <v>43</v>
      </c>
      <c r="J2785" t="s">
        <v>86</v>
      </c>
      <c r="K2785" t="s">
        <v>44</v>
      </c>
      <c r="L2785">
        <v>46994.85</v>
      </c>
      <c r="M2785" s="1">
        <v>43494</v>
      </c>
      <c r="N2785" t="s">
        <v>108</v>
      </c>
      <c r="O2785" t="s">
        <v>106</v>
      </c>
      <c r="P2785" t="s">
        <v>47</v>
      </c>
      <c r="Q2785" s="1">
        <v>43852</v>
      </c>
      <c r="R2785" t="s">
        <v>48</v>
      </c>
      <c r="S2785" t="s">
        <v>96</v>
      </c>
      <c r="T2785" t="s">
        <v>97</v>
      </c>
      <c r="U2785" t="s">
        <v>85</v>
      </c>
      <c r="V2785">
        <v>600000</v>
      </c>
      <c r="W2785">
        <v>100000</v>
      </c>
      <c r="X2785" s="1">
        <v>43799</v>
      </c>
      <c r="Y2785" t="s">
        <v>51</v>
      </c>
      <c r="Z2785" t="s">
        <v>43</v>
      </c>
      <c r="AA2785" t="s">
        <v>98</v>
      </c>
      <c r="AB2785" t="s">
        <v>89</v>
      </c>
      <c r="AC2785" t="s">
        <v>90</v>
      </c>
      <c r="AF2785" t="s">
        <v>93</v>
      </c>
      <c r="AG2785" s="1">
        <v>43843</v>
      </c>
      <c r="AH2785" t="s">
        <v>85</v>
      </c>
      <c r="AI2785" t="s">
        <v>92</v>
      </c>
      <c r="AJ2785">
        <v>19888</v>
      </c>
      <c r="AK2785">
        <v>128777</v>
      </c>
      <c r="AL2785">
        <v>198882</v>
      </c>
    </row>
    <row r="2786" spans="1:38" x14ac:dyDescent="0.25">
      <c r="A2786" t="s">
        <v>617</v>
      </c>
      <c r="B2786" t="s">
        <v>620</v>
      </c>
      <c r="C2786" t="s">
        <v>40</v>
      </c>
      <c r="D2786" s="1">
        <v>43466</v>
      </c>
      <c r="E2786" s="1">
        <v>43830</v>
      </c>
      <c r="F2786" t="s">
        <v>84</v>
      </c>
      <c r="G2786">
        <v>10</v>
      </c>
      <c r="H2786" t="s">
        <v>85</v>
      </c>
      <c r="I2786" t="s">
        <v>43</v>
      </c>
      <c r="J2786" t="s">
        <v>86</v>
      </c>
      <c r="K2786" t="s">
        <v>44</v>
      </c>
      <c r="L2786">
        <v>46994.85</v>
      </c>
      <c r="M2786" s="1">
        <v>43494</v>
      </c>
      <c r="N2786" t="s">
        <v>108</v>
      </c>
      <c r="O2786" t="s">
        <v>106</v>
      </c>
      <c r="P2786" t="s">
        <v>47</v>
      </c>
      <c r="Q2786" s="1">
        <v>43852</v>
      </c>
      <c r="R2786" t="s">
        <v>48</v>
      </c>
      <c r="S2786" t="s">
        <v>99</v>
      </c>
      <c r="T2786" t="s">
        <v>100</v>
      </c>
      <c r="U2786" t="s">
        <v>85</v>
      </c>
      <c r="V2786">
        <v>210000</v>
      </c>
      <c r="W2786">
        <v>35000</v>
      </c>
      <c r="X2786" s="1">
        <v>43799</v>
      </c>
      <c r="Y2786" t="s">
        <v>51</v>
      </c>
      <c r="Z2786" t="s">
        <v>43</v>
      </c>
      <c r="AA2786" t="s">
        <v>98</v>
      </c>
      <c r="AB2786" t="s">
        <v>89</v>
      </c>
      <c r="AC2786" t="s">
        <v>101</v>
      </c>
      <c r="AF2786" t="s">
        <v>91</v>
      </c>
      <c r="AG2786" s="1">
        <v>43852</v>
      </c>
      <c r="AH2786" t="s">
        <v>85</v>
      </c>
      <c r="AI2786" t="s">
        <v>92</v>
      </c>
      <c r="AJ2786">
        <v>19888</v>
      </c>
      <c r="AK2786">
        <v>128777</v>
      </c>
      <c r="AL2786">
        <v>198882</v>
      </c>
    </row>
    <row r="2787" spans="1:38" x14ac:dyDescent="0.25">
      <c r="A2787" t="s">
        <v>617</v>
      </c>
      <c r="B2787" t="s">
        <v>620</v>
      </c>
      <c r="C2787" t="s">
        <v>40</v>
      </c>
      <c r="D2787" s="1">
        <v>43466</v>
      </c>
      <c r="E2787" s="1">
        <v>43830</v>
      </c>
      <c r="F2787" t="s">
        <v>84</v>
      </c>
      <c r="G2787">
        <v>10</v>
      </c>
      <c r="H2787" t="s">
        <v>85</v>
      </c>
      <c r="I2787" t="s">
        <v>43</v>
      </c>
      <c r="J2787" t="s">
        <v>86</v>
      </c>
      <c r="K2787" t="s">
        <v>44</v>
      </c>
      <c r="L2787">
        <v>46994.85</v>
      </c>
      <c r="M2787" s="1">
        <v>43494</v>
      </c>
      <c r="N2787" t="s">
        <v>108</v>
      </c>
      <c r="O2787" t="s">
        <v>106</v>
      </c>
      <c r="P2787" t="s">
        <v>47</v>
      </c>
      <c r="Q2787" s="1">
        <v>43852</v>
      </c>
      <c r="R2787" t="s">
        <v>48</v>
      </c>
      <c r="S2787" t="s">
        <v>99</v>
      </c>
      <c r="T2787" t="s">
        <v>100</v>
      </c>
      <c r="U2787" t="s">
        <v>85</v>
      </c>
      <c r="V2787">
        <v>210000</v>
      </c>
      <c r="W2787">
        <v>35000</v>
      </c>
      <c r="X2787" s="1">
        <v>43799</v>
      </c>
      <c r="Y2787" t="s">
        <v>51</v>
      </c>
      <c r="Z2787" t="s">
        <v>43</v>
      </c>
      <c r="AA2787" t="s">
        <v>98</v>
      </c>
      <c r="AB2787" t="s">
        <v>89</v>
      </c>
      <c r="AC2787" t="s">
        <v>101</v>
      </c>
      <c r="AF2787" t="s">
        <v>93</v>
      </c>
      <c r="AG2787" s="1">
        <v>43843</v>
      </c>
      <c r="AH2787" t="s">
        <v>85</v>
      </c>
      <c r="AI2787" t="s">
        <v>92</v>
      </c>
      <c r="AJ2787">
        <v>19888</v>
      </c>
      <c r="AK2787">
        <v>128777</v>
      </c>
      <c r="AL2787">
        <v>198882</v>
      </c>
    </row>
    <row r="2788" spans="1:38" x14ac:dyDescent="0.25">
      <c r="A2788" t="s">
        <v>617</v>
      </c>
      <c r="B2788" t="s">
        <v>620</v>
      </c>
      <c r="C2788" t="s">
        <v>40</v>
      </c>
      <c r="D2788" s="1">
        <v>43466</v>
      </c>
      <c r="E2788" s="1">
        <v>43830</v>
      </c>
      <c r="F2788" t="s">
        <v>84</v>
      </c>
      <c r="G2788">
        <v>10</v>
      </c>
      <c r="H2788" t="s">
        <v>85</v>
      </c>
      <c r="I2788" t="s">
        <v>43</v>
      </c>
      <c r="J2788" t="s">
        <v>86</v>
      </c>
      <c r="K2788" t="s">
        <v>44</v>
      </c>
      <c r="L2788">
        <v>46994.85</v>
      </c>
      <c r="M2788" s="1">
        <v>43494</v>
      </c>
      <c r="N2788" t="s">
        <v>108</v>
      </c>
      <c r="O2788" t="s">
        <v>106</v>
      </c>
      <c r="P2788" t="s">
        <v>47</v>
      </c>
      <c r="Q2788" s="1">
        <v>43852</v>
      </c>
      <c r="R2788" t="s">
        <v>48</v>
      </c>
      <c r="S2788" t="s">
        <v>102</v>
      </c>
      <c r="T2788" t="s">
        <v>103</v>
      </c>
      <c r="U2788" t="s">
        <v>85</v>
      </c>
      <c r="V2788">
        <v>5000000</v>
      </c>
      <c r="W2788">
        <v>250000</v>
      </c>
      <c r="X2788" s="1">
        <v>43799</v>
      </c>
      <c r="Y2788" t="s">
        <v>51</v>
      </c>
      <c r="Z2788" t="s">
        <v>43</v>
      </c>
      <c r="AA2788" t="s">
        <v>86</v>
      </c>
      <c r="AB2788" t="s">
        <v>89</v>
      </c>
      <c r="AC2788" t="s">
        <v>90</v>
      </c>
      <c r="AF2788" t="s">
        <v>91</v>
      </c>
      <c r="AG2788" s="1">
        <v>43852</v>
      </c>
      <c r="AH2788" t="s">
        <v>85</v>
      </c>
      <c r="AI2788" t="s">
        <v>92</v>
      </c>
      <c r="AJ2788">
        <v>19888</v>
      </c>
      <c r="AK2788">
        <v>128777</v>
      </c>
      <c r="AL2788">
        <v>198882</v>
      </c>
    </row>
    <row r="2789" spans="1:38" x14ac:dyDescent="0.25">
      <c r="A2789" t="s">
        <v>617</v>
      </c>
      <c r="B2789" t="s">
        <v>620</v>
      </c>
      <c r="C2789" t="s">
        <v>40</v>
      </c>
      <c r="D2789" s="1">
        <v>43466</v>
      </c>
      <c r="E2789" s="1">
        <v>43830</v>
      </c>
      <c r="F2789" t="s">
        <v>84</v>
      </c>
      <c r="G2789">
        <v>10</v>
      </c>
      <c r="H2789" t="s">
        <v>85</v>
      </c>
      <c r="I2789" t="s">
        <v>43</v>
      </c>
      <c r="J2789" t="s">
        <v>86</v>
      </c>
      <c r="K2789" t="s">
        <v>44</v>
      </c>
      <c r="L2789">
        <v>46994.85</v>
      </c>
      <c r="M2789" s="1">
        <v>43494</v>
      </c>
      <c r="N2789" t="s">
        <v>108</v>
      </c>
      <c r="O2789" t="s">
        <v>106</v>
      </c>
      <c r="P2789" t="s">
        <v>47</v>
      </c>
      <c r="Q2789" s="1">
        <v>43852</v>
      </c>
      <c r="R2789" t="s">
        <v>48</v>
      </c>
      <c r="S2789" t="s">
        <v>102</v>
      </c>
      <c r="T2789" t="s">
        <v>103</v>
      </c>
      <c r="U2789" t="s">
        <v>85</v>
      </c>
      <c r="V2789">
        <v>5000000</v>
      </c>
      <c r="W2789">
        <v>250000</v>
      </c>
      <c r="X2789" s="1">
        <v>43799</v>
      </c>
      <c r="Y2789" t="s">
        <v>51</v>
      </c>
      <c r="Z2789" t="s">
        <v>43</v>
      </c>
      <c r="AA2789" t="s">
        <v>86</v>
      </c>
      <c r="AB2789" t="s">
        <v>89</v>
      </c>
      <c r="AC2789" t="s">
        <v>90</v>
      </c>
      <c r="AF2789" t="s">
        <v>93</v>
      </c>
      <c r="AG2789" s="1">
        <v>43843</v>
      </c>
      <c r="AH2789" t="s">
        <v>85</v>
      </c>
      <c r="AI2789" t="s">
        <v>92</v>
      </c>
      <c r="AJ2789">
        <v>19888</v>
      </c>
      <c r="AK2789">
        <v>128777</v>
      </c>
      <c r="AL2789">
        <v>198882</v>
      </c>
    </row>
    <row r="2790" spans="1:38" x14ac:dyDescent="0.25">
      <c r="A2790" t="s">
        <v>617</v>
      </c>
      <c r="B2790" t="s">
        <v>620</v>
      </c>
      <c r="C2790" t="s">
        <v>40</v>
      </c>
      <c r="D2790" s="1">
        <v>43466</v>
      </c>
      <c r="E2790" s="1">
        <v>43830</v>
      </c>
      <c r="F2790" t="s">
        <v>84</v>
      </c>
      <c r="G2790">
        <v>10</v>
      </c>
      <c r="H2790" t="s">
        <v>85</v>
      </c>
      <c r="I2790" t="s">
        <v>43</v>
      </c>
      <c r="J2790" t="s">
        <v>86</v>
      </c>
      <c r="K2790" t="s">
        <v>44</v>
      </c>
      <c r="L2790">
        <v>17139.5</v>
      </c>
      <c r="M2790" s="1">
        <v>43749</v>
      </c>
      <c r="N2790" t="s">
        <v>108</v>
      </c>
      <c r="O2790" t="s">
        <v>106</v>
      </c>
      <c r="P2790" t="s">
        <v>47</v>
      </c>
      <c r="Q2790" s="1">
        <v>43852</v>
      </c>
      <c r="R2790" t="s">
        <v>48</v>
      </c>
      <c r="S2790" t="s">
        <v>87</v>
      </c>
      <c r="T2790" t="s">
        <v>88</v>
      </c>
      <c r="U2790" t="s">
        <v>85</v>
      </c>
      <c r="V2790">
        <v>1400000</v>
      </c>
      <c r="W2790">
        <v>100000</v>
      </c>
      <c r="X2790" s="1">
        <v>43808</v>
      </c>
      <c r="Y2790" t="s">
        <v>51</v>
      </c>
      <c r="Z2790" t="s">
        <v>43</v>
      </c>
      <c r="AA2790" t="s">
        <v>86</v>
      </c>
      <c r="AB2790" t="s">
        <v>89</v>
      </c>
      <c r="AC2790" t="s">
        <v>90</v>
      </c>
      <c r="AF2790" t="s">
        <v>91</v>
      </c>
      <c r="AG2790" s="1">
        <v>43852</v>
      </c>
      <c r="AH2790" t="s">
        <v>85</v>
      </c>
      <c r="AI2790" t="s">
        <v>92</v>
      </c>
      <c r="AJ2790">
        <v>19888</v>
      </c>
      <c r="AK2790">
        <v>128777</v>
      </c>
      <c r="AL2790">
        <v>198882</v>
      </c>
    </row>
    <row r="2791" spans="1:38" x14ac:dyDescent="0.25">
      <c r="A2791" t="s">
        <v>617</v>
      </c>
      <c r="B2791" t="s">
        <v>620</v>
      </c>
      <c r="C2791" t="s">
        <v>40</v>
      </c>
      <c r="D2791" s="1">
        <v>43466</v>
      </c>
      <c r="E2791" s="1">
        <v>43830</v>
      </c>
      <c r="F2791" t="s">
        <v>84</v>
      </c>
      <c r="G2791">
        <v>10</v>
      </c>
      <c r="H2791" t="s">
        <v>85</v>
      </c>
      <c r="I2791" t="s">
        <v>43</v>
      </c>
      <c r="J2791" t="s">
        <v>86</v>
      </c>
      <c r="K2791" t="s">
        <v>44</v>
      </c>
      <c r="L2791">
        <v>17139.5</v>
      </c>
      <c r="M2791" s="1">
        <v>43749</v>
      </c>
      <c r="N2791" t="s">
        <v>108</v>
      </c>
      <c r="O2791" t="s">
        <v>106</v>
      </c>
      <c r="P2791" t="s">
        <v>47</v>
      </c>
      <c r="Q2791" s="1">
        <v>43852</v>
      </c>
      <c r="R2791" t="s">
        <v>48</v>
      </c>
      <c r="S2791" t="s">
        <v>87</v>
      </c>
      <c r="T2791" t="s">
        <v>88</v>
      </c>
      <c r="U2791" t="s">
        <v>85</v>
      </c>
      <c r="V2791">
        <v>1400000</v>
      </c>
      <c r="W2791">
        <v>100000</v>
      </c>
      <c r="X2791" s="1">
        <v>43808</v>
      </c>
      <c r="Y2791" t="s">
        <v>51</v>
      </c>
      <c r="Z2791" t="s">
        <v>43</v>
      </c>
      <c r="AA2791" t="s">
        <v>86</v>
      </c>
      <c r="AB2791" t="s">
        <v>89</v>
      </c>
      <c r="AC2791" t="s">
        <v>90</v>
      </c>
      <c r="AF2791" t="s">
        <v>93</v>
      </c>
      <c r="AG2791" s="1">
        <v>43843</v>
      </c>
      <c r="AH2791" t="s">
        <v>85</v>
      </c>
      <c r="AI2791" t="s">
        <v>92</v>
      </c>
      <c r="AJ2791">
        <v>19888</v>
      </c>
      <c r="AK2791">
        <v>128777</v>
      </c>
      <c r="AL2791">
        <v>198882</v>
      </c>
    </row>
    <row r="2792" spans="1:38" x14ac:dyDescent="0.25">
      <c r="A2792" t="s">
        <v>617</v>
      </c>
      <c r="B2792" t="s">
        <v>620</v>
      </c>
      <c r="C2792" t="s">
        <v>40</v>
      </c>
      <c r="D2792" s="1">
        <v>43466</v>
      </c>
      <c r="E2792" s="1">
        <v>43830</v>
      </c>
      <c r="F2792" t="s">
        <v>84</v>
      </c>
      <c r="G2792">
        <v>10</v>
      </c>
      <c r="H2792" t="s">
        <v>85</v>
      </c>
      <c r="I2792" t="s">
        <v>43</v>
      </c>
      <c r="J2792" t="s">
        <v>86</v>
      </c>
      <c r="K2792" t="s">
        <v>44</v>
      </c>
      <c r="L2792">
        <v>17139.5</v>
      </c>
      <c r="M2792" s="1">
        <v>43749</v>
      </c>
      <c r="N2792" t="s">
        <v>108</v>
      </c>
      <c r="O2792" t="s">
        <v>106</v>
      </c>
      <c r="P2792" t="s">
        <v>47</v>
      </c>
      <c r="Q2792" s="1">
        <v>43852</v>
      </c>
      <c r="R2792" t="s">
        <v>48</v>
      </c>
      <c r="S2792" t="s">
        <v>94</v>
      </c>
      <c r="T2792" t="s">
        <v>95</v>
      </c>
      <c r="U2792" t="s">
        <v>85</v>
      </c>
      <c r="V2792">
        <v>4500000</v>
      </c>
      <c r="W2792">
        <v>300000</v>
      </c>
      <c r="X2792" s="1">
        <v>43767</v>
      </c>
      <c r="Y2792" t="s">
        <v>51</v>
      </c>
      <c r="Z2792" t="s">
        <v>43</v>
      </c>
      <c r="AA2792" t="s">
        <v>86</v>
      </c>
      <c r="AB2792" t="s">
        <v>89</v>
      </c>
      <c r="AC2792" t="s">
        <v>90</v>
      </c>
      <c r="AF2792" t="s">
        <v>91</v>
      </c>
      <c r="AG2792" s="1">
        <v>43852</v>
      </c>
      <c r="AH2792" t="s">
        <v>85</v>
      </c>
      <c r="AI2792" t="s">
        <v>92</v>
      </c>
      <c r="AJ2792">
        <v>19888</v>
      </c>
      <c r="AK2792">
        <v>128777</v>
      </c>
      <c r="AL2792">
        <v>198882</v>
      </c>
    </row>
    <row r="2793" spans="1:38" x14ac:dyDescent="0.25">
      <c r="A2793" t="s">
        <v>617</v>
      </c>
      <c r="B2793" t="s">
        <v>620</v>
      </c>
      <c r="C2793" t="s">
        <v>40</v>
      </c>
      <c r="D2793" s="1">
        <v>43466</v>
      </c>
      <c r="E2793" s="1">
        <v>43830</v>
      </c>
      <c r="F2793" t="s">
        <v>84</v>
      </c>
      <c r="G2793">
        <v>10</v>
      </c>
      <c r="H2793" t="s">
        <v>85</v>
      </c>
      <c r="I2793" t="s">
        <v>43</v>
      </c>
      <c r="J2793" t="s">
        <v>86</v>
      </c>
      <c r="K2793" t="s">
        <v>44</v>
      </c>
      <c r="L2793">
        <v>17139.5</v>
      </c>
      <c r="M2793" s="1">
        <v>43749</v>
      </c>
      <c r="N2793" t="s">
        <v>108</v>
      </c>
      <c r="O2793" t="s">
        <v>106</v>
      </c>
      <c r="P2793" t="s">
        <v>47</v>
      </c>
      <c r="Q2793" s="1">
        <v>43852</v>
      </c>
      <c r="R2793" t="s">
        <v>48</v>
      </c>
      <c r="S2793" t="s">
        <v>94</v>
      </c>
      <c r="T2793" t="s">
        <v>95</v>
      </c>
      <c r="U2793" t="s">
        <v>85</v>
      </c>
      <c r="V2793">
        <v>4500000</v>
      </c>
      <c r="W2793">
        <v>300000</v>
      </c>
      <c r="X2793" s="1">
        <v>43767</v>
      </c>
      <c r="Y2793" t="s">
        <v>51</v>
      </c>
      <c r="Z2793" t="s">
        <v>43</v>
      </c>
      <c r="AA2793" t="s">
        <v>86</v>
      </c>
      <c r="AB2793" t="s">
        <v>89</v>
      </c>
      <c r="AC2793" t="s">
        <v>90</v>
      </c>
      <c r="AF2793" t="s">
        <v>93</v>
      </c>
      <c r="AG2793" s="1">
        <v>43843</v>
      </c>
      <c r="AH2793" t="s">
        <v>85</v>
      </c>
      <c r="AI2793" t="s">
        <v>92</v>
      </c>
      <c r="AJ2793">
        <v>19888</v>
      </c>
      <c r="AK2793">
        <v>128777</v>
      </c>
      <c r="AL2793">
        <v>198882</v>
      </c>
    </row>
    <row r="2794" spans="1:38" x14ac:dyDescent="0.25">
      <c r="A2794" t="s">
        <v>617</v>
      </c>
      <c r="B2794" t="s">
        <v>620</v>
      </c>
      <c r="C2794" t="s">
        <v>40</v>
      </c>
      <c r="D2794" s="1">
        <v>43466</v>
      </c>
      <c r="E2794" s="1">
        <v>43830</v>
      </c>
      <c r="F2794" t="s">
        <v>84</v>
      </c>
      <c r="G2794">
        <v>10</v>
      </c>
      <c r="H2794" t="s">
        <v>85</v>
      </c>
      <c r="I2794" t="s">
        <v>43</v>
      </c>
      <c r="J2794" t="s">
        <v>86</v>
      </c>
      <c r="K2794" t="s">
        <v>44</v>
      </c>
      <c r="L2794">
        <v>17139.5</v>
      </c>
      <c r="M2794" s="1">
        <v>43749</v>
      </c>
      <c r="N2794" t="s">
        <v>108</v>
      </c>
      <c r="O2794" t="s">
        <v>106</v>
      </c>
      <c r="P2794" t="s">
        <v>47</v>
      </c>
      <c r="Q2794" s="1">
        <v>43852</v>
      </c>
      <c r="R2794" t="s">
        <v>48</v>
      </c>
      <c r="S2794" t="s">
        <v>96</v>
      </c>
      <c r="T2794" t="s">
        <v>97</v>
      </c>
      <c r="U2794" t="s">
        <v>85</v>
      </c>
      <c r="V2794">
        <v>600000</v>
      </c>
      <c r="W2794">
        <v>100000</v>
      </c>
      <c r="X2794" s="1">
        <v>43799</v>
      </c>
      <c r="Y2794" t="s">
        <v>51</v>
      </c>
      <c r="Z2794" t="s">
        <v>43</v>
      </c>
      <c r="AA2794" t="s">
        <v>98</v>
      </c>
      <c r="AB2794" t="s">
        <v>89</v>
      </c>
      <c r="AC2794" t="s">
        <v>90</v>
      </c>
      <c r="AF2794" t="s">
        <v>91</v>
      </c>
      <c r="AG2794" s="1">
        <v>43852</v>
      </c>
      <c r="AH2794" t="s">
        <v>85</v>
      </c>
      <c r="AI2794" t="s">
        <v>92</v>
      </c>
      <c r="AJ2794">
        <v>19888</v>
      </c>
      <c r="AK2794">
        <v>128777</v>
      </c>
      <c r="AL2794">
        <v>198882</v>
      </c>
    </row>
    <row r="2795" spans="1:38" x14ac:dyDescent="0.25">
      <c r="A2795" t="s">
        <v>617</v>
      </c>
      <c r="B2795" t="s">
        <v>620</v>
      </c>
      <c r="C2795" t="s">
        <v>40</v>
      </c>
      <c r="D2795" s="1">
        <v>43466</v>
      </c>
      <c r="E2795" s="1">
        <v>43830</v>
      </c>
      <c r="F2795" t="s">
        <v>84</v>
      </c>
      <c r="G2795">
        <v>10</v>
      </c>
      <c r="H2795" t="s">
        <v>85</v>
      </c>
      <c r="I2795" t="s">
        <v>43</v>
      </c>
      <c r="J2795" t="s">
        <v>86</v>
      </c>
      <c r="K2795" t="s">
        <v>44</v>
      </c>
      <c r="L2795">
        <v>17139.5</v>
      </c>
      <c r="M2795" s="1">
        <v>43749</v>
      </c>
      <c r="N2795" t="s">
        <v>108</v>
      </c>
      <c r="O2795" t="s">
        <v>106</v>
      </c>
      <c r="P2795" t="s">
        <v>47</v>
      </c>
      <c r="Q2795" s="1">
        <v>43852</v>
      </c>
      <c r="R2795" t="s">
        <v>48</v>
      </c>
      <c r="S2795" t="s">
        <v>96</v>
      </c>
      <c r="T2795" t="s">
        <v>97</v>
      </c>
      <c r="U2795" t="s">
        <v>85</v>
      </c>
      <c r="V2795">
        <v>600000</v>
      </c>
      <c r="W2795">
        <v>100000</v>
      </c>
      <c r="X2795" s="1">
        <v>43799</v>
      </c>
      <c r="Y2795" t="s">
        <v>51</v>
      </c>
      <c r="Z2795" t="s">
        <v>43</v>
      </c>
      <c r="AA2795" t="s">
        <v>98</v>
      </c>
      <c r="AB2795" t="s">
        <v>89</v>
      </c>
      <c r="AC2795" t="s">
        <v>90</v>
      </c>
      <c r="AF2795" t="s">
        <v>93</v>
      </c>
      <c r="AG2795" s="1">
        <v>43843</v>
      </c>
      <c r="AH2795" t="s">
        <v>85</v>
      </c>
      <c r="AI2795" t="s">
        <v>92</v>
      </c>
      <c r="AJ2795">
        <v>19888</v>
      </c>
      <c r="AK2795">
        <v>128777</v>
      </c>
      <c r="AL2795">
        <v>198882</v>
      </c>
    </row>
    <row r="2796" spans="1:38" x14ac:dyDescent="0.25">
      <c r="A2796" t="s">
        <v>617</v>
      </c>
      <c r="B2796" t="s">
        <v>620</v>
      </c>
      <c r="C2796" t="s">
        <v>40</v>
      </c>
      <c r="D2796" s="1">
        <v>43466</v>
      </c>
      <c r="E2796" s="1">
        <v>43830</v>
      </c>
      <c r="F2796" t="s">
        <v>84</v>
      </c>
      <c r="G2796">
        <v>10</v>
      </c>
      <c r="H2796" t="s">
        <v>85</v>
      </c>
      <c r="I2796" t="s">
        <v>43</v>
      </c>
      <c r="J2796" t="s">
        <v>86</v>
      </c>
      <c r="K2796" t="s">
        <v>44</v>
      </c>
      <c r="L2796">
        <v>17139.5</v>
      </c>
      <c r="M2796" s="1">
        <v>43749</v>
      </c>
      <c r="N2796" t="s">
        <v>108</v>
      </c>
      <c r="O2796" t="s">
        <v>106</v>
      </c>
      <c r="P2796" t="s">
        <v>47</v>
      </c>
      <c r="Q2796" s="1">
        <v>43852</v>
      </c>
      <c r="R2796" t="s">
        <v>48</v>
      </c>
      <c r="S2796" t="s">
        <v>99</v>
      </c>
      <c r="T2796" t="s">
        <v>100</v>
      </c>
      <c r="U2796" t="s">
        <v>85</v>
      </c>
      <c r="V2796">
        <v>210000</v>
      </c>
      <c r="W2796">
        <v>35000</v>
      </c>
      <c r="X2796" s="1">
        <v>43799</v>
      </c>
      <c r="Y2796" t="s">
        <v>51</v>
      </c>
      <c r="Z2796" t="s">
        <v>43</v>
      </c>
      <c r="AA2796" t="s">
        <v>98</v>
      </c>
      <c r="AB2796" t="s">
        <v>89</v>
      </c>
      <c r="AC2796" t="s">
        <v>101</v>
      </c>
      <c r="AF2796" t="s">
        <v>91</v>
      </c>
      <c r="AG2796" s="1">
        <v>43852</v>
      </c>
      <c r="AH2796" t="s">
        <v>85</v>
      </c>
      <c r="AI2796" t="s">
        <v>92</v>
      </c>
      <c r="AJ2796">
        <v>19888</v>
      </c>
      <c r="AK2796">
        <v>128777</v>
      </c>
      <c r="AL2796">
        <v>198882</v>
      </c>
    </row>
    <row r="2797" spans="1:38" x14ac:dyDescent="0.25">
      <c r="A2797" t="s">
        <v>617</v>
      </c>
      <c r="B2797" t="s">
        <v>620</v>
      </c>
      <c r="C2797" t="s">
        <v>40</v>
      </c>
      <c r="D2797" s="1">
        <v>43466</v>
      </c>
      <c r="E2797" s="1">
        <v>43830</v>
      </c>
      <c r="F2797" t="s">
        <v>84</v>
      </c>
      <c r="G2797">
        <v>10</v>
      </c>
      <c r="H2797" t="s">
        <v>85</v>
      </c>
      <c r="I2797" t="s">
        <v>43</v>
      </c>
      <c r="J2797" t="s">
        <v>86</v>
      </c>
      <c r="K2797" t="s">
        <v>44</v>
      </c>
      <c r="L2797">
        <v>17139.5</v>
      </c>
      <c r="M2797" s="1">
        <v>43749</v>
      </c>
      <c r="N2797" t="s">
        <v>108</v>
      </c>
      <c r="O2797" t="s">
        <v>106</v>
      </c>
      <c r="P2797" t="s">
        <v>47</v>
      </c>
      <c r="Q2797" s="1">
        <v>43852</v>
      </c>
      <c r="R2797" t="s">
        <v>48</v>
      </c>
      <c r="S2797" t="s">
        <v>99</v>
      </c>
      <c r="T2797" t="s">
        <v>100</v>
      </c>
      <c r="U2797" t="s">
        <v>85</v>
      </c>
      <c r="V2797">
        <v>210000</v>
      </c>
      <c r="W2797">
        <v>35000</v>
      </c>
      <c r="X2797" s="1">
        <v>43799</v>
      </c>
      <c r="Y2797" t="s">
        <v>51</v>
      </c>
      <c r="Z2797" t="s">
        <v>43</v>
      </c>
      <c r="AA2797" t="s">
        <v>98</v>
      </c>
      <c r="AB2797" t="s">
        <v>89</v>
      </c>
      <c r="AC2797" t="s">
        <v>101</v>
      </c>
      <c r="AF2797" t="s">
        <v>93</v>
      </c>
      <c r="AG2797" s="1">
        <v>43843</v>
      </c>
      <c r="AH2797" t="s">
        <v>85</v>
      </c>
      <c r="AI2797" t="s">
        <v>92</v>
      </c>
      <c r="AJ2797">
        <v>19888</v>
      </c>
      <c r="AK2797">
        <v>128777</v>
      </c>
      <c r="AL2797">
        <v>198882</v>
      </c>
    </row>
    <row r="2798" spans="1:38" x14ac:dyDescent="0.25">
      <c r="A2798" t="s">
        <v>617</v>
      </c>
      <c r="B2798" t="s">
        <v>620</v>
      </c>
      <c r="C2798" t="s">
        <v>40</v>
      </c>
      <c r="D2798" s="1">
        <v>43466</v>
      </c>
      <c r="E2798" s="1">
        <v>43830</v>
      </c>
      <c r="F2798" t="s">
        <v>84</v>
      </c>
      <c r="G2798">
        <v>10</v>
      </c>
      <c r="H2798" t="s">
        <v>85</v>
      </c>
      <c r="I2798" t="s">
        <v>43</v>
      </c>
      <c r="J2798" t="s">
        <v>86</v>
      </c>
      <c r="K2798" t="s">
        <v>44</v>
      </c>
      <c r="L2798">
        <v>17139.5</v>
      </c>
      <c r="M2798" s="1">
        <v>43749</v>
      </c>
      <c r="N2798" t="s">
        <v>108</v>
      </c>
      <c r="O2798" t="s">
        <v>106</v>
      </c>
      <c r="P2798" t="s">
        <v>47</v>
      </c>
      <c r="Q2798" s="1">
        <v>43852</v>
      </c>
      <c r="R2798" t="s">
        <v>48</v>
      </c>
      <c r="S2798" t="s">
        <v>102</v>
      </c>
      <c r="T2798" t="s">
        <v>103</v>
      </c>
      <c r="U2798" t="s">
        <v>85</v>
      </c>
      <c r="V2798">
        <v>5000000</v>
      </c>
      <c r="W2798">
        <v>250000</v>
      </c>
      <c r="X2798" s="1">
        <v>43799</v>
      </c>
      <c r="Y2798" t="s">
        <v>51</v>
      </c>
      <c r="Z2798" t="s">
        <v>43</v>
      </c>
      <c r="AA2798" t="s">
        <v>86</v>
      </c>
      <c r="AB2798" t="s">
        <v>89</v>
      </c>
      <c r="AC2798" t="s">
        <v>90</v>
      </c>
      <c r="AF2798" t="s">
        <v>91</v>
      </c>
      <c r="AG2798" s="1">
        <v>43852</v>
      </c>
      <c r="AH2798" t="s">
        <v>85</v>
      </c>
      <c r="AI2798" t="s">
        <v>92</v>
      </c>
      <c r="AJ2798">
        <v>19888</v>
      </c>
      <c r="AK2798">
        <v>128777</v>
      </c>
      <c r="AL2798">
        <v>198882</v>
      </c>
    </row>
    <row r="2799" spans="1:38" x14ac:dyDescent="0.25">
      <c r="A2799" t="s">
        <v>617</v>
      </c>
      <c r="B2799" t="s">
        <v>620</v>
      </c>
      <c r="C2799" t="s">
        <v>40</v>
      </c>
      <c r="D2799" s="1">
        <v>43466</v>
      </c>
      <c r="E2799" s="1">
        <v>43830</v>
      </c>
      <c r="F2799" t="s">
        <v>84</v>
      </c>
      <c r="G2799">
        <v>10</v>
      </c>
      <c r="H2799" t="s">
        <v>85</v>
      </c>
      <c r="I2799" t="s">
        <v>43</v>
      </c>
      <c r="J2799" t="s">
        <v>86</v>
      </c>
      <c r="K2799" t="s">
        <v>44</v>
      </c>
      <c r="L2799">
        <v>17139.5</v>
      </c>
      <c r="M2799" s="1">
        <v>43749</v>
      </c>
      <c r="N2799" t="s">
        <v>108</v>
      </c>
      <c r="O2799" t="s">
        <v>106</v>
      </c>
      <c r="P2799" t="s">
        <v>47</v>
      </c>
      <c r="Q2799" s="1">
        <v>43852</v>
      </c>
      <c r="R2799" t="s">
        <v>48</v>
      </c>
      <c r="S2799" t="s">
        <v>102</v>
      </c>
      <c r="T2799" t="s">
        <v>103</v>
      </c>
      <c r="U2799" t="s">
        <v>85</v>
      </c>
      <c r="V2799">
        <v>5000000</v>
      </c>
      <c r="W2799">
        <v>250000</v>
      </c>
      <c r="X2799" s="1">
        <v>43799</v>
      </c>
      <c r="Y2799" t="s">
        <v>51</v>
      </c>
      <c r="Z2799" t="s">
        <v>43</v>
      </c>
      <c r="AA2799" t="s">
        <v>86</v>
      </c>
      <c r="AB2799" t="s">
        <v>89</v>
      </c>
      <c r="AC2799" t="s">
        <v>90</v>
      </c>
      <c r="AF2799" t="s">
        <v>93</v>
      </c>
      <c r="AG2799" s="1">
        <v>43843</v>
      </c>
      <c r="AH2799" t="s">
        <v>85</v>
      </c>
      <c r="AI2799" t="s">
        <v>92</v>
      </c>
      <c r="AJ2799">
        <v>19888</v>
      </c>
      <c r="AK2799">
        <v>128777</v>
      </c>
      <c r="AL2799">
        <v>198882</v>
      </c>
    </row>
    <row r="2800" spans="1:38" x14ac:dyDescent="0.25">
      <c r="A2800" t="s">
        <v>617</v>
      </c>
      <c r="B2800" t="s">
        <v>620</v>
      </c>
      <c r="C2800" t="s">
        <v>40</v>
      </c>
      <c r="D2800" s="1">
        <v>43466</v>
      </c>
      <c r="E2800" s="1">
        <v>43830</v>
      </c>
      <c r="F2800" t="s">
        <v>84</v>
      </c>
      <c r="G2800">
        <v>10</v>
      </c>
      <c r="H2800" t="s">
        <v>85</v>
      </c>
      <c r="I2800" t="s">
        <v>43</v>
      </c>
      <c r="J2800" t="s">
        <v>86</v>
      </c>
      <c r="K2800" t="s">
        <v>44</v>
      </c>
      <c r="L2800">
        <v>8560.86</v>
      </c>
      <c r="M2800" s="1">
        <v>43783</v>
      </c>
      <c r="N2800" t="s">
        <v>108</v>
      </c>
      <c r="O2800" t="s">
        <v>106</v>
      </c>
      <c r="P2800" t="s">
        <v>47</v>
      </c>
      <c r="Q2800" s="1">
        <v>43852</v>
      </c>
      <c r="R2800" t="s">
        <v>48</v>
      </c>
      <c r="S2800" t="s">
        <v>87</v>
      </c>
      <c r="T2800" t="s">
        <v>88</v>
      </c>
      <c r="U2800" t="s">
        <v>85</v>
      </c>
      <c r="V2800">
        <v>1400000</v>
      </c>
      <c r="W2800">
        <v>100000</v>
      </c>
      <c r="X2800" s="1">
        <v>43808</v>
      </c>
      <c r="Y2800" t="s">
        <v>51</v>
      </c>
      <c r="Z2800" t="s">
        <v>43</v>
      </c>
      <c r="AA2800" t="s">
        <v>86</v>
      </c>
      <c r="AB2800" t="s">
        <v>89</v>
      </c>
      <c r="AC2800" t="s">
        <v>90</v>
      </c>
      <c r="AF2800" t="s">
        <v>91</v>
      </c>
      <c r="AG2800" s="1">
        <v>43852</v>
      </c>
      <c r="AH2800" t="s">
        <v>85</v>
      </c>
      <c r="AI2800" t="s">
        <v>92</v>
      </c>
      <c r="AJ2800">
        <v>19888</v>
      </c>
      <c r="AK2800">
        <v>128777</v>
      </c>
      <c r="AL2800">
        <v>198882</v>
      </c>
    </row>
    <row r="2801" spans="1:38" x14ac:dyDescent="0.25">
      <c r="A2801" t="s">
        <v>617</v>
      </c>
      <c r="B2801" t="s">
        <v>620</v>
      </c>
      <c r="C2801" t="s">
        <v>40</v>
      </c>
      <c r="D2801" s="1">
        <v>43466</v>
      </c>
      <c r="E2801" s="1">
        <v>43830</v>
      </c>
      <c r="F2801" t="s">
        <v>84</v>
      </c>
      <c r="G2801">
        <v>10</v>
      </c>
      <c r="H2801" t="s">
        <v>85</v>
      </c>
      <c r="I2801" t="s">
        <v>43</v>
      </c>
      <c r="J2801" t="s">
        <v>86</v>
      </c>
      <c r="K2801" t="s">
        <v>44</v>
      </c>
      <c r="L2801">
        <v>8560.86</v>
      </c>
      <c r="M2801" s="1">
        <v>43783</v>
      </c>
      <c r="N2801" t="s">
        <v>108</v>
      </c>
      <c r="O2801" t="s">
        <v>106</v>
      </c>
      <c r="P2801" t="s">
        <v>47</v>
      </c>
      <c r="Q2801" s="1">
        <v>43852</v>
      </c>
      <c r="R2801" t="s">
        <v>48</v>
      </c>
      <c r="S2801" t="s">
        <v>87</v>
      </c>
      <c r="T2801" t="s">
        <v>88</v>
      </c>
      <c r="U2801" t="s">
        <v>85</v>
      </c>
      <c r="V2801">
        <v>1400000</v>
      </c>
      <c r="W2801">
        <v>100000</v>
      </c>
      <c r="X2801" s="1">
        <v>43808</v>
      </c>
      <c r="Y2801" t="s">
        <v>51</v>
      </c>
      <c r="Z2801" t="s">
        <v>43</v>
      </c>
      <c r="AA2801" t="s">
        <v>86</v>
      </c>
      <c r="AB2801" t="s">
        <v>89</v>
      </c>
      <c r="AC2801" t="s">
        <v>90</v>
      </c>
      <c r="AF2801" t="s">
        <v>93</v>
      </c>
      <c r="AG2801" s="1">
        <v>43843</v>
      </c>
      <c r="AH2801" t="s">
        <v>85</v>
      </c>
      <c r="AI2801" t="s">
        <v>92</v>
      </c>
      <c r="AJ2801">
        <v>19888</v>
      </c>
      <c r="AK2801">
        <v>128777</v>
      </c>
      <c r="AL2801">
        <v>198882</v>
      </c>
    </row>
    <row r="2802" spans="1:38" x14ac:dyDescent="0.25">
      <c r="A2802" t="s">
        <v>617</v>
      </c>
      <c r="B2802" t="s">
        <v>620</v>
      </c>
      <c r="C2802" t="s">
        <v>40</v>
      </c>
      <c r="D2802" s="1">
        <v>43466</v>
      </c>
      <c r="E2802" s="1">
        <v>43830</v>
      </c>
      <c r="F2802" t="s">
        <v>84</v>
      </c>
      <c r="G2802">
        <v>10</v>
      </c>
      <c r="H2802" t="s">
        <v>85</v>
      </c>
      <c r="I2802" t="s">
        <v>43</v>
      </c>
      <c r="J2802" t="s">
        <v>86</v>
      </c>
      <c r="K2802" t="s">
        <v>44</v>
      </c>
      <c r="L2802">
        <v>8560.86</v>
      </c>
      <c r="M2802" s="1">
        <v>43783</v>
      </c>
      <c r="N2802" t="s">
        <v>108</v>
      </c>
      <c r="O2802" t="s">
        <v>106</v>
      </c>
      <c r="P2802" t="s">
        <v>47</v>
      </c>
      <c r="Q2802" s="1">
        <v>43852</v>
      </c>
      <c r="R2802" t="s">
        <v>48</v>
      </c>
      <c r="S2802" t="s">
        <v>94</v>
      </c>
      <c r="T2802" t="s">
        <v>95</v>
      </c>
      <c r="U2802" t="s">
        <v>85</v>
      </c>
      <c r="V2802">
        <v>4500000</v>
      </c>
      <c r="W2802">
        <v>300000</v>
      </c>
      <c r="X2802" s="1">
        <v>43767</v>
      </c>
      <c r="Y2802" t="s">
        <v>51</v>
      </c>
      <c r="Z2802" t="s">
        <v>43</v>
      </c>
      <c r="AA2802" t="s">
        <v>86</v>
      </c>
      <c r="AB2802" t="s">
        <v>89</v>
      </c>
      <c r="AC2802" t="s">
        <v>90</v>
      </c>
      <c r="AF2802" t="s">
        <v>91</v>
      </c>
      <c r="AG2802" s="1">
        <v>43852</v>
      </c>
      <c r="AH2802" t="s">
        <v>85</v>
      </c>
      <c r="AI2802" t="s">
        <v>92</v>
      </c>
      <c r="AJ2802">
        <v>19888</v>
      </c>
      <c r="AK2802">
        <v>128777</v>
      </c>
      <c r="AL2802">
        <v>198882</v>
      </c>
    </row>
    <row r="2803" spans="1:38" x14ac:dyDescent="0.25">
      <c r="A2803" t="s">
        <v>617</v>
      </c>
      <c r="B2803" t="s">
        <v>620</v>
      </c>
      <c r="C2803" t="s">
        <v>40</v>
      </c>
      <c r="D2803" s="1">
        <v>43466</v>
      </c>
      <c r="E2803" s="1">
        <v>43830</v>
      </c>
      <c r="F2803" t="s">
        <v>84</v>
      </c>
      <c r="G2803">
        <v>10</v>
      </c>
      <c r="H2803" t="s">
        <v>85</v>
      </c>
      <c r="I2803" t="s">
        <v>43</v>
      </c>
      <c r="J2803" t="s">
        <v>86</v>
      </c>
      <c r="K2803" t="s">
        <v>44</v>
      </c>
      <c r="L2803">
        <v>8560.86</v>
      </c>
      <c r="M2803" s="1">
        <v>43783</v>
      </c>
      <c r="N2803" t="s">
        <v>108</v>
      </c>
      <c r="O2803" t="s">
        <v>106</v>
      </c>
      <c r="P2803" t="s">
        <v>47</v>
      </c>
      <c r="Q2803" s="1">
        <v>43852</v>
      </c>
      <c r="R2803" t="s">
        <v>48</v>
      </c>
      <c r="S2803" t="s">
        <v>94</v>
      </c>
      <c r="T2803" t="s">
        <v>95</v>
      </c>
      <c r="U2803" t="s">
        <v>85</v>
      </c>
      <c r="V2803">
        <v>4500000</v>
      </c>
      <c r="W2803">
        <v>300000</v>
      </c>
      <c r="X2803" s="1">
        <v>43767</v>
      </c>
      <c r="Y2803" t="s">
        <v>51</v>
      </c>
      <c r="Z2803" t="s">
        <v>43</v>
      </c>
      <c r="AA2803" t="s">
        <v>86</v>
      </c>
      <c r="AB2803" t="s">
        <v>89</v>
      </c>
      <c r="AC2803" t="s">
        <v>90</v>
      </c>
      <c r="AF2803" t="s">
        <v>93</v>
      </c>
      <c r="AG2803" s="1">
        <v>43843</v>
      </c>
      <c r="AH2803" t="s">
        <v>85</v>
      </c>
      <c r="AI2803" t="s">
        <v>92</v>
      </c>
      <c r="AJ2803">
        <v>19888</v>
      </c>
      <c r="AK2803">
        <v>128777</v>
      </c>
      <c r="AL2803">
        <v>198882</v>
      </c>
    </row>
    <row r="2804" spans="1:38" x14ac:dyDescent="0.25">
      <c r="A2804" t="s">
        <v>617</v>
      </c>
      <c r="B2804" t="s">
        <v>620</v>
      </c>
      <c r="C2804" t="s">
        <v>40</v>
      </c>
      <c r="D2804" s="1">
        <v>43466</v>
      </c>
      <c r="E2804" s="1">
        <v>43830</v>
      </c>
      <c r="F2804" t="s">
        <v>84</v>
      </c>
      <c r="G2804">
        <v>10</v>
      </c>
      <c r="H2804" t="s">
        <v>85</v>
      </c>
      <c r="I2804" t="s">
        <v>43</v>
      </c>
      <c r="J2804" t="s">
        <v>86</v>
      </c>
      <c r="K2804" t="s">
        <v>44</v>
      </c>
      <c r="L2804">
        <v>8560.86</v>
      </c>
      <c r="M2804" s="1">
        <v>43783</v>
      </c>
      <c r="N2804" t="s">
        <v>108</v>
      </c>
      <c r="O2804" t="s">
        <v>106</v>
      </c>
      <c r="P2804" t="s">
        <v>47</v>
      </c>
      <c r="Q2804" s="1">
        <v>43852</v>
      </c>
      <c r="R2804" t="s">
        <v>48</v>
      </c>
      <c r="S2804" t="s">
        <v>96</v>
      </c>
      <c r="T2804" t="s">
        <v>97</v>
      </c>
      <c r="U2804" t="s">
        <v>85</v>
      </c>
      <c r="V2804">
        <v>600000</v>
      </c>
      <c r="W2804">
        <v>100000</v>
      </c>
      <c r="X2804" s="1">
        <v>43799</v>
      </c>
      <c r="Y2804" t="s">
        <v>51</v>
      </c>
      <c r="Z2804" t="s">
        <v>43</v>
      </c>
      <c r="AA2804" t="s">
        <v>98</v>
      </c>
      <c r="AB2804" t="s">
        <v>89</v>
      </c>
      <c r="AC2804" t="s">
        <v>90</v>
      </c>
      <c r="AF2804" t="s">
        <v>91</v>
      </c>
      <c r="AG2804" s="1">
        <v>43852</v>
      </c>
      <c r="AH2804" t="s">
        <v>85</v>
      </c>
      <c r="AI2804" t="s">
        <v>92</v>
      </c>
      <c r="AJ2804">
        <v>19888</v>
      </c>
      <c r="AK2804">
        <v>128777</v>
      </c>
      <c r="AL2804">
        <v>198882</v>
      </c>
    </row>
    <row r="2805" spans="1:38" x14ac:dyDescent="0.25">
      <c r="A2805" t="s">
        <v>617</v>
      </c>
      <c r="B2805" t="s">
        <v>620</v>
      </c>
      <c r="C2805" t="s">
        <v>40</v>
      </c>
      <c r="D2805" s="1">
        <v>43466</v>
      </c>
      <c r="E2805" s="1">
        <v>43830</v>
      </c>
      <c r="F2805" t="s">
        <v>84</v>
      </c>
      <c r="G2805">
        <v>10</v>
      </c>
      <c r="H2805" t="s">
        <v>85</v>
      </c>
      <c r="I2805" t="s">
        <v>43</v>
      </c>
      <c r="J2805" t="s">
        <v>86</v>
      </c>
      <c r="K2805" t="s">
        <v>44</v>
      </c>
      <c r="L2805">
        <v>8560.86</v>
      </c>
      <c r="M2805" s="1">
        <v>43783</v>
      </c>
      <c r="N2805" t="s">
        <v>108</v>
      </c>
      <c r="O2805" t="s">
        <v>106</v>
      </c>
      <c r="P2805" t="s">
        <v>47</v>
      </c>
      <c r="Q2805" s="1">
        <v>43852</v>
      </c>
      <c r="R2805" t="s">
        <v>48</v>
      </c>
      <c r="S2805" t="s">
        <v>96</v>
      </c>
      <c r="T2805" t="s">
        <v>97</v>
      </c>
      <c r="U2805" t="s">
        <v>85</v>
      </c>
      <c r="V2805">
        <v>600000</v>
      </c>
      <c r="W2805">
        <v>100000</v>
      </c>
      <c r="X2805" s="1">
        <v>43799</v>
      </c>
      <c r="Y2805" t="s">
        <v>51</v>
      </c>
      <c r="Z2805" t="s">
        <v>43</v>
      </c>
      <c r="AA2805" t="s">
        <v>98</v>
      </c>
      <c r="AB2805" t="s">
        <v>89</v>
      </c>
      <c r="AC2805" t="s">
        <v>90</v>
      </c>
      <c r="AF2805" t="s">
        <v>93</v>
      </c>
      <c r="AG2805" s="1">
        <v>43843</v>
      </c>
      <c r="AH2805" t="s">
        <v>85</v>
      </c>
      <c r="AI2805" t="s">
        <v>92</v>
      </c>
      <c r="AJ2805">
        <v>19888</v>
      </c>
      <c r="AK2805">
        <v>128777</v>
      </c>
      <c r="AL2805">
        <v>198882</v>
      </c>
    </row>
    <row r="2806" spans="1:38" x14ac:dyDescent="0.25">
      <c r="A2806" t="s">
        <v>617</v>
      </c>
      <c r="B2806" t="s">
        <v>620</v>
      </c>
      <c r="C2806" t="s">
        <v>40</v>
      </c>
      <c r="D2806" s="1">
        <v>43466</v>
      </c>
      <c r="E2806" s="1">
        <v>43830</v>
      </c>
      <c r="F2806" t="s">
        <v>84</v>
      </c>
      <c r="G2806">
        <v>10</v>
      </c>
      <c r="H2806" t="s">
        <v>85</v>
      </c>
      <c r="I2806" t="s">
        <v>43</v>
      </c>
      <c r="J2806" t="s">
        <v>86</v>
      </c>
      <c r="K2806" t="s">
        <v>44</v>
      </c>
      <c r="L2806">
        <v>8560.86</v>
      </c>
      <c r="M2806" s="1">
        <v>43783</v>
      </c>
      <c r="N2806" t="s">
        <v>108</v>
      </c>
      <c r="O2806" t="s">
        <v>106</v>
      </c>
      <c r="P2806" t="s">
        <v>47</v>
      </c>
      <c r="Q2806" s="1">
        <v>43852</v>
      </c>
      <c r="R2806" t="s">
        <v>48</v>
      </c>
      <c r="S2806" t="s">
        <v>99</v>
      </c>
      <c r="T2806" t="s">
        <v>100</v>
      </c>
      <c r="U2806" t="s">
        <v>85</v>
      </c>
      <c r="V2806">
        <v>210000</v>
      </c>
      <c r="W2806">
        <v>35000</v>
      </c>
      <c r="X2806" s="1">
        <v>43799</v>
      </c>
      <c r="Y2806" t="s">
        <v>51</v>
      </c>
      <c r="Z2806" t="s">
        <v>43</v>
      </c>
      <c r="AA2806" t="s">
        <v>98</v>
      </c>
      <c r="AB2806" t="s">
        <v>89</v>
      </c>
      <c r="AC2806" t="s">
        <v>101</v>
      </c>
      <c r="AF2806" t="s">
        <v>91</v>
      </c>
      <c r="AG2806" s="1">
        <v>43852</v>
      </c>
      <c r="AH2806" t="s">
        <v>85</v>
      </c>
      <c r="AI2806" t="s">
        <v>92</v>
      </c>
      <c r="AJ2806">
        <v>19888</v>
      </c>
      <c r="AK2806">
        <v>128777</v>
      </c>
      <c r="AL2806">
        <v>198882</v>
      </c>
    </row>
    <row r="2807" spans="1:38" x14ac:dyDescent="0.25">
      <c r="A2807" t="s">
        <v>617</v>
      </c>
      <c r="B2807" t="s">
        <v>620</v>
      </c>
      <c r="C2807" t="s">
        <v>40</v>
      </c>
      <c r="D2807" s="1">
        <v>43466</v>
      </c>
      <c r="E2807" s="1">
        <v>43830</v>
      </c>
      <c r="F2807" t="s">
        <v>84</v>
      </c>
      <c r="G2807">
        <v>10</v>
      </c>
      <c r="H2807" t="s">
        <v>85</v>
      </c>
      <c r="I2807" t="s">
        <v>43</v>
      </c>
      <c r="J2807" t="s">
        <v>86</v>
      </c>
      <c r="K2807" t="s">
        <v>44</v>
      </c>
      <c r="L2807">
        <v>8560.86</v>
      </c>
      <c r="M2807" s="1">
        <v>43783</v>
      </c>
      <c r="N2807" t="s">
        <v>108</v>
      </c>
      <c r="O2807" t="s">
        <v>106</v>
      </c>
      <c r="P2807" t="s">
        <v>47</v>
      </c>
      <c r="Q2807" s="1">
        <v>43852</v>
      </c>
      <c r="R2807" t="s">
        <v>48</v>
      </c>
      <c r="S2807" t="s">
        <v>99</v>
      </c>
      <c r="T2807" t="s">
        <v>100</v>
      </c>
      <c r="U2807" t="s">
        <v>85</v>
      </c>
      <c r="V2807">
        <v>210000</v>
      </c>
      <c r="W2807">
        <v>35000</v>
      </c>
      <c r="X2807" s="1">
        <v>43799</v>
      </c>
      <c r="Y2807" t="s">
        <v>51</v>
      </c>
      <c r="Z2807" t="s">
        <v>43</v>
      </c>
      <c r="AA2807" t="s">
        <v>98</v>
      </c>
      <c r="AB2807" t="s">
        <v>89</v>
      </c>
      <c r="AC2807" t="s">
        <v>101</v>
      </c>
      <c r="AF2807" t="s">
        <v>93</v>
      </c>
      <c r="AG2807" s="1">
        <v>43843</v>
      </c>
      <c r="AH2807" t="s">
        <v>85</v>
      </c>
      <c r="AI2807" t="s">
        <v>92</v>
      </c>
      <c r="AJ2807">
        <v>19888</v>
      </c>
      <c r="AK2807">
        <v>128777</v>
      </c>
      <c r="AL2807">
        <v>198882</v>
      </c>
    </row>
    <row r="2808" spans="1:38" x14ac:dyDescent="0.25">
      <c r="A2808" t="s">
        <v>617</v>
      </c>
      <c r="B2808" t="s">
        <v>620</v>
      </c>
      <c r="C2808" t="s">
        <v>40</v>
      </c>
      <c r="D2808" s="1">
        <v>43466</v>
      </c>
      <c r="E2808" s="1">
        <v>43830</v>
      </c>
      <c r="F2808" t="s">
        <v>84</v>
      </c>
      <c r="G2808">
        <v>10</v>
      </c>
      <c r="H2808" t="s">
        <v>85</v>
      </c>
      <c r="I2808" t="s">
        <v>43</v>
      </c>
      <c r="J2808" t="s">
        <v>86</v>
      </c>
      <c r="K2808" t="s">
        <v>44</v>
      </c>
      <c r="L2808">
        <v>8560.86</v>
      </c>
      <c r="M2808" s="1">
        <v>43783</v>
      </c>
      <c r="N2808" t="s">
        <v>108</v>
      </c>
      <c r="O2808" t="s">
        <v>106</v>
      </c>
      <c r="P2808" t="s">
        <v>47</v>
      </c>
      <c r="Q2808" s="1">
        <v>43852</v>
      </c>
      <c r="R2808" t="s">
        <v>48</v>
      </c>
      <c r="S2808" t="s">
        <v>102</v>
      </c>
      <c r="T2808" t="s">
        <v>103</v>
      </c>
      <c r="U2808" t="s">
        <v>85</v>
      </c>
      <c r="V2808">
        <v>5000000</v>
      </c>
      <c r="W2808">
        <v>250000</v>
      </c>
      <c r="X2808" s="1">
        <v>43799</v>
      </c>
      <c r="Y2808" t="s">
        <v>51</v>
      </c>
      <c r="Z2808" t="s">
        <v>43</v>
      </c>
      <c r="AA2808" t="s">
        <v>86</v>
      </c>
      <c r="AB2808" t="s">
        <v>89</v>
      </c>
      <c r="AC2808" t="s">
        <v>90</v>
      </c>
      <c r="AF2808" t="s">
        <v>91</v>
      </c>
      <c r="AG2808" s="1">
        <v>43852</v>
      </c>
      <c r="AH2808" t="s">
        <v>85</v>
      </c>
      <c r="AI2808" t="s">
        <v>92</v>
      </c>
      <c r="AJ2808">
        <v>19888</v>
      </c>
      <c r="AK2808">
        <v>128777</v>
      </c>
      <c r="AL2808">
        <v>198882</v>
      </c>
    </row>
    <row r="2809" spans="1:38" x14ac:dyDescent="0.25">
      <c r="A2809" t="s">
        <v>617</v>
      </c>
      <c r="B2809" t="s">
        <v>620</v>
      </c>
      <c r="C2809" t="s">
        <v>40</v>
      </c>
      <c r="D2809" s="1">
        <v>43466</v>
      </c>
      <c r="E2809" s="1">
        <v>43830</v>
      </c>
      <c r="F2809" t="s">
        <v>84</v>
      </c>
      <c r="G2809">
        <v>10</v>
      </c>
      <c r="H2809" t="s">
        <v>85</v>
      </c>
      <c r="I2809" t="s">
        <v>43</v>
      </c>
      <c r="J2809" t="s">
        <v>86</v>
      </c>
      <c r="K2809" t="s">
        <v>44</v>
      </c>
      <c r="L2809">
        <v>8560.86</v>
      </c>
      <c r="M2809" s="1">
        <v>43783</v>
      </c>
      <c r="N2809" t="s">
        <v>108</v>
      </c>
      <c r="O2809" t="s">
        <v>106</v>
      </c>
      <c r="P2809" t="s">
        <v>47</v>
      </c>
      <c r="Q2809" s="1">
        <v>43852</v>
      </c>
      <c r="R2809" t="s">
        <v>48</v>
      </c>
      <c r="S2809" t="s">
        <v>102</v>
      </c>
      <c r="T2809" t="s">
        <v>103</v>
      </c>
      <c r="U2809" t="s">
        <v>85</v>
      </c>
      <c r="V2809">
        <v>5000000</v>
      </c>
      <c r="W2809">
        <v>250000</v>
      </c>
      <c r="X2809" s="1">
        <v>43799</v>
      </c>
      <c r="Y2809" t="s">
        <v>51</v>
      </c>
      <c r="Z2809" t="s">
        <v>43</v>
      </c>
      <c r="AA2809" t="s">
        <v>86</v>
      </c>
      <c r="AB2809" t="s">
        <v>89</v>
      </c>
      <c r="AC2809" t="s">
        <v>90</v>
      </c>
      <c r="AF2809" t="s">
        <v>93</v>
      </c>
      <c r="AG2809" s="1">
        <v>43843</v>
      </c>
      <c r="AH2809" t="s">
        <v>85</v>
      </c>
      <c r="AI2809" t="s">
        <v>92</v>
      </c>
      <c r="AJ2809">
        <v>19888</v>
      </c>
      <c r="AK2809">
        <v>128777</v>
      </c>
      <c r="AL2809">
        <v>198882</v>
      </c>
    </row>
    <row r="2810" spans="1:38" x14ac:dyDescent="0.25">
      <c r="A2810" t="s">
        <v>617</v>
      </c>
      <c r="B2810" t="s">
        <v>620</v>
      </c>
      <c r="C2810" t="s">
        <v>40</v>
      </c>
      <c r="D2810" s="1">
        <v>43466</v>
      </c>
      <c r="E2810" s="1">
        <v>43830</v>
      </c>
      <c r="F2810" t="s">
        <v>84</v>
      </c>
      <c r="G2810">
        <v>10</v>
      </c>
      <c r="H2810" t="s">
        <v>85</v>
      </c>
      <c r="I2810" t="s">
        <v>43</v>
      </c>
      <c r="J2810" t="s">
        <v>86</v>
      </c>
      <c r="K2810" t="s">
        <v>44</v>
      </c>
      <c r="L2810">
        <v>1288.6600000000001</v>
      </c>
      <c r="M2810" s="1">
        <v>43802</v>
      </c>
      <c r="N2810" t="s">
        <v>108</v>
      </c>
      <c r="O2810" t="s">
        <v>106</v>
      </c>
      <c r="P2810" t="s">
        <v>47</v>
      </c>
      <c r="Q2810" s="1">
        <v>43852</v>
      </c>
      <c r="R2810" t="s">
        <v>48</v>
      </c>
      <c r="S2810" t="s">
        <v>87</v>
      </c>
      <c r="T2810" t="s">
        <v>88</v>
      </c>
      <c r="U2810" t="s">
        <v>85</v>
      </c>
      <c r="V2810">
        <v>1400000</v>
      </c>
      <c r="W2810">
        <v>100000</v>
      </c>
      <c r="X2810" s="1">
        <v>43808</v>
      </c>
      <c r="Y2810" t="s">
        <v>51</v>
      </c>
      <c r="Z2810" t="s">
        <v>43</v>
      </c>
      <c r="AA2810" t="s">
        <v>86</v>
      </c>
      <c r="AB2810" t="s">
        <v>89</v>
      </c>
      <c r="AC2810" t="s">
        <v>90</v>
      </c>
      <c r="AF2810" t="s">
        <v>91</v>
      </c>
      <c r="AG2810" s="1">
        <v>43852</v>
      </c>
      <c r="AH2810" t="s">
        <v>85</v>
      </c>
      <c r="AI2810" t="s">
        <v>92</v>
      </c>
      <c r="AJ2810">
        <v>19888</v>
      </c>
      <c r="AK2810">
        <v>128777</v>
      </c>
      <c r="AL2810">
        <v>198882</v>
      </c>
    </row>
    <row r="2811" spans="1:38" x14ac:dyDescent="0.25">
      <c r="A2811" t="s">
        <v>617</v>
      </c>
      <c r="B2811" t="s">
        <v>620</v>
      </c>
      <c r="C2811" t="s">
        <v>40</v>
      </c>
      <c r="D2811" s="1">
        <v>43466</v>
      </c>
      <c r="E2811" s="1">
        <v>43830</v>
      </c>
      <c r="F2811" t="s">
        <v>84</v>
      </c>
      <c r="G2811">
        <v>10</v>
      </c>
      <c r="H2811" t="s">
        <v>85</v>
      </c>
      <c r="I2811" t="s">
        <v>43</v>
      </c>
      <c r="J2811" t="s">
        <v>86</v>
      </c>
      <c r="K2811" t="s">
        <v>44</v>
      </c>
      <c r="L2811">
        <v>1288.6600000000001</v>
      </c>
      <c r="M2811" s="1">
        <v>43802</v>
      </c>
      <c r="N2811" t="s">
        <v>108</v>
      </c>
      <c r="O2811" t="s">
        <v>106</v>
      </c>
      <c r="P2811" t="s">
        <v>47</v>
      </c>
      <c r="Q2811" s="1">
        <v>43852</v>
      </c>
      <c r="R2811" t="s">
        <v>48</v>
      </c>
      <c r="S2811" t="s">
        <v>87</v>
      </c>
      <c r="T2811" t="s">
        <v>88</v>
      </c>
      <c r="U2811" t="s">
        <v>85</v>
      </c>
      <c r="V2811">
        <v>1400000</v>
      </c>
      <c r="W2811">
        <v>100000</v>
      </c>
      <c r="X2811" s="1">
        <v>43808</v>
      </c>
      <c r="Y2811" t="s">
        <v>51</v>
      </c>
      <c r="Z2811" t="s">
        <v>43</v>
      </c>
      <c r="AA2811" t="s">
        <v>86</v>
      </c>
      <c r="AB2811" t="s">
        <v>89</v>
      </c>
      <c r="AC2811" t="s">
        <v>90</v>
      </c>
      <c r="AF2811" t="s">
        <v>93</v>
      </c>
      <c r="AG2811" s="1">
        <v>43843</v>
      </c>
      <c r="AH2811" t="s">
        <v>85</v>
      </c>
      <c r="AI2811" t="s">
        <v>92</v>
      </c>
      <c r="AJ2811">
        <v>19888</v>
      </c>
      <c r="AK2811">
        <v>128777</v>
      </c>
      <c r="AL2811">
        <v>198882</v>
      </c>
    </row>
    <row r="2812" spans="1:38" x14ac:dyDescent="0.25">
      <c r="A2812" t="s">
        <v>617</v>
      </c>
      <c r="B2812" t="s">
        <v>620</v>
      </c>
      <c r="C2812" t="s">
        <v>40</v>
      </c>
      <c r="D2812" s="1">
        <v>43466</v>
      </c>
      <c r="E2812" s="1">
        <v>43830</v>
      </c>
      <c r="F2812" t="s">
        <v>84</v>
      </c>
      <c r="G2812">
        <v>10</v>
      </c>
      <c r="H2812" t="s">
        <v>85</v>
      </c>
      <c r="I2812" t="s">
        <v>43</v>
      </c>
      <c r="J2812" t="s">
        <v>86</v>
      </c>
      <c r="K2812" t="s">
        <v>44</v>
      </c>
      <c r="L2812">
        <v>1288.6600000000001</v>
      </c>
      <c r="M2812" s="1">
        <v>43802</v>
      </c>
      <c r="N2812" t="s">
        <v>108</v>
      </c>
      <c r="O2812" t="s">
        <v>106</v>
      </c>
      <c r="P2812" t="s">
        <v>47</v>
      </c>
      <c r="Q2812" s="1">
        <v>43852</v>
      </c>
      <c r="R2812" t="s">
        <v>48</v>
      </c>
      <c r="S2812" t="s">
        <v>94</v>
      </c>
      <c r="T2812" t="s">
        <v>95</v>
      </c>
      <c r="U2812" t="s">
        <v>85</v>
      </c>
      <c r="V2812">
        <v>4500000</v>
      </c>
      <c r="W2812">
        <v>300000</v>
      </c>
      <c r="X2812" s="1">
        <v>43767</v>
      </c>
      <c r="Y2812" t="s">
        <v>51</v>
      </c>
      <c r="Z2812" t="s">
        <v>43</v>
      </c>
      <c r="AA2812" t="s">
        <v>86</v>
      </c>
      <c r="AB2812" t="s">
        <v>89</v>
      </c>
      <c r="AC2812" t="s">
        <v>90</v>
      </c>
      <c r="AF2812" t="s">
        <v>91</v>
      </c>
      <c r="AG2812" s="1">
        <v>43852</v>
      </c>
      <c r="AH2812" t="s">
        <v>85</v>
      </c>
      <c r="AI2812" t="s">
        <v>92</v>
      </c>
      <c r="AJ2812">
        <v>19888</v>
      </c>
      <c r="AK2812">
        <v>128777</v>
      </c>
      <c r="AL2812">
        <v>198882</v>
      </c>
    </row>
    <row r="2813" spans="1:38" x14ac:dyDescent="0.25">
      <c r="A2813" t="s">
        <v>617</v>
      </c>
      <c r="B2813" t="s">
        <v>620</v>
      </c>
      <c r="C2813" t="s">
        <v>40</v>
      </c>
      <c r="D2813" s="1">
        <v>43466</v>
      </c>
      <c r="E2813" s="1">
        <v>43830</v>
      </c>
      <c r="F2813" t="s">
        <v>84</v>
      </c>
      <c r="G2813">
        <v>10</v>
      </c>
      <c r="H2813" t="s">
        <v>85</v>
      </c>
      <c r="I2813" t="s">
        <v>43</v>
      </c>
      <c r="J2813" t="s">
        <v>86</v>
      </c>
      <c r="K2813" t="s">
        <v>44</v>
      </c>
      <c r="L2813">
        <v>1288.6600000000001</v>
      </c>
      <c r="M2813" s="1">
        <v>43802</v>
      </c>
      <c r="N2813" t="s">
        <v>108</v>
      </c>
      <c r="O2813" t="s">
        <v>106</v>
      </c>
      <c r="P2813" t="s">
        <v>47</v>
      </c>
      <c r="Q2813" s="1">
        <v>43852</v>
      </c>
      <c r="R2813" t="s">
        <v>48</v>
      </c>
      <c r="S2813" t="s">
        <v>94</v>
      </c>
      <c r="T2813" t="s">
        <v>95</v>
      </c>
      <c r="U2813" t="s">
        <v>85</v>
      </c>
      <c r="V2813">
        <v>4500000</v>
      </c>
      <c r="W2813">
        <v>300000</v>
      </c>
      <c r="X2813" s="1">
        <v>43767</v>
      </c>
      <c r="Y2813" t="s">
        <v>51</v>
      </c>
      <c r="Z2813" t="s">
        <v>43</v>
      </c>
      <c r="AA2813" t="s">
        <v>86</v>
      </c>
      <c r="AB2813" t="s">
        <v>89</v>
      </c>
      <c r="AC2813" t="s">
        <v>90</v>
      </c>
      <c r="AF2813" t="s">
        <v>93</v>
      </c>
      <c r="AG2813" s="1">
        <v>43843</v>
      </c>
      <c r="AH2813" t="s">
        <v>85</v>
      </c>
      <c r="AI2813" t="s">
        <v>92</v>
      </c>
      <c r="AJ2813">
        <v>19888</v>
      </c>
      <c r="AK2813">
        <v>128777</v>
      </c>
      <c r="AL2813">
        <v>198882</v>
      </c>
    </row>
    <row r="2814" spans="1:38" x14ac:dyDescent="0.25">
      <c r="A2814" t="s">
        <v>617</v>
      </c>
      <c r="B2814" t="s">
        <v>620</v>
      </c>
      <c r="C2814" t="s">
        <v>40</v>
      </c>
      <c r="D2814" s="1">
        <v>43466</v>
      </c>
      <c r="E2814" s="1">
        <v>43830</v>
      </c>
      <c r="F2814" t="s">
        <v>84</v>
      </c>
      <c r="G2814">
        <v>10</v>
      </c>
      <c r="H2814" t="s">
        <v>85</v>
      </c>
      <c r="I2814" t="s">
        <v>43</v>
      </c>
      <c r="J2814" t="s">
        <v>86</v>
      </c>
      <c r="K2814" t="s">
        <v>44</v>
      </c>
      <c r="L2814">
        <v>1288.6600000000001</v>
      </c>
      <c r="M2814" s="1">
        <v>43802</v>
      </c>
      <c r="N2814" t="s">
        <v>108</v>
      </c>
      <c r="O2814" t="s">
        <v>106</v>
      </c>
      <c r="P2814" t="s">
        <v>47</v>
      </c>
      <c r="Q2814" s="1">
        <v>43852</v>
      </c>
      <c r="R2814" t="s">
        <v>48</v>
      </c>
      <c r="S2814" t="s">
        <v>96</v>
      </c>
      <c r="T2814" t="s">
        <v>97</v>
      </c>
      <c r="U2814" t="s">
        <v>85</v>
      </c>
      <c r="V2814">
        <v>600000</v>
      </c>
      <c r="W2814">
        <v>100000</v>
      </c>
      <c r="X2814" s="1">
        <v>43799</v>
      </c>
      <c r="Y2814" t="s">
        <v>51</v>
      </c>
      <c r="Z2814" t="s">
        <v>43</v>
      </c>
      <c r="AA2814" t="s">
        <v>98</v>
      </c>
      <c r="AB2814" t="s">
        <v>89</v>
      </c>
      <c r="AC2814" t="s">
        <v>90</v>
      </c>
      <c r="AF2814" t="s">
        <v>91</v>
      </c>
      <c r="AG2814" s="1">
        <v>43852</v>
      </c>
      <c r="AH2814" t="s">
        <v>85</v>
      </c>
      <c r="AI2814" t="s">
        <v>92</v>
      </c>
      <c r="AJ2814">
        <v>19888</v>
      </c>
      <c r="AK2814">
        <v>128777</v>
      </c>
      <c r="AL2814">
        <v>198882</v>
      </c>
    </row>
    <row r="2815" spans="1:38" x14ac:dyDescent="0.25">
      <c r="A2815" t="s">
        <v>617</v>
      </c>
      <c r="B2815" t="s">
        <v>620</v>
      </c>
      <c r="C2815" t="s">
        <v>40</v>
      </c>
      <c r="D2815" s="1">
        <v>43466</v>
      </c>
      <c r="E2815" s="1">
        <v>43830</v>
      </c>
      <c r="F2815" t="s">
        <v>84</v>
      </c>
      <c r="G2815">
        <v>10</v>
      </c>
      <c r="H2815" t="s">
        <v>85</v>
      </c>
      <c r="I2815" t="s">
        <v>43</v>
      </c>
      <c r="J2815" t="s">
        <v>86</v>
      </c>
      <c r="K2815" t="s">
        <v>44</v>
      </c>
      <c r="L2815">
        <v>1288.6600000000001</v>
      </c>
      <c r="M2815" s="1">
        <v>43802</v>
      </c>
      <c r="N2815" t="s">
        <v>108</v>
      </c>
      <c r="O2815" t="s">
        <v>106</v>
      </c>
      <c r="P2815" t="s">
        <v>47</v>
      </c>
      <c r="Q2815" s="1">
        <v>43852</v>
      </c>
      <c r="R2815" t="s">
        <v>48</v>
      </c>
      <c r="S2815" t="s">
        <v>96</v>
      </c>
      <c r="T2815" t="s">
        <v>97</v>
      </c>
      <c r="U2815" t="s">
        <v>85</v>
      </c>
      <c r="V2815">
        <v>600000</v>
      </c>
      <c r="W2815">
        <v>100000</v>
      </c>
      <c r="X2815" s="1">
        <v>43799</v>
      </c>
      <c r="Y2815" t="s">
        <v>51</v>
      </c>
      <c r="Z2815" t="s">
        <v>43</v>
      </c>
      <c r="AA2815" t="s">
        <v>98</v>
      </c>
      <c r="AB2815" t="s">
        <v>89</v>
      </c>
      <c r="AC2815" t="s">
        <v>90</v>
      </c>
      <c r="AF2815" t="s">
        <v>93</v>
      </c>
      <c r="AG2815" s="1">
        <v>43843</v>
      </c>
      <c r="AH2815" t="s">
        <v>85</v>
      </c>
      <c r="AI2815" t="s">
        <v>92</v>
      </c>
      <c r="AJ2815">
        <v>19888</v>
      </c>
      <c r="AK2815">
        <v>128777</v>
      </c>
      <c r="AL2815">
        <v>198882</v>
      </c>
    </row>
    <row r="2816" spans="1:38" x14ac:dyDescent="0.25">
      <c r="A2816" t="s">
        <v>617</v>
      </c>
      <c r="B2816" t="s">
        <v>620</v>
      </c>
      <c r="C2816" t="s">
        <v>40</v>
      </c>
      <c r="D2816" s="1">
        <v>43466</v>
      </c>
      <c r="E2816" s="1">
        <v>43830</v>
      </c>
      <c r="F2816" t="s">
        <v>84</v>
      </c>
      <c r="G2816">
        <v>10</v>
      </c>
      <c r="H2816" t="s">
        <v>85</v>
      </c>
      <c r="I2816" t="s">
        <v>43</v>
      </c>
      <c r="J2816" t="s">
        <v>86</v>
      </c>
      <c r="K2816" t="s">
        <v>44</v>
      </c>
      <c r="L2816">
        <v>1288.6600000000001</v>
      </c>
      <c r="M2816" s="1">
        <v>43802</v>
      </c>
      <c r="N2816" t="s">
        <v>108</v>
      </c>
      <c r="O2816" t="s">
        <v>106</v>
      </c>
      <c r="P2816" t="s">
        <v>47</v>
      </c>
      <c r="Q2816" s="1">
        <v>43852</v>
      </c>
      <c r="R2816" t="s">
        <v>48</v>
      </c>
      <c r="S2816" t="s">
        <v>99</v>
      </c>
      <c r="T2816" t="s">
        <v>100</v>
      </c>
      <c r="U2816" t="s">
        <v>85</v>
      </c>
      <c r="V2816">
        <v>210000</v>
      </c>
      <c r="W2816">
        <v>35000</v>
      </c>
      <c r="X2816" s="1">
        <v>43799</v>
      </c>
      <c r="Y2816" t="s">
        <v>51</v>
      </c>
      <c r="Z2816" t="s">
        <v>43</v>
      </c>
      <c r="AA2816" t="s">
        <v>98</v>
      </c>
      <c r="AB2816" t="s">
        <v>89</v>
      </c>
      <c r="AC2816" t="s">
        <v>101</v>
      </c>
      <c r="AF2816" t="s">
        <v>91</v>
      </c>
      <c r="AG2816" s="1">
        <v>43852</v>
      </c>
      <c r="AH2816" t="s">
        <v>85</v>
      </c>
      <c r="AI2816" t="s">
        <v>92</v>
      </c>
      <c r="AJ2816">
        <v>19888</v>
      </c>
      <c r="AK2816">
        <v>128777</v>
      </c>
      <c r="AL2816">
        <v>198882</v>
      </c>
    </row>
    <row r="2817" spans="1:38" x14ac:dyDescent="0.25">
      <c r="A2817" t="s">
        <v>617</v>
      </c>
      <c r="B2817" t="s">
        <v>620</v>
      </c>
      <c r="C2817" t="s">
        <v>40</v>
      </c>
      <c r="D2817" s="1">
        <v>43466</v>
      </c>
      <c r="E2817" s="1">
        <v>43830</v>
      </c>
      <c r="F2817" t="s">
        <v>84</v>
      </c>
      <c r="G2817">
        <v>10</v>
      </c>
      <c r="H2817" t="s">
        <v>85</v>
      </c>
      <c r="I2817" t="s">
        <v>43</v>
      </c>
      <c r="J2817" t="s">
        <v>86</v>
      </c>
      <c r="K2817" t="s">
        <v>44</v>
      </c>
      <c r="L2817">
        <v>1288.6600000000001</v>
      </c>
      <c r="M2817" s="1">
        <v>43802</v>
      </c>
      <c r="N2817" t="s">
        <v>108</v>
      </c>
      <c r="O2817" t="s">
        <v>106</v>
      </c>
      <c r="P2817" t="s">
        <v>47</v>
      </c>
      <c r="Q2817" s="1">
        <v>43852</v>
      </c>
      <c r="R2817" t="s">
        <v>48</v>
      </c>
      <c r="S2817" t="s">
        <v>99</v>
      </c>
      <c r="T2817" t="s">
        <v>100</v>
      </c>
      <c r="U2817" t="s">
        <v>85</v>
      </c>
      <c r="V2817">
        <v>210000</v>
      </c>
      <c r="W2817">
        <v>35000</v>
      </c>
      <c r="X2817" s="1">
        <v>43799</v>
      </c>
      <c r="Y2817" t="s">
        <v>51</v>
      </c>
      <c r="Z2817" t="s">
        <v>43</v>
      </c>
      <c r="AA2817" t="s">
        <v>98</v>
      </c>
      <c r="AB2817" t="s">
        <v>89</v>
      </c>
      <c r="AC2817" t="s">
        <v>101</v>
      </c>
      <c r="AF2817" t="s">
        <v>93</v>
      </c>
      <c r="AG2817" s="1">
        <v>43843</v>
      </c>
      <c r="AH2817" t="s">
        <v>85</v>
      </c>
      <c r="AI2817" t="s">
        <v>92</v>
      </c>
      <c r="AJ2817">
        <v>19888</v>
      </c>
      <c r="AK2817">
        <v>128777</v>
      </c>
      <c r="AL2817">
        <v>198882</v>
      </c>
    </row>
    <row r="2818" spans="1:38" x14ac:dyDescent="0.25">
      <c r="A2818" t="s">
        <v>617</v>
      </c>
      <c r="B2818" t="s">
        <v>620</v>
      </c>
      <c r="C2818" t="s">
        <v>40</v>
      </c>
      <c r="D2818" s="1">
        <v>43466</v>
      </c>
      <c r="E2818" s="1">
        <v>43830</v>
      </c>
      <c r="F2818" t="s">
        <v>84</v>
      </c>
      <c r="G2818">
        <v>10</v>
      </c>
      <c r="H2818" t="s">
        <v>85</v>
      </c>
      <c r="I2818" t="s">
        <v>43</v>
      </c>
      <c r="J2818" t="s">
        <v>86</v>
      </c>
      <c r="K2818" t="s">
        <v>44</v>
      </c>
      <c r="L2818">
        <v>1288.6600000000001</v>
      </c>
      <c r="M2818" s="1">
        <v>43802</v>
      </c>
      <c r="N2818" t="s">
        <v>108</v>
      </c>
      <c r="O2818" t="s">
        <v>106</v>
      </c>
      <c r="P2818" t="s">
        <v>47</v>
      </c>
      <c r="Q2818" s="1">
        <v>43852</v>
      </c>
      <c r="R2818" t="s">
        <v>48</v>
      </c>
      <c r="S2818" t="s">
        <v>102</v>
      </c>
      <c r="T2818" t="s">
        <v>103</v>
      </c>
      <c r="U2818" t="s">
        <v>85</v>
      </c>
      <c r="V2818">
        <v>5000000</v>
      </c>
      <c r="W2818">
        <v>250000</v>
      </c>
      <c r="X2818" s="1">
        <v>43799</v>
      </c>
      <c r="Y2818" t="s">
        <v>51</v>
      </c>
      <c r="Z2818" t="s">
        <v>43</v>
      </c>
      <c r="AA2818" t="s">
        <v>86</v>
      </c>
      <c r="AB2818" t="s">
        <v>89</v>
      </c>
      <c r="AC2818" t="s">
        <v>90</v>
      </c>
      <c r="AF2818" t="s">
        <v>91</v>
      </c>
      <c r="AG2818" s="1">
        <v>43852</v>
      </c>
      <c r="AH2818" t="s">
        <v>85</v>
      </c>
      <c r="AI2818" t="s">
        <v>92</v>
      </c>
      <c r="AJ2818">
        <v>19888</v>
      </c>
      <c r="AK2818">
        <v>128777</v>
      </c>
      <c r="AL2818">
        <v>198882</v>
      </c>
    </row>
    <row r="2819" spans="1:38" x14ac:dyDescent="0.25">
      <c r="A2819" t="s">
        <v>617</v>
      </c>
      <c r="B2819" t="s">
        <v>620</v>
      </c>
      <c r="C2819" t="s">
        <v>40</v>
      </c>
      <c r="D2819" s="1">
        <v>43466</v>
      </c>
      <c r="E2819" s="1">
        <v>43830</v>
      </c>
      <c r="F2819" t="s">
        <v>84</v>
      </c>
      <c r="G2819">
        <v>10</v>
      </c>
      <c r="H2819" t="s">
        <v>85</v>
      </c>
      <c r="I2819" t="s">
        <v>43</v>
      </c>
      <c r="J2819" t="s">
        <v>86</v>
      </c>
      <c r="K2819" t="s">
        <v>44</v>
      </c>
      <c r="L2819">
        <v>1288.6600000000001</v>
      </c>
      <c r="M2819" s="1">
        <v>43802</v>
      </c>
      <c r="N2819" t="s">
        <v>108</v>
      </c>
      <c r="O2819" t="s">
        <v>106</v>
      </c>
      <c r="P2819" t="s">
        <v>47</v>
      </c>
      <c r="Q2819" s="1">
        <v>43852</v>
      </c>
      <c r="R2819" t="s">
        <v>48</v>
      </c>
      <c r="S2819" t="s">
        <v>102</v>
      </c>
      <c r="T2819" t="s">
        <v>103</v>
      </c>
      <c r="U2819" t="s">
        <v>85</v>
      </c>
      <c r="V2819">
        <v>5000000</v>
      </c>
      <c r="W2819">
        <v>250000</v>
      </c>
      <c r="X2819" s="1">
        <v>43799</v>
      </c>
      <c r="Y2819" t="s">
        <v>51</v>
      </c>
      <c r="Z2819" t="s">
        <v>43</v>
      </c>
      <c r="AA2819" t="s">
        <v>86</v>
      </c>
      <c r="AB2819" t="s">
        <v>89</v>
      </c>
      <c r="AC2819" t="s">
        <v>90</v>
      </c>
      <c r="AF2819" t="s">
        <v>93</v>
      </c>
      <c r="AG2819" s="1">
        <v>43843</v>
      </c>
      <c r="AH2819" t="s">
        <v>85</v>
      </c>
      <c r="AI2819" t="s">
        <v>92</v>
      </c>
      <c r="AJ2819">
        <v>19888</v>
      </c>
      <c r="AK2819">
        <v>128777</v>
      </c>
      <c r="AL2819">
        <v>198882</v>
      </c>
    </row>
    <row r="2820" spans="1:38" x14ac:dyDescent="0.25">
      <c r="A2820" t="s">
        <v>617</v>
      </c>
      <c r="B2820" t="s">
        <v>620</v>
      </c>
      <c r="C2820" t="s">
        <v>40</v>
      </c>
      <c r="D2820" s="1">
        <v>43466</v>
      </c>
      <c r="E2820" s="1">
        <v>43830</v>
      </c>
      <c r="F2820" t="s">
        <v>84</v>
      </c>
      <c r="G2820">
        <v>10</v>
      </c>
      <c r="H2820" t="s">
        <v>85</v>
      </c>
      <c r="I2820" t="s">
        <v>43</v>
      </c>
      <c r="J2820" t="s">
        <v>86</v>
      </c>
      <c r="K2820" t="s">
        <v>44</v>
      </c>
      <c r="L2820">
        <v>1208.3800000000001</v>
      </c>
      <c r="M2820" s="1">
        <v>43818</v>
      </c>
      <c r="N2820" t="s">
        <v>108</v>
      </c>
      <c r="O2820" t="s">
        <v>106</v>
      </c>
      <c r="P2820" t="s">
        <v>47</v>
      </c>
      <c r="Q2820" s="1">
        <v>43852</v>
      </c>
      <c r="R2820" t="s">
        <v>48</v>
      </c>
      <c r="S2820" t="s">
        <v>87</v>
      </c>
      <c r="T2820" t="s">
        <v>88</v>
      </c>
      <c r="U2820" t="s">
        <v>85</v>
      </c>
      <c r="V2820">
        <v>1400000</v>
      </c>
      <c r="W2820">
        <v>100000</v>
      </c>
      <c r="X2820" s="1">
        <v>43808</v>
      </c>
      <c r="Y2820" t="s">
        <v>51</v>
      </c>
      <c r="Z2820" t="s">
        <v>43</v>
      </c>
      <c r="AA2820" t="s">
        <v>86</v>
      </c>
      <c r="AB2820" t="s">
        <v>89</v>
      </c>
      <c r="AC2820" t="s">
        <v>90</v>
      </c>
      <c r="AF2820" t="s">
        <v>91</v>
      </c>
      <c r="AG2820" s="1">
        <v>43852</v>
      </c>
      <c r="AH2820" t="s">
        <v>85</v>
      </c>
      <c r="AI2820" t="s">
        <v>92</v>
      </c>
      <c r="AJ2820">
        <v>19888</v>
      </c>
      <c r="AK2820">
        <v>128777</v>
      </c>
      <c r="AL2820">
        <v>198882</v>
      </c>
    </row>
    <row r="2821" spans="1:38" x14ac:dyDescent="0.25">
      <c r="A2821" t="s">
        <v>617</v>
      </c>
      <c r="B2821" t="s">
        <v>620</v>
      </c>
      <c r="C2821" t="s">
        <v>40</v>
      </c>
      <c r="D2821" s="1">
        <v>43466</v>
      </c>
      <c r="E2821" s="1">
        <v>43830</v>
      </c>
      <c r="F2821" t="s">
        <v>84</v>
      </c>
      <c r="G2821">
        <v>10</v>
      </c>
      <c r="H2821" t="s">
        <v>85</v>
      </c>
      <c r="I2821" t="s">
        <v>43</v>
      </c>
      <c r="J2821" t="s">
        <v>86</v>
      </c>
      <c r="K2821" t="s">
        <v>44</v>
      </c>
      <c r="L2821">
        <v>1208.3800000000001</v>
      </c>
      <c r="M2821" s="1">
        <v>43818</v>
      </c>
      <c r="N2821" t="s">
        <v>108</v>
      </c>
      <c r="O2821" t="s">
        <v>106</v>
      </c>
      <c r="P2821" t="s">
        <v>47</v>
      </c>
      <c r="Q2821" s="1">
        <v>43852</v>
      </c>
      <c r="R2821" t="s">
        <v>48</v>
      </c>
      <c r="S2821" t="s">
        <v>87</v>
      </c>
      <c r="T2821" t="s">
        <v>88</v>
      </c>
      <c r="U2821" t="s">
        <v>85</v>
      </c>
      <c r="V2821">
        <v>1400000</v>
      </c>
      <c r="W2821">
        <v>100000</v>
      </c>
      <c r="X2821" s="1">
        <v>43808</v>
      </c>
      <c r="Y2821" t="s">
        <v>51</v>
      </c>
      <c r="Z2821" t="s">
        <v>43</v>
      </c>
      <c r="AA2821" t="s">
        <v>86</v>
      </c>
      <c r="AB2821" t="s">
        <v>89</v>
      </c>
      <c r="AC2821" t="s">
        <v>90</v>
      </c>
      <c r="AF2821" t="s">
        <v>93</v>
      </c>
      <c r="AG2821" s="1">
        <v>43843</v>
      </c>
      <c r="AH2821" t="s">
        <v>85</v>
      </c>
      <c r="AI2821" t="s">
        <v>92</v>
      </c>
      <c r="AJ2821">
        <v>19888</v>
      </c>
      <c r="AK2821">
        <v>128777</v>
      </c>
      <c r="AL2821">
        <v>198882</v>
      </c>
    </row>
    <row r="2822" spans="1:38" x14ac:dyDescent="0.25">
      <c r="A2822" t="s">
        <v>617</v>
      </c>
      <c r="B2822" t="s">
        <v>620</v>
      </c>
      <c r="C2822" t="s">
        <v>40</v>
      </c>
      <c r="D2822" s="1">
        <v>43466</v>
      </c>
      <c r="E2822" s="1">
        <v>43830</v>
      </c>
      <c r="F2822" t="s">
        <v>84</v>
      </c>
      <c r="G2822">
        <v>10</v>
      </c>
      <c r="H2822" t="s">
        <v>85</v>
      </c>
      <c r="I2822" t="s">
        <v>43</v>
      </c>
      <c r="J2822" t="s">
        <v>86</v>
      </c>
      <c r="K2822" t="s">
        <v>44</v>
      </c>
      <c r="L2822">
        <v>1208.3800000000001</v>
      </c>
      <c r="M2822" s="1">
        <v>43818</v>
      </c>
      <c r="N2822" t="s">
        <v>108</v>
      </c>
      <c r="O2822" t="s">
        <v>106</v>
      </c>
      <c r="P2822" t="s">
        <v>47</v>
      </c>
      <c r="Q2822" s="1">
        <v>43852</v>
      </c>
      <c r="R2822" t="s">
        <v>48</v>
      </c>
      <c r="S2822" t="s">
        <v>94</v>
      </c>
      <c r="T2822" t="s">
        <v>95</v>
      </c>
      <c r="U2822" t="s">
        <v>85</v>
      </c>
      <c r="V2822">
        <v>4500000</v>
      </c>
      <c r="W2822">
        <v>300000</v>
      </c>
      <c r="X2822" s="1">
        <v>43767</v>
      </c>
      <c r="Y2822" t="s">
        <v>51</v>
      </c>
      <c r="Z2822" t="s">
        <v>43</v>
      </c>
      <c r="AA2822" t="s">
        <v>86</v>
      </c>
      <c r="AB2822" t="s">
        <v>89</v>
      </c>
      <c r="AC2822" t="s">
        <v>90</v>
      </c>
      <c r="AF2822" t="s">
        <v>91</v>
      </c>
      <c r="AG2822" s="1">
        <v>43852</v>
      </c>
      <c r="AH2822" t="s">
        <v>85</v>
      </c>
      <c r="AI2822" t="s">
        <v>92</v>
      </c>
      <c r="AJ2822">
        <v>19888</v>
      </c>
      <c r="AK2822">
        <v>128777</v>
      </c>
      <c r="AL2822">
        <v>198882</v>
      </c>
    </row>
    <row r="2823" spans="1:38" x14ac:dyDescent="0.25">
      <c r="A2823" t="s">
        <v>617</v>
      </c>
      <c r="B2823" t="s">
        <v>620</v>
      </c>
      <c r="C2823" t="s">
        <v>40</v>
      </c>
      <c r="D2823" s="1">
        <v>43466</v>
      </c>
      <c r="E2823" s="1">
        <v>43830</v>
      </c>
      <c r="F2823" t="s">
        <v>84</v>
      </c>
      <c r="G2823">
        <v>10</v>
      </c>
      <c r="H2823" t="s">
        <v>85</v>
      </c>
      <c r="I2823" t="s">
        <v>43</v>
      </c>
      <c r="J2823" t="s">
        <v>86</v>
      </c>
      <c r="K2823" t="s">
        <v>44</v>
      </c>
      <c r="L2823">
        <v>1208.3800000000001</v>
      </c>
      <c r="M2823" s="1">
        <v>43818</v>
      </c>
      <c r="N2823" t="s">
        <v>108</v>
      </c>
      <c r="O2823" t="s">
        <v>106</v>
      </c>
      <c r="P2823" t="s">
        <v>47</v>
      </c>
      <c r="Q2823" s="1">
        <v>43852</v>
      </c>
      <c r="R2823" t="s">
        <v>48</v>
      </c>
      <c r="S2823" t="s">
        <v>94</v>
      </c>
      <c r="T2823" t="s">
        <v>95</v>
      </c>
      <c r="U2823" t="s">
        <v>85</v>
      </c>
      <c r="V2823">
        <v>4500000</v>
      </c>
      <c r="W2823">
        <v>300000</v>
      </c>
      <c r="X2823" s="1">
        <v>43767</v>
      </c>
      <c r="Y2823" t="s">
        <v>51</v>
      </c>
      <c r="Z2823" t="s">
        <v>43</v>
      </c>
      <c r="AA2823" t="s">
        <v>86</v>
      </c>
      <c r="AB2823" t="s">
        <v>89</v>
      </c>
      <c r="AC2823" t="s">
        <v>90</v>
      </c>
      <c r="AF2823" t="s">
        <v>93</v>
      </c>
      <c r="AG2823" s="1">
        <v>43843</v>
      </c>
      <c r="AH2823" t="s">
        <v>85</v>
      </c>
      <c r="AI2823" t="s">
        <v>92</v>
      </c>
      <c r="AJ2823">
        <v>19888</v>
      </c>
      <c r="AK2823">
        <v>128777</v>
      </c>
      <c r="AL2823">
        <v>198882</v>
      </c>
    </row>
    <row r="2824" spans="1:38" x14ac:dyDescent="0.25">
      <c r="A2824" t="s">
        <v>617</v>
      </c>
      <c r="B2824" t="s">
        <v>620</v>
      </c>
      <c r="C2824" t="s">
        <v>40</v>
      </c>
      <c r="D2824" s="1">
        <v>43466</v>
      </c>
      <c r="E2824" s="1">
        <v>43830</v>
      </c>
      <c r="F2824" t="s">
        <v>84</v>
      </c>
      <c r="G2824">
        <v>10</v>
      </c>
      <c r="H2824" t="s">
        <v>85</v>
      </c>
      <c r="I2824" t="s">
        <v>43</v>
      </c>
      <c r="J2824" t="s">
        <v>86</v>
      </c>
      <c r="K2824" t="s">
        <v>44</v>
      </c>
      <c r="L2824">
        <v>1208.3800000000001</v>
      </c>
      <c r="M2824" s="1">
        <v>43818</v>
      </c>
      <c r="N2824" t="s">
        <v>108</v>
      </c>
      <c r="O2824" t="s">
        <v>106</v>
      </c>
      <c r="P2824" t="s">
        <v>47</v>
      </c>
      <c r="Q2824" s="1">
        <v>43852</v>
      </c>
      <c r="R2824" t="s">
        <v>48</v>
      </c>
      <c r="S2824" t="s">
        <v>96</v>
      </c>
      <c r="T2824" t="s">
        <v>97</v>
      </c>
      <c r="U2824" t="s">
        <v>85</v>
      </c>
      <c r="V2824">
        <v>600000</v>
      </c>
      <c r="W2824">
        <v>100000</v>
      </c>
      <c r="X2824" s="1">
        <v>43799</v>
      </c>
      <c r="Y2824" t="s">
        <v>51</v>
      </c>
      <c r="Z2824" t="s">
        <v>43</v>
      </c>
      <c r="AA2824" t="s">
        <v>98</v>
      </c>
      <c r="AB2824" t="s">
        <v>89</v>
      </c>
      <c r="AC2824" t="s">
        <v>90</v>
      </c>
      <c r="AF2824" t="s">
        <v>91</v>
      </c>
      <c r="AG2824" s="1">
        <v>43852</v>
      </c>
      <c r="AH2824" t="s">
        <v>85</v>
      </c>
      <c r="AI2824" t="s">
        <v>92</v>
      </c>
      <c r="AJ2824">
        <v>19888</v>
      </c>
      <c r="AK2824">
        <v>128777</v>
      </c>
      <c r="AL2824">
        <v>198882</v>
      </c>
    </row>
    <row r="2825" spans="1:38" x14ac:dyDescent="0.25">
      <c r="A2825" t="s">
        <v>617</v>
      </c>
      <c r="B2825" t="s">
        <v>620</v>
      </c>
      <c r="C2825" t="s">
        <v>40</v>
      </c>
      <c r="D2825" s="1">
        <v>43466</v>
      </c>
      <c r="E2825" s="1">
        <v>43830</v>
      </c>
      <c r="F2825" t="s">
        <v>84</v>
      </c>
      <c r="G2825">
        <v>10</v>
      </c>
      <c r="H2825" t="s">
        <v>85</v>
      </c>
      <c r="I2825" t="s">
        <v>43</v>
      </c>
      <c r="J2825" t="s">
        <v>86</v>
      </c>
      <c r="K2825" t="s">
        <v>44</v>
      </c>
      <c r="L2825">
        <v>1208.3800000000001</v>
      </c>
      <c r="M2825" s="1">
        <v>43818</v>
      </c>
      <c r="N2825" t="s">
        <v>108</v>
      </c>
      <c r="O2825" t="s">
        <v>106</v>
      </c>
      <c r="P2825" t="s">
        <v>47</v>
      </c>
      <c r="Q2825" s="1">
        <v>43852</v>
      </c>
      <c r="R2825" t="s">
        <v>48</v>
      </c>
      <c r="S2825" t="s">
        <v>96</v>
      </c>
      <c r="T2825" t="s">
        <v>97</v>
      </c>
      <c r="U2825" t="s">
        <v>85</v>
      </c>
      <c r="V2825">
        <v>600000</v>
      </c>
      <c r="W2825">
        <v>100000</v>
      </c>
      <c r="X2825" s="1">
        <v>43799</v>
      </c>
      <c r="Y2825" t="s">
        <v>51</v>
      </c>
      <c r="Z2825" t="s">
        <v>43</v>
      </c>
      <c r="AA2825" t="s">
        <v>98</v>
      </c>
      <c r="AB2825" t="s">
        <v>89</v>
      </c>
      <c r="AC2825" t="s">
        <v>90</v>
      </c>
      <c r="AF2825" t="s">
        <v>93</v>
      </c>
      <c r="AG2825" s="1">
        <v>43843</v>
      </c>
      <c r="AH2825" t="s">
        <v>85</v>
      </c>
      <c r="AI2825" t="s">
        <v>92</v>
      </c>
      <c r="AJ2825">
        <v>19888</v>
      </c>
      <c r="AK2825">
        <v>128777</v>
      </c>
      <c r="AL2825">
        <v>198882</v>
      </c>
    </row>
    <row r="2826" spans="1:38" x14ac:dyDescent="0.25">
      <c r="A2826" t="s">
        <v>617</v>
      </c>
      <c r="B2826" t="s">
        <v>620</v>
      </c>
      <c r="C2826" t="s">
        <v>40</v>
      </c>
      <c r="D2826" s="1">
        <v>43466</v>
      </c>
      <c r="E2826" s="1">
        <v>43830</v>
      </c>
      <c r="F2826" t="s">
        <v>84</v>
      </c>
      <c r="G2826">
        <v>10</v>
      </c>
      <c r="H2826" t="s">
        <v>85</v>
      </c>
      <c r="I2826" t="s">
        <v>43</v>
      </c>
      <c r="J2826" t="s">
        <v>86</v>
      </c>
      <c r="K2826" t="s">
        <v>44</v>
      </c>
      <c r="L2826">
        <v>1208.3800000000001</v>
      </c>
      <c r="M2826" s="1">
        <v>43818</v>
      </c>
      <c r="N2826" t="s">
        <v>108</v>
      </c>
      <c r="O2826" t="s">
        <v>106</v>
      </c>
      <c r="P2826" t="s">
        <v>47</v>
      </c>
      <c r="Q2826" s="1">
        <v>43852</v>
      </c>
      <c r="R2826" t="s">
        <v>48</v>
      </c>
      <c r="S2826" t="s">
        <v>99</v>
      </c>
      <c r="T2826" t="s">
        <v>100</v>
      </c>
      <c r="U2826" t="s">
        <v>85</v>
      </c>
      <c r="V2826">
        <v>210000</v>
      </c>
      <c r="W2826">
        <v>35000</v>
      </c>
      <c r="X2826" s="1">
        <v>43799</v>
      </c>
      <c r="Y2826" t="s">
        <v>51</v>
      </c>
      <c r="Z2826" t="s">
        <v>43</v>
      </c>
      <c r="AA2826" t="s">
        <v>98</v>
      </c>
      <c r="AB2826" t="s">
        <v>89</v>
      </c>
      <c r="AC2826" t="s">
        <v>101</v>
      </c>
      <c r="AF2826" t="s">
        <v>91</v>
      </c>
      <c r="AG2826" s="1">
        <v>43852</v>
      </c>
      <c r="AH2826" t="s">
        <v>85</v>
      </c>
      <c r="AI2826" t="s">
        <v>92</v>
      </c>
      <c r="AJ2826">
        <v>19888</v>
      </c>
      <c r="AK2826">
        <v>128777</v>
      </c>
      <c r="AL2826">
        <v>198882</v>
      </c>
    </row>
    <row r="2827" spans="1:38" x14ac:dyDescent="0.25">
      <c r="A2827" t="s">
        <v>617</v>
      </c>
      <c r="B2827" t="s">
        <v>620</v>
      </c>
      <c r="C2827" t="s">
        <v>40</v>
      </c>
      <c r="D2827" s="1">
        <v>43466</v>
      </c>
      <c r="E2827" s="1">
        <v>43830</v>
      </c>
      <c r="F2827" t="s">
        <v>84</v>
      </c>
      <c r="G2827">
        <v>10</v>
      </c>
      <c r="H2827" t="s">
        <v>85</v>
      </c>
      <c r="I2827" t="s">
        <v>43</v>
      </c>
      <c r="J2827" t="s">
        <v>86</v>
      </c>
      <c r="K2827" t="s">
        <v>44</v>
      </c>
      <c r="L2827">
        <v>1208.3800000000001</v>
      </c>
      <c r="M2827" s="1">
        <v>43818</v>
      </c>
      <c r="N2827" t="s">
        <v>108</v>
      </c>
      <c r="O2827" t="s">
        <v>106</v>
      </c>
      <c r="P2827" t="s">
        <v>47</v>
      </c>
      <c r="Q2827" s="1">
        <v>43852</v>
      </c>
      <c r="R2827" t="s">
        <v>48</v>
      </c>
      <c r="S2827" t="s">
        <v>99</v>
      </c>
      <c r="T2827" t="s">
        <v>100</v>
      </c>
      <c r="U2827" t="s">
        <v>85</v>
      </c>
      <c r="V2827">
        <v>210000</v>
      </c>
      <c r="W2827">
        <v>35000</v>
      </c>
      <c r="X2827" s="1">
        <v>43799</v>
      </c>
      <c r="Y2827" t="s">
        <v>51</v>
      </c>
      <c r="Z2827" t="s">
        <v>43</v>
      </c>
      <c r="AA2827" t="s">
        <v>98</v>
      </c>
      <c r="AB2827" t="s">
        <v>89</v>
      </c>
      <c r="AC2827" t="s">
        <v>101</v>
      </c>
      <c r="AF2827" t="s">
        <v>93</v>
      </c>
      <c r="AG2827" s="1">
        <v>43843</v>
      </c>
      <c r="AH2827" t="s">
        <v>85</v>
      </c>
      <c r="AI2827" t="s">
        <v>92</v>
      </c>
      <c r="AJ2827">
        <v>19888</v>
      </c>
      <c r="AK2827">
        <v>128777</v>
      </c>
      <c r="AL2827">
        <v>198882</v>
      </c>
    </row>
    <row r="2828" spans="1:38" x14ac:dyDescent="0.25">
      <c r="A2828" t="s">
        <v>617</v>
      </c>
      <c r="B2828" t="s">
        <v>620</v>
      </c>
      <c r="C2828" t="s">
        <v>40</v>
      </c>
      <c r="D2828" s="1">
        <v>43466</v>
      </c>
      <c r="E2828" s="1">
        <v>43830</v>
      </c>
      <c r="F2828" t="s">
        <v>84</v>
      </c>
      <c r="G2828">
        <v>10</v>
      </c>
      <c r="H2828" t="s">
        <v>85</v>
      </c>
      <c r="I2828" t="s">
        <v>43</v>
      </c>
      <c r="J2828" t="s">
        <v>86</v>
      </c>
      <c r="K2828" t="s">
        <v>44</v>
      </c>
      <c r="L2828">
        <v>1208.3800000000001</v>
      </c>
      <c r="M2828" s="1">
        <v>43818</v>
      </c>
      <c r="N2828" t="s">
        <v>108</v>
      </c>
      <c r="O2828" t="s">
        <v>106</v>
      </c>
      <c r="P2828" t="s">
        <v>47</v>
      </c>
      <c r="Q2828" s="1">
        <v>43852</v>
      </c>
      <c r="R2828" t="s">
        <v>48</v>
      </c>
      <c r="S2828" t="s">
        <v>102</v>
      </c>
      <c r="T2828" t="s">
        <v>103</v>
      </c>
      <c r="U2828" t="s">
        <v>85</v>
      </c>
      <c r="V2828">
        <v>5000000</v>
      </c>
      <c r="W2828">
        <v>250000</v>
      </c>
      <c r="X2828" s="1">
        <v>43799</v>
      </c>
      <c r="Y2828" t="s">
        <v>51</v>
      </c>
      <c r="Z2828" t="s">
        <v>43</v>
      </c>
      <c r="AA2828" t="s">
        <v>86</v>
      </c>
      <c r="AB2828" t="s">
        <v>89</v>
      </c>
      <c r="AC2828" t="s">
        <v>90</v>
      </c>
      <c r="AF2828" t="s">
        <v>91</v>
      </c>
      <c r="AG2828" s="1">
        <v>43852</v>
      </c>
      <c r="AH2828" t="s">
        <v>85</v>
      </c>
      <c r="AI2828" t="s">
        <v>92</v>
      </c>
      <c r="AJ2828">
        <v>19888</v>
      </c>
      <c r="AK2828">
        <v>128777</v>
      </c>
      <c r="AL2828">
        <v>198882</v>
      </c>
    </row>
    <row r="2829" spans="1:38" x14ac:dyDescent="0.25">
      <c r="A2829" t="s">
        <v>617</v>
      </c>
      <c r="B2829" t="s">
        <v>620</v>
      </c>
      <c r="C2829" t="s">
        <v>40</v>
      </c>
      <c r="D2829" s="1">
        <v>43466</v>
      </c>
      <c r="E2829" s="1">
        <v>43830</v>
      </c>
      <c r="F2829" t="s">
        <v>84</v>
      </c>
      <c r="G2829">
        <v>10</v>
      </c>
      <c r="H2829" t="s">
        <v>85</v>
      </c>
      <c r="I2829" t="s">
        <v>43</v>
      </c>
      <c r="J2829" t="s">
        <v>86</v>
      </c>
      <c r="K2829" t="s">
        <v>44</v>
      </c>
      <c r="L2829">
        <v>1208.3800000000001</v>
      </c>
      <c r="M2829" s="1">
        <v>43818</v>
      </c>
      <c r="N2829" t="s">
        <v>108</v>
      </c>
      <c r="O2829" t="s">
        <v>106</v>
      </c>
      <c r="P2829" t="s">
        <v>47</v>
      </c>
      <c r="Q2829" s="1">
        <v>43852</v>
      </c>
      <c r="R2829" t="s">
        <v>48</v>
      </c>
      <c r="S2829" t="s">
        <v>102</v>
      </c>
      <c r="T2829" t="s">
        <v>103</v>
      </c>
      <c r="U2829" t="s">
        <v>85</v>
      </c>
      <c r="V2829">
        <v>5000000</v>
      </c>
      <c r="W2829">
        <v>250000</v>
      </c>
      <c r="X2829" s="1">
        <v>43799</v>
      </c>
      <c r="Y2829" t="s">
        <v>51</v>
      </c>
      <c r="Z2829" t="s">
        <v>43</v>
      </c>
      <c r="AA2829" t="s">
        <v>86</v>
      </c>
      <c r="AB2829" t="s">
        <v>89</v>
      </c>
      <c r="AC2829" t="s">
        <v>90</v>
      </c>
      <c r="AF2829" t="s">
        <v>93</v>
      </c>
      <c r="AG2829" s="1">
        <v>43843</v>
      </c>
      <c r="AH2829" t="s">
        <v>85</v>
      </c>
      <c r="AI2829" t="s">
        <v>92</v>
      </c>
      <c r="AJ2829">
        <v>19888</v>
      </c>
      <c r="AK2829">
        <v>128777</v>
      </c>
      <c r="AL2829">
        <v>198882</v>
      </c>
    </row>
    <row r="2830" spans="1:38" x14ac:dyDescent="0.25">
      <c r="A2830" t="s">
        <v>617</v>
      </c>
      <c r="B2830" t="s">
        <v>620</v>
      </c>
      <c r="C2830" t="s">
        <v>40</v>
      </c>
      <c r="D2830" s="1">
        <v>43466</v>
      </c>
      <c r="E2830" s="1">
        <v>43830</v>
      </c>
      <c r="F2830" t="s">
        <v>84</v>
      </c>
      <c r="G2830">
        <v>10</v>
      </c>
      <c r="H2830" t="s">
        <v>85</v>
      </c>
      <c r="I2830" t="s">
        <v>43</v>
      </c>
      <c r="J2830" t="s">
        <v>86</v>
      </c>
      <c r="K2830" t="s">
        <v>44</v>
      </c>
      <c r="L2830">
        <v>18696.68</v>
      </c>
      <c r="M2830" s="1">
        <v>43535</v>
      </c>
      <c r="N2830" t="s">
        <v>108</v>
      </c>
      <c r="O2830" t="s">
        <v>106</v>
      </c>
      <c r="P2830" t="s">
        <v>47</v>
      </c>
      <c r="Q2830" s="1">
        <v>43852</v>
      </c>
      <c r="R2830" t="s">
        <v>48</v>
      </c>
      <c r="S2830" t="s">
        <v>87</v>
      </c>
      <c r="T2830" t="s">
        <v>88</v>
      </c>
      <c r="U2830" t="s">
        <v>85</v>
      </c>
      <c r="V2830">
        <v>1400000</v>
      </c>
      <c r="W2830">
        <v>100000</v>
      </c>
      <c r="X2830" s="1">
        <v>43808</v>
      </c>
      <c r="Y2830" t="s">
        <v>51</v>
      </c>
      <c r="Z2830" t="s">
        <v>43</v>
      </c>
      <c r="AA2830" t="s">
        <v>86</v>
      </c>
      <c r="AB2830" t="s">
        <v>89</v>
      </c>
      <c r="AC2830" t="s">
        <v>90</v>
      </c>
      <c r="AF2830" t="s">
        <v>91</v>
      </c>
      <c r="AG2830" s="1">
        <v>43852</v>
      </c>
      <c r="AH2830" t="s">
        <v>85</v>
      </c>
      <c r="AI2830" t="s">
        <v>92</v>
      </c>
      <c r="AJ2830">
        <v>19888</v>
      </c>
      <c r="AK2830">
        <v>128777</v>
      </c>
      <c r="AL2830">
        <v>198882</v>
      </c>
    </row>
    <row r="2831" spans="1:38" x14ac:dyDescent="0.25">
      <c r="A2831" t="s">
        <v>617</v>
      </c>
      <c r="B2831" t="s">
        <v>620</v>
      </c>
      <c r="C2831" t="s">
        <v>40</v>
      </c>
      <c r="D2831" s="1">
        <v>43466</v>
      </c>
      <c r="E2831" s="1">
        <v>43830</v>
      </c>
      <c r="F2831" t="s">
        <v>84</v>
      </c>
      <c r="G2831">
        <v>10</v>
      </c>
      <c r="H2831" t="s">
        <v>85</v>
      </c>
      <c r="I2831" t="s">
        <v>43</v>
      </c>
      <c r="J2831" t="s">
        <v>86</v>
      </c>
      <c r="K2831" t="s">
        <v>44</v>
      </c>
      <c r="L2831">
        <v>18696.68</v>
      </c>
      <c r="M2831" s="1">
        <v>43535</v>
      </c>
      <c r="N2831" t="s">
        <v>108</v>
      </c>
      <c r="O2831" t="s">
        <v>106</v>
      </c>
      <c r="P2831" t="s">
        <v>47</v>
      </c>
      <c r="Q2831" s="1">
        <v>43852</v>
      </c>
      <c r="R2831" t="s">
        <v>48</v>
      </c>
      <c r="S2831" t="s">
        <v>87</v>
      </c>
      <c r="T2831" t="s">
        <v>88</v>
      </c>
      <c r="U2831" t="s">
        <v>85</v>
      </c>
      <c r="V2831">
        <v>1400000</v>
      </c>
      <c r="W2831">
        <v>100000</v>
      </c>
      <c r="X2831" s="1">
        <v>43808</v>
      </c>
      <c r="Y2831" t="s">
        <v>51</v>
      </c>
      <c r="Z2831" t="s">
        <v>43</v>
      </c>
      <c r="AA2831" t="s">
        <v>86</v>
      </c>
      <c r="AB2831" t="s">
        <v>89</v>
      </c>
      <c r="AC2831" t="s">
        <v>90</v>
      </c>
      <c r="AF2831" t="s">
        <v>93</v>
      </c>
      <c r="AG2831" s="1">
        <v>43843</v>
      </c>
      <c r="AH2831" t="s">
        <v>85</v>
      </c>
      <c r="AI2831" t="s">
        <v>92</v>
      </c>
      <c r="AJ2831">
        <v>19888</v>
      </c>
      <c r="AK2831">
        <v>128777</v>
      </c>
      <c r="AL2831">
        <v>198882</v>
      </c>
    </row>
    <row r="2832" spans="1:38" x14ac:dyDescent="0.25">
      <c r="A2832" t="s">
        <v>617</v>
      </c>
      <c r="B2832" t="s">
        <v>620</v>
      </c>
      <c r="C2832" t="s">
        <v>40</v>
      </c>
      <c r="D2832" s="1">
        <v>43466</v>
      </c>
      <c r="E2832" s="1">
        <v>43830</v>
      </c>
      <c r="F2832" t="s">
        <v>84</v>
      </c>
      <c r="G2832">
        <v>10</v>
      </c>
      <c r="H2832" t="s">
        <v>85</v>
      </c>
      <c r="I2832" t="s">
        <v>43</v>
      </c>
      <c r="J2832" t="s">
        <v>86</v>
      </c>
      <c r="K2832" t="s">
        <v>44</v>
      </c>
      <c r="L2832">
        <v>18696.68</v>
      </c>
      <c r="M2832" s="1">
        <v>43535</v>
      </c>
      <c r="N2832" t="s">
        <v>108</v>
      </c>
      <c r="O2832" t="s">
        <v>106</v>
      </c>
      <c r="P2832" t="s">
        <v>47</v>
      </c>
      <c r="Q2832" s="1">
        <v>43852</v>
      </c>
      <c r="R2832" t="s">
        <v>48</v>
      </c>
      <c r="S2832" t="s">
        <v>94</v>
      </c>
      <c r="T2832" t="s">
        <v>95</v>
      </c>
      <c r="U2832" t="s">
        <v>85</v>
      </c>
      <c r="V2832">
        <v>4500000</v>
      </c>
      <c r="W2832">
        <v>300000</v>
      </c>
      <c r="X2832" s="1">
        <v>43767</v>
      </c>
      <c r="Y2832" t="s">
        <v>51</v>
      </c>
      <c r="Z2832" t="s">
        <v>43</v>
      </c>
      <c r="AA2832" t="s">
        <v>86</v>
      </c>
      <c r="AB2832" t="s">
        <v>89</v>
      </c>
      <c r="AC2832" t="s">
        <v>90</v>
      </c>
      <c r="AF2832" t="s">
        <v>91</v>
      </c>
      <c r="AG2832" s="1">
        <v>43852</v>
      </c>
      <c r="AH2832" t="s">
        <v>85</v>
      </c>
      <c r="AI2832" t="s">
        <v>92</v>
      </c>
      <c r="AJ2832">
        <v>19888</v>
      </c>
      <c r="AK2832">
        <v>128777</v>
      </c>
      <c r="AL2832">
        <v>198882</v>
      </c>
    </row>
    <row r="2833" spans="1:38" x14ac:dyDescent="0.25">
      <c r="A2833" t="s">
        <v>617</v>
      </c>
      <c r="B2833" t="s">
        <v>620</v>
      </c>
      <c r="C2833" t="s">
        <v>40</v>
      </c>
      <c r="D2833" s="1">
        <v>43466</v>
      </c>
      <c r="E2833" s="1">
        <v>43830</v>
      </c>
      <c r="F2833" t="s">
        <v>84</v>
      </c>
      <c r="G2833">
        <v>10</v>
      </c>
      <c r="H2833" t="s">
        <v>85</v>
      </c>
      <c r="I2833" t="s">
        <v>43</v>
      </c>
      <c r="J2833" t="s">
        <v>86</v>
      </c>
      <c r="K2833" t="s">
        <v>44</v>
      </c>
      <c r="L2833">
        <v>18696.68</v>
      </c>
      <c r="M2833" s="1">
        <v>43535</v>
      </c>
      <c r="N2833" t="s">
        <v>108</v>
      </c>
      <c r="O2833" t="s">
        <v>106</v>
      </c>
      <c r="P2833" t="s">
        <v>47</v>
      </c>
      <c r="Q2833" s="1">
        <v>43852</v>
      </c>
      <c r="R2833" t="s">
        <v>48</v>
      </c>
      <c r="S2833" t="s">
        <v>94</v>
      </c>
      <c r="T2833" t="s">
        <v>95</v>
      </c>
      <c r="U2833" t="s">
        <v>85</v>
      </c>
      <c r="V2833">
        <v>4500000</v>
      </c>
      <c r="W2833">
        <v>300000</v>
      </c>
      <c r="X2833" s="1">
        <v>43767</v>
      </c>
      <c r="Y2833" t="s">
        <v>51</v>
      </c>
      <c r="Z2833" t="s">
        <v>43</v>
      </c>
      <c r="AA2833" t="s">
        <v>86</v>
      </c>
      <c r="AB2833" t="s">
        <v>89</v>
      </c>
      <c r="AC2833" t="s">
        <v>90</v>
      </c>
      <c r="AF2833" t="s">
        <v>93</v>
      </c>
      <c r="AG2833" s="1">
        <v>43843</v>
      </c>
      <c r="AH2833" t="s">
        <v>85</v>
      </c>
      <c r="AI2833" t="s">
        <v>92</v>
      </c>
      <c r="AJ2833">
        <v>19888</v>
      </c>
      <c r="AK2833">
        <v>128777</v>
      </c>
      <c r="AL2833">
        <v>198882</v>
      </c>
    </row>
    <row r="2834" spans="1:38" x14ac:dyDescent="0.25">
      <c r="A2834" t="s">
        <v>617</v>
      </c>
      <c r="B2834" t="s">
        <v>620</v>
      </c>
      <c r="C2834" t="s">
        <v>40</v>
      </c>
      <c r="D2834" s="1">
        <v>43466</v>
      </c>
      <c r="E2834" s="1">
        <v>43830</v>
      </c>
      <c r="F2834" t="s">
        <v>84</v>
      </c>
      <c r="G2834">
        <v>10</v>
      </c>
      <c r="H2834" t="s">
        <v>85</v>
      </c>
      <c r="I2834" t="s">
        <v>43</v>
      </c>
      <c r="J2834" t="s">
        <v>86</v>
      </c>
      <c r="K2834" t="s">
        <v>44</v>
      </c>
      <c r="L2834">
        <v>18696.68</v>
      </c>
      <c r="M2834" s="1">
        <v>43535</v>
      </c>
      <c r="N2834" t="s">
        <v>108</v>
      </c>
      <c r="O2834" t="s">
        <v>106</v>
      </c>
      <c r="P2834" t="s">
        <v>47</v>
      </c>
      <c r="Q2834" s="1">
        <v>43852</v>
      </c>
      <c r="R2834" t="s">
        <v>48</v>
      </c>
      <c r="S2834" t="s">
        <v>96</v>
      </c>
      <c r="T2834" t="s">
        <v>97</v>
      </c>
      <c r="U2834" t="s">
        <v>85</v>
      </c>
      <c r="V2834">
        <v>600000</v>
      </c>
      <c r="W2834">
        <v>100000</v>
      </c>
      <c r="X2834" s="1">
        <v>43799</v>
      </c>
      <c r="Y2834" t="s">
        <v>51</v>
      </c>
      <c r="Z2834" t="s">
        <v>43</v>
      </c>
      <c r="AA2834" t="s">
        <v>98</v>
      </c>
      <c r="AB2834" t="s">
        <v>89</v>
      </c>
      <c r="AC2834" t="s">
        <v>90</v>
      </c>
      <c r="AF2834" t="s">
        <v>91</v>
      </c>
      <c r="AG2834" s="1">
        <v>43852</v>
      </c>
      <c r="AH2834" t="s">
        <v>85</v>
      </c>
      <c r="AI2834" t="s">
        <v>92</v>
      </c>
      <c r="AJ2834">
        <v>19888</v>
      </c>
      <c r="AK2834">
        <v>128777</v>
      </c>
      <c r="AL2834">
        <v>198882</v>
      </c>
    </row>
    <row r="2835" spans="1:38" x14ac:dyDescent="0.25">
      <c r="A2835" t="s">
        <v>617</v>
      </c>
      <c r="B2835" t="s">
        <v>620</v>
      </c>
      <c r="C2835" t="s">
        <v>40</v>
      </c>
      <c r="D2835" s="1">
        <v>43466</v>
      </c>
      <c r="E2835" s="1">
        <v>43830</v>
      </c>
      <c r="F2835" t="s">
        <v>84</v>
      </c>
      <c r="G2835">
        <v>10</v>
      </c>
      <c r="H2835" t="s">
        <v>85</v>
      </c>
      <c r="I2835" t="s">
        <v>43</v>
      </c>
      <c r="J2835" t="s">
        <v>86</v>
      </c>
      <c r="K2835" t="s">
        <v>44</v>
      </c>
      <c r="L2835">
        <v>18696.68</v>
      </c>
      <c r="M2835" s="1">
        <v>43535</v>
      </c>
      <c r="N2835" t="s">
        <v>108</v>
      </c>
      <c r="O2835" t="s">
        <v>106</v>
      </c>
      <c r="P2835" t="s">
        <v>47</v>
      </c>
      <c r="Q2835" s="1">
        <v>43852</v>
      </c>
      <c r="R2835" t="s">
        <v>48</v>
      </c>
      <c r="S2835" t="s">
        <v>96</v>
      </c>
      <c r="T2835" t="s">
        <v>97</v>
      </c>
      <c r="U2835" t="s">
        <v>85</v>
      </c>
      <c r="V2835">
        <v>600000</v>
      </c>
      <c r="W2835">
        <v>100000</v>
      </c>
      <c r="X2835" s="1">
        <v>43799</v>
      </c>
      <c r="Y2835" t="s">
        <v>51</v>
      </c>
      <c r="Z2835" t="s">
        <v>43</v>
      </c>
      <c r="AA2835" t="s">
        <v>98</v>
      </c>
      <c r="AB2835" t="s">
        <v>89</v>
      </c>
      <c r="AC2835" t="s">
        <v>90</v>
      </c>
      <c r="AF2835" t="s">
        <v>93</v>
      </c>
      <c r="AG2835" s="1">
        <v>43843</v>
      </c>
      <c r="AH2835" t="s">
        <v>85</v>
      </c>
      <c r="AI2835" t="s">
        <v>92</v>
      </c>
      <c r="AJ2835">
        <v>19888</v>
      </c>
      <c r="AK2835">
        <v>128777</v>
      </c>
      <c r="AL2835">
        <v>198882</v>
      </c>
    </row>
    <row r="2836" spans="1:38" x14ac:dyDescent="0.25">
      <c r="A2836" t="s">
        <v>617</v>
      </c>
      <c r="B2836" t="s">
        <v>620</v>
      </c>
      <c r="C2836" t="s">
        <v>40</v>
      </c>
      <c r="D2836" s="1">
        <v>43466</v>
      </c>
      <c r="E2836" s="1">
        <v>43830</v>
      </c>
      <c r="F2836" t="s">
        <v>84</v>
      </c>
      <c r="G2836">
        <v>10</v>
      </c>
      <c r="H2836" t="s">
        <v>85</v>
      </c>
      <c r="I2836" t="s">
        <v>43</v>
      </c>
      <c r="J2836" t="s">
        <v>86</v>
      </c>
      <c r="K2836" t="s">
        <v>44</v>
      </c>
      <c r="L2836">
        <v>18696.68</v>
      </c>
      <c r="M2836" s="1">
        <v>43535</v>
      </c>
      <c r="N2836" t="s">
        <v>108</v>
      </c>
      <c r="O2836" t="s">
        <v>106</v>
      </c>
      <c r="P2836" t="s">
        <v>47</v>
      </c>
      <c r="Q2836" s="1">
        <v>43852</v>
      </c>
      <c r="R2836" t="s">
        <v>48</v>
      </c>
      <c r="S2836" t="s">
        <v>99</v>
      </c>
      <c r="T2836" t="s">
        <v>100</v>
      </c>
      <c r="U2836" t="s">
        <v>85</v>
      </c>
      <c r="V2836">
        <v>210000</v>
      </c>
      <c r="W2836">
        <v>35000</v>
      </c>
      <c r="X2836" s="1">
        <v>43799</v>
      </c>
      <c r="Y2836" t="s">
        <v>51</v>
      </c>
      <c r="Z2836" t="s">
        <v>43</v>
      </c>
      <c r="AA2836" t="s">
        <v>98</v>
      </c>
      <c r="AB2836" t="s">
        <v>89</v>
      </c>
      <c r="AC2836" t="s">
        <v>101</v>
      </c>
      <c r="AF2836" t="s">
        <v>91</v>
      </c>
      <c r="AG2836" s="1">
        <v>43852</v>
      </c>
      <c r="AH2836" t="s">
        <v>85</v>
      </c>
      <c r="AI2836" t="s">
        <v>92</v>
      </c>
      <c r="AJ2836">
        <v>19888</v>
      </c>
      <c r="AK2836">
        <v>128777</v>
      </c>
      <c r="AL2836">
        <v>198882</v>
      </c>
    </row>
    <row r="2837" spans="1:38" x14ac:dyDescent="0.25">
      <c r="A2837" t="s">
        <v>617</v>
      </c>
      <c r="B2837" t="s">
        <v>620</v>
      </c>
      <c r="C2837" t="s">
        <v>40</v>
      </c>
      <c r="D2837" s="1">
        <v>43466</v>
      </c>
      <c r="E2837" s="1">
        <v>43830</v>
      </c>
      <c r="F2837" t="s">
        <v>84</v>
      </c>
      <c r="G2837">
        <v>10</v>
      </c>
      <c r="H2837" t="s">
        <v>85</v>
      </c>
      <c r="I2837" t="s">
        <v>43</v>
      </c>
      <c r="J2837" t="s">
        <v>86</v>
      </c>
      <c r="K2837" t="s">
        <v>44</v>
      </c>
      <c r="L2837">
        <v>18696.68</v>
      </c>
      <c r="M2837" s="1">
        <v>43535</v>
      </c>
      <c r="N2837" t="s">
        <v>108</v>
      </c>
      <c r="O2837" t="s">
        <v>106</v>
      </c>
      <c r="P2837" t="s">
        <v>47</v>
      </c>
      <c r="Q2837" s="1">
        <v>43852</v>
      </c>
      <c r="R2837" t="s">
        <v>48</v>
      </c>
      <c r="S2837" t="s">
        <v>99</v>
      </c>
      <c r="T2837" t="s">
        <v>100</v>
      </c>
      <c r="U2837" t="s">
        <v>85</v>
      </c>
      <c r="V2837">
        <v>210000</v>
      </c>
      <c r="W2837">
        <v>35000</v>
      </c>
      <c r="X2837" s="1">
        <v>43799</v>
      </c>
      <c r="Y2837" t="s">
        <v>51</v>
      </c>
      <c r="Z2837" t="s">
        <v>43</v>
      </c>
      <c r="AA2837" t="s">
        <v>98</v>
      </c>
      <c r="AB2837" t="s">
        <v>89</v>
      </c>
      <c r="AC2837" t="s">
        <v>101</v>
      </c>
      <c r="AF2837" t="s">
        <v>93</v>
      </c>
      <c r="AG2837" s="1">
        <v>43843</v>
      </c>
      <c r="AH2837" t="s">
        <v>85</v>
      </c>
      <c r="AI2837" t="s">
        <v>92</v>
      </c>
      <c r="AJ2837">
        <v>19888</v>
      </c>
      <c r="AK2837">
        <v>128777</v>
      </c>
      <c r="AL2837">
        <v>198882</v>
      </c>
    </row>
    <row r="2838" spans="1:38" x14ac:dyDescent="0.25">
      <c r="A2838" t="s">
        <v>617</v>
      </c>
      <c r="B2838" t="s">
        <v>620</v>
      </c>
      <c r="C2838" t="s">
        <v>40</v>
      </c>
      <c r="D2838" s="1">
        <v>43466</v>
      </c>
      <c r="E2838" s="1">
        <v>43830</v>
      </c>
      <c r="F2838" t="s">
        <v>84</v>
      </c>
      <c r="G2838">
        <v>10</v>
      </c>
      <c r="H2838" t="s">
        <v>85</v>
      </c>
      <c r="I2838" t="s">
        <v>43</v>
      </c>
      <c r="J2838" t="s">
        <v>86</v>
      </c>
      <c r="K2838" t="s">
        <v>44</v>
      </c>
      <c r="L2838">
        <v>18696.68</v>
      </c>
      <c r="M2838" s="1">
        <v>43535</v>
      </c>
      <c r="N2838" t="s">
        <v>108</v>
      </c>
      <c r="O2838" t="s">
        <v>106</v>
      </c>
      <c r="P2838" t="s">
        <v>47</v>
      </c>
      <c r="Q2838" s="1">
        <v>43852</v>
      </c>
      <c r="R2838" t="s">
        <v>48</v>
      </c>
      <c r="S2838" t="s">
        <v>102</v>
      </c>
      <c r="T2838" t="s">
        <v>103</v>
      </c>
      <c r="U2838" t="s">
        <v>85</v>
      </c>
      <c r="V2838">
        <v>5000000</v>
      </c>
      <c r="W2838">
        <v>250000</v>
      </c>
      <c r="X2838" s="1">
        <v>43799</v>
      </c>
      <c r="Y2838" t="s">
        <v>51</v>
      </c>
      <c r="Z2838" t="s">
        <v>43</v>
      </c>
      <c r="AA2838" t="s">
        <v>86</v>
      </c>
      <c r="AB2838" t="s">
        <v>89</v>
      </c>
      <c r="AC2838" t="s">
        <v>90</v>
      </c>
      <c r="AF2838" t="s">
        <v>91</v>
      </c>
      <c r="AG2838" s="1">
        <v>43852</v>
      </c>
      <c r="AH2838" t="s">
        <v>85</v>
      </c>
      <c r="AI2838" t="s">
        <v>92</v>
      </c>
      <c r="AJ2838">
        <v>19888</v>
      </c>
      <c r="AK2838">
        <v>128777</v>
      </c>
      <c r="AL2838">
        <v>198882</v>
      </c>
    </row>
    <row r="2839" spans="1:38" x14ac:dyDescent="0.25">
      <c r="A2839" t="s">
        <v>617</v>
      </c>
      <c r="B2839" t="s">
        <v>620</v>
      </c>
      <c r="C2839" t="s">
        <v>40</v>
      </c>
      <c r="D2839" s="1">
        <v>43466</v>
      </c>
      <c r="E2839" s="1">
        <v>43830</v>
      </c>
      <c r="F2839" t="s">
        <v>84</v>
      </c>
      <c r="G2839">
        <v>10</v>
      </c>
      <c r="H2839" t="s">
        <v>85</v>
      </c>
      <c r="I2839" t="s">
        <v>43</v>
      </c>
      <c r="J2839" t="s">
        <v>86</v>
      </c>
      <c r="K2839" t="s">
        <v>44</v>
      </c>
      <c r="L2839">
        <v>18696.68</v>
      </c>
      <c r="M2839" s="1">
        <v>43535</v>
      </c>
      <c r="N2839" t="s">
        <v>108</v>
      </c>
      <c r="O2839" t="s">
        <v>106</v>
      </c>
      <c r="P2839" t="s">
        <v>47</v>
      </c>
      <c r="Q2839" s="1">
        <v>43852</v>
      </c>
      <c r="R2839" t="s">
        <v>48</v>
      </c>
      <c r="S2839" t="s">
        <v>102</v>
      </c>
      <c r="T2839" t="s">
        <v>103</v>
      </c>
      <c r="U2839" t="s">
        <v>85</v>
      </c>
      <c r="V2839">
        <v>5000000</v>
      </c>
      <c r="W2839">
        <v>250000</v>
      </c>
      <c r="X2839" s="1">
        <v>43799</v>
      </c>
      <c r="Y2839" t="s">
        <v>51</v>
      </c>
      <c r="Z2839" t="s">
        <v>43</v>
      </c>
      <c r="AA2839" t="s">
        <v>86</v>
      </c>
      <c r="AB2839" t="s">
        <v>89</v>
      </c>
      <c r="AC2839" t="s">
        <v>90</v>
      </c>
      <c r="AF2839" t="s">
        <v>93</v>
      </c>
      <c r="AG2839" s="1">
        <v>43843</v>
      </c>
      <c r="AH2839" t="s">
        <v>85</v>
      </c>
      <c r="AI2839" t="s">
        <v>92</v>
      </c>
      <c r="AJ2839">
        <v>19888</v>
      </c>
      <c r="AK2839">
        <v>128777</v>
      </c>
      <c r="AL2839">
        <v>198882</v>
      </c>
    </row>
    <row r="2840" spans="1:38" x14ac:dyDescent="0.25">
      <c r="A2840" t="s">
        <v>617</v>
      </c>
      <c r="B2840" t="s">
        <v>621</v>
      </c>
      <c r="C2840" t="s">
        <v>40</v>
      </c>
      <c r="D2840" s="1">
        <v>43466</v>
      </c>
      <c r="E2840" s="1">
        <v>43830</v>
      </c>
      <c r="F2840" t="s">
        <v>84</v>
      </c>
      <c r="G2840">
        <v>10</v>
      </c>
      <c r="H2840" t="s">
        <v>85</v>
      </c>
      <c r="I2840" t="s">
        <v>43</v>
      </c>
      <c r="J2840" t="s">
        <v>86</v>
      </c>
      <c r="K2840" t="s">
        <v>44</v>
      </c>
      <c r="L2840">
        <v>49788.75</v>
      </c>
      <c r="M2840" s="1">
        <v>43466</v>
      </c>
      <c r="N2840" t="s">
        <v>45</v>
      </c>
      <c r="O2840" t="s">
        <v>106</v>
      </c>
      <c r="P2840" t="s">
        <v>47</v>
      </c>
      <c r="Q2840" s="1">
        <v>43852</v>
      </c>
      <c r="R2840" t="s">
        <v>48</v>
      </c>
      <c r="S2840" t="s">
        <v>87</v>
      </c>
      <c r="T2840" t="s">
        <v>88</v>
      </c>
      <c r="U2840" t="s">
        <v>85</v>
      </c>
      <c r="V2840">
        <v>1400000</v>
      </c>
      <c r="W2840">
        <v>100000</v>
      </c>
      <c r="X2840" s="1">
        <v>43808</v>
      </c>
      <c r="Y2840" t="s">
        <v>51</v>
      </c>
      <c r="Z2840" t="s">
        <v>43</v>
      </c>
      <c r="AA2840" t="s">
        <v>86</v>
      </c>
      <c r="AB2840" t="s">
        <v>89</v>
      </c>
      <c r="AC2840" t="s">
        <v>90</v>
      </c>
      <c r="AF2840" t="s">
        <v>91</v>
      </c>
      <c r="AG2840" s="1">
        <v>43852</v>
      </c>
      <c r="AH2840" t="s">
        <v>85</v>
      </c>
      <c r="AI2840" t="s">
        <v>92</v>
      </c>
      <c r="AJ2840">
        <v>19888</v>
      </c>
      <c r="AK2840">
        <v>128777</v>
      </c>
      <c r="AL2840">
        <v>198882</v>
      </c>
    </row>
    <row r="2841" spans="1:38" x14ac:dyDescent="0.25">
      <c r="A2841" t="s">
        <v>617</v>
      </c>
      <c r="B2841" t="s">
        <v>621</v>
      </c>
      <c r="C2841" t="s">
        <v>40</v>
      </c>
      <c r="D2841" s="1">
        <v>43466</v>
      </c>
      <c r="E2841" s="1">
        <v>43830</v>
      </c>
      <c r="F2841" t="s">
        <v>84</v>
      </c>
      <c r="G2841">
        <v>10</v>
      </c>
      <c r="H2841" t="s">
        <v>85</v>
      </c>
      <c r="I2841" t="s">
        <v>43</v>
      </c>
      <c r="J2841" t="s">
        <v>86</v>
      </c>
      <c r="K2841" t="s">
        <v>44</v>
      </c>
      <c r="L2841">
        <v>49788.75</v>
      </c>
      <c r="M2841" s="1">
        <v>43466</v>
      </c>
      <c r="N2841" t="s">
        <v>45</v>
      </c>
      <c r="O2841" t="s">
        <v>106</v>
      </c>
      <c r="P2841" t="s">
        <v>47</v>
      </c>
      <c r="Q2841" s="1">
        <v>43852</v>
      </c>
      <c r="R2841" t="s">
        <v>48</v>
      </c>
      <c r="S2841" t="s">
        <v>87</v>
      </c>
      <c r="T2841" t="s">
        <v>88</v>
      </c>
      <c r="U2841" t="s">
        <v>85</v>
      </c>
      <c r="V2841">
        <v>1400000</v>
      </c>
      <c r="W2841">
        <v>100000</v>
      </c>
      <c r="X2841" s="1">
        <v>43808</v>
      </c>
      <c r="Y2841" t="s">
        <v>51</v>
      </c>
      <c r="Z2841" t="s">
        <v>43</v>
      </c>
      <c r="AA2841" t="s">
        <v>86</v>
      </c>
      <c r="AB2841" t="s">
        <v>89</v>
      </c>
      <c r="AC2841" t="s">
        <v>90</v>
      </c>
      <c r="AF2841" t="s">
        <v>93</v>
      </c>
      <c r="AG2841" s="1">
        <v>43843</v>
      </c>
      <c r="AH2841" t="s">
        <v>85</v>
      </c>
      <c r="AI2841" t="s">
        <v>92</v>
      </c>
      <c r="AJ2841">
        <v>19888</v>
      </c>
      <c r="AK2841">
        <v>128777</v>
      </c>
      <c r="AL2841">
        <v>198882</v>
      </c>
    </row>
    <row r="2842" spans="1:38" x14ac:dyDescent="0.25">
      <c r="A2842" t="s">
        <v>617</v>
      </c>
      <c r="B2842" t="s">
        <v>621</v>
      </c>
      <c r="C2842" t="s">
        <v>40</v>
      </c>
      <c r="D2842" s="1">
        <v>43466</v>
      </c>
      <c r="E2842" s="1">
        <v>43830</v>
      </c>
      <c r="F2842" t="s">
        <v>84</v>
      </c>
      <c r="G2842">
        <v>10</v>
      </c>
      <c r="H2842" t="s">
        <v>85</v>
      </c>
      <c r="I2842" t="s">
        <v>43</v>
      </c>
      <c r="J2842" t="s">
        <v>86</v>
      </c>
      <c r="K2842" t="s">
        <v>44</v>
      </c>
      <c r="L2842">
        <v>49788.75</v>
      </c>
      <c r="M2842" s="1">
        <v>43466</v>
      </c>
      <c r="N2842" t="s">
        <v>45</v>
      </c>
      <c r="O2842" t="s">
        <v>106</v>
      </c>
      <c r="P2842" t="s">
        <v>47</v>
      </c>
      <c r="Q2842" s="1">
        <v>43852</v>
      </c>
      <c r="R2842" t="s">
        <v>48</v>
      </c>
      <c r="S2842" t="s">
        <v>94</v>
      </c>
      <c r="T2842" t="s">
        <v>95</v>
      </c>
      <c r="U2842" t="s">
        <v>85</v>
      </c>
      <c r="V2842">
        <v>4500000</v>
      </c>
      <c r="W2842">
        <v>300000</v>
      </c>
      <c r="X2842" s="1">
        <v>43767</v>
      </c>
      <c r="Y2842" t="s">
        <v>51</v>
      </c>
      <c r="Z2842" t="s">
        <v>43</v>
      </c>
      <c r="AA2842" t="s">
        <v>86</v>
      </c>
      <c r="AB2842" t="s">
        <v>89</v>
      </c>
      <c r="AC2842" t="s">
        <v>90</v>
      </c>
      <c r="AF2842" t="s">
        <v>91</v>
      </c>
      <c r="AG2842" s="1">
        <v>43852</v>
      </c>
      <c r="AH2842" t="s">
        <v>85</v>
      </c>
      <c r="AI2842" t="s">
        <v>92</v>
      </c>
      <c r="AJ2842">
        <v>19888</v>
      </c>
      <c r="AK2842">
        <v>128777</v>
      </c>
      <c r="AL2842">
        <v>198882</v>
      </c>
    </row>
    <row r="2843" spans="1:38" x14ac:dyDescent="0.25">
      <c r="A2843" t="s">
        <v>617</v>
      </c>
      <c r="B2843" t="s">
        <v>621</v>
      </c>
      <c r="C2843" t="s">
        <v>40</v>
      </c>
      <c r="D2843" s="1">
        <v>43466</v>
      </c>
      <c r="E2843" s="1">
        <v>43830</v>
      </c>
      <c r="F2843" t="s">
        <v>84</v>
      </c>
      <c r="G2843">
        <v>10</v>
      </c>
      <c r="H2843" t="s">
        <v>85</v>
      </c>
      <c r="I2843" t="s">
        <v>43</v>
      </c>
      <c r="J2843" t="s">
        <v>86</v>
      </c>
      <c r="K2843" t="s">
        <v>44</v>
      </c>
      <c r="L2843">
        <v>49788.75</v>
      </c>
      <c r="M2843" s="1">
        <v>43466</v>
      </c>
      <c r="N2843" t="s">
        <v>45</v>
      </c>
      <c r="O2843" t="s">
        <v>106</v>
      </c>
      <c r="P2843" t="s">
        <v>47</v>
      </c>
      <c r="Q2843" s="1">
        <v>43852</v>
      </c>
      <c r="R2843" t="s">
        <v>48</v>
      </c>
      <c r="S2843" t="s">
        <v>94</v>
      </c>
      <c r="T2843" t="s">
        <v>95</v>
      </c>
      <c r="U2843" t="s">
        <v>85</v>
      </c>
      <c r="V2843">
        <v>4500000</v>
      </c>
      <c r="W2843">
        <v>300000</v>
      </c>
      <c r="X2843" s="1">
        <v>43767</v>
      </c>
      <c r="Y2843" t="s">
        <v>51</v>
      </c>
      <c r="Z2843" t="s">
        <v>43</v>
      </c>
      <c r="AA2843" t="s">
        <v>86</v>
      </c>
      <c r="AB2843" t="s">
        <v>89</v>
      </c>
      <c r="AC2843" t="s">
        <v>90</v>
      </c>
      <c r="AF2843" t="s">
        <v>93</v>
      </c>
      <c r="AG2843" s="1">
        <v>43843</v>
      </c>
      <c r="AH2843" t="s">
        <v>85</v>
      </c>
      <c r="AI2843" t="s">
        <v>92</v>
      </c>
      <c r="AJ2843">
        <v>19888</v>
      </c>
      <c r="AK2843">
        <v>128777</v>
      </c>
      <c r="AL2843">
        <v>198882</v>
      </c>
    </row>
    <row r="2844" spans="1:38" x14ac:dyDescent="0.25">
      <c r="A2844" t="s">
        <v>617</v>
      </c>
      <c r="B2844" t="s">
        <v>621</v>
      </c>
      <c r="C2844" t="s">
        <v>40</v>
      </c>
      <c r="D2844" s="1">
        <v>43466</v>
      </c>
      <c r="E2844" s="1">
        <v>43830</v>
      </c>
      <c r="F2844" t="s">
        <v>84</v>
      </c>
      <c r="G2844">
        <v>10</v>
      </c>
      <c r="H2844" t="s">
        <v>85</v>
      </c>
      <c r="I2844" t="s">
        <v>43</v>
      </c>
      <c r="J2844" t="s">
        <v>86</v>
      </c>
      <c r="K2844" t="s">
        <v>44</v>
      </c>
      <c r="L2844">
        <v>49788.75</v>
      </c>
      <c r="M2844" s="1">
        <v>43466</v>
      </c>
      <c r="N2844" t="s">
        <v>45</v>
      </c>
      <c r="O2844" t="s">
        <v>106</v>
      </c>
      <c r="P2844" t="s">
        <v>47</v>
      </c>
      <c r="Q2844" s="1">
        <v>43852</v>
      </c>
      <c r="R2844" t="s">
        <v>48</v>
      </c>
      <c r="S2844" t="s">
        <v>96</v>
      </c>
      <c r="T2844" t="s">
        <v>97</v>
      </c>
      <c r="U2844" t="s">
        <v>85</v>
      </c>
      <c r="V2844">
        <v>600000</v>
      </c>
      <c r="W2844">
        <v>100000</v>
      </c>
      <c r="X2844" s="1">
        <v>43799</v>
      </c>
      <c r="Y2844" t="s">
        <v>51</v>
      </c>
      <c r="Z2844" t="s">
        <v>43</v>
      </c>
      <c r="AA2844" t="s">
        <v>98</v>
      </c>
      <c r="AB2844" t="s">
        <v>89</v>
      </c>
      <c r="AC2844" t="s">
        <v>90</v>
      </c>
      <c r="AF2844" t="s">
        <v>91</v>
      </c>
      <c r="AG2844" s="1">
        <v>43852</v>
      </c>
      <c r="AH2844" t="s">
        <v>85</v>
      </c>
      <c r="AI2844" t="s">
        <v>92</v>
      </c>
      <c r="AJ2844">
        <v>19888</v>
      </c>
      <c r="AK2844">
        <v>128777</v>
      </c>
      <c r="AL2844">
        <v>198882</v>
      </c>
    </row>
    <row r="2845" spans="1:38" x14ac:dyDescent="0.25">
      <c r="A2845" t="s">
        <v>617</v>
      </c>
      <c r="B2845" t="s">
        <v>621</v>
      </c>
      <c r="C2845" t="s">
        <v>40</v>
      </c>
      <c r="D2845" s="1">
        <v>43466</v>
      </c>
      <c r="E2845" s="1">
        <v>43830</v>
      </c>
      <c r="F2845" t="s">
        <v>84</v>
      </c>
      <c r="G2845">
        <v>10</v>
      </c>
      <c r="H2845" t="s">
        <v>85</v>
      </c>
      <c r="I2845" t="s">
        <v>43</v>
      </c>
      <c r="J2845" t="s">
        <v>86</v>
      </c>
      <c r="K2845" t="s">
        <v>44</v>
      </c>
      <c r="L2845">
        <v>49788.75</v>
      </c>
      <c r="M2845" s="1">
        <v>43466</v>
      </c>
      <c r="N2845" t="s">
        <v>45</v>
      </c>
      <c r="O2845" t="s">
        <v>106</v>
      </c>
      <c r="P2845" t="s">
        <v>47</v>
      </c>
      <c r="Q2845" s="1">
        <v>43852</v>
      </c>
      <c r="R2845" t="s">
        <v>48</v>
      </c>
      <c r="S2845" t="s">
        <v>96</v>
      </c>
      <c r="T2845" t="s">
        <v>97</v>
      </c>
      <c r="U2845" t="s">
        <v>85</v>
      </c>
      <c r="V2845">
        <v>600000</v>
      </c>
      <c r="W2845">
        <v>100000</v>
      </c>
      <c r="X2845" s="1">
        <v>43799</v>
      </c>
      <c r="Y2845" t="s">
        <v>51</v>
      </c>
      <c r="Z2845" t="s">
        <v>43</v>
      </c>
      <c r="AA2845" t="s">
        <v>98</v>
      </c>
      <c r="AB2845" t="s">
        <v>89</v>
      </c>
      <c r="AC2845" t="s">
        <v>90</v>
      </c>
      <c r="AF2845" t="s">
        <v>93</v>
      </c>
      <c r="AG2845" s="1">
        <v>43843</v>
      </c>
      <c r="AH2845" t="s">
        <v>85</v>
      </c>
      <c r="AI2845" t="s">
        <v>92</v>
      </c>
      <c r="AJ2845">
        <v>19888</v>
      </c>
      <c r="AK2845">
        <v>128777</v>
      </c>
      <c r="AL2845">
        <v>198882</v>
      </c>
    </row>
    <row r="2846" spans="1:38" x14ac:dyDescent="0.25">
      <c r="A2846" t="s">
        <v>617</v>
      </c>
      <c r="B2846" t="s">
        <v>621</v>
      </c>
      <c r="C2846" t="s">
        <v>40</v>
      </c>
      <c r="D2846" s="1">
        <v>43466</v>
      </c>
      <c r="E2846" s="1">
        <v>43830</v>
      </c>
      <c r="F2846" t="s">
        <v>84</v>
      </c>
      <c r="G2846">
        <v>10</v>
      </c>
      <c r="H2846" t="s">
        <v>85</v>
      </c>
      <c r="I2846" t="s">
        <v>43</v>
      </c>
      <c r="J2846" t="s">
        <v>86</v>
      </c>
      <c r="K2846" t="s">
        <v>44</v>
      </c>
      <c r="L2846">
        <v>49788.75</v>
      </c>
      <c r="M2846" s="1">
        <v>43466</v>
      </c>
      <c r="N2846" t="s">
        <v>45</v>
      </c>
      <c r="O2846" t="s">
        <v>106</v>
      </c>
      <c r="P2846" t="s">
        <v>47</v>
      </c>
      <c r="Q2846" s="1">
        <v>43852</v>
      </c>
      <c r="R2846" t="s">
        <v>48</v>
      </c>
      <c r="S2846" t="s">
        <v>99</v>
      </c>
      <c r="T2846" t="s">
        <v>100</v>
      </c>
      <c r="U2846" t="s">
        <v>85</v>
      </c>
      <c r="V2846">
        <v>210000</v>
      </c>
      <c r="W2846">
        <v>35000</v>
      </c>
      <c r="X2846" s="1">
        <v>43799</v>
      </c>
      <c r="Y2846" t="s">
        <v>51</v>
      </c>
      <c r="Z2846" t="s">
        <v>43</v>
      </c>
      <c r="AA2846" t="s">
        <v>98</v>
      </c>
      <c r="AB2846" t="s">
        <v>89</v>
      </c>
      <c r="AC2846" t="s">
        <v>101</v>
      </c>
      <c r="AF2846" t="s">
        <v>91</v>
      </c>
      <c r="AG2846" s="1">
        <v>43852</v>
      </c>
      <c r="AH2846" t="s">
        <v>85</v>
      </c>
      <c r="AI2846" t="s">
        <v>92</v>
      </c>
      <c r="AJ2846">
        <v>19888</v>
      </c>
      <c r="AK2846">
        <v>128777</v>
      </c>
      <c r="AL2846">
        <v>198882</v>
      </c>
    </row>
    <row r="2847" spans="1:38" x14ac:dyDescent="0.25">
      <c r="A2847" t="s">
        <v>617</v>
      </c>
      <c r="B2847" t="s">
        <v>621</v>
      </c>
      <c r="C2847" t="s">
        <v>40</v>
      </c>
      <c r="D2847" s="1">
        <v>43466</v>
      </c>
      <c r="E2847" s="1">
        <v>43830</v>
      </c>
      <c r="F2847" t="s">
        <v>84</v>
      </c>
      <c r="G2847">
        <v>10</v>
      </c>
      <c r="H2847" t="s">
        <v>85</v>
      </c>
      <c r="I2847" t="s">
        <v>43</v>
      </c>
      <c r="J2847" t="s">
        <v>86</v>
      </c>
      <c r="K2847" t="s">
        <v>44</v>
      </c>
      <c r="L2847">
        <v>49788.75</v>
      </c>
      <c r="M2847" s="1">
        <v>43466</v>
      </c>
      <c r="N2847" t="s">
        <v>45</v>
      </c>
      <c r="O2847" t="s">
        <v>106</v>
      </c>
      <c r="P2847" t="s">
        <v>47</v>
      </c>
      <c r="Q2847" s="1">
        <v>43852</v>
      </c>
      <c r="R2847" t="s">
        <v>48</v>
      </c>
      <c r="S2847" t="s">
        <v>99</v>
      </c>
      <c r="T2847" t="s">
        <v>100</v>
      </c>
      <c r="U2847" t="s">
        <v>85</v>
      </c>
      <c r="V2847">
        <v>210000</v>
      </c>
      <c r="W2847">
        <v>35000</v>
      </c>
      <c r="X2847" s="1">
        <v>43799</v>
      </c>
      <c r="Y2847" t="s">
        <v>51</v>
      </c>
      <c r="Z2847" t="s">
        <v>43</v>
      </c>
      <c r="AA2847" t="s">
        <v>98</v>
      </c>
      <c r="AB2847" t="s">
        <v>89</v>
      </c>
      <c r="AC2847" t="s">
        <v>101</v>
      </c>
      <c r="AF2847" t="s">
        <v>93</v>
      </c>
      <c r="AG2847" s="1">
        <v>43843</v>
      </c>
      <c r="AH2847" t="s">
        <v>85</v>
      </c>
      <c r="AI2847" t="s">
        <v>92</v>
      </c>
      <c r="AJ2847">
        <v>19888</v>
      </c>
      <c r="AK2847">
        <v>128777</v>
      </c>
      <c r="AL2847">
        <v>198882</v>
      </c>
    </row>
    <row r="2848" spans="1:38" x14ac:dyDescent="0.25">
      <c r="A2848" t="s">
        <v>617</v>
      </c>
      <c r="B2848" t="s">
        <v>621</v>
      </c>
      <c r="C2848" t="s">
        <v>40</v>
      </c>
      <c r="D2848" s="1">
        <v>43466</v>
      </c>
      <c r="E2848" s="1">
        <v>43830</v>
      </c>
      <c r="F2848" t="s">
        <v>84</v>
      </c>
      <c r="G2848">
        <v>10</v>
      </c>
      <c r="H2848" t="s">
        <v>85</v>
      </c>
      <c r="I2848" t="s">
        <v>43</v>
      </c>
      <c r="J2848" t="s">
        <v>86</v>
      </c>
      <c r="K2848" t="s">
        <v>44</v>
      </c>
      <c r="L2848">
        <v>49788.75</v>
      </c>
      <c r="M2848" s="1">
        <v>43466</v>
      </c>
      <c r="N2848" t="s">
        <v>45</v>
      </c>
      <c r="O2848" t="s">
        <v>106</v>
      </c>
      <c r="P2848" t="s">
        <v>47</v>
      </c>
      <c r="Q2848" s="1">
        <v>43852</v>
      </c>
      <c r="R2848" t="s">
        <v>48</v>
      </c>
      <c r="S2848" t="s">
        <v>102</v>
      </c>
      <c r="T2848" t="s">
        <v>103</v>
      </c>
      <c r="U2848" t="s">
        <v>85</v>
      </c>
      <c r="V2848">
        <v>5000000</v>
      </c>
      <c r="W2848">
        <v>250000</v>
      </c>
      <c r="X2848" s="1">
        <v>43799</v>
      </c>
      <c r="Y2848" t="s">
        <v>51</v>
      </c>
      <c r="Z2848" t="s">
        <v>43</v>
      </c>
      <c r="AA2848" t="s">
        <v>86</v>
      </c>
      <c r="AB2848" t="s">
        <v>89</v>
      </c>
      <c r="AC2848" t="s">
        <v>90</v>
      </c>
      <c r="AF2848" t="s">
        <v>91</v>
      </c>
      <c r="AG2848" s="1">
        <v>43852</v>
      </c>
      <c r="AH2848" t="s">
        <v>85</v>
      </c>
      <c r="AI2848" t="s">
        <v>92</v>
      </c>
      <c r="AJ2848">
        <v>19888</v>
      </c>
      <c r="AK2848">
        <v>128777</v>
      </c>
      <c r="AL2848">
        <v>198882</v>
      </c>
    </row>
    <row r="2849" spans="1:38" x14ac:dyDescent="0.25">
      <c r="A2849" t="s">
        <v>617</v>
      </c>
      <c r="B2849" t="s">
        <v>621</v>
      </c>
      <c r="C2849" t="s">
        <v>40</v>
      </c>
      <c r="D2849" s="1">
        <v>43466</v>
      </c>
      <c r="E2849" s="1">
        <v>43830</v>
      </c>
      <c r="F2849" t="s">
        <v>84</v>
      </c>
      <c r="G2849">
        <v>10</v>
      </c>
      <c r="H2849" t="s">
        <v>85</v>
      </c>
      <c r="I2849" t="s">
        <v>43</v>
      </c>
      <c r="J2849" t="s">
        <v>86</v>
      </c>
      <c r="K2849" t="s">
        <v>44</v>
      </c>
      <c r="L2849">
        <v>49788.75</v>
      </c>
      <c r="M2849" s="1">
        <v>43466</v>
      </c>
      <c r="N2849" t="s">
        <v>45</v>
      </c>
      <c r="O2849" t="s">
        <v>106</v>
      </c>
      <c r="P2849" t="s">
        <v>47</v>
      </c>
      <c r="Q2849" s="1">
        <v>43852</v>
      </c>
      <c r="R2849" t="s">
        <v>48</v>
      </c>
      <c r="S2849" t="s">
        <v>102</v>
      </c>
      <c r="T2849" t="s">
        <v>103</v>
      </c>
      <c r="U2849" t="s">
        <v>85</v>
      </c>
      <c r="V2849">
        <v>5000000</v>
      </c>
      <c r="W2849">
        <v>250000</v>
      </c>
      <c r="X2849" s="1">
        <v>43799</v>
      </c>
      <c r="Y2849" t="s">
        <v>51</v>
      </c>
      <c r="Z2849" t="s">
        <v>43</v>
      </c>
      <c r="AA2849" t="s">
        <v>86</v>
      </c>
      <c r="AB2849" t="s">
        <v>89</v>
      </c>
      <c r="AC2849" t="s">
        <v>90</v>
      </c>
      <c r="AF2849" t="s">
        <v>93</v>
      </c>
      <c r="AG2849" s="1">
        <v>43843</v>
      </c>
      <c r="AH2849" t="s">
        <v>85</v>
      </c>
      <c r="AI2849" t="s">
        <v>92</v>
      </c>
      <c r="AJ2849">
        <v>19888</v>
      </c>
      <c r="AK2849">
        <v>128777</v>
      </c>
      <c r="AL2849">
        <v>198882</v>
      </c>
    </row>
    <row r="2850" spans="1:38" x14ac:dyDescent="0.25">
      <c r="A2850" t="s">
        <v>617</v>
      </c>
      <c r="B2850" t="s">
        <v>621</v>
      </c>
      <c r="C2850" t="s">
        <v>40</v>
      </c>
      <c r="D2850" s="1">
        <v>43466</v>
      </c>
      <c r="E2850" s="1">
        <v>43830</v>
      </c>
      <c r="F2850" t="s">
        <v>84</v>
      </c>
      <c r="G2850">
        <v>10</v>
      </c>
      <c r="H2850" t="s">
        <v>85</v>
      </c>
      <c r="I2850" t="s">
        <v>43</v>
      </c>
      <c r="J2850" t="s">
        <v>86</v>
      </c>
      <c r="K2850" t="s">
        <v>44</v>
      </c>
      <c r="L2850">
        <v>49026.75</v>
      </c>
      <c r="M2850" s="1">
        <v>43494</v>
      </c>
      <c r="N2850" t="s">
        <v>108</v>
      </c>
      <c r="O2850" t="s">
        <v>106</v>
      </c>
      <c r="P2850" t="s">
        <v>47</v>
      </c>
      <c r="Q2850" s="1">
        <v>43852</v>
      </c>
      <c r="R2850" t="s">
        <v>48</v>
      </c>
      <c r="S2850" t="s">
        <v>87</v>
      </c>
      <c r="T2850" t="s">
        <v>88</v>
      </c>
      <c r="U2850" t="s">
        <v>85</v>
      </c>
      <c r="V2850">
        <v>1400000</v>
      </c>
      <c r="W2850">
        <v>100000</v>
      </c>
      <c r="X2850" s="1">
        <v>43808</v>
      </c>
      <c r="Y2850" t="s">
        <v>51</v>
      </c>
      <c r="Z2850" t="s">
        <v>43</v>
      </c>
      <c r="AA2850" t="s">
        <v>86</v>
      </c>
      <c r="AB2850" t="s">
        <v>89</v>
      </c>
      <c r="AC2850" t="s">
        <v>90</v>
      </c>
      <c r="AF2850" t="s">
        <v>91</v>
      </c>
      <c r="AG2850" s="1">
        <v>43852</v>
      </c>
      <c r="AH2850" t="s">
        <v>85</v>
      </c>
      <c r="AI2850" t="s">
        <v>92</v>
      </c>
      <c r="AJ2850">
        <v>19888</v>
      </c>
      <c r="AK2850">
        <v>128777</v>
      </c>
      <c r="AL2850">
        <v>198882</v>
      </c>
    </row>
    <row r="2851" spans="1:38" x14ac:dyDescent="0.25">
      <c r="A2851" t="s">
        <v>617</v>
      </c>
      <c r="B2851" t="s">
        <v>621</v>
      </c>
      <c r="C2851" t="s">
        <v>40</v>
      </c>
      <c r="D2851" s="1">
        <v>43466</v>
      </c>
      <c r="E2851" s="1">
        <v>43830</v>
      </c>
      <c r="F2851" t="s">
        <v>84</v>
      </c>
      <c r="G2851">
        <v>10</v>
      </c>
      <c r="H2851" t="s">
        <v>85</v>
      </c>
      <c r="I2851" t="s">
        <v>43</v>
      </c>
      <c r="J2851" t="s">
        <v>86</v>
      </c>
      <c r="K2851" t="s">
        <v>44</v>
      </c>
      <c r="L2851">
        <v>49026.75</v>
      </c>
      <c r="M2851" s="1">
        <v>43494</v>
      </c>
      <c r="N2851" t="s">
        <v>108</v>
      </c>
      <c r="O2851" t="s">
        <v>106</v>
      </c>
      <c r="P2851" t="s">
        <v>47</v>
      </c>
      <c r="Q2851" s="1">
        <v>43852</v>
      </c>
      <c r="R2851" t="s">
        <v>48</v>
      </c>
      <c r="S2851" t="s">
        <v>87</v>
      </c>
      <c r="T2851" t="s">
        <v>88</v>
      </c>
      <c r="U2851" t="s">
        <v>85</v>
      </c>
      <c r="V2851">
        <v>1400000</v>
      </c>
      <c r="W2851">
        <v>100000</v>
      </c>
      <c r="X2851" s="1">
        <v>43808</v>
      </c>
      <c r="Y2851" t="s">
        <v>51</v>
      </c>
      <c r="Z2851" t="s">
        <v>43</v>
      </c>
      <c r="AA2851" t="s">
        <v>86</v>
      </c>
      <c r="AB2851" t="s">
        <v>89</v>
      </c>
      <c r="AC2851" t="s">
        <v>90</v>
      </c>
      <c r="AF2851" t="s">
        <v>93</v>
      </c>
      <c r="AG2851" s="1">
        <v>43843</v>
      </c>
      <c r="AH2851" t="s">
        <v>85</v>
      </c>
      <c r="AI2851" t="s">
        <v>92</v>
      </c>
      <c r="AJ2851">
        <v>19888</v>
      </c>
      <c r="AK2851">
        <v>128777</v>
      </c>
      <c r="AL2851">
        <v>198882</v>
      </c>
    </row>
    <row r="2852" spans="1:38" x14ac:dyDescent="0.25">
      <c r="A2852" t="s">
        <v>617</v>
      </c>
      <c r="B2852" t="s">
        <v>621</v>
      </c>
      <c r="C2852" t="s">
        <v>40</v>
      </c>
      <c r="D2852" s="1">
        <v>43466</v>
      </c>
      <c r="E2852" s="1">
        <v>43830</v>
      </c>
      <c r="F2852" t="s">
        <v>84</v>
      </c>
      <c r="G2852">
        <v>10</v>
      </c>
      <c r="H2852" t="s">
        <v>85</v>
      </c>
      <c r="I2852" t="s">
        <v>43</v>
      </c>
      <c r="J2852" t="s">
        <v>86</v>
      </c>
      <c r="K2852" t="s">
        <v>44</v>
      </c>
      <c r="L2852">
        <v>49026.75</v>
      </c>
      <c r="M2852" s="1">
        <v>43494</v>
      </c>
      <c r="N2852" t="s">
        <v>108</v>
      </c>
      <c r="O2852" t="s">
        <v>106</v>
      </c>
      <c r="P2852" t="s">
        <v>47</v>
      </c>
      <c r="Q2852" s="1">
        <v>43852</v>
      </c>
      <c r="R2852" t="s">
        <v>48</v>
      </c>
      <c r="S2852" t="s">
        <v>94</v>
      </c>
      <c r="T2852" t="s">
        <v>95</v>
      </c>
      <c r="U2852" t="s">
        <v>85</v>
      </c>
      <c r="V2852">
        <v>4500000</v>
      </c>
      <c r="W2852">
        <v>300000</v>
      </c>
      <c r="X2852" s="1">
        <v>43767</v>
      </c>
      <c r="Y2852" t="s">
        <v>51</v>
      </c>
      <c r="Z2852" t="s">
        <v>43</v>
      </c>
      <c r="AA2852" t="s">
        <v>86</v>
      </c>
      <c r="AB2852" t="s">
        <v>89</v>
      </c>
      <c r="AC2852" t="s">
        <v>90</v>
      </c>
      <c r="AF2852" t="s">
        <v>91</v>
      </c>
      <c r="AG2852" s="1">
        <v>43852</v>
      </c>
      <c r="AH2852" t="s">
        <v>85</v>
      </c>
      <c r="AI2852" t="s">
        <v>92</v>
      </c>
      <c r="AJ2852">
        <v>19888</v>
      </c>
      <c r="AK2852">
        <v>128777</v>
      </c>
      <c r="AL2852">
        <v>198882</v>
      </c>
    </row>
    <row r="2853" spans="1:38" x14ac:dyDescent="0.25">
      <c r="A2853" t="s">
        <v>617</v>
      </c>
      <c r="B2853" t="s">
        <v>621</v>
      </c>
      <c r="C2853" t="s">
        <v>40</v>
      </c>
      <c r="D2853" s="1">
        <v>43466</v>
      </c>
      <c r="E2853" s="1">
        <v>43830</v>
      </c>
      <c r="F2853" t="s">
        <v>84</v>
      </c>
      <c r="G2853">
        <v>10</v>
      </c>
      <c r="H2853" t="s">
        <v>85</v>
      </c>
      <c r="I2853" t="s">
        <v>43</v>
      </c>
      <c r="J2853" t="s">
        <v>86</v>
      </c>
      <c r="K2853" t="s">
        <v>44</v>
      </c>
      <c r="L2853">
        <v>49026.75</v>
      </c>
      <c r="M2853" s="1">
        <v>43494</v>
      </c>
      <c r="N2853" t="s">
        <v>108</v>
      </c>
      <c r="O2853" t="s">
        <v>106</v>
      </c>
      <c r="P2853" t="s">
        <v>47</v>
      </c>
      <c r="Q2853" s="1">
        <v>43852</v>
      </c>
      <c r="R2853" t="s">
        <v>48</v>
      </c>
      <c r="S2853" t="s">
        <v>94</v>
      </c>
      <c r="T2853" t="s">
        <v>95</v>
      </c>
      <c r="U2853" t="s">
        <v>85</v>
      </c>
      <c r="V2853">
        <v>4500000</v>
      </c>
      <c r="W2853">
        <v>300000</v>
      </c>
      <c r="X2853" s="1">
        <v>43767</v>
      </c>
      <c r="Y2853" t="s">
        <v>51</v>
      </c>
      <c r="Z2853" t="s">
        <v>43</v>
      </c>
      <c r="AA2853" t="s">
        <v>86</v>
      </c>
      <c r="AB2853" t="s">
        <v>89</v>
      </c>
      <c r="AC2853" t="s">
        <v>90</v>
      </c>
      <c r="AF2853" t="s">
        <v>93</v>
      </c>
      <c r="AG2853" s="1">
        <v>43843</v>
      </c>
      <c r="AH2853" t="s">
        <v>85</v>
      </c>
      <c r="AI2853" t="s">
        <v>92</v>
      </c>
      <c r="AJ2853">
        <v>19888</v>
      </c>
      <c r="AK2853">
        <v>128777</v>
      </c>
      <c r="AL2853">
        <v>198882</v>
      </c>
    </row>
    <row r="2854" spans="1:38" x14ac:dyDescent="0.25">
      <c r="A2854" t="s">
        <v>617</v>
      </c>
      <c r="B2854" t="s">
        <v>621</v>
      </c>
      <c r="C2854" t="s">
        <v>40</v>
      </c>
      <c r="D2854" s="1">
        <v>43466</v>
      </c>
      <c r="E2854" s="1">
        <v>43830</v>
      </c>
      <c r="F2854" t="s">
        <v>84</v>
      </c>
      <c r="G2854">
        <v>10</v>
      </c>
      <c r="H2854" t="s">
        <v>85</v>
      </c>
      <c r="I2854" t="s">
        <v>43</v>
      </c>
      <c r="J2854" t="s">
        <v>86</v>
      </c>
      <c r="K2854" t="s">
        <v>44</v>
      </c>
      <c r="L2854">
        <v>49026.75</v>
      </c>
      <c r="M2854" s="1">
        <v>43494</v>
      </c>
      <c r="N2854" t="s">
        <v>108</v>
      </c>
      <c r="O2854" t="s">
        <v>106</v>
      </c>
      <c r="P2854" t="s">
        <v>47</v>
      </c>
      <c r="Q2854" s="1">
        <v>43852</v>
      </c>
      <c r="R2854" t="s">
        <v>48</v>
      </c>
      <c r="S2854" t="s">
        <v>96</v>
      </c>
      <c r="T2854" t="s">
        <v>97</v>
      </c>
      <c r="U2854" t="s">
        <v>85</v>
      </c>
      <c r="V2854">
        <v>600000</v>
      </c>
      <c r="W2854">
        <v>100000</v>
      </c>
      <c r="X2854" s="1">
        <v>43799</v>
      </c>
      <c r="Y2854" t="s">
        <v>51</v>
      </c>
      <c r="Z2854" t="s">
        <v>43</v>
      </c>
      <c r="AA2854" t="s">
        <v>98</v>
      </c>
      <c r="AB2854" t="s">
        <v>89</v>
      </c>
      <c r="AC2854" t="s">
        <v>90</v>
      </c>
      <c r="AF2854" t="s">
        <v>91</v>
      </c>
      <c r="AG2854" s="1">
        <v>43852</v>
      </c>
      <c r="AH2854" t="s">
        <v>85</v>
      </c>
      <c r="AI2854" t="s">
        <v>92</v>
      </c>
      <c r="AJ2854">
        <v>19888</v>
      </c>
      <c r="AK2854">
        <v>128777</v>
      </c>
      <c r="AL2854">
        <v>198882</v>
      </c>
    </row>
    <row r="2855" spans="1:38" x14ac:dyDescent="0.25">
      <c r="A2855" t="s">
        <v>617</v>
      </c>
      <c r="B2855" t="s">
        <v>621</v>
      </c>
      <c r="C2855" t="s">
        <v>40</v>
      </c>
      <c r="D2855" s="1">
        <v>43466</v>
      </c>
      <c r="E2855" s="1">
        <v>43830</v>
      </c>
      <c r="F2855" t="s">
        <v>84</v>
      </c>
      <c r="G2855">
        <v>10</v>
      </c>
      <c r="H2855" t="s">
        <v>85</v>
      </c>
      <c r="I2855" t="s">
        <v>43</v>
      </c>
      <c r="J2855" t="s">
        <v>86</v>
      </c>
      <c r="K2855" t="s">
        <v>44</v>
      </c>
      <c r="L2855">
        <v>49026.75</v>
      </c>
      <c r="M2855" s="1">
        <v>43494</v>
      </c>
      <c r="N2855" t="s">
        <v>108</v>
      </c>
      <c r="O2855" t="s">
        <v>106</v>
      </c>
      <c r="P2855" t="s">
        <v>47</v>
      </c>
      <c r="Q2855" s="1">
        <v>43852</v>
      </c>
      <c r="R2855" t="s">
        <v>48</v>
      </c>
      <c r="S2855" t="s">
        <v>96</v>
      </c>
      <c r="T2855" t="s">
        <v>97</v>
      </c>
      <c r="U2855" t="s">
        <v>85</v>
      </c>
      <c r="V2855">
        <v>600000</v>
      </c>
      <c r="W2855">
        <v>100000</v>
      </c>
      <c r="X2855" s="1">
        <v>43799</v>
      </c>
      <c r="Y2855" t="s">
        <v>51</v>
      </c>
      <c r="Z2855" t="s">
        <v>43</v>
      </c>
      <c r="AA2855" t="s">
        <v>98</v>
      </c>
      <c r="AB2855" t="s">
        <v>89</v>
      </c>
      <c r="AC2855" t="s">
        <v>90</v>
      </c>
      <c r="AF2855" t="s">
        <v>93</v>
      </c>
      <c r="AG2855" s="1">
        <v>43843</v>
      </c>
      <c r="AH2855" t="s">
        <v>85</v>
      </c>
      <c r="AI2855" t="s">
        <v>92</v>
      </c>
      <c r="AJ2855">
        <v>19888</v>
      </c>
      <c r="AK2855">
        <v>128777</v>
      </c>
      <c r="AL2855">
        <v>198882</v>
      </c>
    </row>
    <row r="2856" spans="1:38" x14ac:dyDescent="0.25">
      <c r="A2856" t="s">
        <v>617</v>
      </c>
      <c r="B2856" t="s">
        <v>621</v>
      </c>
      <c r="C2856" t="s">
        <v>40</v>
      </c>
      <c r="D2856" s="1">
        <v>43466</v>
      </c>
      <c r="E2856" s="1">
        <v>43830</v>
      </c>
      <c r="F2856" t="s">
        <v>84</v>
      </c>
      <c r="G2856">
        <v>10</v>
      </c>
      <c r="H2856" t="s">
        <v>85</v>
      </c>
      <c r="I2856" t="s">
        <v>43</v>
      </c>
      <c r="J2856" t="s">
        <v>86</v>
      </c>
      <c r="K2856" t="s">
        <v>44</v>
      </c>
      <c r="L2856">
        <v>49026.75</v>
      </c>
      <c r="M2856" s="1">
        <v>43494</v>
      </c>
      <c r="N2856" t="s">
        <v>108</v>
      </c>
      <c r="O2856" t="s">
        <v>106</v>
      </c>
      <c r="P2856" t="s">
        <v>47</v>
      </c>
      <c r="Q2856" s="1">
        <v>43852</v>
      </c>
      <c r="R2856" t="s">
        <v>48</v>
      </c>
      <c r="S2856" t="s">
        <v>99</v>
      </c>
      <c r="T2856" t="s">
        <v>100</v>
      </c>
      <c r="U2856" t="s">
        <v>85</v>
      </c>
      <c r="V2856">
        <v>210000</v>
      </c>
      <c r="W2856">
        <v>35000</v>
      </c>
      <c r="X2856" s="1">
        <v>43799</v>
      </c>
      <c r="Y2856" t="s">
        <v>51</v>
      </c>
      <c r="Z2856" t="s">
        <v>43</v>
      </c>
      <c r="AA2856" t="s">
        <v>98</v>
      </c>
      <c r="AB2856" t="s">
        <v>89</v>
      </c>
      <c r="AC2856" t="s">
        <v>101</v>
      </c>
      <c r="AF2856" t="s">
        <v>91</v>
      </c>
      <c r="AG2856" s="1">
        <v>43852</v>
      </c>
      <c r="AH2856" t="s">
        <v>85</v>
      </c>
      <c r="AI2856" t="s">
        <v>92</v>
      </c>
      <c r="AJ2856">
        <v>19888</v>
      </c>
      <c r="AK2856">
        <v>128777</v>
      </c>
      <c r="AL2856">
        <v>198882</v>
      </c>
    </row>
    <row r="2857" spans="1:38" x14ac:dyDescent="0.25">
      <c r="A2857" t="s">
        <v>617</v>
      </c>
      <c r="B2857" t="s">
        <v>621</v>
      </c>
      <c r="C2857" t="s">
        <v>40</v>
      </c>
      <c r="D2857" s="1">
        <v>43466</v>
      </c>
      <c r="E2857" s="1">
        <v>43830</v>
      </c>
      <c r="F2857" t="s">
        <v>84</v>
      </c>
      <c r="G2857">
        <v>10</v>
      </c>
      <c r="H2857" t="s">
        <v>85</v>
      </c>
      <c r="I2857" t="s">
        <v>43</v>
      </c>
      <c r="J2857" t="s">
        <v>86</v>
      </c>
      <c r="K2857" t="s">
        <v>44</v>
      </c>
      <c r="L2857">
        <v>49026.75</v>
      </c>
      <c r="M2857" s="1">
        <v>43494</v>
      </c>
      <c r="N2857" t="s">
        <v>108</v>
      </c>
      <c r="O2857" t="s">
        <v>106</v>
      </c>
      <c r="P2857" t="s">
        <v>47</v>
      </c>
      <c r="Q2857" s="1">
        <v>43852</v>
      </c>
      <c r="R2857" t="s">
        <v>48</v>
      </c>
      <c r="S2857" t="s">
        <v>99</v>
      </c>
      <c r="T2857" t="s">
        <v>100</v>
      </c>
      <c r="U2857" t="s">
        <v>85</v>
      </c>
      <c r="V2857">
        <v>210000</v>
      </c>
      <c r="W2857">
        <v>35000</v>
      </c>
      <c r="X2857" s="1">
        <v>43799</v>
      </c>
      <c r="Y2857" t="s">
        <v>51</v>
      </c>
      <c r="Z2857" t="s">
        <v>43</v>
      </c>
      <c r="AA2857" t="s">
        <v>98</v>
      </c>
      <c r="AB2857" t="s">
        <v>89</v>
      </c>
      <c r="AC2857" t="s">
        <v>101</v>
      </c>
      <c r="AF2857" t="s">
        <v>93</v>
      </c>
      <c r="AG2857" s="1">
        <v>43843</v>
      </c>
      <c r="AH2857" t="s">
        <v>85</v>
      </c>
      <c r="AI2857" t="s">
        <v>92</v>
      </c>
      <c r="AJ2857">
        <v>19888</v>
      </c>
      <c r="AK2857">
        <v>128777</v>
      </c>
      <c r="AL2857">
        <v>198882</v>
      </c>
    </row>
    <row r="2858" spans="1:38" x14ac:dyDescent="0.25">
      <c r="A2858" t="s">
        <v>617</v>
      </c>
      <c r="B2858" t="s">
        <v>621</v>
      </c>
      <c r="C2858" t="s">
        <v>40</v>
      </c>
      <c r="D2858" s="1">
        <v>43466</v>
      </c>
      <c r="E2858" s="1">
        <v>43830</v>
      </c>
      <c r="F2858" t="s">
        <v>84</v>
      </c>
      <c r="G2858">
        <v>10</v>
      </c>
      <c r="H2858" t="s">
        <v>85</v>
      </c>
      <c r="I2858" t="s">
        <v>43</v>
      </c>
      <c r="J2858" t="s">
        <v>86</v>
      </c>
      <c r="K2858" t="s">
        <v>44</v>
      </c>
      <c r="L2858">
        <v>49026.75</v>
      </c>
      <c r="M2858" s="1">
        <v>43494</v>
      </c>
      <c r="N2858" t="s">
        <v>108</v>
      </c>
      <c r="O2858" t="s">
        <v>106</v>
      </c>
      <c r="P2858" t="s">
        <v>47</v>
      </c>
      <c r="Q2858" s="1">
        <v>43852</v>
      </c>
      <c r="R2858" t="s">
        <v>48</v>
      </c>
      <c r="S2858" t="s">
        <v>102</v>
      </c>
      <c r="T2858" t="s">
        <v>103</v>
      </c>
      <c r="U2858" t="s">
        <v>85</v>
      </c>
      <c r="V2858">
        <v>5000000</v>
      </c>
      <c r="W2858">
        <v>250000</v>
      </c>
      <c r="X2858" s="1">
        <v>43799</v>
      </c>
      <c r="Y2858" t="s">
        <v>51</v>
      </c>
      <c r="Z2858" t="s">
        <v>43</v>
      </c>
      <c r="AA2858" t="s">
        <v>86</v>
      </c>
      <c r="AB2858" t="s">
        <v>89</v>
      </c>
      <c r="AC2858" t="s">
        <v>90</v>
      </c>
      <c r="AF2858" t="s">
        <v>91</v>
      </c>
      <c r="AG2858" s="1">
        <v>43852</v>
      </c>
      <c r="AH2858" t="s">
        <v>85</v>
      </c>
      <c r="AI2858" t="s">
        <v>92</v>
      </c>
      <c r="AJ2858">
        <v>19888</v>
      </c>
      <c r="AK2858">
        <v>128777</v>
      </c>
      <c r="AL2858">
        <v>198882</v>
      </c>
    </row>
    <row r="2859" spans="1:38" x14ac:dyDescent="0.25">
      <c r="A2859" t="s">
        <v>617</v>
      </c>
      <c r="B2859" t="s">
        <v>621</v>
      </c>
      <c r="C2859" t="s">
        <v>40</v>
      </c>
      <c r="D2859" s="1">
        <v>43466</v>
      </c>
      <c r="E2859" s="1">
        <v>43830</v>
      </c>
      <c r="F2859" t="s">
        <v>84</v>
      </c>
      <c r="G2859">
        <v>10</v>
      </c>
      <c r="H2859" t="s">
        <v>85</v>
      </c>
      <c r="I2859" t="s">
        <v>43</v>
      </c>
      <c r="J2859" t="s">
        <v>86</v>
      </c>
      <c r="K2859" t="s">
        <v>44</v>
      </c>
      <c r="L2859">
        <v>49026.75</v>
      </c>
      <c r="M2859" s="1">
        <v>43494</v>
      </c>
      <c r="N2859" t="s">
        <v>108</v>
      </c>
      <c r="O2859" t="s">
        <v>106</v>
      </c>
      <c r="P2859" t="s">
        <v>47</v>
      </c>
      <c r="Q2859" s="1">
        <v>43852</v>
      </c>
      <c r="R2859" t="s">
        <v>48</v>
      </c>
      <c r="S2859" t="s">
        <v>102</v>
      </c>
      <c r="T2859" t="s">
        <v>103</v>
      </c>
      <c r="U2859" t="s">
        <v>85</v>
      </c>
      <c r="V2859">
        <v>5000000</v>
      </c>
      <c r="W2859">
        <v>250000</v>
      </c>
      <c r="X2859" s="1">
        <v>43799</v>
      </c>
      <c r="Y2859" t="s">
        <v>51</v>
      </c>
      <c r="Z2859" t="s">
        <v>43</v>
      </c>
      <c r="AA2859" t="s">
        <v>86</v>
      </c>
      <c r="AB2859" t="s">
        <v>89</v>
      </c>
      <c r="AC2859" t="s">
        <v>90</v>
      </c>
      <c r="AF2859" t="s">
        <v>93</v>
      </c>
      <c r="AG2859" s="1">
        <v>43843</v>
      </c>
      <c r="AH2859" t="s">
        <v>85</v>
      </c>
      <c r="AI2859" t="s">
        <v>92</v>
      </c>
      <c r="AJ2859">
        <v>19888</v>
      </c>
      <c r="AK2859">
        <v>128777</v>
      </c>
      <c r="AL2859">
        <v>198882</v>
      </c>
    </row>
    <row r="2860" spans="1:38" x14ac:dyDescent="0.25">
      <c r="A2860" t="s">
        <v>617</v>
      </c>
      <c r="B2860" t="s">
        <v>621</v>
      </c>
      <c r="C2860" t="s">
        <v>40</v>
      </c>
      <c r="D2860" s="1">
        <v>43466</v>
      </c>
      <c r="E2860" s="1">
        <v>43830</v>
      </c>
      <c r="F2860" t="s">
        <v>84</v>
      </c>
      <c r="G2860">
        <v>10</v>
      </c>
      <c r="H2860" t="s">
        <v>85</v>
      </c>
      <c r="I2860" t="s">
        <v>43</v>
      </c>
      <c r="J2860" t="s">
        <v>86</v>
      </c>
      <c r="K2860" t="s">
        <v>44</v>
      </c>
      <c r="L2860">
        <v>1613.78</v>
      </c>
      <c r="M2860" s="1">
        <v>43535</v>
      </c>
      <c r="N2860" t="s">
        <v>108</v>
      </c>
      <c r="O2860" t="s">
        <v>106</v>
      </c>
      <c r="P2860" t="s">
        <v>47</v>
      </c>
      <c r="Q2860" s="1">
        <v>43852</v>
      </c>
      <c r="R2860" t="s">
        <v>48</v>
      </c>
      <c r="S2860" t="s">
        <v>87</v>
      </c>
      <c r="T2860" t="s">
        <v>88</v>
      </c>
      <c r="U2860" t="s">
        <v>85</v>
      </c>
      <c r="V2860">
        <v>1400000</v>
      </c>
      <c r="W2860">
        <v>100000</v>
      </c>
      <c r="X2860" s="1">
        <v>43808</v>
      </c>
      <c r="Y2860" t="s">
        <v>51</v>
      </c>
      <c r="Z2860" t="s">
        <v>43</v>
      </c>
      <c r="AA2860" t="s">
        <v>86</v>
      </c>
      <c r="AB2860" t="s">
        <v>89</v>
      </c>
      <c r="AC2860" t="s">
        <v>90</v>
      </c>
      <c r="AF2860" t="s">
        <v>91</v>
      </c>
      <c r="AG2860" s="1">
        <v>43852</v>
      </c>
      <c r="AH2860" t="s">
        <v>85</v>
      </c>
      <c r="AI2860" t="s">
        <v>92</v>
      </c>
      <c r="AJ2860">
        <v>19888</v>
      </c>
      <c r="AK2860">
        <v>128777</v>
      </c>
      <c r="AL2860">
        <v>198882</v>
      </c>
    </row>
    <row r="2861" spans="1:38" x14ac:dyDescent="0.25">
      <c r="A2861" t="s">
        <v>617</v>
      </c>
      <c r="B2861" t="s">
        <v>621</v>
      </c>
      <c r="C2861" t="s">
        <v>40</v>
      </c>
      <c r="D2861" s="1">
        <v>43466</v>
      </c>
      <c r="E2861" s="1">
        <v>43830</v>
      </c>
      <c r="F2861" t="s">
        <v>84</v>
      </c>
      <c r="G2861">
        <v>10</v>
      </c>
      <c r="H2861" t="s">
        <v>85</v>
      </c>
      <c r="I2861" t="s">
        <v>43</v>
      </c>
      <c r="J2861" t="s">
        <v>86</v>
      </c>
      <c r="K2861" t="s">
        <v>44</v>
      </c>
      <c r="L2861">
        <v>1613.78</v>
      </c>
      <c r="M2861" s="1">
        <v>43535</v>
      </c>
      <c r="N2861" t="s">
        <v>108</v>
      </c>
      <c r="O2861" t="s">
        <v>106</v>
      </c>
      <c r="P2861" t="s">
        <v>47</v>
      </c>
      <c r="Q2861" s="1">
        <v>43852</v>
      </c>
      <c r="R2861" t="s">
        <v>48</v>
      </c>
      <c r="S2861" t="s">
        <v>87</v>
      </c>
      <c r="T2861" t="s">
        <v>88</v>
      </c>
      <c r="U2861" t="s">
        <v>85</v>
      </c>
      <c r="V2861">
        <v>1400000</v>
      </c>
      <c r="W2861">
        <v>100000</v>
      </c>
      <c r="X2861" s="1">
        <v>43808</v>
      </c>
      <c r="Y2861" t="s">
        <v>51</v>
      </c>
      <c r="Z2861" t="s">
        <v>43</v>
      </c>
      <c r="AA2861" t="s">
        <v>86</v>
      </c>
      <c r="AB2861" t="s">
        <v>89</v>
      </c>
      <c r="AC2861" t="s">
        <v>90</v>
      </c>
      <c r="AF2861" t="s">
        <v>93</v>
      </c>
      <c r="AG2861" s="1">
        <v>43843</v>
      </c>
      <c r="AH2861" t="s">
        <v>85</v>
      </c>
      <c r="AI2861" t="s">
        <v>92</v>
      </c>
      <c r="AJ2861">
        <v>19888</v>
      </c>
      <c r="AK2861">
        <v>128777</v>
      </c>
      <c r="AL2861">
        <v>198882</v>
      </c>
    </row>
    <row r="2862" spans="1:38" x14ac:dyDescent="0.25">
      <c r="A2862" t="s">
        <v>617</v>
      </c>
      <c r="B2862" t="s">
        <v>621</v>
      </c>
      <c r="C2862" t="s">
        <v>40</v>
      </c>
      <c r="D2862" s="1">
        <v>43466</v>
      </c>
      <c r="E2862" s="1">
        <v>43830</v>
      </c>
      <c r="F2862" t="s">
        <v>84</v>
      </c>
      <c r="G2862">
        <v>10</v>
      </c>
      <c r="H2862" t="s">
        <v>85</v>
      </c>
      <c r="I2862" t="s">
        <v>43</v>
      </c>
      <c r="J2862" t="s">
        <v>86</v>
      </c>
      <c r="K2862" t="s">
        <v>44</v>
      </c>
      <c r="L2862">
        <v>1613.78</v>
      </c>
      <c r="M2862" s="1">
        <v>43535</v>
      </c>
      <c r="N2862" t="s">
        <v>108</v>
      </c>
      <c r="O2862" t="s">
        <v>106</v>
      </c>
      <c r="P2862" t="s">
        <v>47</v>
      </c>
      <c r="Q2862" s="1">
        <v>43852</v>
      </c>
      <c r="R2862" t="s">
        <v>48</v>
      </c>
      <c r="S2862" t="s">
        <v>94</v>
      </c>
      <c r="T2862" t="s">
        <v>95</v>
      </c>
      <c r="U2862" t="s">
        <v>85</v>
      </c>
      <c r="V2862">
        <v>4500000</v>
      </c>
      <c r="W2862">
        <v>300000</v>
      </c>
      <c r="X2862" s="1">
        <v>43767</v>
      </c>
      <c r="Y2862" t="s">
        <v>51</v>
      </c>
      <c r="Z2862" t="s">
        <v>43</v>
      </c>
      <c r="AA2862" t="s">
        <v>86</v>
      </c>
      <c r="AB2862" t="s">
        <v>89</v>
      </c>
      <c r="AC2862" t="s">
        <v>90</v>
      </c>
      <c r="AF2862" t="s">
        <v>91</v>
      </c>
      <c r="AG2862" s="1">
        <v>43852</v>
      </c>
      <c r="AH2862" t="s">
        <v>85</v>
      </c>
      <c r="AI2862" t="s">
        <v>92</v>
      </c>
      <c r="AJ2862">
        <v>19888</v>
      </c>
      <c r="AK2862">
        <v>128777</v>
      </c>
      <c r="AL2862">
        <v>198882</v>
      </c>
    </row>
    <row r="2863" spans="1:38" x14ac:dyDescent="0.25">
      <c r="A2863" t="s">
        <v>617</v>
      </c>
      <c r="B2863" t="s">
        <v>621</v>
      </c>
      <c r="C2863" t="s">
        <v>40</v>
      </c>
      <c r="D2863" s="1">
        <v>43466</v>
      </c>
      <c r="E2863" s="1">
        <v>43830</v>
      </c>
      <c r="F2863" t="s">
        <v>84</v>
      </c>
      <c r="G2863">
        <v>10</v>
      </c>
      <c r="H2863" t="s">
        <v>85</v>
      </c>
      <c r="I2863" t="s">
        <v>43</v>
      </c>
      <c r="J2863" t="s">
        <v>86</v>
      </c>
      <c r="K2863" t="s">
        <v>44</v>
      </c>
      <c r="L2863">
        <v>1613.78</v>
      </c>
      <c r="M2863" s="1">
        <v>43535</v>
      </c>
      <c r="N2863" t="s">
        <v>108</v>
      </c>
      <c r="O2863" t="s">
        <v>106</v>
      </c>
      <c r="P2863" t="s">
        <v>47</v>
      </c>
      <c r="Q2863" s="1">
        <v>43852</v>
      </c>
      <c r="R2863" t="s">
        <v>48</v>
      </c>
      <c r="S2863" t="s">
        <v>94</v>
      </c>
      <c r="T2863" t="s">
        <v>95</v>
      </c>
      <c r="U2863" t="s">
        <v>85</v>
      </c>
      <c r="V2863">
        <v>4500000</v>
      </c>
      <c r="W2863">
        <v>300000</v>
      </c>
      <c r="X2863" s="1">
        <v>43767</v>
      </c>
      <c r="Y2863" t="s">
        <v>51</v>
      </c>
      <c r="Z2863" t="s">
        <v>43</v>
      </c>
      <c r="AA2863" t="s">
        <v>86</v>
      </c>
      <c r="AB2863" t="s">
        <v>89</v>
      </c>
      <c r="AC2863" t="s">
        <v>90</v>
      </c>
      <c r="AF2863" t="s">
        <v>93</v>
      </c>
      <c r="AG2863" s="1">
        <v>43843</v>
      </c>
      <c r="AH2863" t="s">
        <v>85</v>
      </c>
      <c r="AI2863" t="s">
        <v>92</v>
      </c>
      <c r="AJ2863">
        <v>19888</v>
      </c>
      <c r="AK2863">
        <v>128777</v>
      </c>
      <c r="AL2863">
        <v>198882</v>
      </c>
    </row>
    <row r="2864" spans="1:38" x14ac:dyDescent="0.25">
      <c r="A2864" t="s">
        <v>617</v>
      </c>
      <c r="B2864" t="s">
        <v>621</v>
      </c>
      <c r="C2864" t="s">
        <v>40</v>
      </c>
      <c r="D2864" s="1">
        <v>43466</v>
      </c>
      <c r="E2864" s="1">
        <v>43830</v>
      </c>
      <c r="F2864" t="s">
        <v>84</v>
      </c>
      <c r="G2864">
        <v>10</v>
      </c>
      <c r="H2864" t="s">
        <v>85</v>
      </c>
      <c r="I2864" t="s">
        <v>43</v>
      </c>
      <c r="J2864" t="s">
        <v>86</v>
      </c>
      <c r="K2864" t="s">
        <v>44</v>
      </c>
      <c r="L2864">
        <v>1613.78</v>
      </c>
      <c r="M2864" s="1">
        <v>43535</v>
      </c>
      <c r="N2864" t="s">
        <v>108</v>
      </c>
      <c r="O2864" t="s">
        <v>106</v>
      </c>
      <c r="P2864" t="s">
        <v>47</v>
      </c>
      <c r="Q2864" s="1">
        <v>43852</v>
      </c>
      <c r="R2864" t="s">
        <v>48</v>
      </c>
      <c r="S2864" t="s">
        <v>96</v>
      </c>
      <c r="T2864" t="s">
        <v>97</v>
      </c>
      <c r="U2864" t="s">
        <v>85</v>
      </c>
      <c r="V2864">
        <v>600000</v>
      </c>
      <c r="W2864">
        <v>100000</v>
      </c>
      <c r="X2864" s="1">
        <v>43799</v>
      </c>
      <c r="Y2864" t="s">
        <v>51</v>
      </c>
      <c r="Z2864" t="s">
        <v>43</v>
      </c>
      <c r="AA2864" t="s">
        <v>98</v>
      </c>
      <c r="AB2864" t="s">
        <v>89</v>
      </c>
      <c r="AC2864" t="s">
        <v>90</v>
      </c>
      <c r="AF2864" t="s">
        <v>91</v>
      </c>
      <c r="AG2864" s="1">
        <v>43852</v>
      </c>
      <c r="AH2864" t="s">
        <v>85</v>
      </c>
      <c r="AI2864" t="s">
        <v>92</v>
      </c>
      <c r="AJ2864">
        <v>19888</v>
      </c>
      <c r="AK2864">
        <v>128777</v>
      </c>
      <c r="AL2864">
        <v>198882</v>
      </c>
    </row>
    <row r="2865" spans="1:38" x14ac:dyDescent="0.25">
      <c r="A2865" t="s">
        <v>617</v>
      </c>
      <c r="B2865" t="s">
        <v>621</v>
      </c>
      <c r="C2865" t="s">
        <v>40</v>
      </c>
      <c r="D2865" s="1">
        <v>43466</v>
      </c>
      <c r="E2865" s="1">
        <v>43830</v>
      </c>
      <c r="F2865" t="s">
        <v>84</v>
      </c>
      <c r="G2865">
        <v>10</v>
      </c>
      <c r="H2865" t="s">
        <v>85</v>
      </c>
      <c r="I2865" t="s">
        <v>43</v>
      </c>
      <c r="J2865" t="s">
        <v>86</v>
      </c>
      <c r="K2865" t="s">
        <v>44</v>
      </c>
      <c r="L2865">
        <v>1613.78</v>
      </c>
      <c r="M2865" s="1">
        <v>43535</v>
      </c>
      <c r="N2865" t="s">
        <v>108</v>
      </c>
      <c r="O2865" t="s">
        <v>106</v>
      </c>
      <c r="P2865" t="s">
        <v>47</v>
      </c>
      <c r="Q2865" s="1">
        <v>43852</v>
      </c>
      <c r="R2865" t="s">
        <v>48</v>
      </c>
      <c r="S2865" t="s">
        <v>96</v>
      </c>
      <c r="T2865" t="s">
        <v>97</v>
      </c>
      <c r="U2865" t="s">
        <v>85</v>
      </c>
      <c r="V2865">
        <v>600000</v>
      </c>
      <c r="W2865">
        <v>100000</v>
      </c>
      <c r="X2865" s="1">
        <v>43799</v>
      </c>
      <c r="Y2865" t="s">
        <v>51</v>
      </c>
      <c r="Z2865" t="s">
        <v>43</v>
      </c>
      <c r="AA2865" t="s">
        <v>98</v>
      </c>
      <c r="AB2865" t="s">
        <v>89</v>
      </c>
      <c r="AC2865" t="s">
        <v>90</v>
      </c>
      <c r="AF2865" t="s">
        <v>93</v>
      </c>
      <c r="AG2865" s="1">
        <v>43843</v>
      </c>
      <c r="AH2865" t="s">
        <v>85</v>
      </c>
      <c r="AI2865" t="s">
        <v>92</v>
      </c>
      <c r="AJ2865">
        <v>19888</v>
      </c>
      <c r="AK2865">
        <v>128777</v>
      </c>
      <c r="AL2865">
        <v>198882</v>
      </c>
    </row>
    <row r="2866" spans="1:38" x14ac:dyDescent="0.25">
      <c r="A2866" t="s">
        <v>617</v>
      </c>
      <c r="B2866" t="s">
        <v>621</v>
      </c>
      <c r="C2866" t="s">
        <v>40</v>
      </c>
      <c r="D2866" s="1">
        <v>43466</v>
      </c>
      <c r="E2866" s="1">
        <v>43830</v>
      </c>
      <c r="F2866" t="s">
        <v>84</v>
      </c>
      <c r="G2866">
        <v>10</v>
      </c>
      <c r="H2866" t="s">
        <v>85</v>
      </c>
      <c r="I2866" t="s">
        <v>43</v>
      </c>
      <c r="J2866" t="s">
        <v>86</v>
      </c>
      <c r="K2866" t="s">
        <v>44</v>
      </c>
      <c r="L2866">
        <v>1613.78</v>
      </c>
      <c r="M2866" s="1">
        <v>43535</v>
      </c>
      <c r="N2866" t="s">
        <v>108</v>
      </c>
      <c r="O2866" t="s">
        <v>106</v>
      </c>
      <c r="P2866" t="s">
        <v>47</v>
      </c>
      <c r="Q2866" s="1">
        <v>43852</v>
      </c>
      <c r="R2866" t="s">
        <v>48</v>
      </c>
      <c r="S2866" t="s">
        <v>99</v>
      </c>
      <c r="T2866" t="s">
        <v>100</v>
      </c>
      <c r="U2866" t="s">
        <v>85</v>
      </c>
      <c r="V2866">
        <v>210000</v>
      </c>
      <c r="W2866">
        <v>35000</v>
      </c>
      <c r="X2866" s="1">
        <v>43799</v>
      </c>
      <c r="Y2866" t="s">
        <v>51</v>
      </c>
      <c r="Z2866" t="s">
        <v>43</v>
      </c>
      <c r="AA2866" t="s">
        <v>98</v>
      </c>
      <c r="AB2866" t="s">
        <v>89</v>
      </c>
      <c r="AC2866" t="s">
        <v>101</v>
      </c>
      <c r="AF2866" t="s">
        <v>91</v>
      </c>
      <c r="AG2866" s="1">
        <v>43852</v>
      </c>
      <c r="AH2866" t="s">
        <v>85</v>
      </c>
      <c r="AI2866" t="s">
        <v>92</v>
      </c>
      <c r="AJ2866">
        <v>19888</v>
      </c>
      <c r="AK2866">
        <v>128777</v>
      </c>
      <c r="AL2866">
        <v>198882</v>
      </c>
    </row>
    <row r="2867" spans="1:38" x14ac:dyDescent="0.25">
      <c r="A2867" t="s">
        <v>617</v>
      </c>
      <c r="B2867" t="s">
        <v>621</v>
      </c>
      <c r="C2867" t="s">
        <v>40</v>
      </c>
      <c r="D2867" s="1">
        <v>43466</v>
      </c>
      <c r="E2867" s="1">
        <v>43830</v>
      </c>
      <c r="F2867" t="s">
        <v>84</v>
      </c>
      <c r="G2867">
        <v>10</v>
      </c>
      <c r="H2867" t="s">
        <v>85</v>
      </c>
      <c r="I2867" t="s">
        <v>43</v>
      </c>
      <c r="J2867" t="s">
        <v>86</v>
      </c>
      <c r="K2867" t="s">
        <v>44</v>
      </c>
      <c r="L2867">
        <v>1613.78</v>
      </c>
      <c r="M2867" s="1">
        <v>43535</v>
      </c>
      <c r="N2867" t="s">
        <v>108</v>
      </c>
      <c r="O2867" t="s">
        <v>106</v>
      </c>
      <c r="P2867" t="s">
        <v>47</v>
      </c>
      <c r="Q2867" s="1">
        <v>43852</v>
      </c>
      <c r="R2867" t="s">
        <v>48</v>
      </c>
      <c r="S2867" t="s">
        <v>99</v>
      </c>
      <c r="T2867" t="s">
        <v>100</v>
      </c>
      <c r="U2867" t="s">
        <v>85</v>
      </c>
      <c r="V2867">
        <v>210000</v>
      </c>
      <c r="W2867">
        <v>35000</v>
      </c>
      <c r="X2867" s="1">
        <v>43799</v>
      </c>
      <c r="Y2867" t="s">
        <v>51</v>
      </c>
      <c r="Z2867" t="s">
        <v>43</v>
      </c>
      <c r="AA2867" t="s">
        <v>98</v>
      </c>
      <c r="AB2867" t="s">
        <v>89</v>
      </c>
      <c r="AC2867" t="s">
        <v>101</v>
      </c>
      <c r="AF2867" t="s">
        <v>93</v>
      </c>
      <c r="AG2867" s="1">
        <v>43843</v>
      </c>
      <c r="AH2867" t="s">
        <v>85</v>
      </c>
      <c r="AI2867" t="s">
        <v>92</v>
      </c>
      <c r="AJ2867">
        <v>19888</v>
      </c>
      <c r="AK2867">
        <v>128777</v>
      </c>
      <c r="AL2867">
        <v>198882</v>
      </c>
    </row>
    <row r="2868" spans="1:38" x14ac:dyDescent="0.25">
      <c r="A2868" t="s">
        <v>617</v>
      </c>
      <c r="B2868" t="s">
        <v>621</v>
      </c>
      <c r="C2868" t="s">
        <v>40</v>
      </c>
      <c r="D2868" s="1">
        <v>43466</v>
      </c>
      <c r="E2868" s="1">
        <v>43830</v>
      </c>
      <c r="F2868" t="s">
        <v>84</v>
      </c>
      <c r="G2868">
        <v>10</v>
      </c>
      <c r="H2868" t="s">
        <v>85</v>
      </c>
      <c r="I2868" t="s">
        <v>43</v>
      </c>
      <c r="J2868" t="s">
        <v>86</v>
      </c>
      <c r="K2868" t="s">
        <v>44</v>
      </c>
      <c r="L2868">
        <v>1613.78</v>
      </c>
      <c r="M2868" s="1">
        <v>43535</v>
      </c>
      <c r="N2868" t="s">
        <v>108</v>
      </c>
      <c r="O2868" t="s">
        <v>106</v>
      </c>
      <c r="P2868" t="s">
        <v>47</v>
      </c>
      <c r="Q2868" s="1">
        <v>43852</v>
      </c>
      <c r="R2868" t="s">
        <v>48</v>
      </c>
      <c r="S2868" t="s">
        <v>102</v>
      </c>
      <c r="T2868" t="s">
        <v>103</v>
      </c>
      <c r="U2868" t="s">
        <v>85</v>
      </c>
      <c r="V2868">
        <v>5000000</v>
      </c>
      <c r="W2868">
        <v>250000</v>
      </c>
      <c r="X2868" s="1">
        <v>43799</v>
      </c>
      <c r="Y2868" t="s">
        <v>51</v>
      </c>
      <c r="Z2868" t="s">
        <v>43</v>
      </c>
      <c r="AA2868" t="s">
        <v>86</v>
      </c>
      <c r="AB2868" t="s">
        <v>89</v>
      </c>
      <c r="AC2868" t="s">
        <v>90</v>
      </c>
      <c r="AF2868" t="s">
        <v>91</v>
      </c>
      <c r="AG2868" s="1">
        <v>43852</v>
      </c>
      <c r="AH2868" t="s">
        <v>85</v>
      </c>
      <c r="AI2868" t="s">
        <v>92</v>
      </c>
      <c r="AJ2868">
        <v>19888</v>
      </c>
      <c r="AK2868">
        <v>128777</v>
      </c>
      <c r="AL2868">
        <v>198882</v>
      </c>
    </row>
    <row r="2869" spans="1:38" x14ac:dyDescent="0.25">
      <c r="A2869" t="s">
        <v>617</v>
      </c>
      <c r="B2869" t="s">
        <v>621</v>
      </c>
      <c r="C2869" t="s">
        <v>40</v>
      </c>
      <c r="D2869" s="1">
        <v>43466</v>
      </c>
      <c r="E2869" s="1">
        <v>43830</v>
      </c>
      <c r="F2869" t="s">
        <v>84</v>
      </c>
      <c r="G2869">
        <v>10</v>
      </c>
      <c r="H2869" t="s">
        <v>85</v>
      </c>
      <c r="I2869" t="s">
        <v>43</v>
      </c>
      <c r="J2869" t="s">
        <v>86</v>
      </c>
      <c r="K2869" t="s">
        <v>44</v>
      </c>
      <c r="L2869">
        <v>1613.78</v>
      </c>
      <c r="M2869" s="1">
        <v>43535</v>
      </c>
      <c r="N2869" t="s">
        <v>108</v>
      </c>
      <c r="O2869" t="s">
        <v>106</v>
      </c>
      <c r="P2869" t="s">
        <v>47</v>
      </c>
      <c r="Q2869" s="1">
        <v>43852</v>
      </c>
      <c r="R2869" t="s">
        <v>48</v>
      </c>
      <c r="S2869" t="s">
        <v>102</v>
      </c>
      <c r="T2869" t="s">
        <v>103</v>
      </c>
      <c r="U2869" t="s">
        <v>85</v>
      </c>
      <c r="V2869">
        <v>5000000</v>
      </c>
      <c r="W2869">
        <v>250000</v>
      </c>
      <c r="X2869" s="1">
        <v>43799</v>
      </c>
      <c r="Y2869" t="s">
        <v>51</v>
      </c>
      <c r="Z2869" t="s">
        <v>43</v>
      </c>
      <c r="AA2869" t="s">
        <v>86</v>
      </c>
      <c r="AB2869" t="s">
        <v>89</v>
      </c>
      <c r="AC2869" t="s">
        <v>90</v>
      </c>
      <c r="AF2869" t="s">
        <v>93</v>
      </c>
      <c r="AG2869" s="1">
        <v>43843</v>
      </c>
      <c r="AH2869" t="s">
        <v>85</v>
      </c>
      <c r="AI2869" t="s">
        <v>92</v>
      </c>
      <c r="AJ2869">
        <v>19888</v>
      </c>
      <c r="AK2869">
        <v>128777</v>
      </c>
      <c r="AL2869">
        <v>198882</v>
      </c>
    </row>
    <row r="2870" spans="1:38" x14ac:dyDescent="0.25">
      <c r="A2870" t="s">
        <v>617</v>
      </c>
      <c r="B2870" t="s">
        <v>621</v>
      </c>
      <c r="C2870" t="s">
        <v>40</v>
      </c>
      <c r="D2870" s="1">
        <v>43466</v>
      </c>
      <c r="E2870" s="1">
        <v>43830</v>
      </c>
      <c r="F2870" t="s">
        <v>84</v>
      </c>
      <c r="G2870">
        <v>10</v>
      </c>
      <c r="H2870" t="s">
        <v>85</v>
      </c>
      <c r="I2870" t="s">
        <v>43</v>
      </c>
      <c r="J2870" t="s">
        <v>86</v>
      </c>
      <c r="K2870" t="s">
        <v>44</v>
      </c>
      <c r="L2870">
        <v>49026.66</v>
      </c>
      <c r="M2870" s="1">
        <v>43500</v>
      </c>
      <c r="N2870" t="s">
        <v>108</v>
      </c>
      <c r="O2870" t="s">
        <v>106</v>
      </c>
      <c r="P2870" t="s">
        <v>47</v>
      </c>
      <c r="Q2870" s="1">
        <v>43852</v>
      </c>
      <c r="R2870" t="s">
        <v>48</v>
      </c>
      <c r="S2870" t="s">
        <v>87</v>
      </c>
      <c r="T2870" t="s">
        <v>88</v>
      </c>
      <c r="U2870" t="s">
        <v>85</v>
      </c>
      <c r="V2870">
        <v>1400000</v>
      </c>
      <c r="W2870">
        <v>100000</v>
      </c>
      <c r="X2870" s="1">
        <v>43808</v>
      </c>
      <c r="Y2870" t="s">
        <v>51</v>
      </c>
      <c r="Z2870" t="s">
        <v>43</v>
      </c>
      <c r="AA2870" t="s">
        <v>86</v>
      </c>
      <c r="AB2870" t="s">
        <v>89</v>
      </c>
      <c r="AC2870" t="s">
        <v>90</v>
      </c>
      <c r="AF2870" t="s">
        <v>91</v>
      </c>
      <c r="AG2870" s="1">
        <v>43852</v>
      </c>
      <c r="AH2870" t="s">
        <v>85</v>
      </c>
      <c r="AI2870" t="s">
        <v>92</v>
      </c>
      <c r="AJ2870">
        <v>19888</v>
      </c>
      <c r="AK2870">
        <v>128777</v>
      </c>
      <c r="AL2870">
        <v>198882</v>
      </c>
    </row>
    <row r="2871" spans="1:38" x14ac:dyDescent="0.25">
      <c r="A2871" t="s">
        <v>617</v>
      </c>
      <c r="B2871" t="s">
        <v>621</v>
      </c>
      <c r="C2871" t="s">
        <v>40</v>
      </c>
      <c r="D2871" s="1">
        <v>43466</v>
      </c>
      <c r="E2871" s="1">
        <v>43830</v>
      </c>
      <c r="F2871" t="s">
        <v>84</v>
      </c>
      <c r="G2871">
        <v>10</v>
      </c>
      <c r="H2871" t="s">
        <v>85</v>
      </c>
      <c r="I2871" t="s">
        <v>43</v>
      </c>
      <c r="J2871" t="s">
        <v>86</v>
      </c>
      <c r="K2871" t="s">
        <v>44</v>
      </c>
      <c r="L2871">
        <v>49026.66</v>
      </c>
      <c r="M2871" s="1">
        <v>43500</v>
      </c>
      <c r="N2871" t="s">
        <v>108</v>
      </c>
      <c r="O2871" t="s">
        <v>106</v>
      </c>
      <c r="P2871" t="s">
        <v>47</v>
      </c>
      <c r="Q2871" s="1">
        <v>43852</v>
      </c>
      <c r="R2871" t="s">
        <v>48</v>
      </c>
      <c r="S2871" t="s">
        <v>87</v>
      </c>
      <c r="T2871" t="s">
        <v>88</v>
      </c>
      <c r="U2871" t="s">
        <v>85</v>
      </c>
      <c r="V2871">
        <v>1400000</v>
      </c>
      <c r="W2871">
        <v>100000</v>
      </c>
      <c r="X2871" s="1">
        <v>43808</v>
      </c>
      <c r="Y2871" t="s">
        <v>51</v>
      </c>
      <c r="Z2871" t="s">
        <v>43</v>
      </c>
      <c r="AA2871" t="s">
        <v>86</v>
      </c>
      <c r="AB2871" t="s">
        <v>89</v>
      </c>
      <c r="AC2871" t="s">
        <v>90</v>
      </c>
      <c r="AF2871" t="s">
        <v>93</v>
      </c>
      <c r="AG2871" s="1">
        <v>43843</v>
      </c>
      <c r="AH2871" t="s">
        <v>85</v>
      </c>
      <c r="AI2871" t="s">
        <v>92</v>
      </c>
      <c r="AJ2871">
        <v>19888</v>
      </c>
      <c r="AK2871">
        <v>128777</v>
      </c>
      <c r="AL2871">
        <v>198882</v>
      </c>
    </row>
    <row r="2872" spans="1:38" x14ac:dyDescent="0.25">
      <c r="A2872" t="s">
        <v>617</v>
      </c>
      <c r="B2872" t="s">
        <v>621</v>
      </c>
      <c r="C2872" t="s">
        <v>40</v>
      </c>
      <c r="D2872" s="1">
        <v>43466</v>
      </c>
      <c r="E2872" s="1">
        <v>43830</v>
      </c>
      <c r="F2872" t="s">
        <v>84</v>
      </c>
      <c r="G2872">
        <v>10</v>
      </c>
      <c r="H2872" t="s">
        <v>85</v>
      </c>
      <c r="I2872" t="s">
        <v>43</v>
      </c>
      <c r="J2872" t="s">
        <v>86</v>
      </c>
      <c r="K2872" t="s">
        <v>44</v>
      </c>
      <c r="L2872">
        <v>49026.66</v>
      </c>
      <c r="M2872" s="1">
        <v>43500</v>
      </c>
      <c r="N2872" t="s">
        <v>108</v>
      </c>
      <c r="O2872" t="s">
        <v>106</v>
      </c>
      <c r="P2872" t="s">
        <v>47</v>
      </c>
      <c r="Q2872" s="1">
        <v>43852</v>
      </c>
      <c r="R2872" t="s">
        <v>48</v>
      </c>
      <c r="S2872" t="s">
        <v>94</v>
      </c>
      <c r="T2872" t="s">
        <v>95</v>
      </c>
      <c r="U2872" t="s">
        <v>85</v>
      </c>
      <c r="V2872">
        <v>4500000</v>
      </c>
      <c r="W2872">
        <v>300000</v>
      </c>
      <c r="X2872" s="1">
        <v>43767</v>
      </c>
      <c r="Y2872" t="s">
        <v>51</v>
      </c>
      <c r="Z2872" t="s">
        <v>43</v>
      </c>
      <c r="AA2872" t="s">
        <v>86</v>
      </c>
      <c r="AB2872" t="s">
        <v>89</v>
      </c>
      <c r="AC2872" t="s">
        <v>90</v>
      </c>
      <c r="AF2872" t="s">
        <v>91</v>
      </c>
      <c r="AG2872" s="1">
        <v>43852</v>
      </c>
      <c r="AH2872" t="s">
        <v>85</v>
      </c>
      <c r="AI2872" t="s">
        <v>92</v>
      </c>
      <c r="AJ2872">
        <v>19888</v>
      </c>
      <c r="AK2872">
        <v>128777</v>
      </c>
      <c r="AL2872">
        <v>198882</v>
      </c>
    </row>
    <row r="2873" spans="1:38" x14ac:dyDescent="0.25">
      <c r="A2873" t="s">
        <v>617</v>
      </c>
      <c r="B2873" t="s">
        <v>621</v>
      </c>
      <c r="C2873" t="s">
        <v>40</v>
      </c>
      <c r="D2873" s="1">
        <v>43466</v>
      </c>
      <c r="E2873" s="1">
        <v>43830</v>
      </c>
      <c r="F2873" t="s">
        <v>84</v>
      </c>
      <c r="G2873">
        <v>10</v>
      </c>
      <c r="H2873" t="s">
        <v>85</v>
      </c>
      <c r="I2873" t="s">
        <v>43</v>
      </c>
      <c r="J2873" t="s">
        <v>86</v>
      </c>
      <c r="K2873" t="s">
        <v>44</v>
      </c>
      <c r="L2873">
        <v>49026.66</v>
      </c>
      <c r="M2873" s="1">
        <v>43500</v>
      </c>
      <c r="N2873" t="s">
        <v>108</v>
      </c>
      <c r="O2873" t="s">
        <v>106</v>
      </c>
      <c r="P2873" t="s">
        <v>47</v>
      </c>
      <c r="Q2873" s="1">
        <v>43852</v>
      </c>
      <c r="R2873" t="s">
        <v>48</v>
      </c>
      <c r="S2873" t="s">
        <v>94</v>
      </c>
      <c r="T2873" t="s">
        <v>95</v>
      </c>
      <c r="U2873" t="s">
        <v>85</v>
      </c>
      <c r="V2873">
        <v>4500000</v>
      </c>
      <c r="W2873">
        <v>300000</v>
      </c>
      <c r="X2873" s="1">
        <v>43767</v>
      </c>
      <c r="Y2873" t="s">
        <v>51</v>
      </c>
      <c r="Z2873" t="s">
        <v>43</v>
      </c>
      <c r="AA2873" t="s">
        <v>86</v>
      </c>
      <c r="AB2873" t="s">
        <v>89</v>
      </c>
      <c r="AC2873" t="s">
        <v>90</v>
      </c>
      <c r="AF2873" t="s">
        <v>93</v>
      </c>
      <c r="AG2873" s="1">
        <v>43843</v>
      </c>
      <c r="AH2873" t="s">
        <v>85</v>
      </c>
      <c r="AI2873" t="s">
        <v>92</v>
      </c>
      <c r="AJ2873">
        <v>19888</v>
      </c>
      <c r="AK2873">
        <v>128777</v>
      </c>
      <c r="AL2873">
        <v>198882</v>
      </c>
    </row>
    <row r="2874" spans="1:38" x14ac:dyDescent="0.25">
      <c r="A2874" t="s">
        <v>617</v>
      </c>
      <c r="B2874" t="s">
        <v>621</v>
      </c>
      <c r="C2874" t="s">
        <v>40</v>
      </c>
      <c r="D2874" s="1">
        <v>43466</v>
      </c>
      <c r="E2874" s="1">
        <v>43830</v>
      </c>
      <c r="F2874" t="s">
        <v>84</v>
      </c>
      <c r="G2874">
        <v>10</v>
      </c>
      <c r="H2874" t="s">
        <v>85</v>
      </c>
      <c r="I2874" t="s">
        <v>43</v>
      </c>
      <c r="J2874" t="s">
        <v>86</v>
      </c>
      <c r="K2874" t="s">
        <v>44</v>
      </c>
      <c r="L2874">
        <v>49026.66</v>
      </c>
      <c r="M2874" s="1">
        <v>43500</v>
      </c>
      <c r="N2874" t="s">
        <v>108</v>
      </c>
      <c r="O2874" t="s">
        <v>106</v>
      </c>
      <c r="P2874" t="s">
        <v>47</v>
      </c>
      <c r="Q2874" s="1">
        <v>43852</v>
      </c>
      <c r="R2874" t="s">
        <v>48</v>
      </c>
      <c r="S2874" t="s">
        <v>96</v>
      </c>
      <c r="T2874" t="s">
        <v>97</v>
      </c>
      <c r="U2874" t="s">
        <v>85</v>
      </c>
      <c r="V2874">
        <v>600000</v>
      </c>
      <c r="W2874">
        <v>100000</v>
      </c>
      <c r="X2874" s="1">
        <v>43799</v>
      </c>
      <c r="Y2874" t="s">
        <v>51</v>
      </c>
      <c r="Z2874" t="s">
        <v>43</v>
      </c>
      <c r="AA2874" t="s">
        <v>98</v>
      </c>
      <c r="AB2874" t="s">
        <v>89</v>
      </c>
      <c r="AC2874" t="s">
        <v>90</v>
      </c>
      <c r="AF2874" t="s">
        <v>91</v>
      </c>
      <c r="AG2874" s="1">
        <v>43852</v>
      </c>
      <c r="AH2874" t="s">
        <v>85</v>
      </c>
      <c r="AI2874" t="s">
        <v>92</v>
      </c>
      <c r="AJ2874">
        <v>19888</v>
      </c>
      <c r="AK2874">
        <v>128777</v>
      </c>
      <c r="AL2874">
        <v>198882</v>
      </c>
    </row>
    <row r="2875" spans="1:38" x14ac:dyDescent="0.25">
      <c r="A2875" t="s">
        <v>617</v>
      </c>
      <c r="B2875" t="s">
        <v>621</v>
      </c>
      <c r="C2875" t="s">
        <v>40</v>
      </c>
      <c r="D2875" s="1">
        <v>43466</v>
      </c>
      <c r="E2875" s="1">
        <v>43830</v>
      </c>
      <c r="F2875" t="s">
        <v>84</v>
      </c>
      <c r="G2875">
        <v>10</v>
      </c>
      <c r="H2875" t="s">
        <v>85</v>
      </c>
      <c r="I2875" t="s">
        <v>43</v>
      </c>
      <c r="J2875" t="s">
        <v>86</v>
      </c>
      <c r="K2875" t="s">
        <v>44</v>
      </c>
      <c r="L2875">
        <v>49026.66</v>
      </c>
      <c r="M2875" s="1">
        <v>43500</v>
      </c>
      <c r="N2875" t="s">
        <v>108</v>
      </c>
      <c r="O2875" t="s">
        <v>106</v>
      </c>
      <c r="P2875" t="s">
        <v>47</v>
      </c>
      <c r="Q2875" s="1">
        <v>43852</v>
      </c>
      <c r="R2875" t="s">
        <v>48</v>
      </c>
      <c r="S2875" t="s">
        <v>96</v>
      </c>
      <c r="T2875" t="s">
        <v>97</v>
      </c>
      <c r="U2875" t="s">
        <v>85</v>
      </c>
      <c r="V2875">
        <v>600000</v>
      </c>
      <c r="W2875">
        <v>100000</v>
      </c>
      <c r="X2875" s="1">
        <v>43799</v>
      </c>
      <c r="Y2875" t="s">
        <v>51</v>
      </c>
      <c r="Z2875" t="s">
        <v>43</v>
      </c>
      <c r="AA2875" t="s">
        <v>98</v>
      </c>
      <c r="AB2875" t="s">
        <v>89</v>
      </c>
      <c r="AC2875" t="s">
        <v>90</v>
      </c>
      <c r="AF2875" t="s">
        <v>93</v>
      </c>
      <c r="AG2875" s="1">
        <v>43843</v>
      </c>
      <c r="AH2875" t="s">
        <v>85</v>
      </c>
      <c r="AI2875" t="s">
        <v>92</v>
      </c>
      <c r="AJ2875">
        <v>19888</v>
      </c>
      <c r="AK2875">
        <v>128777</v>
      </c>
      <c r="AL2875">
        <v>198882</v>
      </c>
    </row>
    <row r="2876" spans="1:38" x14ac:dyDescent="0.25">
      <c r="A2876" t="s">
        <v>617</v>
      </c>
      <c r="B2876" t="s">
        <v>621</v>
      </c>
      <c r="C2876" t="s">
        <v>40</v>
      </c>
      <c r="D2876" s="1">
        <v>43466</v>
      </c>
      <c r="E2876" s="1">
        <v>43830</v>
      </c>
      <c r="F2876" t="s">
        <v>84</v>
      </c>
      <c r="G2876">
        <v>10</v>
      </c>
      <c r="H2876" t="s">
        <v>85</v>
      </c>
      <c r="I2876" t="s">
        <v>43</v>
      </c>
      <c r="J2876" t="s">
        <v>86</v>
      </c>
      <c r="K2876" t="s">
        <v>44</v>
      </c>
      <c r="L2876">
        <v>49026.66</v>
      </c>
      <c r="M2876" s="1">
        <v>43500</v>
      </c>
      <c r="N2876" t="s">
        <v>108</v>
      </c>
      <c r="O2876" t="s">
        <v>106</v>
      </c>
      <c r="P2876" t="s">
        <v>47</v>
      </c>
      <c r="Q2876" s="1">
        <v>43852</v>
      </c>
      <c r="R2876" t="s">
        <v>48</v>
      </c>
      <c r="S2876" t="s">
        <v>99</v>
      </c>
      <c r="T2876" t="s">
        <v>100</v>
      </c>
      <c r="U2876" t="s">
        <v>85</v>
      </c>
      <c r="V2876">
        <v>210000</v>
      </c>
      <c r="W2876">
        <v>35000</v>
      </c>
      <c r="X2876" s="1">
        <v>43799</v>
      </c>
      <c r="Y2876" t="s">
        <v>51</v>
      </c>
      <c r="Z2876" t="s">
        <v>43</v>
      </c>
      <c r="AA2876" t="s">
        <v>98</v>
      </c>
      <c r="AB2876" t="s">
        <v>89</v>
      </c>
      <c r="AC2876" t="s">
        <v>101</v>
      </c>
      <c r="AF2876" t="s">
        <v>91</v>
      </c>
      <c r="AG2876" s="1">
        <v>43852</v>
      </c>
      <c r="AH2876" t="s">
        <v>85</v>
      </c>
      <c r="AI2876" t="s">
        <v>92</v>
      </c>
      <c r="AJ2876">
        <v>19888</v>
      </c>
      <c r="AK2876">
        <v>128777</v>
      </c>
      <c r="AL2876">
        <v>198882</v>
      </c>
    </row>
    <row r="2877" spans="1:38" x14ac:dyDescent="0.25">
      <c r="A2877" t="s">
        <v>617</v>
      </c>
      <c r="B2877" t="s">
        <v>621</v>
      </c>
      <c r="C2877" t="s">
        <v>40</v>
      </c>
      <c r="D2877" s="1">
        <v>43466</v>
      </c>
      <c r="E2877" s="1">
        <v>43830</v>
      </c>
      <c r="F2877" t="s">
        <v>84</v>
      </c>
      <c r="G2877">
        <v>10</v>
      </c>
      <c r="H2877" t="s">
        <v>85</v>
      </c>
      <c r="I2877" t="s">
        <v>43</v>
      </c>
      <c r="J2877" t="s">
        <v>86</v>
      </c>
      <c r="K2877" t="s">
        <v>44</v>
      </c>
      <c r="L2877">
        <v>49026.66</v>
      </c>
      <c r="M2877" s="1">
        <v>43500</v>
      </c>
      <c r="N2877" t="s">
        <v>108</v>
      </c>
      <c r="O2877" t="s">
        <v>106</v>
      </c>
      <c r="P2877" t="s">
        <v>47</v>
      </c>
      <c r="Q2877" s="1">
        <v>43852</v>
      </c>
      <c r="R2877" t="s">
        <v>48</v>
      </c>
      <c r="S2877" t="s">
        <v>99</v>
      </c>
      <c r="T2877" t="s">
        <v>100</v>
      </c>
      <c r="U2877" t="s">
        <v>85</v>
      </c>
      <c r="V2877">
        <v>210000</v>
      </c>
      <c r="W2877">
        <v>35000</v>
      </c>
      <c r="X2877" s="1">
        <v>43799</v>
      </c>
      <c r="Y2877" t="s">
        <v>51</v>
      </c>
      <c r="Z2877" t="s">
        <v>43</v>
      </c>
      <c r="AA2877" t="s">
        <v>98</v>
      </c>
      <c r="AB2877" t="s">
        <v>89</v>
      </c>
      <c r="AC2877" t="s">
        <v>101</v>
      </c>
      <c r="AF2877" t="s">
        <v>93</v>
      </c>
      <c r="AG2877" s="1">
        <v>43843</v>
      </c>
      <c r="AH2877" t="s">
        <v>85</v>
      </c>
      <c r="AI2877" t="s">
        <v>92</v>
      </c>
      <c r="AJ2877">
        <v>19888</v>
      </c>
      <c r="AK2877">
        <v>128777</v>
      </c>
      <c r="AL2877">
        <v>198882</v>
      </c>
    </row>
    <row r="2878" spans="1:38" x14ac:dyDescent="0.25">
      <c r="A2878" t="s">
        <v>617</v>
      </c>
      <c r="B2878" t="s">
        <v>621</v>
      </c>
      <c r="C2878" t="s">
        <v>40</v>
      </c>
      <c r="D2878" s="1">
        <v>43466</v>
      </c>
      <c r="E2878" s="1">
        <v>43830</v>
      </c>
      <c r="F2878" t="s">
        <v>84</v>
      </c>
      <c r="G2878">
        <v>10</v>
      </c>
      <c r="H2878" t="s">
        <v>85</v>
      </c>
      <c r="I2878" t="s">
        <v>43</v>
      </c>
      <c r="J2878" t="s">
        <v>86</v>
      </c>
      <c r="K2878" t="s">
        <v>44</v>
      </c>
      <c r="L2878">
        <v>49026.66</v>
      </c>
      <c r="M2878" s="1">
        <v>43500</v>
      </c>
      <c r="N2878" t="s">
        <v>108</v>
      </c>
      <c r="O2878" t="s">
        <v>106</v>
      </c>
      <c r="P2878" t="s">
        <v>47</v>
      </c>
      <c r="Q2878" s="1">
        <v>43852</v>
      </c>
      <c r="R2878" t="s">
        <v>48</v>
      </c>
      <c r="S2878" t="s">
        <v>102</v>
      </c>
      <c r="T2878" t="s">
        <v>103</v>
      </c>
      <c r="U2878" t="s">
        <v>85</v>
      </c>
      <c r="V2878">
        <v>5000000</v>
      </c>
      <c r="W2878">
        <v>250000</v>
      </c>
      <c r="X2878" s="1">
        <v>43799</v>
      </c>
      <c r="Y2878" t="s">
        <v>51</v>
      </c>
      <c r="Z2878" t="s">
        <v>43</v>
      </c>
      <c r="AA2878" t="s">
        <v>86</v>
      </c>
      <c r="AB2878" t="s">
        <v>89</v>
      </c>
      <c r="AC2878" t="s">
        <v>90</v>
      </c>
      <c r="AF2878" t="s">
        <v>91</v>
      </c>
      <c r="AG2878" s="1">
        <v>43852</v>
      </c>
      <c r="AH2878" t="s">
        <v>85</v>
      </c>
      <c r="AI2878" t="s">
        <v>92</v>
      </c>
      <c r="AJ2878">
        <v>19888</v>
      </c>
      <c r="AK2878">
        <v>128777</v>
      </c>
      <c r="AL2878">
        <v>198882</v>
      </c>
    </row>
    <row r="2879" spans="1:38" x14ac:dyDescent="0.25">
      <c r="A2879" t="s">
        <v>617</v>
      </c>
      <c r="B2879" t="s">
        <v>621</v>
      </c>
      <c r="C2879" t="s">
        <v>40</v>
      </c>
      <c r="D2879" s="1">
        <v>43466</v>
      </c>
      <c r="E2879" s="1">
        <v>43830</v>
      </c>
      <c r="F2879" t="s">
        <v>84</v>
      </c>
      <c r="G2879">
        <v>10</v>
      </c>
      <c r="H2879" t="s">
        <v>85</v>
      </c>
      <c r="I2879" t="s">
        <v>43</v>
      </c>
      <c r="J2879" t="s">
        <v>86</v>
      </c>
      <c r="K2879" t="s">
        <v>44</v>
      </c>
      <c r="L2879">
        <v>49026.66</v>
      </c>
      <c r="M2879" s="1">
        <v>43500</v>
      </c>
      <c r="N2879" t="s">
        <v>108</v>
      </c>
      <c r="O2879" t="s">
        <v>106</v>
      </c>
      <c r="P2879" t="s">
        <v>47</v>
      </c>
      <c r="Q2879" s="1">
        <v>43852</v>
      </c>
      <c r="R2879" t="s">
        <v>48</v>
      </c>
      <c r="S2879" t="s">
        <v>102</v>
      </c>
      <c r="T2879" t="s">
        <v>103</v>
      </c>
      <c r="U2879" t="s">
        <v>85</v>
      </c>
      <c r="V2879">
        <v>5000000</v>
      </c>
      <c r="W2879">
        <v>250000</v>
      </c>
      <c r="X2879" s="1">
        <v>43799</v>
      </c>
      <c r="Y2879" t="s">
        <v>51</v>
      </c>
      <c r="Z2879" t="s">
        <v>43</v>
      </c>
      <c r="AA2879" t="s">
        <v>86</v>
      </c>
      <c r="AB2879" t="s">
        <v>89</v>
      </c>
      <c r="AC2879" t="s">
        <v>90</v>
      </c>
      <c r="AF2879" t="s">
        <v>93</v>
      </c>
      <c r="AG2879" s="1">
        <v>43843</v>
      </c>
      <c r="AH2879" t="s">
        <v>85</v>
      </c>
      <c r="AI2879" t="s">
        <v>92</v>
      </c>
      <c r="AJ2879">
        <v>19888</v>
      </c>
      <c r="AK2879">
        <v>128777</v>
      </c>
      <c r="AL2879">
        <v>198882</v>
      </c>
    </row>
    <row r="2880" spans="1:38" x14ac:dyDescent="0.25">
      <c r="A2880" t="s">
        <v>617</v>
      </c>
      <c r="B2880" t="s">
        <v>622</v>
      </c>
      <c r="C2880" t="s">
        <v>40</v>
      </c>
      <c r="D2880" s="1">
        <v>43259</v>
      </c>
      <c r="E2880" s="1">
        <v>43623</v>
      </c>
      <c r="F2880" t="s">
        <v>76</v>
      </c>
      <c r="G2880">
        <v>3</v>
      </c>
      <c r="H2880" t="s">
        <v>125</v>
      </c>
      <c r="I2880" t="s">
        <v>43</v>
      </c>
      <c r="J2880" t="s">
        <v>86</v>
      </c>
      <c r="K2880" t="s">
        <v>44</v>
      </c>
      <c r="L2880">
        <v>8117.5</v>
      </c>
      <c r="M2880" s="1">
        <v>43259</v>
      </c>
      <c r="N2880" t="s">
        <v>45</v>
      </c>
      <c r="O2880" t="s">
        <v>46</v>
      </c>
      <c r="P2880" t="s">
        <v>47</v>
      </c>
      <c r="Q2880" s="1">
        <v>43852</v>
      </c>
      <c r="R2880" t="s">
        <v>48</v>
      </c>
    </row>
    <row r="2881" spans="1:38" x14ac:dyDescent="0.25">
      <c r="A2881" t="s">
        <v>617</v>
      </c>
      <c r="B2881" t="s">
        <v>623</v>
      </c>
      <c r="C2881" t="s">
        <v>40</v>
      </c>
      <c r="D2881" s="1">
        <v>43254</v>
      </c>
      <c r="E2881" s="1">
        <v>43618</v>
      </c>
      <c r="F2881" t="s">
        <v>41</v>
      </c>
      <c r="G2881">
        <v>3</v>
      </c>
      <c r="H2881" t="s">
        <v>125</v>
      </c>
      <c r="I2881" t="s">
        <v>43</v>
      </c>
      <c r="J2881" t="s">
        <v>126</v>
      </c>
      <c r="K2881" t="s">
        <v>44</v>
      </c>
      <c r="L2881">
        <v>21614.86</v>
      </c>
      <c r="M2881" s="1">
        <v>43254</v>
      </c>
      <c r="N2881" t="s">
        <v>45</v>
      </c>
      <c r="O2881" t="s">
        <v>46</v>
      </c>
      <c r="P2881" t="s">
        <v>47</v>
      </c>
      <c r="Q2881" s="1">
        <v>43852</v>
      </c>
      <c r="R2881" t="s">
        <v>48</v>
      </c>
      <c r="S2881" t="s">
        <v>41</v>
      </c>
      <c r="T2881" t="s">
        <v>130</v>
      </c>
      <c r="U2881" t="s">
        <v>125</v>
      </c>
      <c r="V2881">
        <v>0</v>
      </c>
      <c r="W2881">
        <v>100000</v>
      </c>
      <c r="X2881" s="1">
        <v>43769</v>
      </c>
      <c r="Y2881" t="s">
        <v>131</v>
      </c>
      <c r="Z2881" t="s">
        <v>43</v>
      </c>
      <c r="AA2881" t="s">
        <v>41</v>
      </c>
      <c r="AB2881" t="s">
        <v>132</v>
      </c>
      <c r="AC2881" t="s">
        <v>133</v>
      </c>
      <c r="AF2881" t="s">
        <v>134</v>
      </c>
      <c r="AG2881" s="1">
        <v>43843</v>
      </c>
      <c r="AH2881" t="s">
        <v>125</v>
      </c>
      <c r="AI2881" t="s">
        <v>92</v>
      </c>
      <c r="AJ2881">
        <v>1278023</v>
      </c>
      <c r="AK2881">
        <v>12365300</v>
      </c>
      <c r="AL2881">
        <v>12900</v>
      </c>
    </row>
    <row r="2882" spans="1:38" x14ac:dyDescent="0.25">
      <c r="A2882" t="s">
        <v>617</v>
      </c>
      <c r="B2882" t="s">
        <v>623</v>
      </c>
      <c r="C2882" t="s">
        <v>40</v>
      </c>
      <c r="D2882" s="1">
        <v>43254</v>
      </c>
      <c r="E2882" s="1">
        <v>43618</v>
      </c>
      <c r="F2882" t="s">
        <v>41</v>
      </c>
      <c r="G2882">
        <v>3</v>
      </c>
      <c r="H2882" t="s">
        <v>125</v>
      </c>
      <c r="I2882" t="s">
        <v>43</v>
      </c>
      <c r="J2882" t="s">
        <v>126</v>
      </c>
      <c r="K2882" t="s">
        <v>44</v>
      </c>
      <c r="L2882">
        <v>21614.86</v>
      </c>
      <c r="M2882" s="1">
        <v>43254</v>
      </c>
      <c r="N2882" t="s">
        <v>45</v>
      </c>
      <c r="O2882" t="s">
        <v>46</v>
      </c>
      <c r="P2882" t="s">
        <v>47</v>
      </c>
      <c r="Q2882" s="1">
        <v>43852</v>
      </c>
      <c r="R2882" t="s">
        <v>48</v>
      </c>
      <c r="S2882" t="s">
        <v>41</v>
      </c>
      <c r="T2882" t="s">
        <v>130</v>
      </c>
      <c r="U2882" t="s">
        <v>125</v>
      </c>
      <c r="V2882">
        <v>0</v>
      </c>
      <c r="W2882">
        <v>100000</v>
      </c>
      <c r="X2882" s="1">
        <v>43769</v>
      </c>
      <c r="Y2882" t="s">
        <v>131</v>
      </c>
      <c r="Z2882" t="s">
        <v>43</v>
      </c>
      <c r="AA2882" t="s">
        <v>41</v>
      </c>
      <c r="AB2882" t="s">
        <v>132</v>
      </c>
      <c r="AC2882" t="s">
        <v>133</v>
      </c>
      <c r="AF2882" t="s">
        <v>135</v>
      </c>
      <c r="AG2882" s="1">
        <v>43843</v>
      </c>
      <c r="AH2882" t="s">
        <v>125</v>
      </c>
      <c r="AI2882" t="s">
        <v>92</v>
      </c>
      <c r="AJ2882">
        <v>1278023</v>
      </c>
      <c r="AK2882">
        <v>12365300</v>
      </c>
      <c r="AL2882">
        <v>12900</v>
      </c>
    </row>
    <row r="2883" spans="1:38" x14ac:dyDescent="0.25">
      <c r="A2883" t="s">
        <v>617</v>
      </c>
      <c r="B2883" t="s">
        <v>623</v>
      </c>
      <c r="C2883" t="s">
        <v>40</v>
      </c>
      <c r="D2883" s="1">
        <v>43254</v>
      </c>
      <c r="E2883" s="1">
        <v>43618</v>
      </c>
      <c r="F2883" t="s">
        <v>41</v>
      </c>
      <c r="G2883">
        <v>3</v>
      </c>
      <c r="H2883" t="s">
        <v>125</v>
      </c>
      <c r="I2883" t="s">
        <v>43</v>
      </c>
      <c r="J2883" t="s">
        <v>126</v>
      </c>
      <c r="K2883" t="s">
        <v>44</v>
      </c>
      <c r="L2883">
        <v>21614.86</v>
      </c>
      <c r="M2883" s="1">
        <v>43254</v>
      </c>
      <c r="N2883" t="s">
        <v>45</v>
      </c>
      <c r="O2883" t="s">
        <v>46</v>
      </c>
      <c r="P2883" t="s">
        <v>47</v>
      </c>
      <c r="Q2883" s="1">
        <v>43852</v>
      </c>
      <c r="R2883" t="s">
        <v>48</v>
      </c>
      <c r="S2883" t="s">
        <v>41</v>
      </c>
      <c r="T2883" t="s">
        <v>130</v>
      </c>
      <c r="U2883" t="s">
        <v>125</v>
      </c>
      <c r="V2883">
        <v>0</v>
      </c>
      <c r="W2883">
        <v>100000</v>
      </c>
      <c r="X2883" s="1">
        <v>43769</v>
      </c>
      <c r="Y2883" t="s">
        <v>131</v>
      </c>
      <c r="Z2883" t="s">
        <v>43</v>
      </c>
      <c r="AA2883" t="s">
        <v>41</v>
      </c>
      <c r="AB2883" t="s">
        <v>132</v>
      </c>
      <c r="AC2883" t="s">
        <v>133</v>
      </c>
      <c r="AF2883" t="s">
        <v>136</v>
      </c>
      <c r="AG2883" s="1">
        <v>43839</v>
      </c>
      <c r="AH2883" t="s">
        <v>125</v>
      </c>
      <c r="AI2883" t="s">
        <v>92</v>
      </c>
      <c r="AJ2883">
        <v>1278023</v>
      </c>
      <c r="AK2883">
        <v>12365300</v>
      </c>
      <c r="AL2883">
        <v>12900</v>
      </c>
    </row>
    <row r="2884" spans="1:38" x14ac:dyDescent="0.25">
      <c r="A2884" t="s">
        <v>617</v>
      </c>
      <c r="B2884" t="s">
        <v>623</v>
      </c>
      <c r="C2884" t="s">
        <v>40</v>
      </c>
      <c r="D2884" s="1">
        <v>43254</v>
      </c>
      <c r="E2884" s="1">
        <v>43618</v>
      </c>
      <c r="F2884" t="s">
        <v>41</v>
      </c>
      <c r="G2884">
        <v>3</v>
      </c>
      <c r="H2884" t="s">
        <v>125</v>
      </c>
      <c r="I2884" t="s">
        <v>43</v>
      </c>
      <c r="J2884" t="s">
        <v>126</v>
      </c>
      <c r="K2884" t="s">
        <v>44</v>
      </c>
      <c r="L2884">
        <v>21614.86</v>
      </c>
      <c r="M2884" s="1">
        <v>43254</v>
      </c>
      <c r="N2884" t="s">
        <v>45</v>
      </c>
      <c r="O2884" t="s">
        <v>46</v>
      </c>
      <c r="P2884" t="s">
        <v>47</v>
      </c>
      <c r="Q2884" s="1">
        <v>43852</v>
      </c>
      <c r="R2884" t="s">
        <v>48</v>
      </c>
      <c r="S2884" t="s">
        <v>41</v>
      </c>
      <c r="T2884" t="s">
        <v>130</v>
      </c>
      <c r="U2884" t="s">
        <v>125</v>
      </c>
      <c r="V2884">
        <v>0</v>
      </c>
      <c r="W2884">
        <v>100000</v>
      </c>
      <c r="X2884" s="1">
        <v>43769</v>
      </c>
      <c r="Y2884" t="s">
        <v>131</v>
      </c>
      <c r="Z2884" t="s">
        <v>43</v>
      </c>
      <c r="AA2884" t="s">
        <v>41</v>
      </c>
      <c r="AB2884" t="s">
        <v>132</v>
      </c>
      <c r="AC2884" t="s">
        <v>133</v>
      </c>
      <c r="AF2884" t="s">
        <v>137</v>
      </c>
      <c r="AG2884" s="1">
        <v>43840</v>
      </c>
      <c r="AH2884" t="s">
        <v>125</v>
      </c>
      <c r="AI2884" t="s">
        <v>92</v>
      </c>
      <c r="AJ2884">
        <v>1278023</v>
      </c>
      <c r="AK2884">
        <v>12365300</v>
      </c>
      <c r="AL2884">
        <v>12900</v>
      </c>
    </row>
    <row r="2885" spans="1:38" x14ac:dyDescent="0.25">
      <c r="A2885" t="s">
        <v>617</v>
      </c>
      <c r="B2885" t="s">
        <v>623</v>
      </c>
      <c r="C2885" t="s">
        <v>40</v>
      </c>
      <c r="D2885" s="1">
        <v>43254</v>
      </c>
      <c r="E2885" s="1">
        <v>43618</v>
      </c>
      <c r="F2885" t="s">
        <v>41</v>
      </c>
      <c r="G2885">
        <v>3</v>
      </c>
      <c r="H2885" t="s">
        <v>125</v>
      </c>
      <c r="I2885" t="s">
        <v>43</v>
      </c>
      <c r="J2885" t="s">
        <v>126</v>
      </c>
      <c r="K2885" t="s">
        <v>44</v>
      </c>
      <c r="L2885">
        <v>21614.86</v>
      </c>
      <c r="M2885" s="1">
        <v>43254</v>
      </c>
      <c r="N2885" t="s">
        <v>45</v>
      </c>
      <c r="O2885" t="s">
        <v>46</v>
      </c>
      <c r="P2885" t="s">
        <v>47</v>
      </c>
      <c r="Q2885" s="1">
        <v>43852</v>
      </c>
      <c r="R2885" t="s">
        <v>48</v>
      </c>
      <c r="S2885" t="s">
        <v>138</v>
      </c>
      <c r="T2885" t="s">
        <v>139</v>
      </c>
      <c r="U2885" t="s">
        <v>125</v>
      </c>
      <c r="V2885">
        <v>0</v>
      </c>
      <c r="W2885">
        <v>10000</v>
      </c>
      <c r="X2885" s="1">
        <v>43738</v>
      </c>
      <c r="Y2885" t="s">
        <v>140</v>
      </c>
      <c r="Z2885" t="s">
        <v>43</v>
      </c>
      <c r="AA2885" t="s">
        <v>41</v>
      </c>
      <c r="AB2885" t="s">
        <v>132</v>
      </c>
      <c r="AC2885" t="s">
        <v>132</v>
      </c>
      <c r="AF2885" t="s">
        <v>134</v>
      </c>
      <c r="AG2885" s="1">
        <v>43843</v>
      </c>
      <c r="AH2885" t="s">
        <v>125</v>
      </c>
      <c r="AI2885" t="s">
        <v>92</v>
      </c>
      <c r="AJ2885">
        <v>1278023</v>
      </c>
      <c r="AK2885">
        <v>12365300</v>
      </c>
      <c r="AL2885">
        <v>12900</v>
      </c>
    </row>
    <row r="2886" spans="1:38" x14ac:dyDescent="0.25">
      <c r="A2886" t="s">
        <v>617</v>
      </c>
      <c r="B2886" t="s">
        <v>623</v>
      </c>
      <c r="C2886" t="s">
        <v>40</v>
      </c>
      <c r="D2886" s="1">
        <v>43254</v>
      </c>
      <c r="E2886" s="1">
        <v>43618</v>
      </c>
      <c r="F2886" t="s">
        <v>41</v>
      </c>
      <c r="G2886">
        <v>3</v>
      </c>
      <c r="H2886" t="s">
        <v>125</v>
      </c>
      <c r="I2886" t="s">
        <v>43</v>
      </c>
      <c r="J2886" t="s">
        <v>126</v>
      </c>
      <c r="K2886" t="s">
        <v>44</v>
      </c>
      <c r="L2886">
        <v>21614.86</v>
      </c>
      <c r="M2886" s="1">
        <v>43254</v>
      </c>
      <c r="N2886" t="s">
        <v>45</v>
      </c>
      <c r="O2886" t="s">
        <v>46</v>
      </c>
      <c r="P2886" t="s">
        <v>47</v>
      </c>
      <c r="Q2886" s="1">
        <v>43852</v>
      </c>
      <c r="R2886" t="s">
        <v>48</v>
      </c>
      <c r="S2886" t="s">
        <v>138</v>
      </c>
      <c r="T2886" t="s">
        <v>139</v>
      </c>
      <c r="U2886" t="s">
        <v>125</v>
      </c>
      <c r="V2886">
        <v>0</v>
      </c>
      <c r="W2886">
        <v>10000</v>
      </c>
      <c r="X2886" s="1">
        <v>43738</v>
      </c>
      <c r="Y2886" t="s">
        <v>140</v>
      </c>
      <c r="Z2886" t="s">
        <v>43</v>
      </c>
      <c r="AA2886" t="s">
        <v>41</v>
      </c>
      <c r="AB2886" t="s">
        <v>132</v>
      </c>
      <c r="AC2886" t="s">
        <v>132</v>
      </c>
      <c r="AF2886" t="s">
        <v>135</v>
      </c>
      <c r="AG2886" s="1">
        <v>43843</v>
      </c>
      <c r="AH2886" t="s">
        <v>125</v>
      </c>
      <c r="AI2886" t="s">
        <v>92</v>
      </c>
      <c r="AJ2886">
        <v>1278023</v>
      </c>
      <c r="AK2886">
        <v>12365300</v>
      </c>
      <c r="AL2886">
        <v>12900</v>
      </c>
    </row>
    <row r="2887" spans="1:38" x14ac:dyDescent="0.25">
      <c r="A2887" t="s">
        <v>617</v>
      </c>
      <c r="B2887" t="s">
        <v>623</v>
      </c>
      <c r="C2887" t="s">
        <v>40</v>
      </c>
      <c r="D2887" s="1">
        <v>43254</v>
      </c>
      <c r="E2887" s="1">
        <v>43618</v>
      </c>
      <c r="F2887" t="s">
        <v>41</v>
      </c>
      <c r="G2887">
        <v>3</v>
      </c>
      <c r="H2887" t="s">
        <v>125</v>
      </c>
      <c r="I2887" t="s">
        <v>43</v>
      </c>
      <c r="J2887" t="s">
        <v>126</v>
      </c>
      <c r="K2887" t="s">
        <v>44</v>
      </c>
      <c r="L2887">
        <v>21614.86</v>
      </c>
      <c r="M2887" s="1">
        <v>43254</v>
      </c>
      <c r="N2887" t="s">
        <v>45</v>
      </c>
      <c r="O2887" t="s">
        <v>46</v>
      </c>
      <c r="P2887" t="s">
        <v>47</v>
      </c>
      <c r="Q2887" s="1">
        <v>43852</v>
      </c>
      <c r="R2887" t="s">
        <v>48</v>
      </c>
      <c r="S2887" t="s">
        <v>138</v>
      </c>
      <c r="T2887" t="s">
        <v>139</v>
      </c>
      <c r="U2887" t="s">
        <v>125</v>
      </c>
      <c r="V2887">
        <v>0</v>
      </c>
      <c r="W2887">
        <v>10000</v>
      </c>
      <c r="X2887" s="1">
        <v>43738</v>
      </c>
      <c r="Y2887" t="s">
        <v>140</v>
      </c>
      <c r="Z2887" t="s">
        <v>43</v>
      </c>
      <c r="AA2887" t="s">
        <v>41</v>
      </c>
      <c r="AB2887" t="s">
        <v>132</v>
      </c>
      <c r="AC2887" t="s">
        <v>132</v>
      </c>
      <c r="AF2887" t="s">
        <v>136</v>
      </c>
      <c r="AG2887" s="1">
        <v>43839</v>
      </c>
      <c r="AH2887" t="s">
        <v>125</v>
      </c>
      <c r="AI2887" t="s">
        <v>92</v>
      </c>
      <c r="AJ2887">
        <v>1278023</v>
      </c>
      <c r="AK2887">
        <v>12365300</v>
      </c>
      <c r="AL2887">
        <v>12900</v>
      </c>
    </row>
    <row r="2888" spans="1:38" x14ac:dyDescent="0.25">
      <c r="A2888" t="s">
        <v>617</v>
      </c>
      <c r="B2888" t="s">
        <v>623</v>
      </c>
      <c r="C2888" t="s">
        <v>40</v>
      </c>
      <c r="D2888" s="1">
        <v>43254</v>
      </c>
      <c r="E2888" s="1">
        <v>43618</v>
      </c>
      <c r="F2888" t="s">
        <v>41</v>
      </c>
      <c r="G2888">
        <v>3</v>
      </c>
      <c r="H2888" t="s">
        <v>125</v>
      </c>
      <c r="I2888" t="s">
        <v>43</v>
      </c>
      <c r="J2888" t="s">
        <v>126</v>
      </c>
      <c r="K2888" t="s">
        <v>44</v>
      </c>
      <c r="L2888">
        <v>21614.86</v>
      </c>
      <c r="M2888" s="1">
        <v>43254</v>
      </c>
      <c r="N2888" t="s">
        <v>45</v>
      </c>
      <c r="O2888" t="s">
        <v>46</v>
      </c>
      <c r="P2888" t="s">
        <v>47</v>
      </c>
      <c r="Q2888" s="1">
        <v>43852</v>
      </c>
      <c r="R2888" t="s">
        <v>48</v>
      </c>
      <c r="S2888" t="s">
        <v>138</v>
      </c>
      <c r="T2888" t="s">
        <v>139</v>
      </c>
      <c r="U2888" t="s">
        <v>125</v>
      </c>
      <c r="V2888">
        <v>0</v>
      </c>
      <c r="W2888">
        <v>10000</v>
      </c>
      <c r="X2888" s="1">
        <v>43738</v>
      </c>
      <c r="Y2888" t="s">
        <v>140</v>
      </c>
      <c r="Z2888" t="s">
        <v>43</v>
      </c>
      <c r="AA2888" t="s">
        <v>41</v>
      </c>
      <c r="AB2888" t="s">
        <v>132</v>
      </c>
      <c r="AC2888" t="s">
        <v>132</v>
      </c>
      <c r="AF2888" t="s">
        <v>137</v>
      </c>
      <c r="AG2888" s="1">
        <v>43840</v>
      </c>
      <c r="AH2888" t="s">
        <v>125</v>
      </c>
      <c r="AI2888" t="s">
        <v>92</v>
      </c>
      <c r="AJ2888">
        <v>1278023</v>
      </c>
      <c r="AK2888">
        <v>12365300</v>
      </c>
      <c r="AL2888">
        <v>12900</v>
      </c>
    </row>
    <row r="2889" spans="1:38" x14ac:dyDescent="0.25">
      <c r="A2889" t="s">
        <v>617</v>
      </c>
      <c r="B2889">
        <v>2640009793</v>
      </c>
      <c r="C2889" t="s">
        <v>40</v>
      </c>
      <c r="D2889" s="1">
        <v>43254</v>
      </c>
      <c r="E2889" s="1">
        <v>43618</v>
      </c>
      <c r="F2889" t="s">
        <v>306</v>
      </c>
      <c r="G2889">
        <v>3</v>
      </c>
      <c r="H2889" t="s">
        <v>125</v>
      </c>
      <c r="I2889" t="s">
        <v>43</v>
      </c>
      <c r="J2889" t="s">
        <v>126</v>
      </c>
      <c r="K2889" t="s">
        <v>44</v>
      </c>
      <c r="L2889">
        <v>60990.71</v>
      </c>
      <c r="M2889" s="1">
        <v>43254</v>
      </c>
      <c r="N2889" t="s">
        <v>45</v>
      </c>
      <c r="O2889" t="s">
        <v>46</v>
      </c>
      <c r="P2889" t="s">
        <v>47</v>
      </c>
      <c r="Q2889" s="1">
        <v>43852</v>
      </c>
      <c r="R2889" t="s">
        <v>48</v>
      </c>
    </row>
    <row r="2890" spans="1:38" x14ac:dyDescent="0.25">
      <c r="A2890" t="s">
        <v>617</v>
      </c>
      <c r="B2890" t="s">
        <v>624</v>
      </c>
      <c r="C2890" t="s">
        <v>40</v>
      </c>
      <c r="D2890" s="1">
        <v>43191</v>
      </c>
      <c r="E2890" s="1">
        <v>43555</v>
      </c>
      <c r="F2890" t="s">
        <v>76</v>
      </c>
      <c r="G2890">
        <v>3</v>
      </c>
      <c r="H2890" t="s">
        <v>125</v>
      </c>
      <c r="I2890" t="s">
        <v>43</v>
      </c>
      <c r="J2890" t="s">
        <v>126</v>
      </c>
      <c r="K2890" t="s">
        <v>44</v>
      </c>
      <c r="L2890">
        <v>423.9</v>
      </c>
      <c r="M2890" s="1">
        <v>43191</v>
      </c>
      <c r="N2890" t="s">
        <v>45</v>
      </c>
      <c r="O2890" t="s">
        <v>46</v>
      </c>
      <c r="P2890" t="s">
        <v>47</v>
      </c>
      <c r="Q2890" s="1">
        <v>43852</v>
      </c>
      <c r="R2890" t="s">
        <v>48</v>
      </c>
    </row>
    <row r="2891" spans="1:38" x14ac:dyDescent="0.25">
      <c r="A2891" t="s">
        <v>617</v>
      </c>
      <c r="B2891" t="s">
        <v>624</v>
      </c>
      <c r="C2891" t="s">
        <v>40</v>
      </c>
      <c r="D2891" s="1">
        <v>43191</v>
      </c>
      <c r="E2891" s="1">
        <v>43555</v>
      </c>
      <c r="F2891" t="s">
        <v>76</v>
      </c>
      <c r="G2891">
        <v>3</v>
      </c>
      <c r="H2891" t="s">
        <v>125</v>
      </c>
      <c r="I2891" t="s">
        <v>43</v>
      </c>
      <c r="J2891" t="s">
        <v>126</v>
      </c>
      <c r="K2891" t="s">
        <v>44</v>
      </c>
      <c r="L2891">
        <v>105.98</v>
      </c>
      <c r="M2891" s="1">
        <v>43191</v>
      </c>
      <c r="N2891" t="s">
        <v>45</v>
      </c>
      <c r="O2891" t="s">
        <v>46</v>
      </c>
      <c r="P2891" t="s">
        <v>47</v>
      </c>
      <c r="Q2891" s="1">
        <v>43852</v>
      </c>
      <c r="R2891" t="s">
        <v>48</v>
      </c>
    </row>
    <row r="2892" spans="1:38" x14ac:dyDescent="0.25">
      <c r="A2892" t="s">
        <v>617</v>
      </c>
      <c r="B2892" t="s">
        <v>625</v>
      </c>
      <c r="C2892" t="s">
        <v>40</v>
      </c>
      <c r="D2892" s="1">
        <v>43191</v>
      </c>
      <c r="E2892" s="1">
        <v>43555</v>
      </c>
      <c r="F2892" t="s">
        <v>76</v>
      </c>
      <c r="G2892">
        <v>3</v>
      </c>
      <c r="H2892" t="s">
        <v>125</v>
      </c>
      <c r="I2892" t="s">
        <v>43</v>
      </c>
      <c r="J2892" t="s">
        <v>126</v>
      </c>
      <c r="K2892" t="s">
        <v>44</v>
      </c>
      <c r="L2892">
        <v>1897.66</v>
      </c>
      <c r="M2892" s="1">
        <v>43191</v>
      </c>
      <c r="N2892" t="s">
        <v>45</v>
      </c>
      <c r="O2892" t="s">
        <v>46</v>
      </c>
      <c r="P2892" t="s">
        <v>47</v>
      </c>
      <c r="Q2892" s="1">
        <v>43852</v>
      </c>
      <c r="R2892" t="s">
        <v>48</v>
      </c>
    </row>
    <row r="2893" spans="1:38" x14ac:dyDescent="0.25">
      <c r="A2893" t="s">
        <v>617</v>
      </c>
      <c r="B2893" t="s">
        <v>625</v>
      </c>
      <c r="C2893" t="s">
        <v>40</v>
      </c>
      <c r="D2893" s="1">
        <v>43191</v>
      </c>
      <c r="E2893" s="1">
        <v>43555</v>
      </c>
      <c r="F2893" t="s">
        <v>76</v>
      </c>
      <c r="G2893">
        <v>3</v>
      </c>
      <c r="H2893" t="s">
        <v>125</v>
      </c>
      <c r="I2893" t="s">
        <v>43</v>
      </c>
      <c r="J2893" t="s">
        <v>126</v>
      </c>
      <c r="K2893" t="s">
        <v>44</v>
      </c>
      <c r="L2893">
        <v>474.42</v>
      </c>
      <c r="M2893" s="1">
        <v>43191</v>
      </c>
      <c r="N2893" t="s">
        <v>45</v>
      </c>
      <c r="O2893" t="s">
        <v>46</v>
      </c>
      <c r="P2893" t="s">
        <v>47</v>
      </c>
      <c r="Q2893" s="1">
        <v>43852</v>
      </c>
      <c r="R2893" t="s">
        <v>48</v>
      </c>
    </row>
    <row r="2894" spans="1:38" x14ac:dyDescent="0.25">
      <c r="A2894" t="s">
        <v>617</v>
      </c>
      <c r="B2894" t="s">
        <v>626</v>
      </c>
      <c r="C2894" t="s">
        <v>40</v>
      </c>
      <c r="D2894" s="1">
        <v>43191</v>
      </c>
      <c r="E2894" s="1">
        <v>43555</v>
      </c>
      <c r="F2894" t="s">
        <v>41</v>
      </c>
      <c r="G2894">
        <v>3</v>
      </c>
      <c r="H2894" t="s">
        <v>125</v>
      </c>
      <c r="I2894" t="s">
        <v>43</v>
      </c>
      <c r="J2894" t="s">
        <v>41</v>
      </c>
      <c r="K2894" t="s">
        <v>44</v>
      </c>
      <c r="L2894">
        <v>44063.25</v>
      </c>
      <c r="M2894" s="1">
        <v>43191</v>
      </c>
      <c r="N2894" t="s">
        <v>45</v>
      </c>
      <c r="O2894" t="s">
        <v>46</v>
      </c>
      <c r="P2894" t="s">
        <v>47</v>
      </c>
      <c r="Q2894" s="1">
        <v>43852</v>
      </c>
      <c r="R2894" t="s">
        <v>48</v>
      </c>
      <c r="S2894" t="s">
        <v>41</v>
      </c>
      <c r="T2894" t="s">
        <v>130</v>
      </c>
      <c r="U2894" t="s">
        <v>125</v>
      </c>
      <c r="V2894">
        <v>0</v>
      </c>
      <c r="W2894">
        <v>100000</v>
      </c>
      <c r="X2894" s="1">
        <v>43769</v>
      </c>
      <c r="Y2894" t="s">
        <v>131</v>
      </c>
      <c r="Z2894" t="s">
        <v>43</v>
      </c>
      <c r="AA2894" t="s">
        <v>41</v>
      </c>
      <c r="AB2894" t="s">
        <v>132</v>
      </c>
      <c r="AC2894" t="s">
        <v>133</v>
      </c>
      <c r="AF2894" t="s">
        <v>134</v>
      </c>
      <c r="AG2894" s="1">
        <v>43843</v>
      </c>
      <c r="AH2894" t="s">
        <v>125</v>
      </c>
      <c r="AI2894" t="s">
        <v>92</v>
      </c>
      <c r="AJ2894">
        <v>1278023</v>
      </c>
      <c r="AK2894">
        <v>12365300</v>
      </c>
      <c r="AL2894">
        <v>12900</v>
      </c>
    </row>
    <row r="2895" spans="1:38" x14ac:dyDescent="0.25">
      <c r="A2895" t="s">
        <v>617</v>
      </c>
      <c r="B2895" t="s">
        <v>626</v>
      </c>
      <c r="C2895" t="s">
        <v>40</v>
      </c>
      <c r="D2895" s="1">
        <v>43191</v>
      </c>
      <c r="E2895" s="1">
        <v>43555</v>
      </c>
      <c r="F2895" t="s">
        <v>41</v>
      </c>
      <c r="G2895">
        <v>3</v>
      </c>
      <c r="H2895" t="s">
        <v>125</v>
      </c>
      <c r="I2895" t="s">
        <v>43</v>
      </c>
      <c r="J2895" t="s">
        <v>41</v>
      </c>
      <c r="K2895" t="s">
        <v>44</v>
      </c>
      <c r="L2895">
        <v>44063.25</v>
      </c>
      <c r="M2895" s="1">
        <v>43191</v>
      </c>
      <c r="N2895" t="s">
        <v>45</v>
      </c>
      <c r="O2895" t="s">
        <v>46</v>
      </c>
      <c r="P2895" t="s">
        <v>47</v>
      </c>
      <c r="Q2895" s="1">
        <v>43852</v>
      </c>
      <c r="R2895" t="s">
        <v>48</v>
      </c>
      <c r="S2895" t="s">
        <v>41</v>
      </c>
      <c r="T2895" t="s">
        <v>130</v>
      </c>
      <c r="U2895" t="s">
        <v>125</v>
      </c>
      <c r="V2895">
        <v>0</v>
      </c>
      <c r="W2895">
        <v>100000</v>
      </c>
      <c r="X2895" s="1">
        <v>43769</v>
      </c>
      <c r="Y2895" t="s">
        <v>131</v>
      </c>
      <c r="Z2895" t="s">
        <v>43</v>
      </c>
      <c r="AA2895" t="s">
        <v>41</v>
      </c>
      <c r="AB2895" t="s">
        <v>132</v>
      </c>
      <c r="AC2895" t="s">
        <v>133</v>
      </c>
      <c r="AF2895" t="s">
        <v>135</v>
      </c>
      <c r="AG2895" s="1">
        <v>43843</v>
      </c>
      <c r="AH2895" t="s">
        <v>125</v>
      </c>
      <c r="AI2895" t="s">
        <v>92</v>
      </c>
      <c r="AJ2895">
        <v>1278023</v>
      </c>
      <c r="AK2895">
        <v>12365300</v>
      </c>
      <c r="AL2895">
        <v>12900</v>
      </c>
    </row>
    <row r="2896" spans="1:38" x14ac:dyDescent="0.25">
      <c r="A2896" t="s">
        <v>617</v>
      </c>
      <c r="B2896" t="s">
        <v>626</v>
      </c>
      <c r="C2896" t="s">
        <v>40</v>
      </c>
      <c r="D2896" s="1">
        <v>43191</v>
      </c>
      <c r="E2896" s="1">
        <v>43555</v>
      </c>
      <c r="F2896" t="s">
        <v>41</v>
      </c>
      <c r="G2896">
        <v>3</v>
      </c>
      <c r="H2896" t="s">
        <v>125</v>
      </c>
      <c r="I2896" t="s">
        <v>43</v>
      </c>
      <c r="J2896" t="s">
        <v>41</v>
      </c>
      <c r="K2896" t="s">
        <v>44</v>
      </c>
      <c r="L2896">
        <v>44063.25</v>
      </c>
      <c r="M2896" s="1">
        <v>43191</v>
      </c>
      <c r="N2896" t="s">
        <v>45</v>
      </c>
      <c r="O2896" t="s">
        <v>46</v>
      </c>
      <c r="P2896" t="s">
        <v>47</v>
      </c>
      <c r="Q2896" s="1">
        <v>43852</v>
      </c>
      <c r="R2896" t="s">
        <v>48</v>
      </c>
      <c r="S2896" t="s">
        <v>41</v>
      </c>
      <c r="T2896" t="s">
        <v>130</v>
      </c>
      <c r="U2896" t="s">
        <v>125</v>
      </c>
      <c r="V2896">
        <v>0</v>
      </c>
      <c r="W2896">
        <v>100000</v>
      </c>
      <c r="X2896" s="1">
        <v>43769</v>
      </c>
      <c r="Y2896" t="s">
        <v>131</v>
      </c>
      <c r="Z2896" t="s">
        <v>43</v>
      </c>
      <c r="AA2896" t="s">
        <v>41</v>
      </c>
      <c r="AB2896" t="s">
        <v>132</v>
      </c>
      <c r="AC2896" t="s">
        <v>133</v>
      </c>
      <c r="AF2896" t="s">
        <v>136</v>
      </c>
      <c r="AG2896" s="1">
        <v>43839</v>
      </c>
      <c r="AH2896" t="s">
        <v>125</v>
      </c>
      <c r="AI2896" t="s">
        <v>92</v>
      </c>
      <c r="AJ2896">
        <v>1278023</v>
      </c>
      <c r="AK2896">
        <v>12365300</v>
      </c>
      <c r="AL2896">
        <v>12900</v>
      </c>
    </row>
    <row r="2897" spans="1:38" x14ac:dyDescent="0.25">
      <c r="A2897" t="s">
        <v>617</v>
      </c>
      <c r="B2897" t="s">
        <v>626</v>
      </c>
      <c r="C2897" t="s">
        <v>40</v>
      </c>
      <c r="D2897" s="1">
        <v>43191</v>
      </c>
      <c r="E2897" s="1">
        <v>43555</v>
      </c>
      <c r="F2897" t="s">
        <v>41</v>
      </c>
      <c r="G2897">
        <v>3</v>
      </c>
      <c r="H2897" t="s">
        <v>125</v>
      </c>
      <c r="I2897" t="s">
        <v>43</v>
      </c>
      <c r="J2897" t="s">
        <v>41</v>
      </c>
      <c r="K2897" t="s">
        <v>44</v>
      </c>
      <c r="L2897">
        <v>44063.25</v>
      </c>
      <c r="M2897" s="1">
        <v>43191</v>
      </c>
      <c r="N2897" t="s">
        <v>45</v>
      </c>
      <c r="O2897" t="s">
        <v>46</v>
      </c>
      <c r="P2897" t="s">
        <v>47</v>
      </c>
      <c r="Q2897" s="1">
        <v>43852</v>
      </c>
      <c r="R2897" t="s">
        <v>48</v>
      </c>
      <c r="S2897" t="s">
        <v>41</v>
      </c>
      <c r="T2897" t="s">
        <v>130</v>
      </c>
      <c r="U2897" t="s">
        <v>125</v>
      </c>
      <c r="V2897">
        <v>0</v>
      </c>
      <c r="W2897">
        <v>100000</v>
      </c>
      <c r="X2897" s="1">
        <v>43769</v>
      </c>
      <c r="Y2897" t="s">
        <v>131</v>
      </c>
      <c r="Z2897" t="s">
        <v>43</v>
      </c>
      <c r="AA2897" t="s">
        <v>41</v>
      </c>
      <c r="AB2897" t="s">
        <v>132</v>
      </c>
      <c r="AC2897" t="s">
        <v>133</v>
      </c>
      <c r="AF2897" t="s">
        <v>137</v>
      </c>
      <c r="AG2897" s="1">
        <v>43840</v>
      </c>
      <c r="AH2897" t="s">
        <v>125</v>
      </c>
      <c r="AI2897" t="s">
        <v>92</v>
      </c>
      <c r="AJ2897">
        <v>1278023</v>
      </c>
      <c r="AK2897">
        <v>12365300</v>
      </c>
      <c r="AL2897">
        <v>12900</v>
      </c>
    </row>
    <row r="2898" spans="1:38" x14ac:dyDescent="0.25">
      <c r="A2898" t="s">
        <v>617</v>
      </c>
      <c r="B2898" t="s">
        <v>626</v>
      </c>
      <c r="C2898" t="s">
        <v>40</v>
      </c>
      <c r="D2898" s="1">
        <v>43191</v>
      </c>
      <c r="E2898" s="1">
        <v>43555</v>
      </c>
      <c r="F2898" t="s">
        <v>41</v>
      </c>
      <c r="G2898">
        <v>3</v>
      </c>
      <c r="H2898" t="s">
        <v>125</v>
      </c>
      <c r="I2898" t="s">
        <v>43</v>
      </c>
      <c r="J2898" t="s">
        <v>41</v>
      </c>
      <c r="K2898" t="s">
        <v>44</v>
      </c>
      <c r="L2898">
        <v>44063.25</v>
      </c>
      <c r="M2898" s="1">
        <v>43191</v>
      </c>
      <c r="N2898" t="s">
        <v>45</v>
      </c>
      <c r="O2898" t="s">
        <v>46</v>
      </c>
      <c r="P2898" t="s">
        <v>47</v>
      </c>
      <c r="Q2898" s="1">
        <v>43852</v>
      </c>
      <c r="R2898" t="s">
        <v>48</v>
      </c>
      <c r="S2898" t="s">
        <v>138</v>
      </c>
      <c r="T2898" t="s">
        <v>139</v>
      </c>
      <c r="U2898" t="s">
        <v>125</v>
      </c>
      <c r="V2898">
        <v>0</v>
      </c>
      <c r="W2898">
        <v>10000</v>
      </c>
      <c r="X2898" s="1">
        <v>43738</v>
      </c>
      <c r="Y2898" t="s">
        <v>140</v>
      </c>
      <c r="Z2898" t="s">
        <v>43</v>
      </c>
      <c r="AA2898" t="s">
        <v>41</v>
      </c>
      <c r="AB2898" t="s">
        <v>132</v>
      </c>
      <c r="AC2898" t="s">
        <v>132</v>
      </c>
      <c r="AF2898" t="s">
        <v>134</v>
      </c>
      <c r="AG2898" s="1">
        <v>43843</v>
      </c>
      <c r="AH2898" t="s">
        <v>125</v>
      </c>
      <c r="AI2898" t="s">
        <v>92</v>
      </c>
      <c r="AJ2898">
        <v>1278023</v>
      </c>
      <c r="AK2898">
        <v>12365300</v>
      </c>
      <c r="AL2898">
        <v>12900</v>
      </c>
    </row>
    <row r="2899" spans="1:38" x14ac:dyDescent="0.25">
      <c r="A2899" t="s">
        <v>617</v>
      </c>
      <c r="B2899" t="s">
        <v>626</v>
      </c>
      <c r="C2899" t="s">
        <v>40</v>
      </c>
      <c r="D2899" s="1">
        <v>43191</v>
      </c>
      <c r="E2899" s="1">
        <v>43555</v>
      </c>
      <c r="F2899" t="s">
        <v>41</v>
      </c>
      <c r="G2899">
        <v>3</v>
      </c>
      <c r="H2899" t="s">
        <v>125</v>
      </c>
      <c r="I2899" t="s">
        <v>43</v>
      </c>
      <c r="J2899" t="s">
        <v>41</v>
      </c>
      <c r="K2899" t="s">
        <v>44</v>
      </c>
      <c r="L2899">
        <v>44063.25</v>
      </c>
      <c r="M2899" s="1">
        <v>43191</v>
      </c>
      <c r="N2899" t="s">
        <v>45</v>
      </c>
      <c r="O2899" t="s">
        <v>46</v>
      </c>
      <c r="P2899" t="s">
        <v>47</v>
      </c>
      <c r="Q2899" s="1">
        <v>43852</v>
      </c>
      <c r="R2899" t="s">
        <v>48</v>
      </c>
      <c r="S2899" t="s">
        <v>138</v>
      </c>
      <c r="T2899" t="s">
        <v>139</v>
      </c>
      <c r="U2899" t="s">
        <v>125</v>
      </c>
      <c r="V2899">
        <v>0</v>
      </c>
      <c r="W2899">
        <v>10000</v>
      </c>
      <c r="X2899" s="1">
        <v>43738</v>
      </c>
      <c r="Y2899" t="s">
        <v>140</v>
      </c>
      <c r="Z2899" t="s">
        <v>43</v>
      </c>
      <c r="AA2899" t="s">
        <v>41</v>
      </c>
      <c r="AB2899" t="s">
        <v>132</v>
      </c>
      <c r="AC2899" t="s">
        <v>132</v>
      </c>
      <c r="AF2899" t="s">
        <v>135</v>
      </c>
      <c r="AG2899" s="1">
        <v>43843</v>
      </c>
      <c r="AH2899" t="s">
        <v>125</v>
      </c>
      <c r="AI2899" t="s">
        <v>92</v>
      </c>
      <c r="AJ2899">
        <v>1278023</v>
      </c>
      <c r="AK2899">
        <v>12365300</v>
      </c>
      <c r="AL2899">
        <v>12900</v>
      </c>
    </row>
    <row r="2900" spans="1:38" x14ac:dyDescent="0.25">
      <c r="A2900" t="s">
        <v>617</v>
      </c>
      <c r="B2900" t="s">
        <v>626</v>
      </c>
      <c r="C2900" t="s">
        <v>40</v>
      </c>
      <c r="D2900" s="1">
        <v>43191</v>
      </c>
      <c r="E2900" s="1">
        <v>43555</v>
      </c>
      <c r="F2900" t="s">
        <v>41</v>
      </c>
      <c r="G2900">
        <v>3</v>
      </c>
      <c r="H2900" t="s">
        <v>125</v>
      </c>
      <c r="I2900" t="s">
        <v>43</v>
      </c>
      <c r="J2900" t="s">
        <v>41</v>
      </c>
      <c r="K2900" t="s">
        <v>44</v>
      </c>
      <c r="L2900">
        <v>44063.25</v>
      </c>
      <c r="M2900" s="1">
        <v>43191</v>
      </c>
      <c r="N2900" t="s">
        <v>45</v>
      </c>
      <c r="O2900" t="s">
        <v>46</v>
      </c>
      <c r="P2900" t="s">
        <v>47</v>
      </c>
      <c r="Q2900" s="1">
        <v>43852</v>
      </c>
      <c r="R2900" t="s">
        <v>48</v>
      </c>
      <c r="S2900" t="s">
        <v>138</v>
      </c>
      <c r="T2900" t="s">
        <v>139</v>
      </c>
      <c r="U2900" t="s">
        <v>125</v>
      </c>
      <c r="V2900">
        <v>0</v>
      </c>
      <c r="W2900">
        <v>10000</v>
      </c>
      <c r="X2900" s="1">
        <v>43738</v>
      </c>
      <c r="Y2900" t="s">
        <v>140</v>
      </c>
      <c r="Z2900" t="s">
        <v>43</v>
      </c>
      <c r="AA2900" t="s">
        <v>41</v>
      </c>
      <c r="AB2900" t="s">
        <v>132</v>
      </c>
      <c r="AC2900" t="s">
        <v>132</v>
      </c>
      <c r="AF2900" t="s">
        <v>136</v>
      </c>
      <c r="AG2900" s="1">
        <v>43839</v>
      </c>
      <c r="AH2900" t="s">
        <v>125</v>
      </c>
      <c r="AI2900" t="s">
        <v>92</v>
      </c>
      <c r="AJ2900">
        <v>1278023</v>
      </c>
      <c r="AK2900">
        <v>12365300</v>
      </c>
      <c r="AL2900">
        <v>12900</v>
      </c>
    </row>
    <row r="2901" spans="1:38" x14ac:dyDescent="0.25">
      <c r="A2901" t="s">
        <v>617</v>
      </c>
      <c r="B2901" t="s">
        <v>626</v>
      </c>
      <c r="C2901" t="s">
        <v>40</v>
      </c>
      <c r="D2901" s="1">
        <v>43191</v>
      </c>
      <c r="E2901" s="1">
        <v>43555</v>
      </c>
      <c r="F2901" t="s">
        <v>41</v>
      </c>
      <c r="G2901">
        <v>3</v>
      </c>
      <c r="H2901" t="s">
        <v>125</v>
      </c>
      <c r="I2901" t="s">
        <v>43</v>
      </c>
      <c r="J2901" t="s">
        <v>41</v>
      </c>
      <c r="K2901" t="s">
        <v>44</v>
      </c>
      <c r="L2901">
        <v>44063.25</v>
      </c>
      <c r="M2901" s="1">
        <v>43191</v>
      </c>
      <c r="N2901" t="s">
        <v>45</v>
      </c>
      <c r="O2901" t="s">
        <v>46</v>
      </c>
      <c r="P2901" t="s">
        <v>47</v>
      </c>
      <c r="Q2901" s="1">
        <v>43852</v>
      </c>
      <c r="R2901" t="s">
        <v>48</v>
      </c>
      <c r="S2901" t="s">
        <v>138</v>
      </c>
      <c r="T2901" t="s">
        <v>139</v>
      </c>
      <c r="U2901" t="s">
        <v>125</v>
      </c>
      <c r="V2901">
        <v>0</v>
      </c>
      <c r="W2901">
        <v>10000</v>
      </c>
      <c r="X2901" s="1">
        <v>43738</v>
      </c>
      <c r="Y2901" t="s">
        <v>140</v>
      </c>
      <c r="Z2901" t="s">
        <v>43</v>
      </c>
      <c r="AA2901" t="s">
        <v>41</v>
      </c>
      <c r="AB2901" t="s">
        <v>132</v>
      </c>
      <c r="AC2901" t="s">
        <v>132</v>
      </c>
      <c r="AF2901" t="s">
        <v>137</v>
      </c>
      <c r="AG2901" s="1">
        <v>43840</v>
      </c>
      <c r="AH2901" t="s">
        <v>125</v>
      </c>
      <c r="AI2901" t="s">
        <v>92</v>
      </c>
      <c r="AJ2901">
        <v>1278023</v>
      </c>
      <c r="AK2901">
        <v>12365300</v>
      </c>
      <c r="AL2901">
        <v>12900</v>
      </c>
    </row>
    <row r="2902" spans="1:38" x14ac:dyDescent="0.25">
      <c r="A2902" t="s">
        <v>617</v>
      </c>
      <c r="B2902" t="s">
        <v>627</v>
      </c>
      <c r="C2902" t="s">
        <v>40</v>
      </c>
      <c r="D2902" s="1">
        <v>43388</v>
      </c>
      <c r="E2902" s="1">
        <v>43752</v>
      </c>
      <c r="F2902" t="s">
        <v>72</v>
      </c>
      <c r="G2902">
        <v>12</v>
      </c>
      <c r="H2902" t="s">
        <v>155</v>
      </c>
      <c r="I2902" t="s">
        <v>43</v>
      </c>
      <c r="J2902" t="s">
        <v>126</v>
      </c>
      <c r="K2902" t="s">
        <v>127</v>
      </c>
      <c r="L2902">
        <v>16387.5</v>
      </c>
      <c r="M2902" s="1">
        <v>43388</v>
      </c>
      <c r="N2902" t="s">
        <v>45</v>
      </c>
      <c r="O2902" t="s">
        <v>46</v>
      </c>
      <c r="P2902" t="s">
        <v>47</v>
      </c>
      <c r="Q2902" s="1">
        <v>43852</v>
      </c>
      <c r="R2902" t="s">
        <v>48</v>
      </c>
      <c r="S2902" t="s">
        <v>628</v>
      </c>
      <c r="T2902" t="s">
        <v>629</v>
      </c>
      <c r="U2902" t="s">
        <v>155</v>
      </c>
      <c r="V2902">
        <v>90000000</v>
      </c>
      <c r="W2902">
        <v>200000</v>
      </c>
      <c r="X2902" s="1">
        <v>44074</v>
      </c>
      <c r="Y2902" t="s">
        <v>51</v>
      </c>
      <c r="Z2902" t="s">
        <v>43</v>
      </c>
      <c r="AA2902" t="s">
        <v>115</v>
      </c>
      <c r="AB2902" t="s">
        <v>268</v>
      </c>
      <c r="AC2902" t="s">
        <v>630</v>
      </c>
      <c r="AF2902" t="s">
        <v>160</v>
      </c>
      <c r="AG2902" s="1">
        <v>43851</v>
      </c>
    </row>
    <row r="2903" spans="1:38" x14ac:dyDescent="0.25">
      <c r="A2903" t="s">
        <v>617</v>
      </c>
      <c r="B2903" t="s">
        <v>627</v>
      </c>
      <c r="C2903" t="s">
        <v>40</v>
      </c>
      <c r="D2903" s="1">
        <v>43388</v>
      </c>
      <c r="E2903" s="1">
        <v>43752</v>
      </c>
      <c r="F2903" t="s">
        <v>72</v>
      </c>
      <c r="G2903">
        <v>12</v>
      </c>
      <c r="H2903" t="s">
        <v>155</v>
      </c>
      <c r="I2903" t="s">
        <v>43</v>
      </c>
      <c r="J2903" t="s">
        <v>126</v>
      </c>
      <c r="K2903" t="s">
        <v>127</v>
      </c>
      <c r="L2903">
        <v>16387.5</v>
      </c>
      <c r="M2903" s="1">
        <v>43388</v>
      </c>
      <c r="N2903" t="s">
        <v>45</v>
      </c>
      <c r="O2903" t="s">
        <v>46</v>
      </c>
      <c r="P2903" t="s">
        <v>47</v>
      </c>
      <c r="Q2903" s="1">
        <v>43852</v>
      </c>
      <c r="R2903" t="s">
        <v>48</v>
      </c>
      <c r="S2903" t="s">
        <v>628</v>
      </c>
      <c r="T2903" t="s">
        <v>629</v>
      </c>
      <c r="U2903" t="s">
        <v>155</v>
      </c>
      <c r="V2903">
        <v>90000000</v>
      </c>
      <c r="W2903">
        <v>200000</v>
      </c>
      <c r="X2903" s="1">
        <v>44074</v>
      </c>
      <c r="Y2903" t="s">
        <v>51</v>
      </c>
      <c r="Z2903" t="s">
        <v>43</v>
      </c>
      <c r="AA2903" t="s">
        <v>115</v>
      </c>
      <c r="AB2903" t="s">
        <v>268</v>
      </c>
      <c r="AC2903" t="s">
        <v>630</v>
      </c>
      <c r="AF2903" t="s">
        <v>161</v>
      </c>
      <c r="AG2903" s="1">
        <v>43851</v>
      </c>
    </row>
    <row r="2904" spans="1:38" x14ac:dyDescent="0.25">
      <c r="A2904" t="s">
        <v>617</v>
      </c>
      <c r="B2904" t="s">
        <v>627</v>
      </c>
      <c r="C2904" t="s">
        <v>40</v>
      </c>
      <c r="D2904" s="1">
        <v>43388</v>
      </c>
      <c r="E2904" s="1">
        <v>43752</v>
      </c>
      <c r="F2904" t="s">
        <v>72</v>
      </c>
      <c r="G2904">
        <v>12</v>
      </c>
      <c r="H2904" t="s">
        <v>155</v>
      </c>
      <c r="I2904" t="s">
        <v>43</v>
      </c>
      <c r="J2904" t="s">
        <v>126</v>
      </c>
      <c r="K2904" t="s">
        <v>127</v>
      </c>
      <c r="L2904">
        <v>16387.5</v>
      </c>
      <c r="M2904" s="1">
        <v>43388</v>
      </c>
      <c r="N2904" t="s">
        <v>45</v>
      </c>
      <c r="O2904" t="s">
        <v>46</v>
      </c>
      <c r="P2904" t="s">
        <v>47</v>
      </c>
      <c r="Q2904" s="1">
        <v>43852</v>
      </c>
      <c r="R2904" t="s">
        <v>48</v>
      </c>
      <c r="S2904" t="s">
        <v>628</v>
      </c>
      <c r="T2904" t="s">
        <v>629</v>
      </c>
      <c r="U2904" t="s">
        <v>155</v>
      </c>
      <c r="V2904">
        <v>90000000</v>
      </c>
      <c r="W2904">
        <v>200000</v>
      </c>
      <c r="X2904" s="1">
        <v>44074</v>
      </c>
      <c r="Y2904" t="s">
        <v>51</v>
      </c>
      <c r="Z2904" t="s">
        <v>43</v>
      </c>
      <c r="AA2904" t="s">
        <v>115</v>
      </c>
      <c r="AB2904" t="s">
        <v>268</v>
      </c>
      <c r="AC2904" t="s">
        <v>630</v>
      </c>
      <c r="AF2904" t="s">
        <v>162</v>
      </c>
      <c r="AG2904" s="1">
        <v>43851</v>
      </c>
    </row>
    <row r="2905" spans="1:38" x14ac:dyDescent="0.25">
      <c r="A2905" t="s">
        <v>617</v>
      </c>
      <c r="B2905" t="s">
        <v>627</v>
      </c>
      <c r="C2905" t="s">
        <v>40</v>
      </c>
      <c r="D2905" s="1">
        <v>43388</v>
      </c>
      <c r="E2905" s="1">
        <v>43752</v>
      </c>
      <c r="F2905" t="s">
        <v>72</v>
      </c>
      <c r="G2905">
        <v>12</v>
      </c>
      <c r="H2905" t="s">
        <v>155</v>
      </c>
      <c r="I2905" t="s">
        <v>43</v>
      </c>
      <c r="J2905" t="s">
        <v>126</v>
      </c>
      <c r="K2905" t="s">
        <v>127</v>
      </c>
      <c r="L2905">
        <v>16387.5</v>
      </c>
      <c r="M2905" s="1">
        <v>43388</v>
      </c>
      <c r="N2905" t="s">
        <v>45</v>
      </c>
      <c r="O2905" t="s">
        <v>46</v>
      </c>
      <c r="P2905" t="s">
        <v>47</v>
      </c>
      <c r="Q2905" s="1">
        <v>43852</v>
      </c>
      <c r="R2905" t="s">
        <v>48</v>
      </c>
      <c r="S2905" t="s">
        <v>628</v>
      </c>
      <c r="T2905" t="s">
        <v>629</v>
      </c>
      <c r="U2905" t="s">
        <v>155</v>
      </c>
      <c r="V2905">
        <v>90000000</v>
      </c>
      <c r="W2905">
        <v>200000</v>
      </c>
      <c r="X2905" s="1">
        <v>44074</v>
      </c>
      <c r="Y2905" t="s">
        <v>51</v>
      </c>
      <c r="Z2905" t="s">
        <v>43</v>
      </c>
      <c r="AA2905" t="s">
        <v>115</v>
      </c>
      <c r="AB2905" t="s">
        <v>268</v>
      </c>
      <c r="AC2905" t="s">
        <v>630</v>
      </c>
      <c r="AF2905" t="s">
        <v>163</v>
      </c>
      <c r="AG2905" s="1">
        <v>43852</v>
      </c>
    </row>
    <row r="2906" spans="1:38" x14ac:dyDescent="0.25">
      <c r="A2906" t="s">
        <v>617</v>
      </c>
      <c r="B2906" t="s">
        <v>627</v>
      </c>
      <c r="C2906" t="s">
        <v>40</v>
      </c>
      <c r="D2906" s="1">
        <v>43388</v>
      </c>
      <c r="E2906" s="1">
        <v>43752</v>
      </c>
      <c r="F2906" t="s">
        <v>72</v>
      </c>
      <c r="G2906">
        <v>12</v>
      </c>
      <c r="H2906" t="s">
        <v>155</v>
      </c>
      <c r="I2906" t="s">
        <v>43</v>
      </c>
      <c r="J2906" t="s">
        <v>126</v>
      </c>
      <c r="K2906" t="s">
        <v>127</v>
      </c>
      <c r="L2906">
        <v>16387.5</v>
      </c>
      <c r="M2906" s="1">
        <v>43388</v>
      </c>
      <c r="N2906" t="s">
        <v>45</v>
      </c>
      <c r="O2906" t="s">
        <v>46</v>
      </c>
      <c r="P2906" t="s">
        <v>47</v>
      </c>
      <c r="Q2906" s="1">
        <v>43852</v>
      </c>
      <c r="R2906" t="s">
        <v>48</v>
      </c>
      <c r="S2906" t="s">
        <v>631</v>
      </c>
      <c r="T2906" t="s">
        <v>632</v>
      </c>
      <c r="U2906" t="s">
        <v>155</v>
      </c>
      <c r="V2906">
        <v>1000000</v>
      </c>
      <c r="W2906">
        <v>100000</v>
      </c>
      <c r="X2906" s="1">
        <v>43830</v>
      </c>
      <c r="Y2906" t="s">
        <v>51</v>
      </c>
      <c r="Z2906" t="s">
        <v>43</v>
      </c>
      <c r="AA2906" t="s">
        <v>115</v>
      </c>
      <c r="AB2906" t="s">
        <v>268</v>
      </c>
      <c r="AC2906" t="s">
        <v>269</v>
      </c>
      <c r="AF2906" t="s">
        <v>160</v>
      </c>
      <c r="AG2906" s="1">
        <v>43851</v>
      </c>
    </row>
    <row r="2907" spans="1:38" x14ac:dyDescent="0.25">
      <c r="A2907" t="s">
        <v>617</v>
      </c>
      <c r="B2907" t="s">
        <v>627</v>
      </c>
      <c r="C2907" t="s">
        <v>40</v>
      </c>
      <c r="D2907" s="1">
        <v>43388</v>
      </c>
      <c r="E2907" s="1">
        <v>43752</v>
      </c>
      <c r="F2907" t="s">
        <v>72</v>
      </c>
      <c r="G2907">
        <v>12</v>
      </c>
      <c r="H2907" t="s">
        <v>155</v>
      </c>
      <c r="I2907" t="s">
        <v>43</v>
      </c>
      <c r="J2907" t="s">
        <v>126</v>
      </c>
      <c r="K2907" t="s">
        <v>127</v>
      </c>
      <c r="L2907">
        <v>16387.5</v>
      </c>
      <c r="M2907" s="1">
        <v>43388</v>
      </c>
      <c r="N2907" t="s">
        <v>45</v>
      </c>
      <c r="O2907" t="s">
        <v>46</v>
      </c>
      <c r="P2907" t="s">
        <v>47</v>
      </c>
      <c r="Q2907" s="1">
        <v>43852</v>
      </c>
      <c r="R2907" t="s">
        <v>48</v>
      </c>
      <c r="S2907" t="s">
        <v>631</v>
      </c>
      <c r="T2907" t="s">
        <v>632</v>
      </c>
      <c r="U2907" t="s">
        <v>155</v>
      </c>
      <c r="V2907">
        <v>1000000</v>
      </c>
      <c r="W2907">
        <v>100000</v>
      </c>
      <c r="X2907" s="1">
        <v>43830</v>
      </c>
      <c r="Y2907" t="s">
        <v>51</v>
      </c>
      <c r="Z2907" t="s">
        <v>43</v>
      </c>
      <c r="AA2907" t="s">
        <v>115</v>
      </c>
      <c r="AB2907" t="s">
        <v>268</v>
      </c>
      <c r="AC2907" t="s">
        <v>269</v>
      </c>
      <c r="AF2907" t="s">
        <v>161</v>
      </c>
      <c r="AG2907" s="1">
        <v>43851</v>
      </c>
    </row>
    <row r="2908" spans="1:38" x14ac:dyDescent="0.25">
      <c r="A2908" t="s">
        <v>617</v>
      </c>
      <c r="B2908" t="s">
        <v>627</v>
      </c>
      <c r="C2908" t="s">
        <v>40</v>
      </c>
      <c r="D2908" s="1">
        <v>43388</v>
      </c>
      <c r="E2908" s="1">
        <v>43752</v>
      </c>
      <c r="F2908" t="s">
        <v>72</v>
      </c>
      <c r="G2908">
        <v>12</v>
      </c>
      <c r="H2908" t="s">
        <v>155</v>
      </c>
      <c r="I2908" t="s">
        <v>43</v>
      </c>
      <c r="J2908" t="s">
        <v>126</v>
      </c>
      <c r="K2908" t="s">
        <v>127</v>
      </c>
      <c r="L2908">
        <v>16387.5</v>
      </c>
      <c r="M2908" s="1">
        <v>43388</v>
      </c>
      <c r="N2908" t="s">
        <v>45</v>
      </c>
      <c r="O2908" t="s">
        <v>46</v>
      </c>
      <c r="P2908" t="s">
        <v>47</v>
      </c>
      <c r="Q2908" s="1">
        <v>43852</v>
      </c>
      <c r="R2908" t="s">
        <v>48</v>
      </c>
      <c r="S2908" t="s">
        <v>631</v>
      </c>
      <c r="T2908" t="s">
        <v>632</v>
      </c>
      <c r="U2908" t="s">
        <v>155</v>
      </c>
      <c r="V2908">
        <v>1000000</v>
      </c>
      <c r="W2908">
        <v>100000</v>
      </c>
      <c r="X2908" s="1">
        <v>43830</v>
      </c>
      <c r="Y2908" t="s">
        <v>51</v>
      </c>
      <c r="Z2908" t="s">
        <v>43</v>
      </c>
      <c r="AA2908" t="s">
        <v>115</v>
      </c>
      <c r="AB2908" t="s">
        <v>268</v>
      </c>
      <c r="AC2908" t="s">
        <v>269</v>
      </c>
      <c r="AF2908" t="s">
        <v>162</v>
      </c>
      <c r="AG2908" s="1">
        <v>43851</v>
      </c>
    </row>
    <row r="2909" spans="1:38" x14ac:dyDescent="0.25">
      <c r="A2909" t="s">
        <v>617</v>
      </c>
      <c r="B2909" t="s">
        <v>627</v>
      </c>
      <c r="C2909" t="s">
        <v>40</v>
      </c>
      <c r="D2909" s="1">
        <v>43388</v>
      </c>
      <c r="E2909" s="1">
        <v>43752</v>
      </c>
      <c r="F2909" t="s">
        <v>72</v>
      </c>
      <c r="G2909">
        <v>12</v>
      </c>
      <c r="H2909" t="s">
        <v>155</v>
      </c>
      <c r="I2909" t="s">
        <v>43</v>
      </c>
      <c r="J2909" t="s">
        <v>126</v>
      </c>
      <c r="K2909" t="s">
        <v>127</v>
      </c>
      <c r="L2909">
        <v>16387.5</v>
      </c>
      <c r="M2909" s="1">
        <v>43388</v>
      </c>
      <c r="N2909" t="s">
        <v>45</v>
      </c>
      <c r="O2909" t="s">
        <v>46</v>
      </c>
      <c r="P2909" t="s">
        <v>47</v>
      </c>
      <c r="Q2909" s="1">
        <v>43852</v>
      </c>
      <c r="R2909" t="s">
        <v>48</v>
      </c>
      <c r="S2909" t="s">
        <v>631</v>
      </c>
      <c r="T2909" t="s">
        <v>632</v>
      </c>
      <c r="U2909" t="s">
        <v>155</v>
      </c>
      <c r="V2909">
        <v>1000000</v>
      </c>
      <c r="W2909">
        <v>100000</v>
      </c>
      <c r="X2909" s="1">
        <v>43830</v>
      </c>
      <c r="Y2909" t="s">
        <v>51</v>
      </c>
      <c r="Z2909" t="s">
        <v>43</v>
      </c>
      <c r="AA2909" t="s">
        <v>115</v>
      </c>
      <c r="AB2909" t="s">
        <v>268</v>
      </c>
      <c r="AC2909" t="s">
        <v>269</v>
      </c>
      <c r="AF2909" t="s">
        <v>163</v>
      </c>
      <c r="AG2909" s="1">
        <v>43852</v>
      </c>
    </row>
    <row r="2910" spans="1:38" x14ac:dyDescent="0.25">
      <c r="A2910" t="s">
        <v>617</v>
      </c>
      <c r="B2910" t="s">
        <v>633</v>
      </c>
      <c r="C2910" t="s">
        <v>40</v>
      </c>
      <c r="D2910" s="1">
        <v>43191</v>
      </c>
      <c r="E2910" s="1">
        <v>43555</v>
      </c>
      <c r="F2910" t="s">
        <v>72</v>
      </c>
      <c r="G2910">
        <v>3</v>
      </c>
      <c r="H2910" t="s">
        <v>125</v>
      </c>
      <c r="I2910" t="s">
        <v>43</v>
      </c>
      <c r="J2910" t="s">
        <v>126</v>
      </c>
      <c r="K2910" t="s">
        <v>44</v>
      </c>
      <c r="L2910">
        <v>15899.07</v>
      </c>
      <c r="M2910" s="1">
        <v>43191</v>
      </c>
      <c r="N2910" t="s">
        <v>45</v>
      </c>
      <c r="O2910" t="s">
        <v>46</v>
      </c>
      <c r="P2910" t="s">
        <v>47</v>
      </c>
      <c r="Q2910" s="1">
        <v>43852</v>
      </c>
      <c r="R2910" t="s">
        <v>48</v>
      </c>
      <c r="S2910" t="s">
        <v>266</v>
      </c>
      <c r="T2910" t="s">
        <v>267</v>
      </c>
      <c r="U2910" t="s">
        <v>125</v>
      </c>
      <c r="V2910">
        <v>700000</v>
      </c>
      <c r="W2910">
        <v>100000</v>
      </c>
      <c r="X2910" s="1">
        <v>43830</v>
      </c>
      <c r="Y2910" t="s">
        <v>51</v>
      </c>
      <c r="Z2910" t="s">
        <v>43</v>
      </c>
      <c r="AA2910" t="s">
        <v>115</v>
      </c>
      <c r="AB2910" t="s">
        <v>268</v>
      </c>
      <c r="AC2910" t="s">
        <v>269</v>
      </c>
      <c r="AF2910" t="s">
        <v>134</v>
      </c>
      <c r="AG2910" s="1">
        <v>43843</v>
      </c>
      <c r="AH2910" t="s">
        <v>125</v>
      </c>
      <c r="AI2910" t="s">
        <v>92</v>
      </c>
      <c r="AJ2910">
        <v>1278023</v>
      </c>
      <c r="AK2910">
        <v>12365300</v>
      </c>
      <c r="AL2910">
        <v>12900</v>
      </c>
    </row>
    <row r="2911" spans="1:38" x14ac:dyDescent="0.25">
      <c r="A2911" t="s">
        <v>617</v>
      </c>
      <c r="B2911" t="s">
        <v>633</v>
      </c>
      <c r="C2911" t="s">
        <v>40</v>
      </c>
      <c r="D2911" s="1">
        <v>43191</v>
      </c>
      <c r="E2911" s="1">
        <v>43555</v>
      </c>
      <c r="F2911" t="s">
        <v>72</v>
      </c>
      <c r="G2911">
        <v>3</v>
      </c>
      <c r="H2911" t="s">
        <v>125</v>
      </c>
      <c r="I2911" t="s">
        <v>43</v>
      </c>
      <c r="J2911" t="s">
        <v>126</v>
      </c>
      <c r="K2911" t="s">
        <v>44</v>
      </c>
      <c r="L2911">
        <v>15899.07</v>
      </c>
      <c r="M2911" s="1">
        <v>43191</v>
      </c>
      <c r="N2911" t="s">
        <v>45</v>
      </c>
      <c r="O2911" t="s">
        <v>46</v>
      </c>
      <c r="P2911" t="s">
        <v>47</v>
      </c>
      <c r="Q2911" s="1">
        <v>43852</v>
      </c>
      <c r="R2911" t="s">
        <v>48</v>
      </c>
      <c r="S2911" t="s">
        <v>266</v>
      </c>
      <c r="T2911" t="s">
        <v>267</v>
      </c>
      <c r="U2911" t="s">
        <v>125</v>
      </c>
      <c r="V2911">
        <v>700000</v>
      </c>
      <c r="W2911">
        <v>100000</v>
      </c>
      <c r="X2911" s="1">
        <v>43830</v>
      </c>
      <c r="Y2911" t="s">
        <v>51</v>
      </c>
      <c r="Z2911" t="s">
        <v>43</v>
      </c>
      <c r="AA2911" t="s">
        <v>115</v>
      </c>
      <c r="AB2911" t="s">
        <v>268</v>
      </c>
      <c r="AC2911" t="s">
        <v>269</v>
      </c>
      <c r="AF2911" t="s">
        <v>135</v>
      </c>
      <c r="AG2911" s="1">
        <v>43843</v>
      </c>
      <c r="AH2911" t="s">
        <v>125</v>
      </c>
      <c r="AI2911" t="s">
        <v>92</v>
      </c>
      <c r="AJ2911">
        <v>1278023</v>
      </c>
      <c r="AK2911">
        <v>12365300</v>
      </c>
      <c r="AL2911">
        <v>12900</v>
      </c>
    </row>
    <row r="2912" spans="1:38" x14ac:dyDescent="0.25">
      <c r="A2912" t="s">
        <v>617</v>
      </c>
      <c r="B2912" t="s">
        <v>633</v>
      </c>
      <c r="C2912" t="s">
        <v>40</v>
      </c>
      <c r="D2912" s="1">
        <v>43191</v>
      </c>
      <c r="E2912" s="1">
        <v>43555</v>
      </c>
      <c r="F2912" t="s">
        <v>72</v>
      </c>
      <c r="G2912">
        <v>3</v>
      </c>
      <c r="H2912" t="s">
        <v>125</v>
      </c>
      <c r="I2912" t="s">
        <v>43</v>
      </c>
      <c r="J2912" t="s">
        <v>126</v>
      </c>
      <c r="K2912" t="s">
        <v>44</v>
      </c>
      <c r="L2912">
        <v>15899.07</v>
      </c>
      <c r="M2912" s="1">
        <v>43191</v>
      </c>
      <c r="N2912" t="s">
        <v>45</v>
      </c>
      <c r="O2912" t="s">
        <v>46</v>
      </c>
      <c r="P2912" t="s">
        <v>47</v>
      </c>
      <c r="Q2912" s="1">
        <v>43852</v>
      </c>
      <c r="R2912" t="s">
        <v>48</v>
      </c>
      <c r="S2912" t="s">
        <v>266</v>
      </c>
      <c r="T2912" t="s">
        <v>267</v>
      </c>
      <c r="U2912" t="s">
        <v>125</v>
      </c>
      <c r="V2912">
        <v>700000</v>
      </c>
      <c r="W2912">
        <v>100000</v>
      </c>
      <c r="X2912" s="1">
        <v>43830</v>
      </c>
      <c r="Y2912" t="s">
        <v>51</v>
      </c>
      <c r="Z2912" t="s">
        <v>43</v>
      </c>
      <c r="AA2912" t="s">
        <v>115</v>
      </c>
      <c r="AB2912" t="s">
        <v>268</v>
      </c>
      <c r="AC2912" t="s">
        <v>269</v>
      </c>
      <c r="AF2912" t="s">
        <v>136</v>
      </c>
      <c r="AG2912" s="1">
        <v>43839</v>
      </c>
      <c r="AH2912" t="s">
        <v>125</v>
      </c>
      <c r="AI2912" t="s">
        <v>92</v>
      </c>
      <c r="AJ2912">
        <v>1278023</v>
      </c>
      <c r="AK2912">
        <v>12365300</v>
      </c>
      <c r="AL2912">
        <v>12900</v>
      </c>
    </row>
    <row r="2913" spans="1:38" x14ac:dyDescent="0.25">
      <c r="A2913" t="s">
        <v>617</v>
      </c>
      <c r="B2913" t="s">
        <v>633</v>
      </c>
      <c r="C2913" t="s">
        <v>40</v>
      </c>
      <c r="D2913" s="1">
        <v>43191</v>
      </c>
      <c r="E2913" s="1">
        <v>43555</v>
      </c>
      <c r="F2913" t="s">
        <v>72</v>
      </c>
      <c r="G2913">
        <v>3</v>
      </c>
      <c r="H2913" t="s">
        <v>125</v>
      </c>
      <c r="I2913" t="s">
        <v>43</v>
      </c>
      <c r="J2913" t="s">
        <v>126</v>
      </c>
      <c r="K2913" t="s">
        <v>44</v>
      </c>
      <c r="L2913">
        <v>15899.07</v>
      </c>
      <c r="M2913" s="1">
        <v>43191</v>
      </c>
      <c r="N2913" t="s">
        <v>45</v>
      </c>
      <c r="O2913" t="s">
        <v>46</v>
      </c>
      <c r="P2913" t="s">
        <v>47</v>
      </c>
      <c r="Q2913" s="1">
        <v>43852</v>
      </c>
      <c r="R2913" t="s">
        <v>48</v>
      </c>
      <c r="S2913" t="s">
        <v>266</v>
      </c>
      <c r="T2913" t="s">
        <v>267</v>
      </c>
      <c r="U2913" t="s">
        <v>125</v>
      </c>
      <c r="V2913">
        <v>700000</v>
      </c>
      <c r="W2913">
        <v>100000</v>
      </c>
      <c r="X2913" s="1">
        <v>43830</v>
      </c>
      <c r="Y2913" t="s">
        <v>51</v>
      </c>
      <c r="Z2913" t="s">
        <v>43</v>
      </c>
      <c r="AA2913" t="s">
        <v>115</v>
      </c>
      <c r="AB2913" t="s">
        <v>268</v>
      </c>
      <c r="AC2913" t="s">
        <v>269</v>
      </c>
      <c r="AF2913" t="s">
        <v>137</v>
      </c>
      <c r="AG2913" s="1">
        <v>43840</v>
      </c>
      <c r="AH2913" t="s">
        <v>125</v>
      </c>
      <c r="AI2913" t="s">
        <v>92</v>
      </c>
      <c r="AJ2913">
        <v>1278023</v>
      </c>
      <c r="AK2913">
        <v>12365300</v>
      </c>
      <c r="AL2913">
        <v>12900</v>
      </c>
    </row>
    <row r="2914" spans="1:38" x14ac:dyDescent="0.25">
      <c r="A2914" t="s">
        <v>617</v>
      </c>
      <c r="B2914" t="s">
        <v>633</v>
      </c>
      <c r="C2914" t="s">
        <v>40</v>
      </c>
      <c r="D2914" s="1">
        <v>43191</v>
      </c>
      <c r="E2914" s="1">
        <v>43555</v>
      </c>
      <c r="F2914" t="s">
        <v>72</v>
      </c>
      <c r="G2914">
        <v>3</v>
      </c>
      <c r="H2914" t="s">
        <v>125</v>
      </c>
      <c r="I2914" t="s">
        <v>43</v>
      </c>
      <c r="J2914" t="s">
        <v>126</v>
      </c>
      <c r="K2914" t="s">
        <v>44</v>
      </c>
      <c r="L2914">
        <v>15899.07</v>
      </c>
      <c r="M2914" s="1">
        <v>43191</v>
      </c>
      <c r="N2914" t="s">
        <v>45</v>
      </c>
      <c r="O2914" t="s">
        <v>46</v>
      </c>
      <c r="P2914" t="s">
        <v>47</v>
      </c>
      <c r="Q2914" s="1">
        <v>43852</v>
      </c>
      <c r="R2914" t="s">
        <v>48</v>
      </c>
      <c r="S2914" t="s">
        <v>72</v>
      </c>
      <c r="T2914" t="s">
        <v>270</v>
      </c>
      <c r="U2914" t="s">
        <v>125</v>
      </c>
      <c r="V2914">
        <v>0</v>
      </c>
      <c r="W2914">
        <v>500000</v>
      </c>
      <c r="X2914" s="1">
        <v>43739</v>
      </c>
      <c r="Y2914" t="s">
        <v>131</v>
      </c>
      <c r="Z2914" t="s">
        <v>43</v>
      </c>
      <c r="AA2914" t="s">
        <v>115</v>
      </c>
      <c r="AB2914" t="s">
        <v>268</v>
      </c>
      <c r="AC2914" t="s">
        <v>269</v>
      </c>
      <c r="AF2914" t="s">
        <v>134</v>
      </c>
      <c r="AG2914" s="1">
        <v>43843</v>
      </c>
      <c r="AH2914" t="s">
        <v>125</v>
      </c>
      <c r="AI2914" t="s">
        <v>92</v>
      </c>
      <c r="AJ2914">
        <v>1278023</v>
      </c>
      <c r="AK2914">
        <v>12365300</v>
      </c>
      <c r="AL2914">
        <v>12900</v>
      </c>
    </row>
    <row r="2915" spans="1:38" x14ac:dyDescent="0.25">
      <c r="A2915" t="s">
        <v>617</v>
      </c>
      <c r="B2915" t="s">
        <v>633</v>
      </c>
      <c r="C2915" t="s">
        <v>40</v>
      </c>
      <c r="D2915" s="1">
        <v>43191</v>
      </c>
      <c r="E2915" s="1">
        <v>43555</v>
      </c>
      <c r="F2915" t="s">
        <v>72</v>
      </c>
      <c r="G2915">
        <v>3</v>
      </c>
      <c r="H2915" t="s">
        <v>125</v>
      </c>
      <c r="I2915" t="s">
        <v>43</v>
      </c>
      <c r="J2915" t="s">
        <v>126</v>
      </c>
      <c r="K2915" t="s">
        <v>44</v>
      </c>
      <c r="L2915">
        <v>15899.07</v>
      </c>
      <c r="M2915" s="1">
        <v>43191</v>
      </c>
      <c r="N2915" t="s">
        <v>45</v>
      </c>
      <c r="O2915" t="s">
        <v>46</v>
      </c>
      <c r="P2915" t="s">
        <v>47</v>
      </c>
      <c r="Q2915" s="1">
        <v>43852</v>
      </c>
      <c r="R2915" t="s">
        <v>48</v>
      </c>
      <c r="S2915" t="s">
        <v>72</v>
      </c>
      <c r="T2915" t="s">
        <v>270</v>
      </c>
      <c r="U2915" t="s">
        <v>125</v>
      </c>
      <c r="V2915">
        <v>0</v>
      </c>
      <c r="W2915">
        <v>500000</v>
      </c>
      <c r="X2915" s="1">
        <v>43739</v>
      </c>
      <c r="Y2915" t="s">
        <v>131</v>
      </c>
      <c r="Z2915" t="s">
        <v>43</v>
      </c>
      <c r="AA2915" t="s">
        <v>115</v>
      </c>
      <c r="AB2915" t="s">
        <v>268</v>
      </c>
      <c r="AC2915" t="s">
        <v>269</v>
      </c>
      <c r="AF2915" t="s">
        <v>135</v>
      </c>
      <c r="AG2915" s="1">
        <v>43843</v>
      </c>
      <c r="AH2915" t="s">
        <v>125</v>
      </c>
      <c r="AI2915" t="s">
        <v>92</v>
      </c>
      <c r="AJ2915">
        <v>1278023</v>
      </c>
      <c r="AK2915">
        <v>12365300</v>
      </c>
      <c r="AL2915">
        <v>12900</v>
      </c>
    </row>
    <row r="2916" spans="1:38" x14ac:dyDescent="0.25">
      <c r="A2916" t="s">
        <v>617</v>
      </c>
      <c r="B2916" t="s">
        <v>633</v>
      </c>
      <c r="C2916" t="s">
        <v>40</v>
      </c>
      <c r="D2916" s="1">
        <v>43191</v>
      </c>
      <c r="E2916" s="1">
        <v>43555</v>
      </c>
      <c r="F2916" t="s">
        <v>72</v>
      </c>
      <c r="G2916">
        <v>3</v>
      </c>
      <c r="H2916" t="s">
        <v>125</v>
      </c>
      <c r="I2916" t="s">
        <v>43</v>
      </c>
      <c r="J2916" t="s">
        <v>126</v>
      </c>
      <c r="K2916" t="s">
        <v>44</v>
      </c>
      <c r="L2916">
        <v>15899.07</v>
      </c>
      <c r="M2916" s="1">
        <v>43191</v>
      </c>
      <c r="N2916" t="s">
        <v>45</v>
      </c>
      <c r="O2916" t="s">
        <v>46</v>
      </c>
      <c r="P2916" t="s">
        <v>47</v>
      </c>
      <c r="Q2916" s="1">
        <v>43852</v>
      </c>
      <c r="R2916" t="s">
        <v>48</v>
      </c>
      <c r="S2916" t="s">
        <v>72</v>
      </c>
      <c r="T2916" t="s">
        <v>270</v>
      </c>
      <c r="U2916" t="s">
        <v>125</v>
      </c>
      <c r="V2916">
        <v>0</v>
      </c>
      <c r="W2916">
        <v>500000</v>
      </c>
      <c r="X2916" s="1">
        <v>43739</v>
      </c>
      <c r="Y2916" t="s">
        <v>131</v>
      </c>
      <c r="Z2916" t="s">
        <v>43</v>
      </c>
      <c r="AA2916" t="s">
        <v>115</v>
      </c>
      <c r="AB2916" t="s">
        <v>268</v>
      </c>
      <c r="AC2916" t="s">
        <v>269</v>
      </c>
      <c r="AF2916" t="s">
        <v>136</v>
      </c>
      <c r="AG2916" s="1">
        <v>43839</v>
      </c>
      <c r="AH2916" t="s">
        <v>125</v>
      </c>
      <c r="AI2916" t="s">
        <v>92</v>
      </c>
      <c r="AJ2916">
        <v>1278023</v>
      </c>
      <c r="AK2916">
        <v>12365300</v>
      </c>
      <c r="AL2916">
        <v>12900</v>
      </c>
    </row>
    <row r="2917" spans="1:38" x14ac:dyDescent="0.25">
      <c r="A2917" t="s">
        <v>617</v>
      </c>
      <c r="B2917" t="s">
        <v>633</v>
      </c>
      <c r="C2917" t="s">
        <v>40</v>
      </c>
      <c r="D2917" s="1">
        <v>43191</v>
      </c>
      <c r="E2917" s="1">
        <v>43555</v>
      </c>
      <c r="F2917" t="s">
        <v>72</v>
      </c>
      <c r="G2917">
        <v>3</v>
      </c>
      <c r="H2917" t="s">
        <v>125</v>
      </c>
      <c r="I2917" t="s">
        <v>43</v>
      </c>
      <c r="J2917" t="s">
        <v>126</v>
      </c>
      <c r="K2917" t="s">
        <v>44</v>
      </c>
      <c r="L2917">
        <v>15899.07</v>
      </c>
      <c r="M2917" s="1">
        <v>43191</v>
      </c>
      <c r="N2917" t="s">
        <v>45</v>
      </c>
      <c r="O2917" t="s">
        <v>46</v>
      </c>
      <c r="P2917" t="s">
        <v>47</v>
      </c>
      <c r="Q2917" s="1">
        <v>43852</v>
      </c>
      <c r="R2917" t="s">
        <v>48</v>
      </c>
      <c r="S2917" t="s">
        <v>72</v>
      </c>
      <c r="T2917" t="s">
        <v>270</v>
      </c>
      <c r="U2917" t="s">
        <v>125</v>
      </c>
      <c r="V2917">
        <v>0</v>
      </c>
      <c r="W2917">
        <v>500000</v>
      </c>
      <c r="X2917" s="1">
        <v>43739</v>
      </c>
      <c r="Y2917" t="s">
        <v>131</v>
      </c>
      <c r="Z2917" t="s">
        <v>43</v>
      </c>
      <c r="AA2917" t="s">
        <v>115</v>
      </c>
      <c r="AB2917" t="s">
        <v>268</v>
      </c>
      <c r="AC2917" t="s">
        <v>269</v>
      </c>
      <c r="AF2917" t="s">
        <v>137</v>
      </c>
      <c r="AG2917" s="1">
        <v>43840</v>
      </c>
      <c r="AH2917" t="s">
        <v>125</v>
      </c>
      <c r="AI2917" t="s">
        <v>92</v>
      </c>
      <c r="AJ2917">
        <v>1278023</v>
      </c>
      <c r="AK2917">
        <v>12365300</v>
      </c>
      <c r="AL2917">
        <v>12900</v>
      </c>
    </row>
    <row r="2918" spans="1:38" x14ac:dyDescent="0.25">
      <c r="A2918" t="s">
        <v>617</v>
      </c>
      <c r="B2918" t="s">
        <v>633</v>
      </c>
      <c r="C2918" t="s">
        <v>40</v>
      </c>
      <c r="D2918" s="1">
        <v>43191</v>
      </c>
      <c r="E2918" s="1">
        <v>43555</v>
      </c>
      <c r="F2918" t="s">
        <v>72</v>
      </c>
      <c r="G2918">
        <v>3</v>
      </c>
      <c r="H2918" t="s">
        <v>125</v>
      </c>
      <c r="I2918" t="s">
        <v>43</v>
      </c>
      <c r="J2918" t="s">
        <v>126</v>
      </c>
      <c r="K2918" t="s">
        <v>44</v>
      </c>
      <c r="L2918">
        <v>15899.07</v>
      </c>
      <c r="M2918" s="1">
        <v>43191</v>
      </c>
      <c r="N2918" t="s">
        <v>45</v>
      </c>
      <c r="O2918" t="s">
        <v>46</v>
      </c>
      <c r="P2918" t="s">
        <v>47</v>
      </c>
      <c r="Q2918" s="1">
        <v>43852</v>
      </c>
      <c r="R2918" t="s">
        <v>48</v>
      </c>
      <c r="S2918" t="s">
        <v>271</v>
      </c>
      <c r="T2918" t="s">
        <v>272</v>
      </c>
      <c r="U2918" t="s">
        <v>125</v>
      </c>
      <c r="V2918">
        <v>0</v>
      </c>
      <c r="W2918">
        <v>50000</v>
      </c>
      <c r="X2918" s="1">
        <v>43738</v>
      </c>
      <c r="Y2918" t="s">
        <v>140</v>
      </c>
      <c r="Z2918" t="s">
        <v>43</v>
      </c>
      <c r="AA2918" t="s">
        <v>115</v>
      </c>
      <c r="AB2918" t="s">
        <v>268</v>
      </c>
      <c r="AC2918" t="s">
        <v>269</v>
      </c>
      <c r="AF2918" t="s">
        <v>134</v>
      </c>
      <c r="AG2918" s="1">
        <v>43843</v>
      </c>
      <c r="AH2918" t="s">
        <v>125</v>
      </c>
      <c r="AI2918" t="s">
        <v>92</v>
      </c>
      <c r="AJ2918">
        <v>1278023</v>
      </c>
      <c r="AK2918">
        <v>12365300</v>
      </c>
      <c r="AL2918">
        <v>12900</v>
      </c>
    </row>
    <row r="2919" spans="1:38" x14ac:dyDescent="0.25">
      <c r="A2919" t="s">
        <v>617</v>
      </c>
      <c r="B2919" t="s">
        <v>633</v>
      </c>
      <c r="C2919" t="s">
        <v>40</v>
      </c>
      <c r="D2919" s="1">
        <v>43191</v>
      </c>
      <c r="E2919" s="1">
        <v>43555</v>
      </c>
      <c r="F2919" t="s">
        <v>72</v>
      </c>
      <c r="G2919">
        <v>3</v>
      </c>
      <c r="H2919" t="s">
        <v>125</v>
      </c>
      <c r="I2919" t="s">
        <v>43</v>
      </c>
      <c r="J2919" t="s">
        <v>126</v>
      </c>
      <c r="K2919" t="s">
        <v>44</v>
      </c>
      <c r="L2919">
        <v>15899.07</v>
      </c>
      <c r="M2919" s="1">
        <v>43191</v>
      </c>
      <c r="N2919" t="s">
        <v>45</v>
      </c>
      <c r="O2919" t="s">
        <v>46</v>
      </c>
      <c r="P2919" t="s">
        <v>47</v>
      </c>
      <c r="Q2919" s="1">
        <v>43852</v>
      </c>
      <c r="R2919" t="s">
        <v>48</v>
      </c>
      <c r="S2919" t="s">
        <v>271</v>
      </c>
      <c r="T2919" t="s">
        <v>272</v>
      </c>
      <c r="U2919" t="s">
        <v>125</v>
      </c>
      <c r="V2919">
        <v>0</v>
      </c>
      <c r="W2919">
        <v>50000</v>
      </c>
      <c r="X2919" s="1">
        <v>43738</v>
      </c>
      <c r="Y2919" t="s">
        <v>140</v>
      </c>
      <c r="Z2919" t="s">
        <v>43</v>
      </c>
      <c r="AA2919" t="s">
        <v>115</v>
      </c>
      <c r="AB2919" t="s">
        <v>268</v>
      </c>
      <c r="AC2919" t="s">
        <v>269</v>
      </c>
      <c r="AF2919" t="s">
        <v>135</v>
      </c>
      <c r="AG2919" s="1">
        <v>43843</v>
      </c>
      <c r="AH2919" t="s">
        <v>125</v>
      </c>
      <c r="AI2919" t="s">
        <v>92</v>
      </c>
      <c r="AJ2919">
        <v>1278023</v>
      </c>
      <c r="AK2919">
        <v>12365300</v>
      </c>
      <c r="AL2919">
        <v>12900</v>
      </c>
    </row>
    <row r="2920" spans="1:38" x14ac:dyDescent="0.25">
      <c r="A2920" t="s">
        <v>617</v>
      </c>
      <c r="B2920" t="s">
        <v>633</v>
      </c>
      <c r="C2920" t="s">
        <v>40</v>
      </c>
      <c r="D2920" s="1">
        <v>43191</v>
      </c>
      <c r="E2920" s="1">
        <v>43555</v>
      </c>
      <c r="F2920" t="s">
        <v>72</v>
      </c>
      <c r="G2920">
        <v>3</v>
      </c>
      <c r="H2920" t="s">
        <v>125</v>
      </c>
      <c r="I2920" t="s">
        <v>43</v>
      </c>
      <c r="J2920" t="s">
        <v>126</v>
      </c>
      <c r="K2920" t="s">
        <v>44</v>
      </c>
      <c r="L2920">
        <v>15899.07</v>
      </c>
      <c r="M2920" s="1">
        <v>43191</v>
      </c>
      <c r="N2920" t="s">
        <v>45</v>
      </c>
      <c r="O2920" t="s">
        <v>46</v>
      </c>
      <c r="P2920" t="s">
        <v>47</v>
      </c>
      <c r="Q2920" s="1">
        <v>43852</v>
      </c>
      <c r="R2920" t="s">
        <v>48</v>
      </c>
      <c r="S2920" t="s">
        <v>271</v>
      </c>
      <c r="T2920" t="s">
        <v>272</v>
      </c>
      <c r="U2920" t="s">
        <v>125</v>
      </c>
      <c r="V2920">
        <v>0</v>
      </c>
      <c r="W2920">
        <v>50000</v>
      </c>
      <c r="X2920" s="1">
        <v>43738</v>
      </c>
      <c r="Y2920" t="s">
        <v>140</v>
      </c>
      <c r="Z2920" t="s">
        <v>43</v>
      </c>
      <c r="AA2920" t="s">
        <v>115</v>
      </c>
      <c r="AB2920" t="s">
        <v>268</v>
      </c>
      <c r="AC2920" t="s">
        <v>269</v>
      </c>
      <c r="AF2920" t="s">
        <v>136</v>
      </c>
      <c r="AG2920" s="1">
        <v>43839</v>
      </c>
      <c r="AH2920" t="s">
        <v>125</v>
      </c>
      <c r="AI2920" t="s">
        <v>92</v>
      </c>
      <c r="AJ2920">
        <v>1278023</v>
      </c>
      <c r="AK2920">
        <v>12365300</v>
      </c>
      <c r="AL2920">
        <v>12900</v>
      </c>
    </row>
    <row r="2921" spans="1:38" x14ac:dyDescent="0.25">
      <c r="A2921" t="s">
        <v>617</v>
      </c>
      <c r="B2921" t="s">
        <v>633</v>
      </c>
      <c r="C2921" t="s">
        <v>40</v>
      </c>
      <c r="D2921" s="1">
        <v>43191</v>
      </c>
      <c r="E2921" s="1">
        <v>43555</v>
      </c>
      <c r="F2921" t="s">
        <v>72</v>
      </c>
      <c r="G2921">
        <v>3</v>
      </c>
      <c r="H2921" t="s">
        <v>125</v>
      </c>
      <c r="I2921" t="s">
        <v>43</v>
      </c>
      <c r="J2921" t="s">
        <v>126</v>
      </c>
      <c r="K2921" t="s">
        <v>44</v>
      </c>
      <c r="L2921">
        <v>15899.07</v>
      </c>
      <c r="M2921" s="1">
        <v>43191</v>
      </c>
      <c r="N2921" t="s">
        <v>45</v>
      </c>
      <c r="O2921" t="s">
        <v>46</v>
      </c>
      <c r="P2921" t="s">
        <v>47</v>
      </c>
      <c r="Q2921" s="1">
        <v>43852</v>
      </c>
      <c r="R2921" t="s">
        <v>48</v>
      </c>
      <c r="S2921" t="s">
        <v>271</v>
      </c>
      <c r="T2921" t="s">
        <v>272</v>
      </c>
      <c r="U2921" t="s">
        <v>125</v>
      </c>
      <c r="V2921">
        <v>0</v>
      </c>
      <c r="W2921">
        <v>50000</v>
      </c>
      <c r="X2921" s="1">
        <v>43738</v>
      </c>
      <c r="Y2921" t="s">
        <v>140</v>
      </c>
      <c r="Z2921" t="s">
        <v>43</v>
      </c>
      <c r="AA2921" t="s">
        <v>115</v>
      </c>
      <c r="AB2921" t="s">
        <v>268</v>
      </c>
      <c r="AC2921" t="s">
        <v>269</v>
      </c>
      <c r="AF2921" t="s">
        <v>137</v>
      </c>
      <c r="AG2921" s="1">
        <v>43840</v>
      </c>
      <c r="AH2921" t="s">
        <v>125</v>
      </c>
      <c r="AI2921" t="s">
        <v>92</v>
      </c>
      <c r="AJ2921">
        <v>1278023</v>
      </c>
      <c r="AK2921">
        <v>12365300</v>
      </c>
      <c r="AL2921">
        <v>12900</v>
      </c>
    </row>
    <row r="2922" spans="1:38" x14ac:dyDescent="0.25">
      <c r="A2922" t="s">
        <v>617</v>
      </c>
      <c r="B2922" t="s">
        <v>633</v>
      </c>
      <c r="C2922" t="s">
        <v>40</v>
      </c>
      <c r="D2922" s="1">
        <v>43191</v>
      </c>
      <c r="E2922" s="1">
        <v>43555</v>
      </c>
      <c r="F2922" t="s">
        <v>72</v>
      </c>
      <c r="G2922">
        <v>3</v>
      </c>
      <c r="H2922" t="s">
        <v>125</v>
      </c>
      <c r="I2922" t="s">
        <v>43</v>
      </c>
      <c r="J2922" t="s">
        <v>126</v>
      </c>
      <c r="K2922" t="s">
        <v>44</v>
      </c>
      <c r="L2922">
        <v>3974.77</v>
      </c>
      <c r="M2922" s="1">
        <v>43191</v>
      </c>
      <c r="N2922" t="s">
        <v>45</v>
      </c>
      <c r="O2922" t="s">
        <v>46</v>
      </c>
      <c r="P2922" t="s">
        <v>47</v>
      </c>
      <c r="Q2922" s="1">
        <v>43852</v>
      </c>
      <c r="R2922" t="s">
        <v>48</v>
      </c>
      <c r="S2922" t="s">
        <v>266</v>
      </c>
      <c r="T2922" t="s">
        <v>267</v>
      </c>
      <c r="U2922" t="s">
        <v>125</v>
      </c>
      <c r="V2922">
        <v>700000</v>
      </c>
      <c r="W2922">
        <v>100000</v>
      </c>
      <c r="X2922" s="1">
        <v>43830</v>
      </c>
      <c r="Y2922" t="s">
        <v>51</v>
      </c>
      <c r="Z2922" t="s">
        <v>43</v>
      </c>
      <c r="AA2922" t="s">
        <v>115</v>
      </c>
      <c r="AB2922" t="s">
        <v>268</v>
      </c>
      <c r="AC2922" t="s">
        <v>269</v>
      </c>
      <c r="AF2922" t="s">
        <v>134</v>
      </c>
      <c r="AG2922" s="1">
        <v>43843</v>
      </c>
      <c r="AH2922" t="s">
        <v>125</v>
      </c>
      <c r="AI2922" t="s">
        <v>92</v>
      </c>
      <c r="AJ2922">
        <v>1278023</v>
      </c>
      <c r="AK2922">
        <v>12365300</v>
      </c>
      <c r="AL2922">
        <v>12900</v>
      </c>
    </row>
    <row r="2923" spans="1:38" x14ac:dyDescent="0.25">
      <c r="A2923" t="s">
        <v>617</v>
      </c>
      <c r="B2923" t="s">
        <v>633</v>
      </c>
      <c r="C2923" t="s">
        <v>40</v>
      </c>
      <c r="D2923" s="1">
        <v>43191</v>
      </c>
      <c r="E2923" s="1">
        <v>43555</v>
      </c>
      <c r="F2923" t="s">
        <v>72</v>
      </c>
      <c r="G2923">
        <v>3</v>
      </c>
      <c r="H2923" t="s">
        <v>125</v>
      </c>
      <c r="I2923" t="s">
        <v>43</v>
      </c>
      <c r="J2923" t="s">
        <v>126</v>
      </c>
      <c r="K2923" t="s">
        <v>44</v>
      </c>
      <c r="L2923">
        <v>3974.77</v>
      </c>
      <c r="M2923" s="1">
        <v>43191</v>
      </c>
      <c r="N2923" t="s">
        <v>45</v>
      </c>
      <c r="O2923" t="s">
        <v>46</v>
      </c>
      <c r="P2923" t="s">
        <v>47</v>
      </c>
      <c r="Q2923" s="1">
        <v>43852</v>
      </c>
      <c r="R2923" t="s">
        <v>48</v>
      </c>
      <c r="S2923" t="s">
        <v>266</v>
      </c>
      <c r="T2923" t="s">
        <v>267</v>
      </c>
      <c r="U2923" t="s">
        <v>125</v>
      </c>
      <c r="V2923">
        <v>700000</v>
      </c>
      <c r="W2923">
        <v>100000</v>
      </c>
      <c r="X2923" s="1">
        <v>43830</v>
      </c>
      <c r="Y2923" t="s">
        <v>51</v>
      </c>
      <c r="Z2923" t="s">
        <v>43</v>
      </c>
      <c r="AA2923" t="s">
        <v>115</v>
      </c>
      <c r="AB2923" t="s">
        <v>268</v>
      </c>
      <c r="AC2923" t="s">
        <v>269</v>
      </c>
      <c r="AF2923" t="s">
        <v>135</v>
      </c>
      <c r="AG2923" s="1">
        <v>43843</v>
      </c>
      <c r="AH2923" t="s">
        <v>125</v>
      </c>
      <c r="AI2923" t="s">
        <v>92</v>
      </c>
      <c r="AJ2923">
        <v>1278023</v>
      </c>
      <c r="AK2923">
        <v>12365300</v>
      </c>
      <c r="AL2923">
        <v>12900</v>
      </c>
    </row>
    <row r="2924" spans="1:38" x14ac:dyDescent="0.25">
      <c r="A2924" t="s">
        <v>617</v>
      </c>
      <c r="B2924" t="s">
        <v>633</v>
      </c>
      <c r="C2924" t="s">
        <v>40</v>
      </c>
      <c r="D2924" s="1">
        <v>43191</v>
      </c>
      <c r="E2924" s="1">
        <v>43555</v>
      </c>
      <c r="F2924" t="s">
        <v>72</v>
      </c>
      <c r="G2924">
        <v>3</v>
      </c>
      <c r="H2924" t="s">
        <v>125</v>
      </c>
      <c r="I2924" t="s">
        <v>43</v>
      </c>
      <c r="J2924" t="s">
        <v>126</v>
      </c>
      <c r="K2924" t="s">
        <v>44</v>
      </c>
      <c r="L2924">
        <v>3974.77</v>
      </c>
      <c r="M2924" s="1">
        <v>43191</v>
      </c>
      <c r="N2924" t="s">
        <v>45</v>
      </c>
      <c r="O2924" t="s">
        <v>46</v>
      </c>
      <c r="P2924" t="s">
        <v>47</v>
      </c>
      <c r="Q2924" s="1">
        <v>43852</v>
      </c>
      <c r="R2924" t="s">
        <v>48</v>
      </c>
      <c r="S2924" t="s">
        <v>266</v>
      </c>
      <c r="T2924" t="s">
        <v>267</v>
      </c>
      <c r="U2924" t="s">
        <v>125</v>
      </c>
      <c r="V2924">
        <v>700000</v>
      </c>
      <c r="W2924">
        <v>100000</v>
      </c>
      <c r="X2924" s="1">
        <v>43830</v>
      </c>
      <c r="Y2924" t="s">
        <v>51</v>
      </c>
      <c r="Z2924" t="s">
        <v>43</v>
      </c>
      <c r="AA2924" t="s">
        <v>115</v>
      </c>
      <c r="AB2924" t="s">
        <v>268</v>
      </c>
      <c r="AC2924" t="s">
        <v>269</v>
      </c>
      <c r="AF2924" t="s">
        <v>136</v>
      </c>
      <c r="AG2924" s="1">
        <v>43839</v>
      </c>
      <c r="AH2924" t="s">
        <v>125</v>
      </c>
      <c r="AI2924" t="s">
        <v>92</v>
      </c>
      <c r="AJ2924">
        <v>1278023</v>
      </c>
      <c r="AK2924">
        <v>12365300</v>
      </c>
      <c r="AL2924">
        <v>12900</v>
      </c>
    </row>
    <row r="2925" spans="1:38" x14ac:dyDescent="0.25">
      <c r="A2925" t="s">
        <v>617</v>
      </c>
      <c r="B2925" t="s">
        <v>633</v>
      </c>
      <c r="C2925" t="s">
        <v>40</v>
      </c>
      <c r="D2925" s="1">
        <v>43191</v>
      </c>
      <c r="E2925" s="1">
        <v>43555</v>
      </c>
      <c r="F2925" t="s">
        <v>72</v>
      </c>
      <c r="G2925">
        <v>3</v>
      </c>
      <c r="H2925" t="s">
        <v>125</v>
      </c>
      <c r="I2925" t="s">
        <v>43</v>
      </c>
      <c r="J2925" t="s">
        <v>126</v>
      </c>
      <c r="K2925" t="s">
        <v>44</v>
      </c>
      <c r="L2925">
        <v>3974.77</v>
      </c>
      <c r="M2925" s="1">
        <v>43191</v>
      </c>
      <c r="N2925" t="s">
        <v>45</v>
      </c>
      <c r="O2925" t="s">
        <v>46</v>
      </c>
      <c r="P2925" t="s">
        <v>47</v>
      </c>
      <c r="Q2925" s="1">
        <v>43852</v>
      </c>
      <c r="R2925" t="s">
        <v>48</v>
      </c>
      <c r="S2925" t="s">
        <v>266</v>
      </c>
      <c r="T2925" t="s">
        <v>267</v>
      </c>
      <c r="U2925" t="s">
        <v>125</v>
      </c>
      <c r="V2925">
        <v>700000</v>
      </c>
      <c r="W2925">
        <v>100000</v>
      </c>
      <c r="X2925" s="1">
        <v>43830</v>
      </c>
      <c r="Y2925" t="s">
        <v>51</v>
      </c>
      <c r="Z2925" t="s">
        <v>43</v>
      </c>
      <c r="AA2925" t="s">
        <v>115</v>
      </c>
      <c r="AB2925" t="s">
        <v>268</v>
      </c>
      <c r="AC2925" t="s">
        <v>269</v>
      </c>
      <c r="AF2925" t="s">
        <v>137</v>
      </c>
      <c r="AG2925" s="1">
        <v>43840</v>
      </c>
      <c r="AH2925" t="s">
        <v>125</v>
      </c>
      <c r="AI2925" t="s">
        <v>92</v>
      </c>
      <c r="AJ2925">
        <v>1278023</v>
      </c>
      <c r="AK2925">
        <v>12365300</v>
      </c>
      <c r="AL2925">
        <v>12900</v>
      </c>
    </row>
    <row r="2926" spans="1:38" x14ac:dyDescent="0.25">
      <c r="A2926" t="s">
        <v>617</v>
      </c>
      <c r="B2926" t="s">
        <v>633</v>
      </c>
      <c r="C2926" t="s">
        <v>40</v>
      </c>
      <c r="D2926" s="1">
        <v>43191</v>
      </c>
      <c r="E2926" s="1">
        <v>43555</v>
      </c>
      <c r="F2926" t="s">
        <v>72</v>
      </c>
      <c r="G2926">
        <v>3</v>
      </c>
      <c r="H2926" t="s">
        <v>125</v>
      </c>
      <c r="I2926" t="s">
        <v>43</v>
      </c>
      <c r="J2926" t="s">
        <v>126</v>
      </c>
      <c r="K2926" t="s">
        <v>44</v>
      </c>
      <c r="L2926">
        <v>3974.77</v>
      </c>
      <c r="M2926" s="1">
        <v>43191</v>
      </c>
      <c r="N2926" t="s">
        <v>45</v>
      </c>
      <c r="O2926" t="s">
        <v>46</v>
      </c>
      <c r="P2926" t="s">
        <v>47</v>
      </c>
      <c r="Q2926" s="1">
        <v>43852</v>
      </c>
      <c r="R2926" t="s">
        <v>48</v>
      </c>
      <c r="S2926" t="s">
        <v>72</v>
      </c>
      <c r="T2926" t="s">
        <v>270</v>
      </c>
      <c r="U2926" t="s">
        <v>125</v>
      </c>
      <c r="V2926">
        <v>0</v>
      </c>
      <c r="W2926">
        <v>500000</v>
      </c>
      <c r="X2926" s="1">
        <v>43739</v>
      </c>
      <c r="Y2926" t="s">
        <v>131</v>
      </c>
      <c r="Z2926" t="s">
        <v>43</v>
      </c>
      <c r="AA2926" t="s">
        <v>115</v>
      </c>
      <c r="AB2926" t="s">
        <v>268</v>
      </c>
      <c r="AC2926" t="s">
        <v>269</v>
      </c>
      <c r="AF2926" t="s">
        <v>134</v>
      </c>
      <c r="AG2926" s="1">
        <v>43843</v>
      </c>
      <c r="AH2926" t="s">
        <v>125</v>
      </c>
      <c r="AI2926" t="s">
        <v>92</v>
      </c>
      <c r="AJ2926">
        <v>1278023</v>
      </c>
      <c r="AK2926">
        <v>12365300</v>
      </c>
      <c r="AL2926">
        <v>12900</v>
      </c>
    </row>
    <row r="2927" spans="1:38" x14ac:dyDescent="0.25">
      <c r="A2927" t="s">
        <v>617</v>
      </c>
      <c r="B2927" t="s">
        <v>633</v>
      </c>
      <c r="C2927" t="s">
        <v>40</v>
      </c>
      <c r="D2927" s="1">
        <v>43191</v>
      </c>
      <c r="E2927" s="1">
        <v>43555</v>
      </c>
      <c r="F2927" t="s">
        <v>72</v>
      </c>
      <c r="G2927">
        <v>3</v>
      </c>
      <c r="H2927" t="s">
        <v>125</v>
      </c>
      <c r="I2927" t="s">
        <v>43</v>
      </c>
      <c r="J2927" t="s">
        <v>126</v>
      </c>
      <c r="K2927" t="s">
        <v>44</v>
      </c>
      <c r="L2927">
        <v>3974.77</v>
      </c>
      <c r="M2927" s="1">
        <v>43191</v>
      </c>
      <c r="N2927" t="s">
        <v>45</v>
      </c>
      <c r="O2927" t="s">
        <v>46</v>
      </c>
      <c r="P2927" t="s">
        <v>47</v>
      </c>
      <c r="Q2927" s="1">
        <v>43852</v>
      </c>
      <c r="R2927" t="s">
        <v>48</v>
      </c>
      <c r="S2927" t="s">
        <v>72</v>
      </c>
      <c r="T2927" t="s">
        <v>270</v>
      </c>
      <c r="U2927" t="s">
        <v>125</v>
      </c>
      <c r="V2927">
        <v>0</v>
      </c>
      <c r="W2927">
        <v>500000</v>
      </c>
      <c r="X2927" s="1">
        <v>43739</v>
      </c>
      <c r="Y2927" t="s">
        <v>131</v>
      </c>
      <c r="Z2927" t="s">
        <v>43</v>
      </c>
      <c r="AA2927" t="s">
        <v>115</v>
      </c>
      <c r="AB2927" t="s">
        <v>268</v>
      </c>
      <c r="AC2927" t="s">
        <v>269</v>
      </c>
      <c r="AF2927" t="s">
        <v>135</v>
      </c>
      <c r="AG2927" s="1">
        <v>43843</v>
      </c>
      <c r="AH2927" t="s">
        <v>125</v>
      </c>
      <c r="AI2927" t="s">
        <v>92</v>
      </c>
      <c r="AJ2927">
        <v>1278023</v>
      </c>
      <c r="AK2927">
        <v>12365300</v>
      </c>
      <c r="AL2927">
        <v>12900</v>
      </c>
    </row>
    <row r="2928" spans="1:38" x14ac:dyDescent="0.25">
      <c r="A2928" t="s">
        <v>617</v>
      </c>
      <c r="B2928" t="s">
        <v>633</v>
      </c>
      <c r="C2928" t="s">
        <v>40</v>
      </c>
      <c r="D2928" s="1">
        <v>43191</v>
      </c>
      <c r="E2928" s="1">
        <v>43555</v>
      </c>
      <c r="F2928" t="s">
        <v>72</v>
      </c>
      <c r="G2928">
        <v>3</v>
      </c>
      <c r="H2928" t="s">
        <v>125</v>
      </c>
      <c r="I2928" t="s">
        <v>43</v>
      </c>
      <c r="J2928" t="s">
        <v>126</v>
      </c>
      <c r="K2928" t="s">
        <v>44</v>
      </c>
      <c r="L2928">
        <v>3974.77</v>
      </c>
      <c r="M2928" s="1">
        <v>43191</v>
      </c>
      <c r="N2928" t="s">
        <v>45</v>
      </c>
      <c r="O2928" t="s">
        <v>46</v>
      </c>
      <c r="P2928" t="s">
        <v>47</v>
      </c>
      <c r="Q2928" s="1">
        <v>43852</v>
      </c>
      <c r="R2928" t="s">
        <v>48</v>
      </c>
      <c r="S2928" t="s">
        <v>72</v>
      </c>
      <c r="T2928" t="s">
        <v>270</v>
      </c>
      <c r="U2928" t="s">
        <v>125</v>
      </c>
      <c r="V2928">
        <v>0</v>
      </c>
      <c r="W2928">
        <v>500000</v>
      </c>
      <c r="X2928" s="1">
        <v>43739</v>
      </c>
      <c r="Y2928" t="s">
        <v>131</v>
      </c>
      <c r="Z2928" t="s">
        <v>43</v>
      </c>
      <c r="AA2928" t="s">
        <v>115</v>
      </c>
      <c r="AB2928" t="s">
        <v>268</v>
      </c>
      <c r="AC2928" t="s">
        <v>269</v>
      </c>
      <c r="AF2928" t="s">
        <v>136</v>
      </c>
      <c r="AG2928" s="1">
        <v>43839</v>
      </c>
      <c r="AH2928" t="s">
        <v>125</v>
      </c>
      <c r="AI2928" t="s">
        <v>92</v>
      </c>
      <c r="AJ2928">
        <v>1278023</v>
      </c>
      <c r="AK2928">
        <v>12365300</v>
      </c>
      <c r="AL2928">
        <v>12900</v>
      </c>
    </row>
    <row r="2929" spans="1:38" x14ac:dyDescent="0.25">
      <c r="A2929" t="s">
        <v>617</v>
      </c>
      <c r="B2929" t="s">
        <v>633</v>
      </c>
      <c r="C2929" t="s">
        <v>40</v>
      </c>
      <c r="D2929" s="1">
        <v>43191</v>
      </c>
      <c r="E2929" s="1">
        <v>43555</v>
      </c>
      <c r="F2929" t="s">
        <v>72</v>
      </c>
      <c r="G2929">
        <v>3</v>
      </c>
      <c r="H2929" t="s">
        <v>125</v>
      </c>
      <c r="I2929" t="s">
        <v>43</v>
      </c>
      <c r="J2929" t="s">
        <v>126</v>
      </c>
      <c r="K2929" t="s">
        <v>44</v>
      </c>
      <c r="L2929">
        <v>3974.77</v>
      </c>
      <c r="M2929" s="1">
        <v>43191</v>
      </c>
      <c r="N2929" t="s">
        <v>45</v>
      </c>
      <c r="O2929" t="s">
        <v>46</v>
      </c>
      <c r="P2929" t="s">
        <v>47</v>
      </c>
      <c r="Q2929" s="1">
        <v>43852</v>
      </c>
      <c r="R2929" t="s">
        <v>48</v>
      </c>
      <c r="S2929" t="s">
        <v>72</v>
      </c>
      <c r="T2929" t="s">
        <v>270</v>
      </c>
      <c r="U2929" t="s">
        <v>125</v>
      </c>
      <c r="V2929">
        <v>0</v>
      </c>
      <c r="W2929">
        <v>500000</v>
      </c>
      <c r="X2929" s="1">
        <v>43739</v>
      </c>
      <c r="Y2929" t="s">
        <v>131</v>
      </c>
      <c r="Z2929" t="s">
        <v>43</v>
      </c>
      <c r="AA2929" t="s">
        <v>115</v>
      </c>
      <c r="AB2929" t="s">
        <v>268</v>
      </c>
      <c r="AC2929" t="s">
        <v>269</v>
      </c>
      <c r="AF2929" t="s">
        <v>137</v>
      </c>
      <c r="AG2929" s="1">
        <v>43840</v>
      </c>
      <c r="AH2929" t="s">
        <v>125</v>
      </c>
      <c r="AI2929" t="s">
        <v>92</v>
      </c>
      <c r="AJ2929">
        <v>1278023</v>
      </c>
      <c r="AK2929">
        <v>12365300</v>
      </c>
      <c r="AL2929">
        <v>12900</v>
      </c>
    </row>
    <row r="2930" spans="1:38" x14ac:dyDescent="0.25">
      <c r="A2930" t="s">
        <v>617</v>
      </c>
      <c r="B2930" t="s">
        <v>633</v>
      </c>
      <c r="C2930" t="s">
        <v>40</v>
      </c>
      <c r="D2930" s="1">
        <v>43191</v>
      </c>
      <c r="E2930" s="1">
        <v>43555</v>
      </c>
      <c r="F2930" t="s">
        <v>72</v>
      </c>
      <c r="G2930">
        <v>3</v>
      </c>
      <c r="H2930" t="s">
        <v>125</v>
      </c>
      <c r="I2930" t="s">
        <v>43</v>
      </c>
      <c r="J2930" t="s">
        <v>126</v>
      </c>
      <c r="K2930" t="s">
        <v>44</v>
      </c>
      <c r="L2930">
        <v>3974.77</v>
      </c>
      <c r="M2930" s="1">
        <v>43191</v>
      </c>
      <c r="N2930" t="s">
        <v>45</v>
      </c>
      <c r="O2930" t="s">
        <v>46</v>
      </c>
      <c r="P2930" t="s">
        <v>47</v>
      </c>
      <c r="Q2930" s="1">
        <v>43852</v>
      </c>
      <c r="R2930" t="s">
        <v>48</v>
      </c>
      <c r="S2930" t="s">
        <v>271</v>
      </c>
      <c r="T2930" t="s">
        <v>272</v>
      </c>
      <c r="U2930" t="s">
        <v>125</v>
      </c>
      <c r="V2930">
        <v>0</v>
      </c>
      <c r="W2930">
        <v>50000</v>
      </c>
      <c r="X2930" s="1">
        <v>43738</v>
      </c>
      <c r="Y2930" t="s">
        <v>140</v>
      </c>
      <c r="Z2930" t="s">
        <v>43</v>
      </c>
      <c r="AA2930" t="s">
        <v>115</v>
      </c>
      <c r="AB2930" t="s">
        <v>268</v>
      </c>
      <c r="AC2930" t="s">
        <v>269</v>
      </c>
      <c r="AF2930" t="s">
        <v>134</v>
      </c>
      <c r="AG2930" s="1">
        <v>43843</v>
      </c>
      <c r="AH2930" t="s">
        <v>125</v>
      </c>
      <c r="AI2930" t="s">
        <v>92</v>
      </c>
      <c r="AJ2930">
        <v>1278023</v>
      </c>
      <c r="AK2930">
        <v>12365300</v>
      </c>
      <c r="AL2930">
        <v>12900</v>
      </c>
    </row>
    <row r="2931" spans="1:38" x14ac:dyDescent="0.25">
      <c r="A2931" t="s">
        <v>617</v>
      </c>
      <c r="B2931" t="s">
        <v>633</v>
      </c>
      <c r="C2931" t="s">
        <v>40</v>
      </c>
      <c r="D2931" s="1">
        <v>43191</v>
      </c>
      <c r="E2931" s="1">
        <v>43555</v>
      </c>
      <c r="F2931" t="s">
        <v>72</v>
      </c>
      <c r="G2931">
        <v>3</v>
      </c>
      <c r="H2931" t="s">
        <v>125</v>
      </c>
      <c r="I2931" t="s">
        <v>43</v>
      </c>
      <c r="J2931" t="s">
        <v>126</v>
      </c>
      <c r="K2931" t="s">
        <v>44</v>
      </c>
      <c r="L2931">
        <v>3974.77</v>
      </c>
      <c r="M2931" s="1">
        <v>43191</v>
      </c>
      <c r="N2931" t="s">
        <v>45</v>
      </c>
      <c r="O2931" t="s">
        <v>46</v>
      </c>
      <c r="P2931" t="s">
        <v>47</v>
      </c>
      <c r="Q2931" s="1">
        <v>43852</v>
      </c>
      <c r="R2931" t="s">
        <v>48</v>
      </c>
      <c r="S2931" t="s">
        <v>271</v>
      </c>
      <c r="T2931" t="s">
        <v>272</v>
      </c>
      <c r="U2931" t="s">
        <v>125</v>
      </c>
      <c r="V2931">
        <v>0</v>
      </c>
      <c r="W2931">
        <v>50000</v>
      </c>
      <c r="X2931" s="1">
        <v>43738</v>
      </c>
      <c r="Y2931" t="s">
        <v>140</v>
      </c>
      <c r="Z2931" t="s">
        <v>43</v>
      </c>
      <c r="AA2931" t="s">
        <v>115</v>
      </c>
      <c r="AB2931" t="s">
        <v>268</v>
      </c>
      <c r="AC2931" t="s">
        <v>269</v>
      </c>
      <c r="AF2931" t="s">
        <v>135</v>
      </c>
      <c r="AG2931" s="1">
        <v>43843</v>
      </c>
      <c r="AH2931" t="s">
        <v>125</v>
      </c>
      <c r="AI2931" t="s">
        <v>92</v>
      </c>
      <c r="AJ2931">
        <v>1278023</v>
      </c>
      <c r="AK2931">
        <v>12365300</v>
      </c>
      <c r="AL2931">
        <v>12900</v>
      </c>
    </row>
    <row r="2932" spans="1:38" x14ac:dyDescent="0.25">
      <c r="A2932" t="s">
        <v>617</v>
      </c>
      <c r="B2932" t="s">
        <v>633</v>
      </c>
      <c r="C2932" t="s">
        <v>40</v>
      </c>
      <c r="D2932" s="1">
        <v>43191</v>
      </c>
      <c r="E2932" s="1">
        <v>43555</v>
      </c>
      <c r="F2932" t="s">
        <v>72</v>
      </c>
      <c r="G2932">
        <v>3</v>
      </c>
      <c r="H2932" t="s">
        <v>125</v>
      </c>
      <c r="I2932" t="s">
        <v>43</v>
      </c>
      <c r="J2932" t="s">
        <v>126</v>
      </c>
      <c r="K2932" t="s">
        <v>44</v>
      </c>
      <c r="L2932">
        <v>3974.77</v>
      </c>
      <c r="M2932" s="1">
        <v>43191</v>
      </c>
      <c r="N2932" t="s">
        <v>45</v>
      </c>
      <c r="O2932" t="s">
        <v>46</v>
      </c>
      <c r="P2932" t="s">
        <v>47</v>
      </c>
      <c r="Q2932" s="1">
        <v>43852</v>
      </c>
      <c r="R2932" t="s">
        <v>48</v>
      </c>
      <c r="S2932" t="s">
        <v>271</v>
      </c>
      <c r="T2932" t="s">
        <v>272</v>
      </c>
      <c r="U2932" t="s">
        <v>125</v>
      </c>
      <c r="V2932">
        <v>0</v>
      </c>
      <c r="W2932">
        <v>50000</v>
      </c>
      <c r="X2932" s="1">
        <v>43738</v>
      </c>
      <c r="Y2932" t="s">
        <v>140</v>
      </c>
      <c r="Z2932" t="s">
        <v>43</v>
      </c>
      <c r="AA2932" t="s">
        <v>115</v>
      </c>
      <c r="AB2932" t="s">
        <v>268</v>
      </c>
      <c r="AC2932" t="s">
        <v>269</v>
      </c>
      <c r="AF2932" t="s">
        <v>136</v>
      </c>
      <c r="AG2932" s="1">
        <v>43839</v>
      </c>
      <c r="AH2932" t="s">
        <v>125</v>
      </c>
      <c r="AI2932" t="s">
        <v>92</v>
      </c>
      <c r="AJ2932">
        <v>1278023</v>
      </c>
      <c r="AK2932">
        <v>12365300</v>
      </c>
      <c r="AL2932">
        <v>12900</v>
      </c>
    </row>
    <row r="2933" spans="1:38" x14ac:dyDescent="0.25">
      <c r="A2933" t="s">
        <v>617</v>
      </c>
      <c r="B2933" t="s">
        <v>633</v>
      </c>
      <c r="C2933" t="s">
        <v>40</v>
      </c>
      <c r="D2933" s="1">
        <v>43191</v>
      </c>
      <c r="E2933" s="1">
        <v>43555</v>
      </c>
      <c r="F2933" t="s">
        <v>72</v>
      </c>
      <c r="G2933">
        <v>3</v>
      </c>
      <c r="H2933" t="s">
        <v>125</v>
      </c>
      <c r="I2933" t="s">
        <v>43</v>
      </c>
      <c r="J2933" t="s">
        <v>126</v>
      </c>
      <c r="K2933" t="s">
        <v>44</v>
      </c>
      <c r="L2933">
        <v>3974.77</v>
      </c>
      <c r="M2933" s="1">
        <v>43191</v>
      </c>
      <c r="N2933" t="s">
        <v>45</v>
      </c>
      <c r="O2933" t="s">
        <v>46</v>
      </c>
      <c r="P2933" t="s">
        <v>47</v>
      </c>
      <c r="Q2933" s="1">
        <v>43852</v>
      </c>
      <c r="R2933" t="s">
        <v>48</v>
      </c>
      <c r="S2933" t="s">
        <v>271</v>
      </c>
      <c r="T2933" t="s">
        <v>272</v>
      </c>
      <c r="U2933" t="s">
        <v>125</v>
      </c>
      <c r="V2933">
        <v>0</v>
      </c>
      <c r="W2933">
        <v>50000</v>
      </c>
      <c r="X2933" s="1">
        <v>43738</v>
      </c>
      <c r="Y2933" t="s">
        <v>140</v>
      </c>
      <c r="Z2933" t="s">
        <v>43</v>
      </c>
      <c r="AA2933" t="s">
        <v>115</v>
      </c>
      <c r="AB2933" t="s">
        <v>268</v>
      </c>
      <c r="AC2933" t="s">
        <v>269</v>
      </c>
      <c r="AF2933" t="s">
        <v>137</v>
      </c>
      <c r="AG2933" s="1">
        <v>43840</v>
      </c>
      <c r="AH2933" t="s">
        <v>125</v>
      </c>
      <c r="AI2933" t="s">
        <v>92</v>
      </c>
      <c r="AJ2933">
        <v>1278023</v>
      </c>
      <c r="AK2933">
        <v>12365300</v>
      </c>
      <c r="AL2933">
        <v>12900</v>
      </c>
    </row>
    <row r="2934" spans="1:38" x14ac:dyDescent="0.25">
      <c r="A2934" t="s">
        <v>617</v>
      </c>
      <c r="B2934" t="s">
        <v>634</v>
      </c>
      <c r="C2934" t="s">
        <v>40</v>
      </c>
      <c r="D2934" s="1">
        <v>43191</v>
      </c>
      <c r="E2934" s="1">
        <v>43555</v>
      </c>
      <c r="F2934" t="s">
        <v>72</v>
      </c>
      <c r="G2934">
        <v>3</v>
      </c>
      <c r="H2934" t="s">
        <v>125</v>
      </c>
      <c r="I2934" t="s">
        <v>43</v>
      </c>
      <c r="J2934" t="s">
        <v>126</v>
      </c>
      <c r="K2934" t="s">
        <v>44</v>
      </c>
      <c r="L2934">
        <v>6120.48</v>
      </c>
      <c r="M2934" s="1">
        <v>43191</v>
      </c>
      <c r="N2934" t="s">
        <v>45</v>
      </c>
      <c r="O2934" t="s">
        <v>46</v>
      </c>
      <c r="P2934" t="s">
        <v>47</v>
      </c>
      <c r="Q2934" s="1">
        <v>43852</v>
      </c>
      <c r="R2934" t="s">
        <v>48</v>
      </c>
      <c r="S2934" t="s">
        <v>266</v>
      </c>
      <c r="T2934" t="s">
        <v>267</v>
      </c>
      <c r="U2934" t="s">
        <v>125</v>
      </c>
      <c r="V2934">
        <v>700000</v>
      </c>
      <c r="W2934">
        <v>100000</v>
      </c>
      <c r="X2934" s="1">
        <v>43830</v>
      </c>
      <c r="Y2934" t="s">
        <v>51</v>
      </c>
      <c r="Z2934" t="s">
        <v>43</v>
      </c>
      <c r="AA2934" t="s">
        <v>115</v>
      </c>
      <c r="AB2934" t="s">
        <v>268</v>
      </c>
      <c r="AC2934" t="s">
        <v>269</v>
      </c>
      <c r="AF2934" t="s">
        <v>134</v>
      </c>
      <c r="AG2934" s="1">
        <v>43843</v>
      </c>
      <c r="AH2934" t="s">
        <v>125</v>
      </c>
      <c r="AI2934" t="s">
        <v>92</v>
      </c>
      <c r="AJ2934">
        <v>1278023</v>
      </c>
      <c r="AK2934">
        <v>12365300</v>
      </c>
      <c r="AL2934">
        <v>12900</v>
      </c>
    </row>
    <row r="2935" spans="1:38" x14ac:dyDescent="0.25">
      <c r="A2935" t="s">
        <v>617</v>
      </c>
      <c r="B2935" t="s">
        <v>634</v>
      </c>
      <c r="C2935" t="s">
        <v>40</v>
      </c>
      <c r="D2935" s="1">
        <v>43191</v>
      </c>
      <c r="E2935" s="1">
        <v>43555</v>
      </c>
      <c r="F2935" t="s">
        <v>72</v>
      </c>
      <c r="G2935">
        <v>3</v>
      </c>
      <c r="H2935" t="s">
        <v>125</v>
      </c>
      <c r="I2935" t="s">
        <v>43</v>
      </c>
      <c r="J2935" t="s">
        <v>126</v>
      </c>
      <c r="K2935" t="s">
        <v>44</v>
      </c>
      <c r="L2935">
        <v>6120.48</v>
      </c>
      <c r="M2935" s="1">
        <v>43191</v>
      </c>
      <c r="N2935" t="s">
        <v>45</v>
      </c>
      <c r="O2935" t="s">
        <v>46</v>
      </c>
      <c r="P2935" t="s">
        <v>47</v>
      </c>
      <c r="Q2935" s="1">
        <v>43852</v>
      </c>
      <c r="R2935" t="s">
        <v>48</v>
      </c>
      <c r="S2935" t="s">
        <v>266</v>
      </c>
      <c r="T2935" t="s">
        <v>267</v>
      </c>
      <c r="U2935" t="s">
        <v>125</v>
      </c>
      <c r="V2935">
        <v>700000</v>
      </c>
      <c r="W2935">
        <v>100000</v>
      </c>
      <c r="X2935" s="1">
        <v>43830</v>
      </c>
      <c r="Y2935" t="s">
        <v>51</v>
      </c>
      <c r="Z2935" t="s">
        <v>43</v>
      </c>
      <c r="AA2935" t="s">
        <v>115</v>
      </c>
      <c r="AB2935" t="s">
        <v>268</v>
      </c>
      <c r="AC2935" t="s">
        <v>269</v>
      </c>
      <c r="AF2935" t="s">
        <v>135</v>
      </c>
      <c r="AG2935" s="1">
        <v>43843</v>
      </c>
      <c r="AH2935" t="s">
        <v>125</v>
      </c>
      <c r="AI2935" t="s">
        <v>92</v>
      </c>
      <c r="AJ2935">
        <v>1278023</v>
      </c>
      <c r="AK2935">
        <v>12365300</v>
      </c>
      <c r="AL2935">
        <v>12900</v>
      </c>
    </row>
    <row r="2936" spans="1:38" x14ac:dyDescent="0.25">
      <c r="A2936" t="s">
        <v>617</v>
      </c>
      <c r="B2936" t="s">
        <v>634</v>
      </c>
      <c r="C2936" t="s">
        <v>40</v>
      </c>
      <c r="D2936" s="1">
        <v>43191</v>
      </c>
      <c r="E2936" s="1">
        <v>43555</v>
      </c>
      <c r="F2936" t="s">
        <v>72</v>
      </c>
      <c r="G2936">
        <v>3</v>
      </c>
      <c r="H2936" t="s">
        <v>125</v>
      </c>
      <c r="I2936" t="s">
        <v>43</v>
      </c>
      <c r="J2936" t="s">
        <v>126</v>
      </c>
      <c r="K2936" t="s">
        <v>44</v>
      </c>
      <c r="L2936">
        <v>6120.48</v>
      </c>
      <c r="M2936" s="1">
        <v>43191</v>
      </c>
      <c r="N2936" t="s">
        <v>45</v>
      </c>
      <c r="O2936" t="s">
        <v>46</v>
      </c>
      <c r="P2936" t="s">
        <v>47</v>
      </c>
      <c r="Q2936" s="1">
        <v>43852</v>
      </c>
      <c r="R2936" t="s">
        <v>48</v>
      </c>
      <c r="S2936" t="s">
        <v>266</v>
      </c>
      <c r="T2936" t="s">
        <v>267</v>
      </c>
      <c r="U2936" t="s">
        <v>125</v>
      </c>
      <c r="V2936">
        <v>700000</v>
      </c>
      <c r="W2936">
        <v>100000</v>
      </c>
      <c r="X2936" s="1">
        <v>43830</v>
      </c>
      <c r="Y2936" t="s">
        <v>51</v>
      </c>
      <c r="Z2936" t="s">
        <v>43</v>
      </c>
      <c r="AA2936" t="s">
        <v>115</v>
      </c>
      <c r="AB2936" t="s">
        <v>268</v>
      </c>
      <c r="AC2936" t="s">
        <v>269</v>
      </c>
      <c r="AF2936" t="s">
        <v>136</v>
      </c>
      <c r="AG2936" s="1">
        <v>43839</v>
      </c>
      <c r="AH2936" t="s">
        <v>125</v>
      </c>
      <c r="AI2936" t="s">
        <v>92</v>
      </c>
      <c r="AJ2936">
        <v>1278023</v>
      </c>
      <c r="AK2936">
        <v>12365300</v>
      </c>
      <c r="AL2936">
        <v>12900</v>
      </c>
    </row>
    <row r="2937" spans="1:38" x14ac:dyDescent="0.25">
      <c r="A2937" t="s">
        <v>617</v>
      </c>
      <c r="B2937" t="s">
        <v>634</v>
      </c>
      <c r="C2937" t="s">
        <v>40</v>
      </c>
      <c r="D2937" s="1">
        <v>43191</v>
      </c>
      <c r="E2937" s="1">
        <v>43555</v>
      </c>
      <c r="F2937" t="s">
        <v>72</v>
      </c>
      <c r="G2937">
        <v>3</v>
      </c>
      <c r="H2937" t="s">
        <v>125</v>
      </c>
      <c r="I2937" t="s">
        <v>43</v>
      </c>
      <c r="J2937" t="s">
        <v>126</v>
      </c>
      <c r="K2937" t="s">
        <v>44</v>
      </c>
      <c r="L2937">
        <v>6120.48</v>
      </c>
      <c r="M2937" s="1">
        <v>43191</v>
      </c>
      <c r="N2937" t="s">
        <v>45</v>
      </c>
      <c r="O2937" t="s">
        <v>46</v>
      </c>
      <c r="P2937" t="s">
        <v>47</v>
      </c>
      <c r="Q2937" s="1">
        <v>43852</v>
      </c>
      <c r="R2937" t="s">
        <v>48</v>
      </c>
      <c r="S2937" t="s">
        <v>266</v>
      </c>
      <c r="T2937" t="s">
        <v>267</v>
      </c>
      <c r="U2937" t="s">
        <v>125</v>
      </c>
      <c r="V2937">
        <v>700000</v>
      </c>
      <c r="W2937">
        <v>100000</v>
      </c>
      <c r="X2937" s="1">
        <v>43830</v>
      </c>
      <c r="Y2937" t="s">
        <v>51</v>
      </c>
      <c r="Z2937" t="s">
        <v>43</v>
      </c>
      <c r="AA2937" t="s">
        <v>115</v>
      </c>
      <c r="AB2937" t="s">
        <v>268</v>
      </c>
      <c r="AC2937" t="s">
        <v>269</v>
      </c>
      <c r="AF2937" t="s">
        <v>137</v>
      </c>
      <c r="AG2937" s="1">
        <v>43840</v>
      </c>
      <c r="AH2937" t="s">
        <v>125</v>
      </c>
      <c r="AI2937" t="s">
        <v>92</v>
      </c>
      <c r="AJ2937">
        <v>1278023</v>
      </c>
      <c r="AK2937">
        <v>12365300</v>
      </c>
      <c r="AL2937">
        <v>12900</v>
      </c>
    </row>
    <row r="2938" spans="1:38" x14ac:dyDescent="0.25">
      <c r="A2938" t="s">
        <v>617</v>
      </c>
      <c r="B2938" t="s">
        <v>634</v>
      </c>
      <c r="C2938" t="s">
        <v>40</v>
      </c>
      <c r="D2938" s="1">
        <v>43191</v>
      </c>
      <c r="E2938" s="1">
        <v>43555</v>
      </c>
      <c r="F2938" t="s">
        <v>72</v>
      </c>
      <c r="G2938">
        <v>3</v>
      </c>
      <c r="H2938" t="s">
        <v>125</v>
      </c>
      <c r="I2938" t="s">
        <v>43</v>
      </c>
      <c r="J2938" t="s">
        <v>126</v>
      </c>
      <c r="K2938" t="s">
        <v>44</v>
      </c>
      <c r="L2938">
        <v>6120.48</v>
      </c>
      <c r="M2938" s="1">
        <v>43191</v>
      </c>
      <c r="N2938" t="s">
        <v>45</v>
      </c>
      <c r="O2938" t="s">
        <v>46</v>
      </c>
      <c r="P2938" t="s">
        <v>47</v>
      </c>
      <c r="Q2938" s="1">
        <v>43852</v>
      </c>
      <c r="R2938" t="s">
        <v>48</v>
      </c>
      <c r="S2938" t="s">
        <v>72</v>
      </c>
      <c r="T2938" t="s">
        <v>270</v>
      </c>
      <c r="U2938" t="s">
        <v>125</v>
      </c>
      <c r="V2938">
        <v>0</v>
      </c>
      <c r="W2938">
        <v>500000</v>
      </c>
      <c r="X2938" s="1">
        <v>43739</v>
      </c>
      <c r="Y2938" t="s">
        <v>131</v>
      </c>
      <c r="Z2938" t="s">
        <v>43</v>
      </c>
      <c r="AA2938" t="s">
        <v>115</v>
      </c>
      <c r="AB2938" t="s">
        <v>268</v>
      </c>
      <c r="AC2938" t="s">
        <v>269</v>
      </c>
      <c r="AF2938" t="s">
        <v>134</v>
      </c>
      <c r="AG2938" s="1">
        <v>43843</v>
      </c>
      <c r="AH2938" t="s">
        <v>125</v>
      </c>
      <c r="AI2938" t="s">
        <v>92</v>
      </c>
      <c r="AJ2938">
        <v>1278023</v>
      </c>
      <c r="AK2938">
        <v>12365300</v>
      </c>
      <c r="AL2938">
        <v>12900</v>
      </c>
    </row>
    <row r="2939" spans="1:38" x14ac:dyDescent="0.25">
      <c r="A2939" t="s">
        <v>617</v>
      </c>
      <c r="B2939" t="s">
        <v>634</v>
      </c>
      <c r="C2939" t="s">
        <v>40</v>
      </c>
      <c r="D2939" s="1">
        <v>43191</v>
      </c>
      <c r="E2939" s="1">
        <v>43555</v>
      </c>
      <c r="F2939" t="s">
        <v>72</v>
      </c>
      <c r="G2939">
        <v>3</v>
      </c>
      <c r="H2939" t="s">
        <v>125</v>
      </c>
      <c r="I2939" t="s">
        <v>43</v>
      </c>
      <c r="J2939" t="s">
        <v>126</v>
      </c>
      <c r="K2939" t="s">
        <v>44</v>
      </c>
      <c r="L2939">
        <v>6120.48</v>
      </c>
      <c r="M2939" s="1">
        <v>43191</v>
      </c>
      <c r="N2939" t="s">
        <v>45</v>
      </c>
      <c r="O2939" t="s">
        <v>46</v>
      </c>
      <c r="P2939" t="s">
        <v>47</v>
      </c>
      <c r="Q2939" s="1">
        <v>43852</v>
      </c>
      <c r="R2939" t="s">
        <v>48</v>
      </c>
      <c r="S2939" t="s">
        <v>72</v>
      </c>
      <c r="T2939" t="s">
        <v>270</v>
      </c>
      <c r="U2939" t="s">
        <v>125</v>
      </c>
      <c r="V2939">
        <v>0</v>
      </c>
      <c r="W2939">
        <v>500000</v>
      </c>
      <c r="X2939" s="1">
        <v>43739</v>
      </c>
      <c r="Y2939" t="s">
        <v>131</v>
      </c>
      <c r="Z2939" t="s">
        <v>43</v>
      </c>
      <c r="AA2939" t="s">
        <v>115</v>
      </c>
      <c r="AB2939" t="s">
        <v>268</v>
      </c>
      <c r="AC2939" t="s">
        <v>269</v>
      </c>
      <c r="AF2939" t="s">
        <v>135</v>
      </c>
      <c r="AG2939" s="1">
        <v>43843</v>
      </c>
      <c r="AH2939" t="s">
        <v>125</v>
      </c>
      <c r="AI2939" t="s">
        <v>92</v>
      </c>
      <c r="AJ2939">
        <v>1278023</v>
      </c>
      <c r="AK2939">
        <v>12365300</v>
      </c>
      <c r="AL2939">
        <v>12900</v>
      </c>
    </row>
    <row r="2940" spans="1:38" x14ac:dyDescent="0.25">
      <c r="A2940" t="s">
        <v>617</v>
      </c>
      <c r="B2940" t="s">
        <v>634</v>
      </c>
      <c r="C2940" t="s">
        <v>40</v>
      </c>
      <c r="D2940" s="1">
        <v>43191</v>
      </c>
      <c r="E2940" s="1">
        <v>43555</v>
      </c>
      <c r="F2940" t="s">
        <v>72</v>
      </c>
      <c r="G2940">
        <v>3</v>
      </c>
      <c r="H2940" t="s">
        <v>125</v>
      </c>
      <c r="I2940" t="s">
        <v>43</v>
      </c>
      <c r="J2940" t="s">
        <v>126</v>
      </c>
      <c r="K2940" t="s">
        <v>44</v>
      </c>
      <c r="L2940">
        <v>6120.48</v>
      </c>
      <c r="M2940" s="1">
        <v>43191</v>
      </c>
      <c r="N2940" t="s">
        <v>45</v>
      </c>
      <c r="O2940" t="s">
        <v>46</v>
      </c>
      <c r="P2940" t="s">
        <v>47</v>
      </c>
      <c r="Q2940" s="1">
        <v>43852</v>
      </c>
      <c r="R2940" t="s">
        <v>48</v>
      </c>
      <c r="S2940" t="s">
        <v>72</v>
      </c>
      <c r="T2940" t="s">
        <v>270</v>
      </c>
      <c r="U2940" t="s">
        <v>125</v>
      </c>
      <c r="V2940">
        <v>0</v>
      </c>
      <c r="W2940">
        <v>500000</v>
      </c>
      <c r="X2940" s="1">
        <v>43739</v>
      </c>
      <c r="Y2940" t="s">
        <v>131</v>
      </c>
      <c r="Z2940" t="s">
        <v>43</v>
      </c>
      <c r="AA2940" t="s">
        <v>115</v>
      </c>
      <c r="AB2940" t="s">
        <v>268</v>
      </c>
      <c r="AC2940" t="s">
        <v>269</v>
      </c>
      <c r="AF2940" t="s">
        <v>136</v>
      </c>
      <c r="AG2940" s="1">
        <v>43839</v>
      </c>
      <c r="AH2940" t="s">
        <v>125</v>
      </c>
      <c r="AI2940" t="s">
        <v>92</v>
      </c>
      <c r="AJ2940">
        <v>1278023</v>
      </c>
      <c r="AK2940">
        <v>12365300</v>
      </c>
      <c r="AL2940">
        <v>12900</v>
      </c>
    </row>
    <row r="2941" spans="1:38" x14ac:dyDescent="0.25">
      <c r="A2941" t="s">
        <v>617</v>
      </c>
      <c r="B2941" t="s">
        <v>634</v>
      </c>
      <c r="C2941" t="s">
        <v>40</v>
      </c>
      <c r="D2941" s="1">
        <v>43191</v>
      </c>
      <c r="E2941" s="1">
        <v>43555</v>
      </c>
      <c r="F2941" t="s">
        <v>72</v>
      </c>
      <c r="G2941">
        <v>3</v>
      </c>
      <c r="H2941" t="s">
        <v>125</v>
      </c>
      <c r="I2941" t="s">
        <v>43</v>
      </c>
      <c r="J2941" t="s">
        <v>126</v>
      </c>
      <c r="K2941" t="s">
        <v>44</v>
      </c>
      <c r="L2941">
        <v>6120.48</v>
      </c>
      <c r="M2941" s="1">
        <v>43191</v>
      </c>
      <c r="N2941" t="s">
        <v>45</v>
      </c>
      <c r="O2941" t="s">
        <v>46</v>
      </c>
      <c r="P2941" t="s">
        <v>47</v>
      </c>
      <c r="Q2941" s="1">
        <v>43852</v>
      </c>
      <c r="R2941" t="s">
        <v>48</v>
      </c>
      <c r="S2941" t="s">
        <v>72</v>
      </c>
      <c r="T2941" t="s">
        <v>270</v>
      </c>
      <c r="U2941" t="s">
        <v>125</v>
      </c>
      <c r="V2941">
        <v>0</v>
      </c>
      <c r="W2941">
        <v>500000</v>
      </c>
      <c r="X2941" s="1">
        <v>43739</v>
      </c>
      <c r="Y2941" t="s">
        <v>131</v>
      </c>
      <c r="Z2941" t="s">
        <v>43</v>
      </c>
      <c r="AA2941" t="s">
        <v>115</v>
      </c>
      <c r="AB2941" t="s">
        <v>268</v>
      </c>
      <c r="AC2941" t="s">
        <v>269</v>
      </c>
      <c r="AF2941" t="s">
        <v>137</v>
      </c>
      <c r="AG2941" s="1">
        <v>43840</v>
      </c>
      <c r="AH2941" t="s">
        <v>125</v>
      </c>
      <c r="AI2941" t="s">
        <v>92</v>
      </c>
      <c r="AJ2941">
        <v>1278023</v>
      </c>
      <c r="AK2941">
        <v>12365300</v>
      </c>
      <c r="AL2941">
        <v>12900</v>
      </c>
    </row>
    <row r="2942" spans="1:38" x14ac:dyDescent="0.25">
      <c r="A2942" t="s">
        <v>617</v>
      </c>
      <c r="B2942" t="s">
        <v>634</v>
      </c>
      <c r="C2942" t="s">
        <v>40</v>
      </c>
      <c r="D2942" s="1">
        <v>43191</v>
      </c>
      <c r="E2942" s="1">
        <v>43555</v>
      </c>
      <c r="F2942" t="s">
        <v>72</v>
      </c>
      <c r="G2942">
        <v>3</v>
      </c>
      <c r="H2942" t="s">
        <v>125</v>
      </c>
      <c r="I2942" t="s">
        <v>43</v>
      </c>
      <c r="J2942" t="s">
        <v>126</v>
      </c>
      <c r="K2942" t="s">
        <v>44</v>
      </c>
      <c r="L2942">
        <v>6120.48</v>
      </c>
      <c r="M2942" s="1">
        <v>43191</v>
      </c>
      <c r="N2942" t="s">
        <v>45</v>
      </c>
      <c r="O2942" t="s">
        <v>46</v>
      </c>
      <c r="P2942" t="s">
        <v>47</v>
      </c>
      <c r="Q2942" s="1">
        <v>43852</v>
      </c>
      <c r="R2942" t="s">
        <v>48</v>
      </c>
      <c r="S2942" t="s">
        <v>271</v>
      </c>
      <c r="T2942" t="s">
        <v>272</v>
      </c>
      <c r="U2942" t="s">
        <v>125</v>
      </c>
      <c r="V2942">
        <v>0</v>
      </c>
      <c r="W2942">
        <v>50000</v>
      </c>
      <c r="X2942" s="1">
        <v>43738</v>
      </c>
      <c r="Y2942" t="s">
        <v>140</v>
      </c>
      <c r="Z2942" t="s">
        <v>43</v>
      </c>
      <c r="AA2942" t="s">
        <v>115</v>
      </c>
      <c r="AB2942" t="s">
        <v>268</v>
      </c>
      <c r="AC2942" t="s">
        <v>269</v>
      </c>
      <c r="AF2942" t="s">
        <v>134</v>
      </c>
      <c r="AG2942" s="1">
        <v>43843</v>
      </c>
      <c r="AH2942" t="s">
        <v>125</v>
      </c>
      <c r="AI2942" t="s">
        <v>92</v>
      </c>
      <c r="AJ2942">
        <v>1278023</v>
      </c>
      <c r="AK2942">
        <v>12365300</v>
      </c>
      <c r="AL2942">
        <v>12900</v>
      </c>
    </row>
    <row r="2943" spans="1:38" x14ac:dyDescent="0.25">
      <c r="A2943" t="s">
        <v>617</v>
      </c>
      <c r="B2943" t="s">
        <v>634</v>
      </c>
      <c r="C2943" t="s">
        <v>40</v>
      </c>
      <c r="D2943" s="1">
        <v>43191</v>
      </c>
      <c r="E2943" s="1">
        <v>43555</v>
      </c>
      <c r="F2943" t="s">
        <v>72</v>
      </c>
      <c r="G2943">
        <v>3</v>
      </c>
      <c r="H2943" t="s">
        <v>125</v>
      </c>
      <c r="I2943" t="s">
        <v>43</v>
      </c>
      <c r="J2943" t="s">
        <v>126</v>
      </c>
      <c r="K2943" t="s">
        <v>44</v>
      </c>
      <c r="L2943">
        <v>6120.48</v>
      </c>
      <c r="M2943" s="1">
        <v>43191</v>
      </c>
      <c r="N2943" t="s">
        <v>45</v>
      </c>
      <c r="O2943" t="s">
        <v>46</v>
      </c>
      <c r="P2943" t="s">
        <v>47</v>
      </c>
      <c r="Q2943" s="1">
        <v>43852</v>
      </c>
      <c r="R2943" t="s">
        <v>48</v>
      </c>
      <c r="S2943" t="s">
        <v>271</v>
      </c>
      <c r="T2943" t="s">
        <v>272</v>
      </c>
      <c r="U2943" t="s">
        <v>125</v>
      </c>
      <c r="V2943">
        <v>0</v>
      </c>
      <c r="W2943">
        <v>50000</v>
      </c>
      <c r="X2943" s="1">
        <v>43738</v>
      </c>
      <c r="Y2943" t="s">
        <v>140</v>
      </c>
      <c r="Z2943" t="s">
        <v>43</v>
      </c>
      <c r="AA2943" t="s">
        <v>115</v>
      </c>
      <c r="AB2943" t="s">
        <v>268</v>
      </c>
      <c r="AC2943" t="s">
        <v>269</v>
      </c>
      <c r="AF2943" t="s">
        <v>135</v>
      </c>
      <c r="AG2943" s="1">
        <v>43843</v>
      </c>
      <c r="AH2943" t="s">
        <v>125</v>
      </c>
      <c r="AI2943" t="s">
        <v>92</v>
      </c>
      <c r="AJ2943">
        <v>1278023</v>
      </c>
      <c r="AK2943">
        <v>12365300</v>
      </c>
      <c r="AL2943">
        <v>12900</v>
      </c>
    </row>
    <row r="2944" spans="1:38" x14ac:dyDescent="0.25">
      <c r="A2944" t="s">
        <v>617</v>
      </c>
      <c r="B2944" t="s">
        <v>634</v>
      </c>
      <c r="C2944" t="s">
        <v>40</v>
      </c>
      <c r="D2944" s="1">
        <v>43191</v>
      </c>
      <c r="E2944" s="1">
        <v>43555</v>
      </c>
      <c r="F2944" t="s">
        <v>72</v>
      </c>
      <c r="G2944">
        <v>3</v>
      </c>
      <c r="H2944" t="s">
        <v>125</v>
      </c>
      <c r="I2944" t="s">
        <v>43</v>
      </c>
      <c r="J2944" t="s">
        <v>126</v>
      </c>
      <c r="K2944" t="s">
        <v>44</v>
      </c>
      <c r="L2944">
        <v>6120.48</v>
      </c>
      <c r="M2944" s="1">
        <v>43191</v>
      </c>
      <c r="N2944" t="s">
        <v>45</v>
      </c>
      <c r="O2944" t="s">
        <v>46</v>
      </c>
      <c r="P2944" t="s">
        <v>47</v>
      </c>
      <c r="Q2944" s="1">
        <v>43852</v>
      </c>
      <c r="R2944" t="s">
        <v>48</v>
      </c>
      <c r="S2944" t="s">
        <v>271</v>
      </c>
      <c r="T2944" t="s">
        <v>272</v>
      </c>
      <c r="U2944" t="s">
        <v>125</v>
      </c>
      <c r="V2944">
        <v>0</v>
      </c>
      <c r="W2944">
        <v>50000</v>
      </c>
      <c r="X2944" s="1">
        <v>43738</v>
      </c>
      <c r="Y2944" t="s">
        <v>140</v>
      </c>
      <c r="Z2944" t="s">
        <v>43</v>
      </c>
      <c r="AA2944" t="s">
        <v>115</v>
      </c>
      <c r="AB2944" t="s">
        <v>268</v>
      </c>
      <c r="AC2944" t="s">
        <v>269</v>
      </c>
      <c r="AF2944" t="s">
        <v>136</v>
      </c>
      <c r="AG2944" s="1">
        <v>43839</v>
      </c>
      <c r="AH2944" t="s">
        <v>125</v>
      </c>
      <c r="AI2944" t="s">
        <v>92</v>
      </c>
      <c r="AJ2944">
        <v>1278023</v>
      </c>
      <c r="AK2944">
        <v>12365300</v>
      </c>
      <c r="AL2944">
        <v>12900</v>
      </c>
    </row>
    <row r="2945" spans="1:38" x14ac:dyDescent="0.25">
      <c r="A2945" t="s">
        <v>617</v>
      </c>
      <c r="B2945" t="s">
        <v>634</v>
      </c>
      <c r="C2945" t="s">
        <v>40</v>
      </c>
      <c r="D2945" s="1">
        <v>43191</v>
      </c>
      <c r="E2945" s="1">
        <v>43555</v>
      </c>
      <c r="F2945" t="s">
        <v>72</v>
      </c>
      <c r="G2945">
        <v>3</v>
      </c>
      <c r="H2945" t="s">
        <v>125</v>
      </c>
      <c r="I2945" t="s">
        <v>43</v>
      </c>
      <c r="J2945" t="s">
        <v>126</v>
      </c>
      <c r="K2945" t="s">
        <v>44</v>
      </c>
      <c r="L2945">
        <v>6120.48</v>
      </c>
      <c r="M2945" s="1">
        <v>43191</v>
      </c>
      <c r="N2945" t="s">
        <v>45</v>
      </c>
      <c r="O2945" t="s">
        <v>46</v>
      </c>
      <c r="P2945" t="s">
        <v>47</v>
      </c>
      <c r="Q2945" s="1">
        <v>43852</v>
      </c>
      <c r="R2945" t="s">
        <v>48</v>
      </c>
      <c r="S2945" t="s">
        <v>271</v>
      </c>
      <c r="T2945" t="s">
        <v>272</v>
      </c>
      <c r="U2945" t="s">
        <v>125</v>
      </c>
      <c r="V2945">
        <v>0</v>
      </c>
      <c r="W2945">
        <v>50000</v>
      </c>
      <c r="X2945" s="1">
        <v>43738</v>
      </c>
      <c r="Y2945" t="s">
        <v>140</v>
      </c>
      <c r="Z2945" t="s">
        <v>43</v>
      </c>
      <c r="AA2945" t="s">
        <v>115</v>
      </c>
      <c r="AB2945" t="s">
        <v>268</v>
      </c>
      <c r="AC2945" t="s">
        <v>269</v>
      </c>
      <c r="AF2945" t="s">
        <v>137</v>
      </c>
      <c r="AG2945" s="1">
        <v>43840</v>
      </c>
      <c r="AH2945" t="s">
        <v>125</v>
      </c>
      <c r="AI2945" t="s">
        <v>92</v>
      </c>
      <c r="AJ2945">
        <v>1278023</v>
      </c>
      <c r="AK2945">
        <v>12365300</v>
      </c>
      <c r="AL2945">
        <v>12900</v>
      </c>
    </row>
    <row r="2946" spans="1:38" x14ac:dyDescent="0.25">
      <c r="A2946" t="s">
        <v>617</v>
      </c>
      <c r="B2946" t="s">
        <v>634</v>
      </c>
      <c r="C2946" t="s">
        <v>40</v>
      </c>
      <c r="D2946" s="1">
        <v>43191</v>
      </c>
      <c r="E2946" s="1">
        <v>43555</v>
      </c>
      <c r="F2946" t="s">
        <v>72</v>
      </c>
      <c r="G2946">
        <v>3</v>
      </c>
      <c r="H2946" t="s">
        <v>125</v>
      </c>
      <c r="I2946" t="s">
        <v>43</v>
      </c>
      <c r="J2946" t="s">
        <v>126</v>
      </c>
      <c r="K2946" t="s">
        <v>44</v>
      </c>
      <c r="L2946">
        <v>1530.12</v>
      </c>
      <c r="M2946" s="1">
        <v>43191</v>
      </c>
      <c r="N2946" t="s">
        <v>45</v>
      </c>
      <c r="O2946" t="s">
        <v>46</v>
      </c>
      <c r="P2946" t="s">
        <v>47</v>
      </c>
      <c r="Q2946" s="1">
        <v>43852</v>
      </c>
      <c r="R2946" t="s">
        <v>48</v>
      </c>
      <c r="S2946" t="s">
        <v>266</v>
      </c>
      <c r="T2946" t="s">
        <v>267</v>
      </c>
      <c r="U2946" t="s">
        <v>125</v>
      </c>
      <c r="V2946">
        <v>700000</v>
      </c>
      <c r="W2946">
        <v>100000</v>
      </c>
      <c r="X2946" s="1">
        <v>43830</v>
      </c>
      <c r="Y2946" t="s">
        <v>51</v>
      </c>
      <c r="Z2946" t="s">
        <v>43</v>
      </c>
      <c r="AA2946" t="s">
        <v>115</v>
      </c>
      <c r="AB2946" t="s">
        <v>268</v>
      </c>
      <c r="AC2946" t="s">
        <v>269</v>
      </c>
      <c r="AF2946" t="s">
        <v>134</v>
      </c>
      <c r="AG2946" s="1">
        <v>43843</v>
      </c>
      <c r="AH2946" t="s">
        <v>125</v>
      </c>
      <c r="AI2946" t="s">
        <v>92</v>
      </c>
      <c r="AJ2946">
        <v>1278023</v>
      </c>
      <c r="AK2946">
        <v>12365300</v>
      </c>
      <c r="AL2946">
        <v>12900</v>
      </c>
    </row>
    <row r="2947" spans="1:38" x14ac:dyDescent="0.25">
      <c r="A2947" t="s">
        <v>617</v>
      </c>
      <c r="B2947" t="s">
        <v>634</v>
      </c>
      <c r="C2947" t="s">
        <v>40</v>
      </c>
      <c r="D2947" s="1">
        <v>43191</v>
      </c>
      <c r="E2947" s="1">
        <v>43555</v>
      </c>
      <c r="F2947" t="s">
        <v>72</v>
      </c>
      <c r="G2947">
        <v>3</v>
      </c>
      <c r="H2947" t="s">
        <v>125</v>
      </c>
      <c r="I2947" t="s">
        <v>43</v>
      </c>
      <c r="J2947" t="s">
        <v>126</v>
      </c>
      <c r="K2947" t="s">
        <v>44</v>
      </c>
      <c r="L2947">
        <v>1530.12</v>
      </c>
      <c r="M2947" s="1">
        <v>43191</v>
      </c>
      <c r="N2947" t="s">
        <v>45</v>
      </c>
      <c r="O2947" t="s">
        <v>46</v>
      </c>
      <c r="P2947" t="s">
        <v>47</v>
      </c>
      <c r="Q2947" s="1">
        <v>43852</v>
      </c>
      <c r="R2947" t="s">
        <v>48</v>
      </c>
      <c r="S2947" t="s">
        <v>266</v>
      </c>
      <c r="T2947" t="s">
        <v>267</v>
      </c>
      <c r="U2947" t="s">
        <v>125</v>
      </c>
      <c r="V2947">
        <v>700000</v>
      </c>
      <c r="W2947">
        <v>100000</v>
      </c>
      <c r="X2947" s="1">
        <v>43830</v>
      </c>
      <c r="Y2947" t="s">
        <v>51</v>
      </c>
      <c r="Z2947" t="s">
        <v>43</v>
      </c>
      <c r="AA2947" t="s">
        <v>115</v>
      </c>
      <c r="AB2947" t="s">
        <v>268</v>
      </c>
      <c r="AC2947" t="s">
        <v>269</v>
      </c>
      <c r="AF2947" t="s">
        <v>135</v>
      </c>
      <c r="AG2947" s="1">
        <v>43843</v>
      </c>
      <c r="AH2947" t="s">
        <v>125</v>
      </c>
      <c r="AI2947" t="s">
        <v>92</v>
      </c>
      <c r="AJ2947">
        <v>1278023</v>
      </c>
      <c r="AK2947">
        <v>12365300</v>
      </c>
      <c r="AL2947">
        <v>12900</v>
      </c>
    </row>
    <row r="2948" spans="1:38" x14ac:dyDescent="0.25">
      <c r="A2948" t="s">
        <v>617</v>
      </c>
      <c r="B2948" t="s">
        <v>634</v>
      </c>
      <c r="C2948" t="s">
        <v>40</v>
      </c>
      <c r="D2948" s="1">
        <v>43191</v>
      </c>
      <c r="E2948" s="1">
        <v>43555</v>
      </c>
      <c r="F2948" t="s">
        <v>72</v>
      </c>
      <c r="G2948">
        <v>3</v>
      </c>
      <c r="H2948" t="s">
        <v>125</v>
      </c>
      <c r="I2948" t="s">
        <v>43</v>
      </c>
      <c r="J2948" t="s">
        <v>126</v>
      </c>
      <c r="K2948" t="s">
        <v>44</v>
      </c>
      <c r="L2948">
        <v>1530.12</v>
      </c>
      <c r="M2948" s="1">
        <v>43191</v>
      </c>
      <c r="N2948" t="s">
        <v>45</v>
      </c>
      <c r="O2948" t="s">
        <v>46</v>
      </c>
      <c r="P2948" t="s">
        <v>47</v>
      </c>
      <c r="Q2948" s="1">
        <v>43852</v>
      </c>
      <c r="R2948" t="s">
        <v>48</v>
      </c>
      <c r="S2948" t="s">
        <v>266</v>
      </c>
      <c r="T2948" t="s">
        <v>267</v>
      </c>
      <c r="U2948" t="s">
        <v>125</v>
      </c>
      <c r="V2948">
        <v>700000</v>
      </c>
      <c r="W2948">
        <v>100000</v>
      </c>
      <c r="X2948" s="1">
        <v>43830</v>
      </c>
      <c r="Y2948" t="s">
        <v>51</v>
      </c>
      <c r="Z2948" t="s">
        <v>43</v>
      </c>
      <c r="AA2948" t="s">
        <v>115</v>
      </c>
      <c r="AB2948" t="s">
        <v>268</v>
      </c>
      <c r="AC2948" t="s">
        <v>269</v>
      </c>
      <c r="AF2948" t="s">
        <v>136</v>
      </c>
      <c r="AG2948" s="1">
        <v>43839</v>
      </c>
      <c r="AH2948" t="s">
        <v>125</v>
      </c>
      <c r="AI2948" t="s">
        <v>92</v>
      </c>
      <c r="AJ2948">
        <v>1278023</v>
      </c>
      <c r="AK2948">
        <v>12365300</v>
      </c>
      <c r="AL2948">
        <v>12900</v>
      </c>
    </row>
    <row r="2949" spans="1:38" x14ac:dyDescent="0.25">
      <c r="A2949" t="s">
        <v>617</v>
      </c>
      <c r="B2949" t="s">
        <v>634</v>
      </c>
      <c r="C2949" t="s">
        <v>40</v>
      </c>
      <c r="D2949" s="1">
        <v>43191</v>
      </c>
      <c r="E2949" s="1">
        <v>43555</v>
      </c>
      <c r="F2949" t="s">
        <v>72</v>
      </c>
      <c r="G2949">
        <v>3</v>
      </c>
      <c r="H2949" t="s">
        <v>125</v>
      </c>
      <c r="I2949" t="s">
        <v>43</v>
      </c>
      <c r="J2949" t="s">
        <v>126</v>
      </c>
      <c r="K2949" t="s">
        <v>44</v>
      </c>
      <c r="L2949">
        <v>1530.12</v>
      </c>
      <c r="M2949" s="1">
        <v>43191</v>
      </c>
      <c r="N2949" t="s">
        <v>45</v>
      </c>
      <c r="O2949" t="s">
        <v>46</v>
      </c>
      <c r="P2949" t="s">
        <v>47</v>
      </c>
      <c r="Q2949" s="1">
        <v>43852</v>
      </c>
      <c r="R2949" t="s">
        <v>48</v>
      </c>
      <c r="S2949" t="s">
        <v>266</v>
      </c>
      <c r="T2949" t="s">
        <v>267</v>
      </c>
      <c r="U2949" t="s">
        <v>125</v>
      </c>
      <c r="V2949">
        <v>700000</v>
      </c>
      <c r="W2949">
        <v>100000</v>
      </c>
      <c r="X2949" s="1">
        <v>43830</v>
      </c>
      <c r="Y2949" t="s">
        <v>51</v>
      </c>
      <c r="Z2949" t="s">
        <v>43</v>
      </c>
      <c r="AA2949" t="s">
        <v>115</v>
      </c>
      <c r="AB2949" t="s">
        <v>268</v>
      </c>
      <c r="AC2949" t="s">
        <v>269</v>
      </c>
      <c r="AF2949" t="s">
        <v>137</v>
      </c>
      <c r="AG2949" s="1">
        <v>43840</v>
      </c>
      <c r="AH2949" t="s">
        <v>125</v>
      </c>
      <c r="AI2949" t="s">
        <v>92</v>
      </c>
      <c r="AJ2949">
        <v>1278023</v>
      </c>
      <c r="AK2949">
        <v>12365300</v>
      </c>
      <c r="AL2949">
        <v>12900</v>
      </c>
    </row>
    <row r="2950" spans="1:38" x14ac:dyDescent="0.25">
      <c r="A2950" t="s">
        <v>617</v>
      </c>
      <c r="B2950" t="s">
        <v>634</v>
      </c>
      <c r="C2950" t="s">
        <v>40</v>
      </c>
      <c r="D2950" s="1">
        <v>43191</v>
      </c>
      <c r="E2950" s="1">
        <v>43555</v>
      </c>
      <c r="F2950" t="s">
        <v>72</v>
      </c>
      <c r="G2950">
        <v>3</v>
      </c>
      <c r="H2950" t="s">
        <v>125</v>
      </c>
      <c r="I2950" t="s">
        <v>43</v>
      </c>
      <c r="J2950" t="s">
        <v>126</v>
      </c>
      <c r="K2950" t="s">
        <v>44</v>
      </c>
      <c r="L2950">
        <v>1530.12</v>
      </c>
      <c r="M2950" s="1">
        <v>43191</v>
      </c>
      <c r="N2950" t="s">
        <v>45</v>
      </c>
      <c r="O2950" t="s">
        <v>46</v>
      </c>
      <c r="P2950" t="s">
        <v>47</v>
      </c>
      <c r="Q2950" s="1">
        <v>43852</v>
      </c>
      <c r="R2950" t="s">
        <v>48</v>
      </c>
      <c r="S2950" t="s">
        <v>72</v>
      </c>
      <c r="T2950" t="s">
        <v>270</v>
      </c>
      <c r="U2950" t="s">
        <v>125</v>
      </c>
      <c r="V2950">
        <v>0</v>
      </c>
      <c r="W2950">
        <v>500000</v>
      </c>
      <c r="X2950" s="1">
        <v>43739</v>
      </c>
      <c r="Y2950" t="s">
        <v>131</v>
      </c>
      <c r="Z2950" t="s">
        <v>43</v>
      </c>
      <c r="AA2950" t="s">
        <v>115</v>
      </c>
      <c r="AB2950" t="s">
        <v>268</v>
      </c>
      <c r="AC2950" t="s">
        <v>269</v>
      </c>
      <c r="AF2950" t="s">
        <v>134</v>
      </c>
      <c r="AG2950" s="1">
        <v>43843</v>
      </c>
      <c r="AH2950" t="s">
        <v>125</v>
      </c>
      <c r="AI2950" t="s">
        <v>92</v>
      </c>
      <c r="AJ2950">
        <v>1278023</v>
      </c>
      <c r="AK2950">
        <v>12365300</v>
      </c>
      <c r="AL2950">
        <v>12900</v>
      </c>
    </row>
    <row r="2951" spans="1:38" x14ac:dyDescent="0.25">
      <c r="A2951" t="s">
        <v>617</v>
      </c>
      <c r="B2951" t="s">
        <v>634</v>
      </c>
      <c r="C2951" t="s">
        <v>40</v>
      </c>
      <c r="D2951" s="1">
        <v>43191</v>
      </c>
      <c r="E2951" s="1">
        <v>43555</v>
      </c>
      <c r="F2951" t="s">
        <v>72</v>
      </c>
      <c r="G2951">
        <v>3</v>
      </c>
      <c r="H2951" t="s">
        <v>125</v>
      </c>
      <c r="I2951" t="s">
        <v>43</v>
      </c>
      <c r="J2951" t="s">
        <v>126</v>
      </c>
      <c r="K2951" t="s">
        <v>44</v>
      </c>
      <c r="L2951">
        <v>1530.12</v>
      </c>
      <c r="M2951" s="1">
        <v>43191</v>
      </c>
      <c r="N2951" t="s">
        <v>45</v>
      </c>
      <c r="O2951" t="s">
        <v>46</v>
      </c>
      <c r="P2951" t="s">
        <v>47</v>
      </c>
      <c r="Q2951" s="1">
        <v>43852</v>
      </c>
      <c r="R2951" t="s">
        <v>48</v>
      </c>
      <c r="S2951" t="s">
        <v>72</v>
      </c>
      <c r="T2951" t="s">
        <v>270</v>
      </c>
      <c r="U2951" t="s">
        <v>125</v>
      </c>
      <c r="V2951">
        <v>0</v>
      </c>
      <c r="W2951">
        <v>500000</v>
      </c>
      <c r="X2951" s="1">
        <v>43739</v>
      </c>
      <c r="Y2951" t="s">
        <v>131</v>
      </c>
      <c r="Z2951" t="s">
        <v>43</v>
      </c>
      <c r="AA2951" t="s">
        <v>115</v>
      </c>
      <c r="AB2951" t="s">
        <v>268</v>
      </c>
      <c r="AC2951" t="s">
        <v>269</v>
      </c>
      <c r="AF2951" t="s">
        <v>135</v>
      </c>
      <c r="AG2951" s="1">
        <v>43843</v>
      </c>
      <c r="AH2951" t="s">
        <v>125</v>
      </c>
      <c r="AI2951" t="s">
        <v>92</v>
      </c>
      <c r="AJ2951">
        <v>1278023</v>
      </c>
      <c r="AK2951">
        <v>12365300</v>
      </c>
      <c r="AL2951">
        <v>12900</v>
      </c>
    </row>
    <row r="2952" spans="1:38" x14ac:dyDescent="0.25">
      <c r="A2952" t="s">
        <v>617</v>
      </c>
      <c r="B2952" t="s">
        <v>634</v>
      </c>
      <c r="C2952" t="s">
        <v>40</v>
      </c>
      <c r="D2952" s="1">
        <v>43191</v>
      </c>
      <c r="E2952" s="1">
        <v>43555</v>
      </c>
      <c r="F2952" t="s">
        <v>72</v>
      </c>
      <c r="G2952">
        <v>3</v>
      </c>
      <c r="H2952" t="s">
        <v>125</v>
      </c>
      <c r="I2952" t="s">
        <v>43</v>
      </c>
      <c r="J2952" t="s">
        <v>126</v>
      </c>
      <c r="K2952" t="s">
        <v>44</v>
      </c>
      <c r="L2952">
        <v>1530.12</v>
      </c>
      <c r="M2952" s="1">
        <v>43191</v>
      </c>
      <c r="N2952" t="s">
        <v>45</v>
      </c>
      <c r="O2952" t="s">
        <v>46</v>
      </c>
      <c r="P2952" t="s">
        <v>47</v>
      </c>
      <c r="Q2952" s="1">
        <v>43852</v>
      </c>
      <c r="R2952" t="s">
        <v>48</v>
      </c>
      <c r="S2952" t="s">
        <v>72</v>
      </c>
      <c r="T2952" t="s">
        <v>270</v>
      </c>
      <c r="U2952" t="s">
        <v>125</v>
      </c>
      <c r="V2952">
        <v>0</v>
      </c>
      <c r="W2952">
        <v>500000</v>
      </c>
      <c r="X2952" s="1">
        <v>43739</v>
      </c>
      <c r="Y2952" t="s">
        <v>131</v>
      </c>
      <c r="Z2952" t="s">
        <v>43</v>
      </c>
      <c r="AA2952" t="s">
        <v>115</v>
      </c>
      <c r="AB2952" t="s">
        <v>268</v>
      </c>
      <c r="AC2952" t="s">
        <v>269</v>
      </c>
      <c r="AF2952" t="s">
        <v>136</v>
      </c>
      <c r="AG2952" s="1">
        <v>43839</v>
      </c>
      <c r="AH2952" t="s">
        <v>125</v>
      </c>
      <c r="AI2952" t="s">
        <v>92</v>
      </c>
      <c r="AJ2952">
        <v>1278023</v>
      </c>
      <c r="AK2952">
        <v>12365300</v>
      </c>
      <c r="AL2952">
        <v>12900</v>
      </c>
    </row>
    <row r="2953" spans="1:38" x14ac:dyDescent="0.25">
      <c r="A2953" t="s">
        <v>617</v>
      </c>
      <c r="B2953" t="s">
        <v>634</v>
      </c>
      <c r="C2953" t="s">
        <v>40</v>
      </c>
      <c r="D2953" s="1">
        <v>43191</v>
      </c>
      <c r="E2953" s="1">
        <v>43555</v>
      </c>
      <c r="F2953" t="s">
        <v>72</v>
      </c>
      <c r="G2953">
        <v>3</v>
      </c>
      <c r="H2953" t="s">
        <v>125</v>
      </c>
      <c r="I2953" t="s">
        <v>43</v>
      </c>
      <c r="J2953" t="s">
        <v>126</v>
      </c>
      <c r="K2953" t="s">
        <v>44</v>
      </c>
      <c r="L2953">
        <v>1530.12</v>
      </c>
      <c r="M2953" s="1">
        <v>43191</v>
      </c>
      <c r="N2953" t="s">
        <v>45</v>
      </c>
      <c r="O2953" t="s">
        <v>46</v>
      </c>
      <c r="P2953" t="s">
        <v>47</v>
      </c>
      <c r="Q2953" s="1">
        <v>43852</v>
      </c>
      <c r="R2953" t="s">
        <v>48</v>
      </c>
      <c r="S2953" t="s">
        <v>72</v>
      </c>
      <c r="T2953" t="s">
        <v>270</v>
      </c>
      <c r="U2953" t="s">
        <v>125</v>
      </c>
      <c r="V2953">
        <v>0</v>
      </c>
      <c r="W2953">
        <v>500000</v>
      </c>
      <c r="X2953" s="1">
        <v>43739</v>
      </c>
      <c r="Y2953" t="s">
        <v>131</v>
      </c>
      <c r="Z2953" t="s">
        <v>43</v>
      </c>
      <c r="AA2953" t="s">
        <v>115</v>
      </c>
      <c r="AB2953" t="s">
        <v>268</v>
      </c>
      <c r="AC2953" t="s">
        <v>269</v>
      </c>
      <c r="AF2953" t="s">
        <v>137</v>
      </c>
      <c r="AG2953" s="1">
        <v>43840</v>
      </c>
      <c r="AH2953" t="s">
        <v>125</v>
      </c>
      <c r="AI2953" t="s">
        <v>92</v>
      </c>
      <c r="AJ2953">
        <v>1278023</v>
      </c>
      <c r="AK2953">
        <v>12365300</v>
      </c>
      <c r="AL2953">
        <v>12900</v>
      </c>
    </row>
    <row r="2954" spans="1:38" x14ac:dyDescent="0.25">
      <c r="A2954" t="s">
        <v>617</v>
      </c>
      <c r="B2954" t="s">
        <v>634</v>
      </c>
      <c r="C2954" t="s">
        <v>40</v>
      </c>
      <c r="D2954" s="1">
        <v>43191</v>
      </c>
      <c r="E2954" s="1">
        <v>43555</v>
      </c>
      <c r="F2954" t="s">
        <v>72</v>
      </c>
      <c r="G2954">
        <v>3</v>
      </c>
      <c r="H2954" t="s">
        <v>125</v>
      </c>
      <c r="I2954" t="s">
        <v>43</v>
      </c>
      <c r="J2954" t="s">
        <v>126</v>
      </c>
      <c r="K2954" t="s">
        <v>44</v>
      </c>
      <c r="L2954">
        <v>1530.12</v>
      </c>
      <c r="M2954" s="1">
        <v>43191</v>
      </c>
      <c r="N2954" t="s">
        <v>45</v>
      </c>
      <c r="O2954" t="s">
        <v>46</v>
      </c>
      <c r="P2954" t="s">
        <v>47</v>
      </c>
      <c r="Q2954" s="1">
        <v>43852</v>
      </c>
      <c r="R2954" t="s">
        <v>48</v>
      </c>
      <c r="S2954" t="s">
        <v>271</v>
      </c>
      <c r="T2954" t="s">
        <v>272</v>
      </c>
      <c r="U2954" t="s">
        <v>125</v>
      </c>
      <c r="V2954">
        <v>0</v>
      </c>
      <c r="W2954">
        <v>50000</v>
      </c>
      <c r="X2954" s="1">
        <v>43738</v>
      </c>
      <c r="Y2954" t="s">
        <v>140</v>
      </c>
      <c r="Z2954" t="s">
        <v>43</v>
      </c>
      <c r="AA2954" t="s">
        <v>115</v>
      </c>
      <c r="AB2954" t="s">
        <v>268</v>
      </c>
      <c r="AC2954" t="s">
        <v>269</v>
      </c>
      <c r="AF2954" t="s">
        <v>134</v>
      </c>
      <c r="AG2954" s="1">
        <v>43843</v>
      </c>
      <c r="AH2954" t="s">
        <v>125</v>
      </c>
      <c r="AI2954" t="s">
        <v>92</v>
      </c>
      <c r="AJ2954">
        <v>1278023</v>
      </c>
      <c r="AK2954">
        <v>12365300</v>
      </c>
      <c r="AL2954">
        <v>12900</v>
      </c>
    </row>
    <row r="2955" spans="1:38" x14ac:dyDescent="0.25">
      <c r="A2955" t="s">
        <v>617</v>
      </c>
      <c r="B2955" t="s">
        <v>634</v>
      </c>
      <c r="C2955" t="s">
        <v>40</v>
      </c>
      <c r="D2955" s="1">
        <v>43191</v>
      </c>
      <c r="E2955" s="1">
        <v>43555</v>
      </c>
      <c r="F2955" t="s">
        <v>72</v>
      </c>
      <c r="G2955">
        <v>3</v>
      </c>
      <c r="H2955" t="s">
        <v>125</v>
      </c>
      <c r="I2955" t="s">
        <v>43</v>
      </c>
      <c r="J2955" t="s">
        <v>126</v>
      </c>
      <c r="K2955" t="s">
        <v>44</v>
      </c>
      <c r="L2955">
        <v>1530.12</v>
      </c>
      <c r="M2955" s="1">
        <v>43191</v>
      </c>
      <c r="N2955" t="s">
        <v>45</v>
      </c>
      <c r="O2955" t="s">
        <v>46</v>
      </c>
      <c r="P2955" t="s">
        <v>47</v>
      </c>
      <c r="Q2955" s="1">
        <v>43852</v>
      </c>
      <c r="R2955" t="s">
        <v>48</v>
      </c>
      <c r="S2955" t="s">
        <v>271</v>
      </c>
      <c r="T2955" t="s">
        <v>272</v>
      </c>
      <c r="U2955" t="s">
        <v>125</v>
      </c>
      <c r="V2955">
        <v>0</v>
      </c>
      <c r="W2955">
        <v>50000</v>
      </c>
      <c r="X2955" s="1">
        <v>43738</v>
      </c>
      <c r="Y2955" t="s">
        <v>140</v>
      </c>
      <c r="Z2955" t="s">
        <v>43</v>
      </c>
      <c r="AA2955" t="s">
        <v>115</v>
      </c>
      <c r="AB2955" t="s">
        <v>268</v>
      </c>
      <c r="AC2955" t="s">
        <v>269</v>
      </c>
      <c r="AF2955" t="s">
        <v>135</v>
      </c>
      <c r="AG2955" s="1">
        <v>43843</v>
      </c>
      <c r="AH2955" t="s">
        <v>125</v>
      </c>
      <c r="AI2955" t="s">
        <v>92</v>
      </c>
      <c r="AJ2955">
        <v>1278023</v>
      </c>
      <c r="AK2955">
        <v>12365300</v>
      </c>
      <c r="AL2955">
        <v>12900</v>
      </c>
    </row>
    <row r="2956" spans="1:38" x14ac:dyDescent="0.25">
      <c r="A2956" t="s">
        <v>617</v>
      </c>
      <c r="B2956" t="s">
        <v>634</v>
      </c>
      <c r="C2956" t="s">
        <v>40</v>
      </c>
      <c r="D2956" s="1">
        <v>43191</v>
      </c>
      <c r="E2956" s="1">
        <v>43555</v>
      </c>
      <c r="F2956" t="s">
        <v>72</v>
      </c>
      <c r="G2956">
        <v>3</v>
      </c>
      <c r="H2956" t="s">
        <v>125</v>
      </c>
      <c r="I2956" t="s">
        <v>43</v>
      </c>
      <c r="J2956" t="s">
        <v>126</v>
      </c>
      <c r="K2956" t="s">
        <v>44</v>
      </c>
      <c r="L2956">
        <v>1530.12</v>
      </c>
      <c r="M2956" s="1">
        <v>43191</v>
      </c>
      <c r="N2956" t="s">
        <v>45</v>
      </c>
      <c r="O2956" t="s">
        <v>46</v>
      </c>
      <c r="P2956" t="s">
        <v>47</v>
      </c>
      <c r="Q2956" s="1">
        <v>43852</v>
      </c>
      <c r="R2956" t="s">
        <v>48</v>
      </c>
      <c r="S2956" t="s">
        <v>271</v>
      </c>
      <c r="T2956" t="s">
        <v>272</v>
      </c>
      <c r="U2956" t="s">
        <v>125</v>
      </c>
      <c r="V2956">
        <v>0</v>
      </c>
      <c r="W2956">
        <v>50000</v>
      </c>
      <c r="X2956" s="1">
        <v>43738</v>
      </c>
      <c r="Y2956" t="s">
        <v>140</v>
      </c>
      <c r="Z2956" t="s">
        <v>43</v>
      </c>
      <c r="AA2956" t="s">
        <v>115</v>
      </c>
      <c r="AB2956" t="s">
        <v>268</v>
      </c>
      <c r="AC2956" t="s">
        <v>269</v>
      </c>
      <c r="AF2956" t="s">
        <v>136</v>
      </c>
      <c r="AG2956" s="1">
        <v>43839</v>
      </c>
      <c r="AH2956" t="s">
        <v>125</v>
      </c>
      <c r="AI2956" t="s">
        <v>92</v>
      </c>
      <c r="AJ2956">
        <v>1278023</v>
      </c>
      <c r="AK2956">
        <v>12365300</v>
      </c>
      <c r="AL2956">
        <v>12900</v>
      </c>
    </row>
    <row r="2957" spans="1:38" x14ac:dyDescent="0.25">
      <c r="A2957" t="s">
        <v>617</v>
      </c>
      <c r="B2957" t="s">
        <v>634</v>
      </c>
      <c r="C2957" t="s">
        <v>40</v>
      </c>
      <c r="D2957" s="1">
        <v>43191</v>
      </c>
      <c r="E2957" s="1">
        <v>43555</v>
      </c>
      <c r="F2957" t="s">
        <v>72</v>
      </c>
      <c r="G2957">
        <v>3</v>
      </c>
      <c r="H2957" t="s">
        <v>125</v>
      </c>
      <c r="I2957" t="s">
        <v>43</v>
      </c>
      <c r="J2957" t="s">
        <v>126</v>
      </c>
      <c r="K2957" t="s">
        <v>44</v>
      </c>
      <c r="L2957">
        <v>1530.12</v>
      </c>
      <c r="M2957" s="1">
        <v>43191</v>
      </c>
      <c r="N2957" t="s">
        <v>45</v>
      </c>
      <c r="O2957" t="s">
        <v>46</v>
      </c>
      <c r="P2957" t="s">
        <v>47</v>
      </c>
      <c r="Q2957" s="1">
        <v>43852</v>
      </c>
      <c r="R2957" t="s">
        <v>48</v>
      </c>
      <c r="S2957" t="s">
        <v>271</v>
      </c>
      <c r="T2957" t="s">
        <v>272</v>
      </c>
      <c r="U2957" t="s">
        <v>125</v>
      </c>
      <c r="V2957">
        <v>0</v>
      </c>
      <c r="W2957">
        <v>50000</v>
      </c>
      <c r="X2957" s="1">
        <v>43738</v>
      </c>
      <c r="Y2957" t="s">
        <v>140</v>
      </c>
      <c r="Z2957" t="s">
        <v>43</v>
      </c>
      <c r="AA2957" t="s">
        <v>115</v>
      </c>
      <c r="AB2957" t="s">
        <v>268</v>
      </c>
      <c r="AC2957" t="s">
        <v>269</v>
      </c>
      <c r="AF2957" t="s">
        <v>137</v>
      </c>
      <c r="AG2957" s="1">
        <v>43840</v>
      </c>
      <c r="AH2957" t="s">
        <v>125</v>
      </c>
      <c r="AI2957" t="s">
        <v>92</v>
      </c>
      <c r="AJ2957">
        <v>1278023</v>
      </c>
      <c r="AK2957">
        <v>12365300</v>
      </c>
      <c r="AL2957">
        <v>12900</v>
      </c>
    </row>
    <row r="2958" spans="1:38" x14ac:dyDescent="0.25">
      <c r="A2958" t="s">
        <v>617</v>
      </c>
      <c r="B2958" t="s">
        <v>635</v>
      </c>
      <c r="C2958" t="s">
        <v>40</v>
      </c>
      <c r="D2958" s="1">
        <v>43191</v>
      </c>
      <c r="E2958" s="1">
        <v>43555</v>
      </c>
      <c r="F2958" t="s">
        <v>72</v>
      </c>
      <c r="G2958">
        <v>3</v>
      </c>
      <c r="H2958" t="s">
        <v>125</v>
      </c>
      <c r="I2958" t="s">
        <v>43</v>
      </c>
      <c r="J2958" t="s">
        <v>126</v>
      </c>
      <c r="K2958" t="s">
        <v>44</v>
      </c>
      <c r="L2958">
        <v>32171.200000000001</v>
      </c>
      <c r="M2958" s="1">
        <v>43191</v>
      </c>
      <c r="N2958" t="s">
        <v>45</v>
      </c>
      <c r="O2958" t="s">
        <v>46</v>
      </c>
      <c r="P2958" t="s">
        <v>47</v>
      </c>
      <c r="Q2958" s="1">
        <v>43852</v>
      </c>
      <c r="R2958" t="s">
        <v>48</v>
      </c>
      <c r="S2958" t="s">
        <v>266</v>
      </c>
      <c r="T2958" t="s">
        <v>267</v>
      </c>
      <c r="U2958" t="s">
        <v>125</v>
      </c>
      <c r="V2958">
        <v>700000</v>
      </c>
      <c r="W2958">
        <v>100000</v>
      </c>
      <c r="X2958" s="1">
        <v>43830</v>
      </c>
      <c r="Y2958" t="s">
        <v>51</v>
      </c>
      <c r="Z2958" t="s">
        <v>43</v>
      </c>
      <c r="AA2958" t="s">
        <v>115</v>
      </c>
      <c r="AB2958" t="s">
        <v>268</v>
      </c>
      <c r="AC2958" t="s">
        <v>269</v>
      </c>
      <c r="AF2958" t="s">
        <v>134</v>
      </c>
      <c r="AG2958" s="1">
        <v>43843</v>
      </c>
      <c r="AH2958" t="s">
        <v>125</v>
      </c>
      <c r="AI2958" t="s">
        <v>92</v>
      </c>
      <c r="AJ2958">
        <v>1278023</v>
      </c>
      <c r="AK2958">
        <v>12365300</v>
      </c>
      <c r="AL2958">
        <v>12900</v>
      </c>
    </row>
    <row r="2959" spans="1:38" x14ac:dyDescent="0.25">
      <c r="A2959" t="s">
        <v>617</v>
      </c>
      <c r="B2959" t="s">
        <v>635</v>
      </c>
      <c r="C2959" t="s">
        <v>40</v>
      </c>
      <c r="D2959" s="1">
        <v>43191</v>
      </c>
      <c r="E2959" s="1">
        <v>43555</v>
      </c>
      <c r="F2959" t="s">
        <v>72</v>
      </c>
      <c r="G2959">
        <v>3</v>
      </c>
      <c r="H2959" t="s">
        <v>125</v>
      </c>
      <c r="I2959" t="s">
        <v>43</v>
      </c>
      <c r="J2959" t="s">
        <v>126</v>
      </c>
      <c r="K2959" t="s">
        <v>44</v>
      </c>
      <c r="L2959">
        <v>32171.200000000001</v>
      </c>
      <c r="M2959" s="1">
        <v>43191</v>
      </c>
      <c r="N2959" t="s">
        <v>45</v>
      </c>
      <c r="O2959" t="s">
        <v>46</v>
      </c>
      <c r="P2959" t="s">
        <v>47</v>
      </c>
      <c r="Q2959" s="1">
        <v>43852</v>
      </c>
      <c r="R2959" t="s">
        <v>48</v>
      </c>
      <c r="S2959" t="s">
        <v>266</v>
      </c>
      <c r="T2959" t="s">
        <v>267</v>
      </c>
      <c r="U2959" t="s">
        <v>125</v>
      </c>
      <c r="V2959">
        <v>700000</v>
      </c>
      <c r="W2959">
        <v>100000</v>
      </c>
      <c r="X2959" s="1">
        <v>43830</v>
      </c>
      <c r="Y2959" t="s">
        <v>51</v>
      </c>
      <c r="Z2959" t="s">
        <v>43</v>
      </c>
      <c r="AA2959" t="s">
        <v>115</v>
      </c>
      <c r="AB2959" t="s">
        <v>268</v>
      </c>
      <c r="AC2959" t="s">
        <v>269</v>
      </c>
      <c r="AF2959" t="s">
        <v>135</v>
      </c>
      <c r="AG2959" s="1">
        <v>43843</v>
      </c>
      <c r="AH2959" t="s">
        <v>125</v>
      </c>
      <c r="AI2959" t="s">
        <v>92</v>
      </c>
      <c r="AJ2959">
        <v>1278023</v>
      </c>
      <c r="AK2959">
        <v>12365300</v>
      </c>
      <c r="AL2959">
        <v>12900</v>
      </c>
    </row>
    <row r="2960" spans="1:38" x14ac:dyDescent="0.25">
      <c r="A2960" t="s">
        <v>617</v>
      </c>
      <c r="B2960" t="s">
        <v>635</v>
      </c>
      <c r="C2960" t="s">
        <v>40</v>
      </c>
      <c r="D2960" s="1">
        <v>43191</v>
      </c>
      <c r="E2960" s="1">
        <v>43555</v>
      </c>
      <c r="F2960" t="s">
        <v>72</v>
      </c>
      <c r="G2960">
        <v>3</v>
      </c>
      <c r="H2960" t="s">
        <v>125</v>
      </c>
      <c r="I2960" t="s">
        <v>43</v>
      </c>
      <c r="J2960" t="s">
        <v>126</v>
      </c>
      <c r="K2960" t="s">
        <v>44</v>
      </c>
      <c r="L2960">
        <v>32171.200000000001</v>
      </c>
      <c r="M2960" s="1">
        <v>43191</v>
      </c>
      <c r="N2960" t="s">
        <v>45</v>
      </c>
      <c r="O2960" t="s">
        <v>46</v>
      </c>
      <c r="P2960" t="s">
        <v>47</v>
      </c>
      <c r="Q2960" s="1">
        <v>43852</v>
      </c>
      <c r="R2960" t="s">
        <v>48</v>
      </c>
      <c r="S2960" t="s">
        <v>266</v>
      </c>
      <c r="T2960" t="s">
        <v>267</v>
      </c>
      <c r="U2960" t="s">
        <v>125</v>
      </c>
      <c r="V2960">
        <v>700000</v>
      </c>
      <c r="W2960">
        <v>100000</v>
      </c>
      <c r="X2960" s="1">
        <v>43830</v>
      </c>
      <c r="Y2960" t="s">
        <v>51</v>
      </c>
      <c r="Z2960" t="s">
        <v>43</v>
      </c>
      <c r="AA2960" t="s">
        <v>115</v>
      </c>
      <c r="AB2960" t="s">
        <v>268</v>
      </c>
      <c r="AC2960" t="s">
        <v>269</v>
      </c>
      <c r="AF2960" t="s">
        <v>136</v>
      </c>
      <c r="AG2960" s="1">
        <v>43839</v>
      </c>
      <c r="AH2960" t="s">
        <v>125</v>
      </c>
      <c r="AI2960" t="s">
        <v>92</v>
      </c>
      <c r="AJ2960">
        <v>1278023</v>
      </c>
      <c r="AK2960">
        <v>12365300</v>
      </c>
      <c r="AL2960">
        <v>12900</v>
      </c>
    </row>
    <row r="2961" spans="1:38" x14ac:dyDescent="0.25">
      <c r="A2961" t="s">
        <v>617</v>
      </c>
      <c r="B2961" t="s">
        <v>635</v>
      </c>
      <c r="C2961" t="s">
        <v>40</v>
      </c>
      <c r="D2961" s="1">
        <v>43191</v>
      </c>
      <c r="E2961" s="1">
        <v>43555</v>
      </c>
      <c r="F2961" t="s">
        <v>72</v>
      </c>
      <c r="G2961">
        <v>3</v>
      </c>
      <c r="H2961" t="s">
        <v>125</v>
      </c>
      <c r="I2961" t="s">
        <v>43</v>
      </c>
      <c r="J2961" t="s">
        <v>126</v>
      </c>
      <c r="K2961" t="s">
        <v>44</v>
      </c>
      <c r="L2961">
        <v>32171.200000000001</v>
      </c>
      <c r="M2961" s="1">
        <v>43191</v>
      </c>
      <c r="N2961" t="s">
        <v>45</v>
      </c>
      <c r="O2961" t="s">
        <v>46</v>
      </c>
      <c r="P2961" t="s">
        <v>47</v>
      </c>
      <c r="Q2961" s="1">
        <v>43852</v>
      </c>
      <c r="R2961" t="s">
        <v>48</v>
      </c>
      <c r="S2961" t="s">
        <v>266</v>
      </c>
      <c r="T2961" t="s">
        <v>267</v>
      </c>
      <c r="U2961" t="s">
        <v>125</v>
      </c>
      <c r="V2961">
        <v>700000</v>
      </c>
      <c r="W2961">
        <v>100000</v>
      </c>
      <c r="X2961" s="1">
        <v>43830</v>
      </c>
      <c r="Y2961" t="s">
        <v>51</v>
      </c>
      <c r="Z2961" t="s">
        <v>43</v>
      </c>
      <c r="AA2961" t="s">
        <v>115</v>
      </c>
      <c r="AB2961" t="s">
        <v>268</v>
      </c>
      <c r="AC2961" t="s">
        <v>269</v>
      </c>
      <c r="AF2961" t="s">
        <v>137</v>
      </c>
      <c r="AG2961" s="1">
        <v>43840</v>
      </c>
      <c r="AH2961" t="s">
        <v>125</v>
      </c>
      <c r="AI2961" t="s">
        <v>92</v>
      </c>
      <c r="AJ2961">
        <v>1278023</v>
      </c>
      <c r="AK2961">
        <v>12365300</v>
      </c>
      <c r="AL2961">
        <v>12900</v>
      </c>
    </row>
    <row r="2962" spans="1:38" x14ac:dyDescent="0.25">
      <c r="A2962" t="s">
        <v>617</v>
      </c>
      <c r="B2962" t="s">
        <v>635</v>
      </c>
      <c r="C2962" t="s">
        <v>40</v>
      </c>
      <c r="D2962" s="1">
        <v>43191</v>
      </c>
      <c r="E2962" s="1">
        <v>43555</v>
      </c>
      <c r="F2962" t="s">
        <v>72</v>
      </c>
      <c r="G2962">
        <v>3</v>
      </c>
      <c r="H2962" t="s">
        <v>125</v>
      </c>
      <c r="I2962" t="s">
        <v>43</v>
      </c>
      <c r="J2962" t="s">
        <v>126</v>
      </c>
      <c r="K2962" t="s">
        <v>44</v>
      </c>
      <c r="L2962">
        <v>32171.200000000001</v>
      </c>
      <c r="M2962" s="1">
        <v>43191</v>
      </c>
      <c r="N2962" t="s">
        <v>45</v>
      </c>
      <c r="O2962" t="s">
        <v>46</v>
      </c>
      <c r="P2962" t="s">
        <v>47</v>
      </c>
      <c r="Q2962" s="1">
        <v>43852</v>
      </c>
      <c r="R2962" t="s">
        <v>48</v>
      </c>
      <c r="S2962" t="s">
        <v>72</v>
      </c>
      <c r="T2962" t="s">
        <v>270</v>
      </c>
      <c r="U2962" t="s">
        <v>125</v>
      </c>
      <c r="V2962">
        <v>0</v>
      </c>
      <c r="W2962">
        <v>500000</v>
      </c>
      <c r="X2962" s="1">
        <v>43739</v>
      </c>
      <c r="Y2962" t="s">
        <v>131</v>
      </c>
      <c r="Z2962" t="s">
        <v>43</v>
      </c>
      <c r="AA2962" t="s">
        <v>115</v>
      </c>
      <c r="AB2962" t="s">
        <v>268</v>
      </c>
      <c r="AC2962" t="s">
        <v>269</v>
      </c>
      <c r="AF2962" t="s">
        <v>134</v>
      </c>
      <c r="AG2962" s="1">
        <v>43843</v>
      </c>
      <c r="AH2962" t="s">
        <v>125</v>
      </c>
      <c r="AI2962" t="s">
        <v>92</v>
      </c>
      <c r="AJ2962">
        <v>1278023</v>
      </c>
      <c r="AK2962">
        <v>12365300</v>
      </c>
      <c r="AL2962">
        <v>12900</v>
      </c>
    </row>
    <row r="2963" spans="1:38" x14ac:dyDescent="0.25">
      <c r="A2963" t="s">
        <v>617</v>
      </c>
      <c r="B2963" t="s">
        <v>635</v>
      </c>
      <c r="C2963" t="s">
        <v>40</v>
      </c>
      <c r="D2963" s="1">
        <v>43191</v>
      </c>
      <c r="E2963" s="1">
        <v>43555</v>
      </c>
      <c r="F2963" t="s">
        <v>72</v>
      </c>
      <c r="G2963">
        <v>3</v>
      </c>
      <c r="H2963" t="s">
        <v>125</v>
      </c>
      <c r="I2963" t="s">
        <v>43</v>
      </c>
      <c r="J2963" t="s">
        <v>126</v>
      </c>
      <c r="K2963" t="s">
        <v>44</v>
      </c>
      <c r="L2963">
        <v>32171.200000000001</v>
      </c>
      <c r="M2963" s="1">
        <v>43191</v>
      </c>
      <c r="N2963" t="s">
        <v>45</v>
      </c>
      <c r="O2963" t="s">
        <v>46</v>
      </c>
      <c r="P2963" t="s">
        <v>47</v>
      </c>
      <c r="Q2963" s="1">
        <v>43852</v>
      </c>
      <c r="R2963" t="s">
        <v>48</v>
      </c>
      <c r="S2963" t="s">
        <v>72</v>
      </c>
      <c r="T2963" t="s">
        <v>270</v>
      </c>
      <c r="U2963" t="s">
        <v>125</v>
      </c>
      <c r="V2963">
        <v>0</v>
      </c>
      <c r="W2963">
        <v>500000</v>
      </c>
      <c r="X2963" s="1">
        <v>43739</v>
      </c>
      <c r="Y2963" t="s">
        <v>131</v>
      </c>
      <c r="Z2963" t="s">
        <v>43</v>
      </c>
      <c r="AA2963" t="s">
        <v>115</v>
      </c>
      <c r="AB2963" t="s">
        <v>268</v>
      </c>
      <c r="AC2963" t="s">
        <v>269</v>
      </c>
      <c r="AF2963" t="s">
        <v>135</v>
      </c>
      <c r="AG2963" s="1">
        <v>43843</v>
      </c>
      <c r="AH2963" t="s">
        <v>125</v>
      </c>
      <c r="AI2963" t="s">
        <v>92</v>
      </c>
      <c r="AJ2963">
        <v>1278023</v>
      </c>
      <c r="AK2963">
        <v>12365300</v>
      </c>
      <c r="AL2963">
        <v>12900</v>
      </c>
    </row>
    <row r="2964" spans="1:38" x14ac:dyDescent="0.25">
      <c r="A2964" t="s">
        <v>617</v>
      </c>
      <c r="B2964" t="s">
        <v>635</v>
      </c>
      <c r="C2964" t="s">
        <v>40</v>
      </c>
      <c r="D2964" s="1">
        <v>43191</v>
      </c>
      <c r="E2964" s="1">
        <v>43555</v>
      </c>
      <c r="F2964" t="s">
        <v>72</v>
      </c>
      <c r="G2964">
        <v>3</v>
      </c>
      <c r="H2964" t="s">
        <v>125</v>
      </c>
      <c r="I2964" t="s">
        <v>43</v>
      </c>
      <c r="J2964" t="s">
        <v>126</v>
      </c>
      <c r="K2964" t="s">
        <v>44</v>
      </c>
      <c r="L2964">
        <v>32171.200000000001</v>
      </c>
      <c r="M2964" s="1">
        <v>43191</v>
      </c>
      <c r="N2964" t="s">
        <v>45</v>
      </c>
      <c r="O2964" t="s">
        <v>46</v>
      </c>
      <c r="P2964" t="s">
        <v>47</v>
      </c>
      <c r="Q2964" s="1">
        <v>43852</v>
      </c>
      <c r="R2964" t="s">
        <v>48</v>
      </c>
      <c r="S2964" t="s">
        <v>72</v>
      </c>
      <c r="T2964" t="s">
        <v>270</v>
      </c>
      <c r="U2964" t="s">
        <v>125</v>
      </c>
      <c r="V2964">
        <v>0</v>
      </c>
      <c r="W2964">
        <v>500000</v>
      </c>
      <c r="X2964" s="1">
        <v>43739</v>
      </c>
      <c r="Y2964" t="s">
        <v>131</v>
      </c>
      <c r="Z2964" t="s">
        <v>43</v>
      </c>
      <c r="AA2964" t="s">
        <v>115</v>
      </c>
      <c r="AB2964" t="s">
        <v>268</v>
      </c>
      <c r="AC2964" t="s">
        <v>269</v>
      </c>
      <c r="AF2964" t="s">
        <v>136</v>
      </c>
      <c r="AG2964" s="1">
        <v>43839</v>
      </c>
      <c r="AH2964" t="s">
        <v>125</v>
      </c>
      <c r="AI2964" t="s">
        <v>92</v>
      </c>
      <c r="AJ2964">
        <v>1278023</v>
      </c>
      <c r="AK2964">
        <v>12365300</v>
      </c>
      <c r="AL2964">
        <v>12900</v>
      </c>
    </row>
    <row r="2965" spans="1:38" x14ac:dyDescent="0.25">
      <c r="A2965" t="s">
        <v>617</v>
      </c>
      <c r="B2965" t="s">
        <v>635</v>
      </c>
      <c r="C2965" t="s">
        <v>40</v>
      </c>
      <c r="D2965" s="1">
        <v>43191</v>
      </c>
      <c r="E2965" s="1">
        <v>43555</v>
      </c>
      <c r="F2965" t="s">
        <v>72</v>
      </c>
      <c r="G2965">
        <v>3</v>
      </c>
      <c r="H2965" t="s">
        <v>125</v>
      </c>
      <c r="I2965" t="s">
        <v>43</v>
      </c>
      <c r="J2965" t="s">
        <v>126</v>
      </c>
      <c r="K2965" t="s">
        <v>44</v>
      </c>
      <c r="L2965">
        <v>32171.200000000001</v>
      </c>
      <c r="M2965" s="1">
        <v>43191</v>
      </c>
      <c r="N2965" t="s">
        <v>45</v>
      </c>
      <c r="O2965" t="s">
        <v>46</v>
      </c>
      <c r="P2965" t="s">
        <v>47</v>
      </c>
      <c r="Q2965" s="1">
        <v>43852</v>
      </c>
      <c r="R2965" t="s">
        <v>48</v>
      </c>
      <c r="S2965" t="s">
        <v>72</v>
      </c>
      <c r="T2965" t="s">
        <v>270</v>
      </c>
      <c r="U2965" t="s">
        <v>125</v>
      </c>
      <c r="V2965">
        <v>0</v>
      </c>
      <c r="W2965">
        <v>500000</v>
      </c>
      <c r="X2965" s="1">
        <v>43739</v>
      </c>
      <c r="Y2965" t="s">
        <v>131</v>
      </c>
      <c r="Z2965" t="s">
        <v>43</v>
      </c>
      <c r="AA2965" t="s">
        <v>115</v>
      </c>
      <c r="AB2965" t="s">
        <v>268</v>
      </c>
      <c r="AC2965" t="s">
        <v>269</v>
      </c>
      <c r="AF2965" t="s">
        <v>137</v>
      </c>
      <c r="AG2965" s="1">
        <v>43840</v>
      </c>
      <c r="AH2965" t="s">
        <v>125</v>
      </c>
      <c r="AI2965" t="s">
        <v>92</v>
      </c>
      <c r="AJ2965">
        <v>1278023</v>
      </c>
      <c r="AK2965">
        <v>12365300</v>
      </c>
      <c r="AL2965">
        <v>12900</v>
      </c>
    </row>
    <row r="2966" spans="1:38" x14ac:dyDescent="0.25">
      <c r="A2966" t="s">
        <v>617</v>
      </c>
      <c r="B2966" t="s">
        <v>635</v>
      </c>
      <c r="C2966" t="s">
        <v>40</v>
      </c>
      <c r="D2966" s="1">
        <v>43191</v>
      </c>
      <c r="E2966" s="1">
        <v>43555</v>
      </c>
      <c r="F2966" t="s">
        <v>72</v>
      </c>
      <c r="G2966">
        <v>3</v>
      </c>
      <c r="H2966" t="s">
        <v>125</v>
      </c>
      <c r="I2966" t="s">
        <v>43</v>
      </c>
      <c r="J2966" t="s">
        <v>126</v>
      </c>
      <c r="K2966" t="s">
        <v>44</v>
      </c>
      <c r="L2966">
        <v>32171.200000000001</v>
      </c>
      <c r="M2966" s="1">
        <v>43191</v>
      </c>
      <c r="N2966" t="s">
        <v>45</v>
      </c>
      <c r="O2966" t="s">
        <v>46</v>
      </c>
      <c r="P2966" t="s">
        <v>47</v>
      </c>
      <c r="Q2966" s="1">
        <v>43852</v>
      </c>
      <c r="R2966" t="s">
        <v>48</v>
      </c>
      <c r="S2966" t="s">
        <v>271</v>
      </c>
      <c r="T2966" t="s">
        <v>272</v>
      </c>
      <c r="U2966" t="s">
        <v>125</v>
      </c>
      <c r="V2966">
        <v>0</v>
      </c>
      <c r="W2966">
        <v>50000</v>
      </c>
      <c r="X2966" s="1">
        <v>43738</v>
      </c>
      <c r="Y2966" t="s">
        <v>140</v>
      </c>
      <c r="Z2966" t="s">
        <v>43</v>
      </c>
      <c r="AA2966" t="s">
        <v>115</v>
      </c>
      <c r="AB2966" t="s">
        <v>268</v>
      </c>
      <c r="AC2966" t="s">
        <v>269</v>
      </c>
      <c r="AF2966" t="s">
        <v>134</v>
      </c>
      <c r="AG2966" s="1">
        <v>43843</v>
      </c>
      <c r="AH2966" t="s">
        <v>125</v>
      </c>
      <c r="AI2966" t="s">
        <v>92</v>
      </c>
      <c r="AJ2966">
        <v>1278023</v>
      </c>
      <c r="AK2966">
        <v>12365300</v>
      </c>
      <c r="AL2966">
        <v>12900</v>
      </c>
    </row>
    <row r="2967" spans="1:38" x14ac:dyDescent="0.25">
      <c r="A2967" t="s">
        <v>617</v>
      </c>
      <c r="B2967" t="s">
        <v>635</v>
      </c>
      <c r="C2967" t="s">
        <v>40</v>
      </c>
      <c r="D2967" s="1">
        <v>43191</v>
      </c>
      <c r="E2967" s="1">
        <v>43555</v>
      </c>
      <c r="F2967" t="s">
        <v>72</v>
      </c>
      <c r="G2967">
        <v>3</v>
      </c>
      <c r="H2967" t="s">
        <v>125</v>
      </c>
      <c r="I2967" t="s">
        <v>43</v>
      </c>
      <c r="J2967" t="s">
        <v>126</v>
      </c>
      <c r="K2967" t="s">
        <v>44</v>
      </c>
      <c r="L2967">
        <v>32171.200000000001</v>
      </c>
      <c r="M2967" s="1">
        <v>43191</v>
      </c>
      <c r="N2967" t="s">
        <v>45</v>
      </c>
      <c r="O2967" t="s">
        <v>46</v>
      </c>
      <c r="P2967" t="s">
        <v>47</v>
      </c>
      <c r="Q2967" s="1">
        <v>43852</v>
      </c>
      <c r="R2967" t="s">
        <v>48</v>
      </c>
      <c r="S2967" t="s">
        <v>271</v>
      </c>
      <c r="T2967" t="s">
        <v>272</v>
      </c>
      <c r="U2967" t="s">
        <v>125</v>
      </c>
      <c r="V2967">
        <v>0</v>
      </c>
      <c r="W2967">
        <v>50000</v>
      </c>
      <c r="X2967" s="1">
        <v>43738</v>
      </c>
      <c r="Y2967" t="s">
        <v>140</v>
      </c>
      <c r="Z2967" t="s">
        <v>43</v>
      </c>
      <c r="AA2967" t="s">
        <v>115</v>
      </c>
      <c r="AB2967" t="s">
        <v>268</v>
      </c>
      <c r="AC2967" t="s">
        <v>269</v>
      </c>
      <c r="AF2967" t="s">
        <v>135</v>
      </c>
      <c r="AG2967" s="1">
        <v>43843</v>
      </c>
      <c r="AH2967" t="s">
        <v>125</v>
      </c>
      <c r="AI2967" t="s">
        <v>92</v>
      </c>
      <c r="AJ2967">
        <v>1278023</v>
      </c>
      <c r="AK2967">
        <v>12365300</v>
      </c>
      <c r="AL2967">
        <v>12900</v>
      </c>
    </row>
    <row r="2968" spans="1:38" x14ac:dyDescent="0.25">
      <c r="A2968" t="s">
        <v>617</v>
      </c>
      <c r="B2968" t="s">
        <v>635</v>
      </c>
      <c r="C2968" t="s">
        <v>40</v>
      </c>
      <c r="D2968" s="1">
        <v>43191</v>
      </c>
      <c r="E2968" s="1">
        <v>43555</v>
      </c>
      <c r="F2968" t="s">
        <v>72</v>
      </c>
      <c r="G2968">
        <v>3</v>
      </c>
      <c r="H2968" t="s">
        <v>125</v>
      </c>
      <c r="I2968" t="s">
        <v>43</v>
      </c>
      <c r="J2968" t="s">
        <v>126</v>
      </c>
      <c r="K2968" t="s">
        <v>44</v>
      </c>
      <c r="L2968">
        <v>32171.200000000001</v>
      </c>
      <c r="M2968" s="1">
        <v>43191</v>
      </c>
      <c r="N2968" t="s">
        <v>45</v>
      </c>
      <c r="O2968" t="s">
        <v>46</v>
      </c>
      <c r="P2968" t="s">
        <v>47</v>
      </c>
      <c r="Q2968" s="1">
        <v>43852</v>
      </c>
      <c r="R2968" t="s">
        <v>48</v>
      </c>
      <c r="S2968" t="s">
        <v>271</v>
      </c>
      <c r="T2968" t="s">
        <v>272</v>
      </c>
      <c r="U2968" t="s">
        <v>125</v>
      </c>
      <c r="V2968">
        <v>0</v>
      </c>
      <c r="W2968">
        <v>50000</v>
      </c>
      <c r="X2968" s="1">
        <v>43738</v>
      </c>
      <c r="Y2968" t="s">
        <v>140</v>
      </c>
      <c r="Z2968" t="s">
        <v>43</v>
      </c>
      <c r="AA2968" t="s">
        <v>115</v>
      </c>
      <c r="AB2968" t="s">
        <v>268</v>
      </c>
      <c r="AC2968" t="s">
        <v>269</v>
      </c>
      <c r="AF2968" t="s">
        <v>136</v>
      </c>
      <c r="AG2968" s="1">
        <v>43839</v>
      </c>
      <c r="AH2968" t="s">
        <v>125</v>
      </c>
      <c r="AI2968" t="s">
        <v>92</v>
      </c>
      <c r="AJ2968">
        <v>1278023</v>
      </c>
      <c r="AK2968">
        <v>12365300</v>
      </c>
      <c r="AL2968">
        <v>12900</v>
      </c>
    </row>
    <row r="2969" spans="1:38" x14ac:dyDescent="0.25">
      <c r="A2969" t="s">
        <v>617</v>
      </c>
      <c r="B2969" t="s">
        <v>635</v>
      </c>
      <c r="C2969" t="s">
        <v>40</v>
      </c>
      <c r="D2969" s="1">
        <v>43191</v>
      </c>
      <c r="E2969" s="1">
        <v>43555</v>
      </c>
      <c r="F2969" t="s">
        <v>72</v>
      </c>
      <c r="G2969">
        <v>3</v>
      </c>
      <c r="H2969" t="s">
        <v>125</v>
      </c>
      <c r="I2969" t="s">
        <v>43</v>
      </c>
      <c r="J2969" t="s">
        <v>126</v>
      </c>
      <c r="K2969" t="s">
        <v>44</v>
      </c>
      <c r="L2969">
        <v>32171.200000000001</v>
      </c>
      <c r="M2969" s="1">
        <v>43191</v>
      </c>
      <c r="N2969" t="s">
        <v>45</v>
      </c>
      <c r="O2969" t="s">
        <v>46</v>
      </c>
      <c r="P2969" t="s">
        <v>47</v>
      </c>
      <c r="Q2969" s="1">
        <v>43852</v>
      </c>
      <c r="R2969" t="s">
        <v>48</v>
      </c>
      <c r="S2969" t="s">
        <v>271</v>
      </c>
      <c r="T2969" t="s">
        <v>272</v>
      </c>
      <c r="U2969" t="s">
        <v>125</v>
      </c>
      <c r="V2969">
        <v>0</v>
      </c>
      <c r="W2969">
        <v>50000</v>
      </c>
      <c r="X2969" s="1">
        <v>43738</v>
      </c>
      <c r="Y2969" t="s">
        <v>140</v>
      </c>
      <c r="Z2969" t="s">
        <v>43</v>
      </c>
      <c r="AA2969" t="s">
        <v>115</v>
      </c>
      <c r="AB2969" t="s">
        <v>268</v>
      </c>
      <c r="AC2969" t="s">
        <v>269</v>
      </c>
      <c r="AF2969" t="s">
        <v>137</v>
      </c>
      <c r="AG2969" s="1">
        <v>43840</v>
      </c>
      <c r="AH2969" t="s">
        <v>125</v>
      </c>
      <c r="AI2969" t="s">
        <v>92</v>
      </c>
      <c r="AJ2969">
        <v>1278023</v>
      </c>
      <c r="AK2969">
        <v>12365300</v>
      </c>
      <c r="AL2969">
        <v>12900</v>
      </c>
    </row>
    <row r="2970" spans="1:38" x14ac:dyDescent="0.25">
      <c r="A2970" t="s">
        <v>617</v>
      </c>
      <c r="B2970" t="s">
        <v>635</v>
      </c>
      <c r="C2970" t="s">
        <v>40</v>
      </c>
      <c r="D2970" s="1">
        <v>43191</v>
      </c>
      <c r="E2970" s="1">
        <v>43555</v>
      </c>
      <c r="F2970" t="s">
        <v>72</v>
      </c>
      <c r="G2970">
        <v>3</v>
      </c>
      <c r="H2970" t="s">
        <v>125</v>
      </c>
      <c r="I2970" t="s">
        <v>43</v>
      </c>
      <c r="J2970" t="s">
        <v>126</v>
      </c>
      <c r="K2970" t="s">
        <v>44</v>
      </c>
      <c r="L2970">
        <v>8042.8</v>
      </c>
      <c r="M2970" s="1">
        <v>43191</v>
      </c>
      <c r="N2970" t="s">
        <v>45</v>
      </c>
      <c r="O2970" t="s">
        <v>46</v>
      </c>
      <c r="P2970" t="s">
        <v>47</v>
      </c>
      <c r="Q2970" s="1">
        <v>43852</v>
      </c>
      <c r="R2970" t="s">
        <v>48</v>
      </c>
      <c r="S2970" t="s">
        <v>266</v>
      </c>
      <c r="T2970" t="s">
        <v>267</v>
      </c>
      <c r="U2970" t="s">
        <v>125</v>
      </c>
      <c r="V2970">
        <v>700000</v>
      </c>
      <c r="W2970">
        <v>100000</v>
      </c>
      <c r="X2970" s="1">
        <v>43830</v>
      </c>
      <c r="Y2970" t="s">
        <v>51</v>
      </c>
      <c r="Z2970" t="s">
        <v>43</v>
      </c>
      <c r="AA2970" t="s">
        <v>115</v>
      </c>
      <c r="AB2970" t="s">
        <v>268</v>
      </c>
      <c r="AC2970" t="s">
        <v>269</v>
      </c>
      <c r="AF2970" t="s">
        <v>134</v>
      </c>
      <c r="AG2970" s="1">
        <v>43843</v>
      </c>
      <c r="AH2970" t="s">
        <v>125</v>
      </c>
      <c r="AI2970" t="s">
        <v>92</v>
      </c>
      <c r="AJ2970">
        <v>1278023</v>
      </c>
      <c r="AK2970">
        <v>12365300</v>
      </c>
      <c r="AL2970">
        <v>12900</v>
      </c>
    </row>
    <row r="2971" spans="1:38" x14ac:dyDescent="0.25">
      <c r="A2971" t="s">
        <v>617</v>
      </c>
      <c r="B2971" t="s">
        <v>635</v>
      </c>
      <c r="C2971" t="s">
        <v>40</v>
      </c>
      <c r="D2971" s="1">
        <v>43191</v>
      </c>
      <c r="E2971" s="1">
        <v>43555</v>
      </c>
      <c r="F2971" t="s">
        <v>72</v>
      </c>
      <c r="G2971">
        <v>3</v>
      </c>
      <c r="H2971" t="s">
        <v>125</v>
      </c>
      <c r="I2971" t="s">
        <v>43</v>
      </c>
      <c r="J2971" t="s">
        <v>126</v>
      </c>
      <c r="K2971" t="s">
        <v>44</v>
      </c>
      <c r="L2971">
        <v>8042.8</v>
      </c>
      <c r="M2971" s="1">
        <v>43191</v>
      </c>
      <c r="N2971" t="s">
        <v>45</v>
      </c>
      <c r="O2971" t="s">
        <v>46</v>
      </c>
      <c r="P2971" t="s">
        <v>47</v>
      </c>
      <c r="Q2971" s="1">
        <v>43852</v>
      </c>
      <c r="R2971" t="s">
        <v>48</v>
      </c>
      <c r="S2971" t="s">
        <v>266</v>
      </c>
      <c r="T2971" t="s">
        <v>267</v>
      </c>
      <c r="U2971" t="s">
        <v>125</v>
      </c>
      <c r="V2971">
        <v>700000</v>
      </c>
      <c r="W2971">
        <v>100000</v>
      </c>
      <c r="X2971" s="1">
        <v>43830</v>
      </c>
      <c r="Y2971" t="s">
        <v>51</v>
      </c>
      <c r="Z2971" t="s">
        <v>43</v>
      </c>
      <c r="AA2971" t="s">
        <v>115</v>
      </c>
      <c r="AB2971" t="s">
        <v>268</v>
      </c>
      <c r="AC2971" t="s">
        <v>269</v>
      </c>
      <c r="AF2971" t="s">
        <v>135</v>
      </c>
      <c r="AG2971" s="1">
        <v>43843</v>
      </c>
      <c r="AH2971" t="s">
        <v>125</v>
      </c>
      <c r="AI2971" t="s">
        <v>92</v>
      </c>
      <c r="AJ2971">
        <v>1278023</v>
      </c>
      <c r="AK2971">
        <v>12365300</v>
      </c>
      <c r="AL2971">
        <v>12900</v>
      </c>
    </row>
    <row r="2972" spans="1:38" x14ac:dyDescent="0.25">
      <c r="A2972" t="s">
        <v>617</v>
      </c>
      <c r="B2972" t="s">
        <v>635</v>
      </c>
      <c r="C2972" t="s">
        <v>40</v>
      </c>
      <c r="D2972" s="1">
        <v>43191</v>
      </c>
      <c r="E2972" s="1">
        <v>43555</v>
      </c>
      <c r="F2972" t="s">
        <v>72</v>
      </c>
      <c r="G2972">
        <v>3</v>
      </c>
      <c r="H2972" t="s">
        <v>125</v>
      </c>
      <c r="I2972" t="s">
        <v>43</v>
      </c>
      <c r="J2972" t="s">
        <v>126</v>
      </c>
      <c r="K2972" t="s">
        <v>44</v>
      </c>
      <c r="L2972">
        <v>8042.8</v>
      </c>
      <c r="M2972" s="1">
        <v>43191</v>
      </c>
      <c r="N2972" t="s">
        <v>45</v>
      </c>
      <c r="O2972" t="s">
        <v>46</v>
      </c>
      <c r="P2972" t="s">
        <v>47</v>
      </c>
      <c r="Q2972" s="1">
        <v>43852</v>
      </c>
      <c r="R2972" t="s">
        <v>48</v>
      </c>
      <c r="S2972" t="s">
        <v>266</v>
      </c>
      <c r="T2972" t="s">
        <v>267</v>
      </c>
      <c r="U2972" t="s">
        <v>125</v>
      </c>
      <c r="V2972">
        <v>700000</v>
      </c>
      <c r="W2972">
        <v>100000</v>
      </c>
      <c r="X2972" s="1">
        <v>43830</v>
      </c>
      <c r="Y2972" t="s">
        <v>51</v>
      </c>
      <c r="Z2972" t="s">
        <v>43</v>
      </c>
      <c r="AA2972" t="s">
        <v>115</v>
      </c>
      <c r="AB2972" t="s">
        <v>268</v>
      </c>
      <c r="AC2972" t="s">
        <v>269</v>
      </c>
      <c r="AF2972" t="s">
        <v>136</v>
      </c>
      <c r="AG2972" s="1">
        <v>43839</v>
      </c>
      <c r="AH2972" t="s">
        <v>125</v>
      </c>
      <c r="AI2972" t="s">
        <v>92</v>
      </c>
      <c r="AJ2972">
        <v>1278023</v>
      </c>
      <c r="AK2972">
        <v>12365300</v>
      </c>
      <c r="AL2972">
        <v>12900</v>
      </c>
    </row>
    <row r="2973" spans="1:38" x14ac:dyDescent="0.25">
      <c r="A2973" t="s">
        <v>617</v>
      </c>
      <c r="B2973" t="s">
        <v>635</v>
      </c>
      <c r="C2973" t="s">
        <v>40</v>
      </c>
      <c r="D2973" s="1">
        <v>43191</v>
      </c>
      <c r="E2973" s="1">
        <v>43555</v>
      </c>
      <c r="F2973" t="s">
        <v>72</v>
      </c>
      <c r="G2973">
        <v>3</v>
      </c>
      <c r="H2973" t="s">
        <v>125</v>
      </c>
      <c r="I2973" t="s">
        <v>43</v>
      </c>
      <c r="J2973" t="s">
        <v>126</v>
      </c>
      <c r="K2973" t="s">
        <v>44</v>
      </c>
      <c r="L2973">
        <v>8042.8</v>
      </c>
      <c r="M2973" s="1">
        <v>43191</v>
      </c>
      <c r="N2973" t="s">
        <v>45</v>
      </c>
      <c r="O2973" t="s">
        <v>46</v>
      </c>
      <c r="P2973" t="s">
        <v>47</v>
      </c>
      <c r="Q2973" s="1">
        <v>43852</v>
      </c>
      <c r="R2973" t="s">
        <v>48</v>
      </c>
      <c r="S2973" t="s">
        <v>266</v>
      </c>
      <c r="T2973" t="s">
        <v>267</v>
      </c>
      <c r="U2973" t="s">
        <v>125</v>
      </c>
      <c r="V2973">
        <v>700000</v>
      </c>
      <c r="W2973">
        <v>100000</v>
      </c>
      <c r="X2973" s="1">
        <v>43830</v>
      </c>
      <c r="Y2973" t="s">
        <v>51</v>
      </c>
      <c r="Z2973" t="s">
        <v>43</v>
      </c>
      <c r="AA2973" t="s">
        <v>115</v>
      </c>
      <c r="AB2973" t="s">
        <v>268</v>
      </c>
      <c r="AC2973" t="s">
        <v>269</v>
      </c>
      <c r="AF2973" t="s">
        <v>137</v>
      </c>
      <c r="AG2973" s="1">
        <v>43840</v>
      </c>
      <c r="AH2973" t="s">
        <v>125</v>
      </c>
      <c r="AI2973" t="s">
        <v>92</v>
      </c>
      <c r="AJ2973">
        <v>1278023</v>
      </c>
      <c r="AK2973">
        <v>12365300</v>
      </c>
      <c r="AL2973">
        <v>12900</v>
      </c>
    </row>
    <row r="2974" spans="1:38" x14ac:dyDescent="0.25">
      <c r="A2974" t="s">
        <v>617</v>
      </c>
      <c r="B2974" t="s">
        <v>635</v>
      </c>
      <c r="C2974" t="s">
        <v>40</v>
      </c>
      <c r="D2974" s="1">
        <v>43191</v>
      </c>
      <c r="E2974" s="1">
        <v>43555</v>
      </c>
      <c r="F2974" t="s">
        <v>72</v>
      </c>
      <c r="G2974">
        <v>3</v>
      </c>
      <c r="H2974" t="s">
        <v>125</v>
      </c>
      <c r="I2974" t="s">
        <v>43</v>
      </c>
      <c r="J2974" t="s">
        <v>126</v>
      </c>
      <c r="K2974" t="s">
        <v>44</v>
      </c>
      <c r="L2974">
        <v>8042.8</v>
      </c>
      <c r="M2974" s="1">
        <v>43191</v>
      </c>
      <c r="N2974" t="s">
        <v>45</v>
      </c>
      <c r="O2974" t="s">
        <v>46</v>
      </c>
      <c r="P2974" t="s">
        <v>47</v>
      </c>
      <c r="Q2974" s="1">
        <v>43852</v>
      </c>
      <c r="R2974" t="s">
        <v>48</v>
      </c>
      <c r="S2974" t="s">
        <v>72</v>
      </c>
      <c r="T2974" t="s">
        <v>270</v>
      </c>
      <c r="U2974" t="s">
        <v>125</v>
      </c>
      <c r="V2974">
        <v>0</v>
      </c>
      <c r="W2974">
        <v>500000</v>
      </c>
      <c r="X2974" s="1">
        <v>43739</v>
      </c>
      <c r="Y2974" t="s">
        <v>131</v>
      </c>
      <c r="Z2974" t="s">
        <v>43</v>
      </c>
      <c r="AA2974" t="s">
        <v>115</v>
      </c>
      <c r="AB2974" t="s">
        <v>268</v>
      </c>
      <c r="AC2974" t="s">
        <v>269</v>
      </c>
      <c r="AF2974" t="s">
        <v>134</v>
      </c>
      <c r="AG2974" s="1">
        <v>43843</v>
      </c>
      <c r="AH2974" t="s">
        <v>125</v>
      </c>
      <c r="AI2974" t="s">
        <v>92</v>
      </c>
      <c r="AJ2974">
        <v>1278023</v>
      </c>
      <c r="AK2974">
        <v>12365300</v>
      </c>
      <c r="AL2974">
        <v>12900</v>
      </c>
    </row>
    <row r="2975" spans="1:38" x14ac:dyDescent="0.25">
      <c r="A2975" t="s">
        <v>617</v>
      </c>
      <c r="B2975" t="s">
        <v>635</v>
      </c>
      <c r="C2975" t="s">
        <v>40</v>
      </c>
      <c r="D2975" s="1">
        <v>43191</v>
      </c>
      <c r="E2975" s="1">
        <v>43555</v>
      </c>
      <c r="F2975" t="s">
        <v>72</v>
      </c>
      <c r="G2975">
        <v>3</v>
      </c>
      <c r="H2975" t="s">
        <v>125</v>
      </c>
      <c r="I2975" t="s">
        <v>43</v>
      </c>
      <c r="J2975" t="s">
        <v>126</v>
      </c>
      <c r="K2975" t="s">
        <v>44</v>
      </c>
      <c r="L2975">
        <v>8042.8</v>
      </c>
      <c r="M2975" s="1">
        <v>43191</v>
      </c>
      <c r="N2975" t="s">
        <v>45</v>
      </c>
      <c r="O2975" t="s">
        <v>46</v>
      </c>
      <c r="P2975" t="s">
        <v>47</v>
      </c>
      <c r="Q2975" s="1">
        <v>43852</v>
      </c>
      <c r="R2975" t="s">
        <v>48</v>
      </c>
      <c r="S2975" t="s">
        <v>72</v>
      </c>
      <c r="T2975" t="s">
        <v>270</v>
      </c>
      <c r="U2975" t="s">
        <v>125</v>
      </c>
      <c r="V2975">
        <v>0</v>
      </c>
      <c r="W2975">
        <v>500000</v>
      </c>
      <c r="X2975" s="1">
        <v>43739</v>
      </c>
      <c r="Y2975" t="s">
        <v>131</v>
      </c>
      <c r="Z2975" t="s">
        <v>43</v>
      </c>
      <c r="AA2975" t="s">
        <v>115</v>
      </c>
      <c r="AB2975" t="s">
        <v>268</v>
      </c>
      <c r="AC2975" t="s">
        <v>269</v>
      </c>
      <c r="AF2975" t="s">
        <v>135</v>
      </c>
      <c r="AG2975" s="1">
        <v>43843</v>
      </c>
      <c r="AH2975" t="s">
        <v>125</v>
      </c>
      <c r="AI2975" t="s">
        <v>92</v>
      </c>
      <c r="AJ2975">
        <v>1278023</v>
      </c>
      <c r="AK2975">
        <v>12365300</v>
      </c>
      <c r="AL2975">
        <v>12900</v>
      </c>
    </row>
    <row r="2976" spans="1:38" x14ac:dyDescent="0.25">
      <c r="A2976" t="s">
        <v>617</v>
      </c>
      <c r="B2976" t="s">
        <v>635</v>
      </c>
      <c r="C2976" t="s">
        <v>40</v>
      </c>
      <c r="D2976" s="1">
        <v>43191</v>
      </c>
      <c r="E2976" s="1">
        <v>43555</v>
      </c>
      <c r="F2976" t="s">
        <v>72</v>
      </c>
      <c r="G2976">
        <v>3</v>
      </c>
      <c r="H2976" t="s">
        <v>125</v>
      </c>
      <c r="I2976" t="s">
        <v>43</v>
      </c>
      <c r="J2976" t="s">
        <v>126</v>
      </c>
      <c r="K2976" t="s">
        <v>44</v>
      </c>
      <c r="L2976">
        <v>8042.8</v>
      </c>
      <c r="M2976" s="1">
        <v>43191</v>
      </c>
      <c r="N2976" t="s">
        <v>45</v>
      </c>
      <c r="O2976" t="s">
        <v>46</v>
      </c>
      <c r="P2976" t="s">
        <v>47</v>
      </c>
      <c r="Q2976" s="1">
        <v>43852</v>
      </c>
      <c r="R2976" t="s">
        <v>48</v>
      </c>
      <c r="S2976" t="s">
        <v>72</v>
      </c>
      <c r="T2976" t="s">
        <v>270</v>
      </c>
      <c r="U2976" t="s">
        <v>125</v>
      </c>
      <c r="V2976">
        <v>0</v>
      </c>
      <c r="W2976">
        <v>500000</v>
      </c>
      <c r="X2976" s="1">
        <v>43739</v>
      </c>
      <c r="Y2976" t="s">
        <v>131</v>
      </c>
      <c r="Z2976" t="s">
        <v>43</v>
      </c>
      <c r="AA2976" t="s">
        <v>115</v>
      </c>
      <c r="AB2976" t="s">
        <v>268</v>
      </c>
      <c r="AC2976" t="s">
        <v>269</v>
      </c>
      <c r="AF2976" t="s">
        <v>136</v>
      </c>
      <c r="AG2976" s="1">
        <v>43839</v>
      </c>
      <c r="AH2976" t="s">
        <v>125</v>
      </c>
      <c r="AI2976" t="s">
        <v>92</v>
      </c>
      <c r="AJ2976">
        <v>1278023</v>
      </c>
      <c r="AK2976">
        <v>12365300</v>
      </c>
      <c r="AL2976">
        <v>12900</v>
      </c>
    </row>
    <row r="2977" spans="1:38" x14ac:dyDescent="0.25">
      <c r="A2977" t="s">
        <v>617</v>
      </c>
      <c r="B2977" t="s">
        <v>635</v>
      </c>
      <c r="C2977" t="s">
        <v>40</v>
      </c>
      <c r="D2977" s="1">
        <v>43191</v>
      </c>
      <c r="E2977" s="1">
        <v>43555</v>
      </c>
      <c r="F2977" t="s">
        <v>72</v>
      </c>
      <c r="G2977">
        <v>3</v>
      </c>
      <c r="H2977" t="s">
        <v>125</v>
      </c>
      <c r="I2977" t="s">
        <v>43</v>
      </c>
      <c r="J2977" t="s">
        <v>126</v>
      </c>
      <c r="K2977" t="s">
        <v>44</v>
      </c>
      <c r="L2977">
        <v>8042.8</v>
      </c>
      <c r="M2977" s="1">
        <v>43191</v>
      </c>
      <c r="N2977" t="s">
        <v>45</v>
      </c>
      <c r="O2977" t="s">
        <v>46</v>
      </c>
      <c r="P2977" t="s">
        <v>47</v>
      </c>
      <c r="Q2977" s="1">
        <v>43852</v>
      </c>
      <c r="R2977" t="s">
        <v>48</v>
      </c>
      <c r="S2977" t="s">
        <v>72</v>
      </c>
      <c r="T2977" t="s">
        <v>270</v>
      </c>
      <c r="U2977" t="s">
        <v>125</v>
      </c>
      <c r="V2977">
        <v>0</v>
      </c>
      <c r="W2977">
        <v>500000</v>
      </c>
      <c r="X2977" s="1">
        <v>43739</v>
      </c>
      <c r="Y2977" t="s">
        <v>131</v>
      </c>
      <c r="Z2977" t="s">
        <v>43</v>
      </c>
      <c r="AA2977" t="s">
        <v>115</v>
      </c>
      <c r="AB2977" t="s">
        <v>268</v>
      </c>
      <c r="AC2977" t="s">
        <v>269</v>
      </c>
      <c r="AF2977" t="s">
        <v>137</v>
      </c>
      <c r="AG2977" s="1">
        <v>43840</v>
      </c>
      <c r="AH2977" t="s">
        <v>125</v>
      </c>
      <c r="AI2977" t="s">
        <v>92</v>
      </c>
      <c r="AJ2977">
        <v>1278023</v>
      </c>
      <c r="AK2977">
        <v>12365300</v>
      </c>
      <c r="AL2977">
        <v>12900</v>
      </c>
    </row>
    <row r="2978" spans="1:38" x14ac:dyDescent="0.25">
      <c r="A2978" t="s">
        <v>617</v>
      </c>
      <c r="B2978" t="s">
        <v>635</v>
      </c>
      <c r="C2978" t="s">
        <v>40</v>
      </c>
      <c r="D2978" s="1">
        <v>43191</v>
      </c>
      <c r="E2978" s="1">
        <v>43555</v>
      </c>
      <c r="F2978" t="s">
        <v>72</v>
      </c>
      <c r="G2978">
        <v>3</v>
      </c>
      <c r="H2978" t="s">
        <v>125</v>
      </c>
      <c r="I2978" t="s">
        <v>43</v>
      </c>
      <c r="J2978" t="s">
        <v>126</v>
      </c>
      <c r="K2978" t="s">
        <v>44</v>
      </c>
      <c r="L2978">
        <v>8042.8</v>
      </c>
      <c r="M2978" s="1">
        <v>43191</v>
      </c>
      <c r="N2978" t="s">
        <v>45</v>
      </c>
      <c r="O2978" t="s">
        <v>46</v>
      </c>
      <c r="P2978" t="s">
        <v>47</v>
      </c>
      <c r="Q2978" s="1">
        <v>43852</v>
      </c>
      <c r="R2978" t="s">
        <v>48</v>
      </c>
      <c r="S2978" t="s">
        <v>271</v>
      </c>
      <c r="T2978" t="s">
        <v>272</v>
      </c>
      <c r="U2978" t="s">
        <v>125</v>
      </c>
      <c r="V2978">
        <v>0</v>
      </c>
      <c r="W2978">
        <v>50000</v>
      </c>
      <c r="X2978" s="1">
        <v>43738</v>
      </c>
      <c r="Y2978" t="s">
        <v>140</v>
      </c>
      <c r="Z2978" t="s">
        <v>43</v>
      </c>
      <c r="AA2978" t="s">
        <v>115</v>
      </c>
      <c r="AB2978" t="s">
        <v>268</v>
      </c>
      <c r="AC2978" t="s">
        <v>269</v>
      </c>
      <c r="AF2978" t="s">
        <v>134</v>
      </c>
      <c r="AG2978" s="1">
        <v>43843</v>
      </c>
      <c r="AH2978" t="s">
        <v>125</v>
      </c>
      <c r="AI2978" t="s">
        <v>92</v>
      </c>
      <c r="AJ2978">
        <v>1278023</v>
      </c>
      <c r="AK2978">
        <v>12365300</v>
      </c>
      <c r="AL2978">
        <v>12900</v>
      </c>
    </row>
    <row r="2979" spans="1:38" x14ac:dyDescent="0.25">
      <c r="A2979" t="s">
        <v>617</v>
      </c>
      <c r="B2979" t="s">
        <v>635</v>
      </c>
      <c r="C2979" t="s">
        <v>40</v>
      </c>
      <c r="D2979" s="1">
        <v>43191</v>
      </c>
      <c r="E2979" s="1">
        <v>43555</v>
      </c>
      <c r="F2979" t="s">
        <v>72</v>
      </c>
      <c r="G2979">
        <v>3</v>
      </c>
      <c r="H2979" t="s">
        <v>125</v>
      </c>
      <c r="I2979" t="s">
        <v>43</v>
      </c>
      <c r="J2979" t="s">
        <v>126</v>
      </c>
      <c r="K2979" t="s">
        <v>44</v>
      </c>
      <c r="L2979">
        <v>8042.8</v>
      </c>
      <c r="M2979" s="1">
        <v>43191</v>
      </c>
      <c r="N2979" t="s">
        <v>45</v>
      </c>
      <c r="O2979" t="s">
        <v>46</v>
      </c>
      <c r="P2979" t="s">
        <v>47</v>
      </c>
      <c r="Q2979" s="1">
        <v>43852</v>
      </c>
      <c r="R2979" t="s">
        <v>48</v>
      </c>
      <c r="S2979" t="s">
        <v>271</v>
      </c>
      <c r="T2979" t="s">
        <v>272</v>
      </c>
      <c r="U2979" t="s">
        <v>125</v>
      </c>
      <c r="V2979">
        <v>0</v>
      </c>
      <c r="W2979">
        <v>50000</v>
      </c>
      <c r="X2979" s="1">
        <v>43738</v>
      </c>
      <c r="Y2979" t="s">
        <v>140</v>
      </c>
      <c r="Z2979" t="s">
        <v>43</v>
      </c>
      <c r="AA2979" t="s">
        <v>115</v>
      </c>
      <c r="AB2979" t="s">
        <v>268</v>
      </c>
      <c r="AC2979" t="s">
        <v>269</v>
      </c>
      <c r="AF2979" t="s">
        <v>135</v>
      </c>
      <c r="AG2979" s="1">
        <v>43843</v>
      </c>
      <c r="AH2979" t="s">
        <v>125</v>
      </c>
      <c r="AI2979" t="s">
        <v>92</v>
      </c>
      <c r="AJ2979">
        <v>1278023</v>
      </c>
      <c r="AK2979">
        <v>12365300</v>
      </c>
      <c r="AL2979">
        <v>12900</v>
      </c>
    </row>
    <row r="2980" spans="1:38" x14ac:dyDescent="0.25">
      <c r="A2980" t="s">
        <v>617</v>
      </c>
      <c r="B2980" t="s">
        <v>635</v>
      </c>
      <c r="C2980" t="s">
        <v>40</v>
      </c>
      <c r="D2980" s="1">
        <v>43191</v>
      </c>
      <c r="E2980" s="1">
        <v>43555</v>
      </c>
      <c r="F2980" t="s">
        <v>72</v>
      </c>
      <c r="G2980">
        <v>3</v>
      </c>
      <c r="H2980" t="s">
        <v>125</v>
      </c>
      <c r="I2980" t="s">
        <v>43</v>
      </c>
      <c r="J2980" t="s">
        <v>126</v>
      </c>
      <c r="K2980" t="s">
        <v>44</v>
      </c>
      <c r="L2980">
        <v>8042.8</v>
      </c>
      <c r="M2980" s="1">
        <v>43191</v>
      </c>
      <c r="N2980" t="s">
        <v>45</v>
      </c>
      <c r="O2980" t="s">
        <v>46</v>
      </c>
      <c r="P2980" t="s">
        <v>47</v>
      </c>
      <c r="Q2980" s="1">
        <v>43852</v>
      </c>
      <c r="R2980" t="s">
        <v>48</v>
      </c>
      <c r="S2980" t="s">
        <v>271</v>
      </c>
      <c r="T2980" t="s">
        <v>272</v>
      </c>
      <c r="U2980" t="s">
        <v>125</v>
      </c>
      <c r="V2980">
        <v>0</v>
      </c>
      <c r="W2980">
        <v>50000</v>
      </c>
      <c r="X2980" s="1">
        <v>43738</v>
      </c>
      <c r="Y2980" t="s">
        <v>140</v>
      </c>
      <c r="Z2980" t="s">
        <v>43</v>
      </c>
      <c r="AA2980" t="s">
        <v>115</v>
      </c>
      <c r="AB2980" t="s">
        <v>268</v>
      </c>
      <c r="AC2980" t="s">
        <v>269</v>
      </c>
      <c r="AF2980" t="s">
        <v>136</v>
      </c>
      <c r="AG2980" s="1">
        <v>43839</v>
      </c>
      <c r="AH2980" t="s">
        <v>125</v>
      </c>
      <c r="AI2980" t="s">
        <v>92</v>
      </c>
      <c r="AJ2980">
        <v>1278023</v>
      </c>
      <c r="AK2980">
        <v>12365300</v>
      </c>
      <c r="AL2980">
        <v>12900</v>
      </c>
    </row>
    <row r="2981" spans="1:38" x14ac:dyDescent="0.25">
      <c r="A2981" t="s">
        <v>617</v>
      </c>
      <c r="B2981" t="s">
        <v>635</v>
      </c>
      <c r="C2981" t="s">
        <v>40</v>
      </c>
      <c r="D2981" s="1">
        <v>43191</v>
      </c>
      <c r="E2981" s="1">
        <v>43555</v>
      </c>
      <c r="F2981" t="s">
        <v>72</v>
      </c>
      <c r="G2981">
        <v>3</v>
      </c>
      <c r="H2981" t="s">
        <v>125</v>
      </c>
      <c r="I2981" t="s">
        <v>43</v>
      </c>
      <c r="J2981" t="s">
        <v>126</v>
      </c>
      <c r="K2981" t="s">
        <v>44</v>
      </c>
      <c r="L2981">
        <v>8042.8</v>
      </c>
      <c r="M2981" s="1">
        <v>43191</v>
      </c>
      <c r="N2981" t="s">
        <v>45</v>
      </c>
      <c r="O2981" t="s">
        <v>46</v>
      </c>
      <c r="P2981" t="s">
        <v>47</v>
      </c>
      <c r="Q2981" s="1">
        <v>43852</v>
      </c>
      <c r="R2981" t="s">
        <v>48</v>
      </c>
      <c r="S2981" t="s">
        <v>271</v>
      </c>
      <c r="T2981" t="s">
        <v>272</v>
      </c>
      <c r="U2981" t="s">
        <v>125</v>
      </c>
      <c r="V2981">
        <v>0</v>
      </c>
      <c r="W2981">
        <v>50000</v>
      </c>
      <c r="X2981" s="1">
        <v>43738</v>
      </c>
      <c r="Y2981" t="s">
        <v>140</v>
      </c>
      <c r="Z2981" t="s">
        <v>43</v>
      </c>
      <c r="AA2981" t="s">
        <v>115</v>
      </c>
      <c r="AB2981" t="s">
        <v>268</v>
      </c>
      <c r="AC2981" t="s">
        <v>269</v>
      </c>
      <c r="AF2981" t="s">
        <v>137</v>
      </c>
      <c r="AG2981" s="1">
        <v>43840</v>
      </c>
      <c r="AH2981" t="s">
        <v>125</v>
      </c>
      <c r="AI2981" t="s">
        <v>92</v>
      </c>
      <c r="AJ2981">
        <v>1278023</v>
      </c>
      <c r="AK2981">
        <v>12365300</v>
      </c>
      <c r="AL2981">
        <v>12900</v>
      </c>
    </row>
    <row r="2982" spans="1:38" x14ac:dyDescent="0.25">
      <c r="A2982" t="s">
        <v>617</v>
      </c>
      <c r="B2982" t="s">
        <v>636</v>
      </c>
      <c r="C2982" t="s">
        <v>40</v>
      </c>
      <c r="D2982" s="1">
        <v>43191</v>
      </c>
      <c r="E2982" s="1">
        <v>43555</v>
      </c>
      <c r="F2982" t="s">
        <v>76</v>
      </c>
      <c r="G2982">
        <v>3</v>
      </c>
      <c r="H2982" t="s">
        <v>125</v>
      </c>
      <c r="I2982" t="s">
        <v>43</v>
      </c>
      <c r="J2982" t="s">
        <v>126</v>
      </c>
      <c r="K2982" t="s">
        <v>44</v>
      </c>
      <c r="L2982">
        <v>2925</v>
      </c>
      <c r="M2982" s="1">
        <v>43191</v>
      </c>
      <c r="N2982" t="s">
        <v>45</v>
      </c>
      <c r="O2982" t="s">
        <v>46</v>
      </c>
      <c r="P2982" t="s">
        <v>47</v>
      </c>
      <c r="Q2982" s="1">
        <v>43852</v>
      </c>
      <c r="R2982" t="s">
        <v>48</v>
      </c>
    </row>
    <row r="2983" spans="1:38" x14ac:dyDescent="0.25">
      <c r="A2983" t="s">
        <v>617</v>
      </c>
      <c r="B2983" t="s">
        <v>636</v>
      </c>
      <c r="C2983" t="s">
        <v>40</v>
      </c>
      <c r="D2983" s="1">
        <v>43191</v>
      </c>
      <c r="E2983" s="1">
        <v>43555</v>
      </c>
      <c r="F2983" t="s">
        <v>76</v>
      </c>
      <c r="G2983">
        <v>3</v>
      </c>
      <c r="H2983" t="s">
        <v>125</v>
      </c>
      <c r="I2983" t="s">
        <v>43</v>
      </c>
      <c r="J2983" t="s">
        <v>126</v>
      </c>
      <c r="K2983" t="s">
        <v>44</v>
      </c>
      <c r="L2983">
        <v>731.25</v>
      </c>
      <c r="M2983" s="1">
        <v>43191</v>
      </c>
      <c r="N2983" t="s">
        <v>45</v>
      </c>
      <c r="O2983" t="s">
        <v>46</v>
      </c>
      <c r="P2983" t="s">
        <v>47</v>
      </c>
      <c r="Q2983" s="1">
        <v>43852</v>
      </c>
      <c r="R2983" t="s">
        <v>48</v>
      </c>
    </row>
    <row r="2984" spans="1:38" x14ac:dyDescent="0.25">
      <c r="A2984" t="s">
        <v>617</v>
      </c>
      <c r="B2984" t="s">
        <v>637</v>
      </c>
      <c r="C2984" t="s">
        <v>40</v>
      </c>
      <c r="D2984" s="1">
        <v>43191</v>
      </c>
      <c r="E2984" s="1">
        <v>43555</v>
      </c>
      <c r="F2984" t="s">
        <v>76</v>
      </c>
      <c r="G2984">
        <v>3</v>
      </c>
      <c r="H2984" t="s">
        <v>125</v>
      </c>
      <c r="I2984" t="s">
        <v>43</v>
      </c>
      <c r="J2984" t="s">
        <v>126</v>
      </c>
      <c r="K2984" t="s">
        <v>44</v>
      </c>
      <c r="L2984">
        <v>627</v>
      </c>
      <c r="M2984" s="1">
        <v>43191</v>
      </c>
      <c r="N2984" t="s">
        <v>45</v>
      </c>
      <c r="O2984" t="s">
        <v>46</v>
      </c>
      <c r="P2984" t="s">
        <v>47</v>
      </c>
      <c r="Q2984" s="1">
        <v>43852</v>
      </c>
      <c r="R2984" t="s">
        <v>48</v>
      </c>
    </row>
    <row r="2985" spans="1:38" x14ac:dyDescent="0.25">
      <c r="A2985" t="s">
        <v>617</v>
      </c>
      <c r="B2985" t="s">
        <v>637</v>
      </c>
      <c r="C2985" t="s">
        <v>40</v>
      </c>
      <c r="D2985" s="1">
        <v>43191</v>
      </c>
      <c r="E2985" s="1">
        <v>43555</v>
      </c>
      <c r="F2985" t="s">
        <v>76</v>
      </c>
      <c r="G2985">
        <v>3</v>
      </c>
      <c r="H2985" t="s">
        <v>125</v>
      </c>
      <c r="I2985" t="s">
        <v>43</v>
      </c>
      <c r="J2985" t="s">
        <v>126</v>
      </c>
      <c r="K2985" t="s">
        <v>44</v>
      </c>
      <c r="L2985">
        <v>156.75</v>
      </c>
      <c r="M2985" s="1">
        <v>43191</v>
      </c>
      <c r="N2985" t="s">
        <v>45</v>
      </c>
      <c r="O2985" t="s">
        <v>46</v>
      </c>
      <c r="P2985" t="s">
        <v>47</v>
      </c>
      <c r="Q2985" s="1">
        <v>43852</v>
      </c>
      <c r="R2985" t="s">
        <v>48</v>
      </c>
    </row>
    <row r="2986" spans="1:38" x14ac:dyDescent="0.25">
      <c r="A2986" t="s">
        <v>617</v>
      </c>
      <c r="B2986" t="s">
        <v>638</v>
      </c>
      <c r="C2986" t="s">
        <v>40</v>
      </c>
      <c r="D2986" s="1">
        <v>43191</v>
      </c>
      <c r="E2986" s="1">
        <v>43555</v>
      </c>
      <c r="F2986" t="s">
        <v>76</v>
      </c>
      <c r="G2986">
        <v>3</v>
      </c>
      <c r="H2986" t="s">
        <v>125</v>
      </c>
      <c r="I2986" t="s">
        <v>43</v>
      </c>
      <c r="J2986" t="s">
        <v>126</v>
      </c>
      <c r="K2986" t="s">
        <v>44</v>
      </c>
      <c r="L2986">
        <v>1186</v>
      </c>
      <c r="M2986" s="1">
        <v>43191</v>
      </c>
      <c r="N2986" t="s">
        <v>45</v>
      </c>
      <c r="O2986" t="s">
        <v>46</v>
      </c>
      <c r="P2986" t="s">
        <v>47</v>
      </c>
      <c r="Q2986" s="1">
        <v>43852</v>
      </c>
      <c r="R2986" t="s">
        <v>48</v>
      </c>
    </row>
    <row r="2987" spans="1:38" x14ac:dyDescent="0.25">
      <c r="A2987" t="s">
        <v>617</v>
      </c>
      <c r="B2987" t="s">
        <v>639</v>
      </c>
      <c r="C2987" t="s">
        <v>40</v>
      </c>
      <c r="D2987" s="1">
        <v>43191</v>
      </c>
      <c r="E2987" s="1">
        <v>43468</v>
      </c>
      <c r="F2987" t="s">
        <v>76</v>
      </c>
      <c r="G2987">
        <v>3</v>
      </c>
      <c r="H2987" t="s">
        <v>125</v>
      </c>
      <c r="I2987" t="s">
        <v>43</v>
      </c>
      <c r="J2987" t="s">
        <v>126</v>
      </c>
      <c r="K2987" t="s">
        <v>44</v>
      </c>
      <c r="L2987">
        <v>465.9</v>
      </c>
      <c r="M2987" s="1">
        <v>43191</v>
      </c>
      <c r="N2987" t="s">
        <v>45</v>
      </c>
      <c r="O2987" t="s">
        <v>46</v>
      </c>
      <c r="P2987" t="s">
        <v>47</v>
      </c>
      <c r="Q2987" s="1">
        <v>43852</v>
      </c>
      <c r="R2987" t="s">
        <v>48</v>
      </c>
    </row>
    <row r="2988" spans="1:38" x14ac:dyDescent="0.25">
      <c r="A2988" t="s">
        <v>617</v>
      </c>
      <c r="B2988" t="s">
        <v>639</v>
      </c>
      <c r="C2988" t="s">
        <v>40</v>
      </c>
      <c r="D2988" s="1">
        <v>43191</v>
      </c>
      <c r="E2988" s="1">
        <v>43468</v>
      </c>
      <c r="F2988" t="s">
        <v>76</v>
      </c>
      <c r="G2988">
        <v>3</v>
      </c>
      <c r="H2988" t="s">
        <v>125</v>
      </c>
      <c r="I2988" t="s">
        <v>43</v>
      </c>
      <c r="J2988" t="s">
        <v>126</v>
      </c>
      <c r="K2988" t="s">
        <v>44</v>
      </c>
      <c r="L2988">
        <v>116.48</v>
      </c>
      <c r="M2988" s="1">
        <v>43191</v>
      </c>
      <c r="N2988" t="s">
        <v>45</v>
      </c>
      <c r="O2988" t="s">
        <v>46</v>
      </c>
      <c r="P2988" t="s">
        <v>47</v>
      </c>
      <c r="Q2988" s="1">
        <v>43852</v>
      </c>
      <c r="R2988" t="s">
        <v>48</v>
      </c>
    </row>
    <row r="2989" spans="1:38" x14ac:dyDescent="0.25">
      <c r="A2989" t="s">
        <v>617</v>
      </c>
      <c r="B2989" t="s">
        <v>640</v>
      </c>
      <c r="C2989" t="s">
        <v>40</v>
      </c>
      <c r="D2989" s="1">
        <v>43191</v>
      </c>
      <c r="E2989" s="1">
        <v>43555</v>
      </c>
      <c r="F2989" t="s">
        <v>76</v>
      </c>
      <c r="G2989">
        <v>3</v>
      </c>
      <c r="H2989" t="s">
        <v>125</v>
      </c>
      <c r="I2989" t="s">
        <v>43</v>
      </c>
      <c r="J2989" t="s">
        <v>126</v>
      </c>
      <c r="K2989" t="s">
        <v>44</v>
      </c>
      <c r="L2989">
        <v>3456.13</v>
      </c>
      <c r="M2989" s="1">
        <v>43191</v>
      </c>
      <c r="N2989" t="s">
        <v>45</v>
      </c>
      <c r="O2989" t="s">
        <v>46</v>
      </c>
      <c r="P2989" t="s">
        <v>47</v>
      </c>
      <c r="Q2989" s="1">
        <v>43852</v>
      </c>
      <c r="R2989" t="s">
        <v>48</v>
      </c>
    </row>
    <row r="2990" spans="1:38" x14ac:dyDescent="0.25">
      <c r="A2990" t="s">
        <v>617</v>
      </c>
      <c r="B2990" s="2">
        <v>2.13E+19</v>
      </c>
      <c r="C2990" t="s">
        <v>71</v>
      </c>
      <c r="D2990" s="1">
        <v>43191</v>
      </c>
      <c r="E2990" s="1">
        <v>43555</v>
      </c>
      <c r="F2990" t="s">
        <v>84</v>
      </c>
      <c r="G2990">
        <v>10</v>
      </c>
      <c r="H2990" t="s">
        <v>85</v>
      </c>
      <c r="I2990" t="s">
        <v>43</v>
      </c>
      <c r="J2990" t="s">
        <v>86</v>
      </c>
      <c r="K2990" t="s">
        <v>44</v>
      </c>
      <c r="L2990">
        <v>0</v>
      </c>
      <c r="M2990" s="1">
        <v>43191</v>
      </c>
      <c r="N2990" t="s">
        <v>45</v>
      </c>
      <c r="O2990" t="s">
        <v>46</v>
      </c>
      <c r="P2990" t="s">
        <v>47</v>
      </c>
      <c r="Q2990" s="1">
        <v>43852</v>
      </c>
      <c r="R2990" t="s">
        <v>48</v>
      </c>
      <c r="S2990" t="s">
        <v>87</v>
      </c>
      <c r="T2990" t="s">
        <v>88</v>
      </c>
      <c r="U2990" t="s">
        <v>85</v>
      </c>
      <c r="V2990">
        <v>1400000</v>
      </c>
      <c r="W2990">
        <v>100000</v>
      </c>
      <c r="X2990" s="1">
        <v>43808</v>
      </c>
      <c r="Y2990" t="s">
        <v>51</v>
      </c>
      <c r="Z2990" t="s">
        <v>43</v>
      </c>
      <c r="AA2990" t="s">
        <v>86</v>
      </c>
      <c r="AB2990" t="s">
        <v>89</v>
      </c>
      <c r="AC2990" t="s">
        <v>90</v>
      </c>
      <c r="AF2990" t="s">
        <v>91</v>
      </c>
      <c r="AG2990" s="1">
        <v>43852</v>
      </c>
      <c r="AH2990" t="s">
        <v>85</v>
      </c>
      <c r="AI2990" t="s">
        <v>92</v>
      </c>
      <c r="AJ2990">
        <v>19888</v>
      </c>
      <c r="AK2990">
        <v>128777</v>
      </c>
      <c r="AL2990">
        <v>198882</v>
      </c>
    </row>
    <row r="2991" spans="1:38" x14ac:dyDescent="0.25">
      <c r="A2991" t="s">
        <v>617</v>
      </c>
      <c r="B2991" s="2">
        <v>2.13E+19</v>
      </c>
      <c r="C2991" t="s">
        <v>71</v>
      </c>
      <c r="D2991" s="1">
        <v>43191</v>
      </c>
      <c r="E2991" s="1">
        <v>43555</v>
      </c>
      <c r="F2991" t="s">
        <v>84</v>
      </c>
      <c r="G2991">
        <v>10</v>
      </c>
      <c r="H2991" t="s">
        <v>85</v>
      </c>
      <c r="I2991" t="s">
        <v>43</v>
      </c>
      <c r="J2991" t="s">
        <v>86</v>
      </c>
      <c r="K2991" t="s">
        <v>44</v>
      </c>
      <c r="L2991">
        <v>0</v>
      </c>
      <c r="M2991" s="1">
        <v>43191</v>
      </c>
      <c r="N2991" t="s">
        <v>45</v>
      </c>
      <c r="O2991" t="s">
        <v>46</v>
      </c>
      <c r="P2991" t="s">
        <v>47</v>
      </c>
      <c r="Q2991" s="1">
        <v>43852</v>
      </c>
      <c r="R2991" t="s">
        <v>48</v>
      </c>
      <c r="S2991" t="s">
        <v>87</v>
      </c>
      <c r="T2991" t="s">
        <v>88</v>
      </c>
      <c r="U2991" t="s">
        <v>85</v>
      </c>
      <c r="V2991">
        <v>1400000</v>
      </c>
      <c r="W2991">
        <v>100000</v>
      </c>
      <c r="X2991" s="1">
        <v>43808</v>
      </c>
      <c r="Y2991" t="s">
        <v>51</v>
      </c>
      <c r="Z2991" t="s">
        <v>43</v>
      </c>
      <c r="AA2991" t="s">
        <v>86</v>
      </c>
      <c r="AB2991" t="s">
        <v>89</v>
      </c>
      <c r="AC2991" t="s">
        <v>90</v>
      </c>
      <c r="AF2991" t="s">
        <v>93</v>
      </c>
      <c r="AG2991" s="1">
        <v>43843</v>
      </c>
      <c r="AH2991" t="s">
        <v>85</v>
      </c>
      <c r="AI2991" t="s">
        <v>92</v>
      </c>
      <c r="AJ2991">
        <v>19888</v>
      </c>
      <c r="AK2991">
        <v>128777</v>
      </c>
      <c r="AL2991">
        <v>198882</v>
      </c>
    </row>
    <row r="2992" spans="1:38" x14ac:dyDescent="0.25">
      <c r="A2992" t="s">
        <v>617</v>
      </c>
      <c r="B2992" s="2">
        <v>2.13E+19</v>
      </c>
      <c r="C2992" t="s">
        <v>71</v>
      </c>
      <c r="D2992" s="1">
        <v>43191</v>
      </c>
      <c r="E2992" s="1">
        <v>43555</v>
      </c>
      <c r="F2992" t="s">
        <v>84</v>
      </c>
      <c r="G2992">
        <v>10</v>
      </c>
      <c r="H2992" t="s">
        <v>85</v>
      </c>
      <c r="I2992" t="s">
        <v>43</v>
      </c>
      <c r="J2992" t="s">
        <v>86</v>
      </c>
      <c r="K2992" t="s">
        <v>44</v>
      </c>
      <c r="L2992">
        <v>0</v>
      </c>
      <c r="M2992" s="1">
        <v>43191</v>
      </c>
      <c r="N2992" t="s">
        <v>45</v>
      </c>
      <c r="O2992" t="s">
        <v>46</v>
      </c>
      <c r="P2992" t="s">
        <v>47</v>
      </c>
      <c r="Q2992" s="1">
        <v>43852</v>
      </c>
      <c r="R2992" t="s">
        <v>48</v>
      </c>
      <c r="S2992" t="s">
        <v>94</v>
      </c>
      <c r="T2992" t="s">
        <v>95</v>
      </c>
      <c r="U2992" t="s">
        <v>85</v>
      </c>
      <c r="V2992">
        <v>4500000</v>
      </c>
      <c r="W2992">
        <v>300000</v>
      </c>
      <c r="X2992" s="1">
        <v>43767</v>
      </c>
      <c r="Y2992" t="s">
        <v>51</v>
      </c>
      <c r="Z2992" t="s">
        <v>43</v>
      </c>
      <c r="AA2992" t="s">
        <v>86</v>
      </c>
      <c r="AB2992" t="s">
        <v>89</v>
      </c>
      <c r="AC2992" t="s">
        <v>90</v>
      </c>
      <c r="AF2992" t="s">
        <v>91</v>
      </c>
      <c r="AG2992" s="1">
        <v>43852</v>
      </c>
      <c r="AH2992" t="s">
        <v>85</v>
      </c>
      <c r="AI2992" t="s">
        <v>92</v>
      </c>
      <c r="AJ2992">
        <v>19888</v>
      </c>
      <c r="AK2992">
        <v>128777</v>
      </c>
      <c r="AL2992">
        <v>198882</v>
      </c>
    </row>
    <row r="2993" spans="1:38" x14ac:dyDescent="0.25">
      <c r="A2993" t="s">
        <v>617</v>
      </c>
      <c r="B2993" s="2">
        <v>2.13E+19</v>
      </c>
      <c r="C2993" t="s">
        <v>71</v>
      </c>
      <c r="D2993" s="1">
        <v>43191</v>
      </c>
      <c r="E2993" s="1">
        <v>43555</v>
      </c>
      <c r="F2993" t="s">
        <v>84</v>
      </c>
      <c r="G2993">
        <v>10</v>
      </c>
      <c r="H2993" t="s">
        <v>85</v>
      </c>
      <c r="I2993" t="s">
        <v>43</v>
      </c>
      <c r="J2993" t="s">
        <v>86</v>
      </c>
      <c r="K2993" t="s">
        <v>44</v>
      </c>
      <c r="L2993">
        <v>0</v>
      </c>
      <c r="M2993" s="1">
        <v>43191</v>
      </c>
      <c r="N2993" t="s">
        <v>45</v>
      </c>
      <c r="O2993" t="s">
        <v>46</v>
      </c>
      <c r="P2993" t="s">
        <v>47</v>
      </c>
      <c r="Q2993" s="1">
        <v>43852</v>
      </c>
      <c r="R2993" t="s">
        <v>48</v>
      </c>
      <c r="S2993" t="s">
        <v>94</v>
      </c>
      <c r="T2993" t="s">
        <v>95</v>
      </c>
      <c r="U2993" t="s">
        <v>85</v>
      </c>
      <c r="V2993">
        <v>4500000</v>
      </c>
      <c r="W2993">
        <v>300000</v>
      </c>
      <c r="X2993" s="1">
        <v>43767</v>
      </c>
      <c r="Y2993" t="s">
        <v>51</v>
      </c>
      <c r="Z2993" t="s">
        <v>43</v>
      </c>
      <c r="AA2993" t="s">
        <v>86</v>
      </c>
      <c r="AB2993" t="s">
        <v>89</v>
      </c>
      <c r="AC2993" t="s">
        <v>90</v>
      </c>
      <c r="AF2993" t="s">
        <v>93</v>
      </c>
      <c r="AG2993" s="1">
        <v>43843</v>
      </c>
      <c r="AH2993" t="s">
        <v>85</v>
      </c>
      <c r="AI2993" t="s">
        <v>92</v>
      </c>
      <c r="AJ2993">
        <v>19888</v>
      </c>
      <c r="AK2993">
        <v>128777</v>
      </c>
      <c r="AL2993">
        <v>198882</v>
      </c>
    </row>
    <row r="2994" spans="1:38" x14ac:dyDescent="0.25">
      <c r="A2994" t="s">
        <v>617</v>
      </c>
      <c r="B2994" s="2">
        <v>2.13E+19</v>
      </c>
      <c r="C2994" t="s">
        <v>71</v>
      </c>
      <c r="D2994" s="1">
        <v>43191</v>
      </c>
      <c r="E2994" s="1">
        <v>43555</v>
      </c>
      <c r="F2994" t="s">
        <v>84</v>
      </c>
      <c r="G2994">
        <v>10</v>
      </c>
      <c r="H2994" t="s">
        <v>85</v>
      </c>
      <c r="I2994" t="s">
        <v>43</v>
      </c>
      <c r="J2994" t="s">
        <v>86</v>
      </c>
      <c r="K2994" t="s">
        <v>44</v>
      </c>
      <c r="L2994">
        <v>0</v>
      </c>
      <c r="M2994" s="1">
        <v>43191</v>
      </c>
      <c r="N2994" t="s">
        <v>45</v>
      </c>
      <c r="O2994" t="s">
        <v>46</v>
      </c>
      <c r="P2994" t="s">
        <v>47</v>
      </c>
      <c r="Q2994" s="1">
        <v>43852</v>
      </c>
      <c r="R2994" t="s">
        <v>48</v>
      </c>
      <c r="S2994" t="s">
        <v>96</v>
      </c>
      <c r="T2994" t="s">
        <v>97</v>
      </c>
      <c r="U2994" t="s">
        <v>85</v>
      </c>
      <c r="V2994">
        <v>600000</v>
      </c>
      <c r="W2994">
        <v>100000</v>
      </c>
      <c r="X2994" s="1">
        <v>43799</v>
      </c>
      <c r="Y2994" t="s">
        <v>51</v>
      </c>
      <c r="Z2994" t="s">
        <v>43</v>
      </c>
      <c r="AA2994" t="s">
        <v>98</v>
      </c>
      <c r="AB2994" t="s">
        <v>89</v>
      </c>
      <c r="AC2994" t="s">
        <v>90</v>
      </c>
      <c r="AF2994" t="s">
        <v>91</v>
      </c>
      <c r="AG2994" s="1">
        <v>43852</v>
      </c>
      <c r="AH2994" t="s">
        <v>85</v>
      </c>
      <c r="AI2994" t="s">
        <v>92</v>
      </c>
      <c r="AJ2994">
        <v>19888</v>
      </c>
      <c r="AK2994">
        <v>128777</v>
      </c>
      <c r="AL2994">
        <v>198882</v>
      </c>
    </row>
    <row r="2995" spans="1:38" x14ac:dyDescent="0.25">
      <c r="A2995" t="s">
        <v>617</v>
      </c>
      <c r="B2995" s="2">
        <v>2.13E+19</v>
      </c>
      <c r="C2995" t="s">
        <v>71</v>
      </c>
      <c r="D2995" s="1">
        <v>43191</v>
      </c>
      <c r="E2995" s="1">
        <v>43555</v>
      </c>
      <c r="F2995" t="s">
        <v>84</v>
      </c>
      <c r="G2995">
        <v>10</v>
      </c>
      <c r="H2995" t="s">
        <v>85</v>
      </c>
      <c r="I2995" t="s">
        <v>43</v>
      </c>
      <c r="J2995" t="s">
        <v>86</v>
      </c>
      <c r="K2995" t="s">
        <v>44</v>
      </c>
      <c r="L2995">
        <v>0</v>
      </c>
      <c r="M2995" s="1">
        <v>43191</v>
      </c>
      <c r="N2995" t="s">
        <v>45</v>
      </c>
      <c r="O2995" t="s">
        <v>46</v>
      </c>
      <c r="P2995" t="s">
        <v>47</v>
      </c>
      <c r="Q2995" s="1">
        <v>43852</v>
      </c>
      <c r="R2995" t="s">
        <v>48</v>
      </c>
      <c r="S2995" t="s">
        <v>96</v>
      </c>
      <c r="T2995" t="s">
        <v>97</v>
      </c>
      <c r="U2995" t="s">
        <v>85</v>
      </c>
      <c r="V2995">
        <v>600000</v>
      </c>
      <c r="W2995">
        <v>100000</v>
      </c>
      <c r="X2995" s="1">
        <v>43799</v>
      </c>
      <c r="Y2995" t="s">
        <v>51</v>
      </c>
      <c r="Z2995" t="s">
        <v>43</v>
      </c>
      <c r="AA2995" t="s">
        <v>98</v>
      </c>
      <c r="AB2995" t="s">
        <v>89</v>
      </c>
      <c r="AC2995" t="s">
        <v>90</v>
      </c>
      <c r="AF2995" t="s">
        <v>93</v>
      </c>
      <c r="AG2995" s="1">
        <v>43843</v>
      </c>
      <c r="AH2995" t="s">
        <v>85</v>
      </c>
      <c r="AI2995" t="s">
        <v>92</v>
      </c>
      <c r="AJ2995">
        <v>19888</v>
      </c>
      <c r="AK2995">
        <v>128777</v>
      </c>
      <c r="AL2995">
        <v>198882</v>
      </c>
    </row>
    <row r="2996" spans="1:38" x14ac:dyDescent="0.25">
      <c r="A2996" t="s">
        <v>617</v>
      </c>
      <c r="B2996" s="2">
        <v>2.13E+19</v>
      </c>
      <c r="C2996" t="s">
        <v>71</v>
      </c>
      <c r="D2996" s="1">
        <v>43191</v>
      </c>
      <c r="E2996" s="1">
        <v>43555</v>
      </c>
      <c r="F2996" t="s">
        <v>84</v>
      </c>
      <c r="G2996">
        <v>10</v>
      </c>
      <c r="H2996" t="s">
        <v>85</v>
      </c>
      <c r="I2996" t="s">
        <v>43</v>
      </c>
      <c r="J2996" t="s">
        <v>86</v>
      </c>
      <c r="K2996" t="s">
        <v>44</v>
      </c>
      <c r="L2996">
        <v>0</v>
      </c>
      <c r="M2996" s="1">
        <v>43191</v>
      </c>
      <c r="N2996" t="s">
        <v>45</v>
      </c>
      <c r="O2996" t="s">
        <v>46</v>
      </c>
      <c r="P2996" t="s">
        <v>47</v>
      </c>
      <c r="Q2996" s="1">
        <v>43852</v>
      </c>
      <c r="R2996" t="s">
        <v>48</v>
      </c>
      <c r="S2996" t="s">
        <v>99</v>
      </c>
      <c r="T2996" t="s">
        <v>100</v>
      </c>
      <c r="U2996" t="s">
        <v>85</v>
      </c>
      <c r="V2996">
        <v>210000</v>
      </c>
      <c r="W2996">
        <v>35000</v>
      </c>
      <c r="X2996" s="1">
        <v>43799</v>
      </c>
      <c r="Y2996" t="s">
        <v>51</v>
      </c>
      <c r="Z2996" t="s">
        <v>43</v>
      </c>
      <c r="AA2996" t="s">
        <v>98</v>
      </c>
      <c r="AB2996" t="s">
        <v>89</v>
      </c>
      <c r="AC2996" t="s">
        <v>101</v>
      </c>
      <c r="AF2996" t="s">
        <v>91</v>
      </c>
      <c r="AG2996" s="1">
        <v>43852</v>
      </c>
      <c r="AH2996" t="s">
        <v>85</v>
      </c>
      <c r="AI2996" t="s">
        <v>92</v>
      </c>
      <c r="AJ2996">
        <v>19888</v>
      </c>
      <c r="AK2996">
        <v>128777</v>
      </c>
      <c r="AL2996">
        <v>198882</v>
      </c>
    </row>
    <row r="2997" spans="1:38" x14ac:dyDescent="0.25">
      <c r="A2997" t="s">
        <v>617</v>
      </c>
      <c r="B2997" s="2">
        <v>2.13E+19</v>
      </c>
      <c r="C2997" t="s">
        <v>71</v>
      </c>
      <c r="D2997" s="1">
        <v>43191</v>
      </c>
      <c r="E2997" s="1">
        <v>43555</v>
      </c>
      <c r="F2997" t="s">
        <v>84</v>
      </c>
      <c r="G2997">
        <v>10</v>
      </c>
      <c r="H2997" t="s">
        <v>85</v>
      </c>
      <c r="I2997" t="s">
        <v>43</v>
      </c>
      <c r="J2997" t="s">
        <v>86</v>
      </c>
      <c r="K2997" t="s">
        <v>44</v>
      </c>
      <c r="L2997">
        <v>0</v>
      </c>
      <c r="M2997" s="1">
        <v>43191</v>
      </c>
      <c r="N2997" t="s">
        <v>45</v>
      </c>
      <c r="O2997" t="s">
        <v>46</v>
      </c>
      <c r="P2997" t="s">
        <v>47</v>
      </c>
      <c r="Q2997" s="1">
        <v>43852</v>
      </c>
      <c r="R2997" t="s">
        <v>48</v>
      </c>
      <c r="S2997" t="s">
        <v>99</v>
      </c>
      <c r="T2997" t="s">
        <v>100</v>
      </c>
      <c r="U2997" t="s">
        <v>85</v>
      </c>
      <c r="V2997">
        <v>210000</v>
      </c>
      <c r="W2997">
        <v>35000</v>
      </c>
      <c r="X2997" s="1">
        <v>43799</v>
      </c>
      <c r="Y2997" t="s">
        <v>51</v>
      </c>
      <c r="Z2997" t="s">
        <v>43</v>
      </c>
      <c r="AA2997" t="s">
        <v>98</v>
      </c>
      <c r="AB2997" t="s">
        <v>89</v>
      </c>
      <c r="AC2997" t="s">
        <v>101</v>
      </c>
      <c r="AF2997" t="s">
        <v>93</v>
      </c>
      <c r="AG2997" s="1">
        <v>43843</v>
      </c>
      <c r="AH2997" t="s">
        <v>85</v>
      </c>
      <c r="AI2997" t="s">
        <v>92</v>
      </c>
      <c r="AJ2997">
        <v>19888</v>
      </c>
      <c r="AK2997">
        <v>128777</v>
      </c>
      <c r="AL2997">
        <v>198882</v>
      </c>
    </row>
    <row r="2998" spans="1:38" x14ac:dyDescent="0.25">
      <c r="A2998" t="s">
        <v>617</v>
      </c>
      <c r="B2998" s="2">
        <v>2.13E+19</v>
      </c>
      <c r="C2998" t="s">
        <v>71</v>
      </c>
      <c r="D2998" s="1">
        <v>43191</v>
      </c>
      <c r="E2998" s="1">
        <v>43555</v>
      </c>
      <c r="F2998" t="s">
        <v>84</v>
      </c>
      <c r="G2998">
        <v>10</v>
      </c>
      <c r="H2998" t="s">
        <v>85</v>
      </c>
      <c r="I2998" t="s">
        <v>43</v>
      </c>
      <c r="J2998" t="s">
        <v>86</v>
      </c>
      <c r="K2998" t="s">
        <v>44</v>
      </c>
      <c r="L2998">
        <v>0</v>
      </c>
      <c r="M2998" s="1">
        <v>43191</v>
      </c>
      <c r="N2998" t="s">
        <v>45</v>
      </c>
      <c r="O2998" t="s">
        <v>46</v>
      </c>
      <c r="P2998" t="s">
        <v>47</v>
      </c>
      <c r="Q2998" s="1">
        <v>43852</v>
      </c>
      <c r="R2998" t="s">
        <v>48</v>
      </c>
      <c r="S2998" t="s">
        <v>102</v>
      </c>
      <c r="T2998" t="s">
        <v>103</v>
      </c>
      <c r="U2998" t="s">
        <v>85</v>
      </c>
      <c r="V2998">
        <v>5000000</v>
      </c>
      <c r="W2998">
        <v>250000</v>
      </c>
      <c r="X2998" s="1">
        <v>43799</v>
      </c>
      <c r="Y2998" t="s">
        <v>51</v>
      </c>
      <c r="Z2998" t="s">
        <v>43</v>
      </c>
      <c r="AA2998" t="s">
        <v>86</v>
      </c>
      <c r="AB2998" t="s">
        <v>89</v>
      </c>
      <c r="AC2998" t="s">
        <v>90</v>
      </c>
      <c r="AF2998" t="s">
        <v>91</v>
      </c>
      <c r="AG2998" s="1">
        <v>43852</v>
      </c>
      <c r="AH2998" t="s">
        <v>85</v>
      </c>
      <c r="AI2998" t="s">
        <v>92</v>
      </c>
      <c r="AJ2998">
        <v>19888</v>
      </c>
      <c r="AK2998">
        <v>128777</v>
      </c>
      <c r="AL2998">
        <v>198882</v>
      </c>
    </row>
    <row r="2999" spans="1:38" x14ac:dyDescent="0.25">
      <c r="A2999" t="s">
        <v>617</v>
      </c>
      <c r="B2999" s="2">
        <v>2.13E+19</v>
      </c>
      <c r="C2999" t="s">
        <v>71</v>
      </c>
      <c r="D2999" s="1">
        <v>43191</v>
      </c>
      <c r="E2999" s="1">
        <v>43555</v>
      </c>
      <c r="F2999" t="s">
        <v>84</v>
      </c>
      <c r="G2999">
        <v>10</v>
      </c>
      <c r="H2999" t="s">
        <v>85</v>
      </c>
      <c r="I2999" t="s">
        <v>43</v>
      </c>
      <c r="J2999" t="s">
        <v>86</v>
      </c>
      <c r="K2999" t="s">
        <v>44</v>
      </c>
      <c r="L2999">
        <v>0</v>
      </c>
      <c r="M2999" s="1">
        <v>43191</v>
      </c>
      <c r="N2999" t="s">
        <v>45</v>
      </c>
      <c r="O2999" t="s">
        <v>46</v>
      </c>
      <c r="P2999" t="s">
        <v>47</v>
      </c>
      <c r="Q2999" s="1">
        <v>43852</v>
      </c>
      <c r="R2999" t="s">
        <v>48</v>
      </c>
      <c r="S2999" t="s">
        <v>102</v>
      </c>
      <c r="T2999" t="s">
        <v>103</v>
      </c>
      <c r="U2999" t="s">
        <v>85</v>
      </c>
      <c r="V2999">
        <v>5000000</v>
      </c>
      <c r="W2999">
        <v>250000</v>
      </c>
      <c r="X2999" s="1">
        <v>43799</v>
      </c>
      <c r="Y2999" t="s">
        <v>51</v>
      </c>
      <c r="Z2999" t="s">
        <v>43</v>
      </c>
      <c r="AA2999" t="s">
        <v>86</v>
      </c>
      <c r="AB2999" t="s">
        <v>89</v>
      </c>
      <c r="AC2999" t="s">
        <v>90</v>
      </c>
      <c r="AF2999" t="s">
        <v>93</v>
      </c>
      <c r="AG2999" s="1">
        <v>43843</v>
      </c>
      <c r="AH2999" t="s">
        <v>85</v>
      </c>
      <c r="AI2999" t="s">
        <v>92</v>
      </c>
      <c r="AJ2999">
        <v>19888</v>
      </c>
      <c r="AK2999">
        <v>128777</v>
      </c>
      <c r="AL2999">
        <v>198882</v>
      </c>
    </row>
    <row r="3000" spans="1:38" x14ac:dyDescent="0.25">
      <c r="A3000" t="s">
        <v>617</v>
      </c>
      <c r="B3000" t="s">
        <v>641</v>
      </c>
      <c r="C3000" t="s">
        <v>40</v>
      </c>
      <c r="D3000" s="1">
        <v>43229</v>
      </c>
      <c r="E3000" s="1">
        <v>43593</v>
      </c>
      <c r="F3000" t="s">
        <v>72</v>
      </c>
      <c r="G3000">
        <v>3</v>
      </c>
      <c r="H3000" t="s">
        <v>125</v>
      </c>
      <c r="I3000" t="s">
        <v>43</v>
      </c>
      <c r="J3000" t="s">
        <v>126</v>
      </c>
      <c r="K3000" t="s">
        <v>44</v>
      </c>
      <c r="L3000">
        <v>976.81</v>
      </c>
      <c r="M3000" s="1">
        <v>43229</v>
      </c>
      <c r="N3000" t="s">
        <v>45</v>
      </c>
      <c r="O3000" t="s">
        <v>46</v>
      </c>
      <c r="P3000" t="s">
        <v>47</v>
      </c>
      <c r="Q3000" s="1">
        <v>43852</v>
      </c>
      <c r="R3000" t="s">
        <v>48</v>
      </c>
      <c r="S3000" t="s">
        <v>266</v>
      </c>
      <c r="T3000" t="s">
        <v>267</v>
      </c>
      <c r="U3000" t="s">
        <v>125</v>
      </c>
      <c r="V3000">
        <v>700000</v>
      </c>
      <c r="W3000">
        <v>100000</v>
      </c>
      <c r="X3000" s="1">
        <v>43830</v>
      </c>
      <c r="Y3000" t="s">
        <v>51</v>
      </c>
      <c r="Z3000" t="s">
        <v>43</v>
      </c>
      <c r="AA3000" t="s">
        <v>115</v>
      </c>
      <c r="AB3000" t="s">
        <v>268</v>
      </c>
      <c r="AC3000" t="s">
        <v>269</v>
      </c>
      <c r="AF3000" t="s">
        <v>134</v>
      </c>
      <c r="AG3000" s="1">
        <v>43843</v>
      </c>
      <c r="AH3000" t="s">
        <v>125</v>
      </c>
      <c r="AI3000" t="s">
        <v>92</v>
      </c>
      <c r="AJ3000">
        <v>1278023</v>
      </c>
      <c r="AK3000">
        <v>12365300</v>
      </c>
      <c r="AL3000">
        <v>12900</v>
      </c>
    </row>
    <row r="3001" spans="1:38" x14ac:dyDescent="0.25">
      <c r="A3001" t="s">
        <v>617</v>
      </c>
      <c r="B3001" t="s">
        <v>641</v>
      </c>
      <c r="C3001" t="s">
        <v>40</v>
      </c>
      <c r="D3001" s="1">
        <v>43229</v>
      </c>
      <c r="E3001" s="1">
        <v>43593</v>
      </c>
      <c r="F3001" t="s">
        <v>72</v>
      </c>
      <c r="G3001">
        <v>3</v>
      </c>
      <c r="H3001" t="s">
        <v>125</v>
      </c>
      <c r="I3001" t="s">
        <v>43</v>
      </c>
      <c r="J3001" t="s">
        <v>126</v>
      </c>
      <c r="K3001" t="s">
        <v>44</v>
      </c>
      <c r="L3001">
        <v>976.81</v>
      </c>
      <c r="M3001" s="1">
        <v>43229</v>
      </c>
      <c r="N3001" t="s">
        <v>45</v>
      </c>
      <c r="O3001" t="s">
        <v>46</v>
      </c>
      <c r="P3001" t="s">
        <v>47</v>
      </c>
      <c r="Q3001" s="1">
        <v>43852</v>
      </c>
      <c r="R3001" t="s">
        <v>48</v>
      </c>
      <c r="S3001" t="s">
        <v>266</v>
      </c>
      <c r="T3001" t="s">
        <v>267</v>
      </c>
      <c r="U3001" t="s">
        <v>125</v>
      </c>
      <c r="V3001">
        <v>700000</v>
      </c>
      <c r="W3001">
        <v>100000</v>
      </c>
      <c r="X3001" s="1">
        <v>43830</v>
      </c>
      <c r="Y3001" t="s">
        <v>51</v>
      </c>
      <c r="Z3001" t="s">
        <v>43</v>
      </c>
      <c r="AA3001" t="s">
        <v>115</v>
      </c>
      <c r="AB3001" t="s">
        <v>268</v>
      </c>
      <c r="AC3001" t="s">
        <v>269</v>
      </c>
      <c r="AF3001" t="s">
        <v>135</v>
      </c>
      <c r="AG3001" s="1">
        <v>43843</v>
      </c>
      <c r="AH3001" t="s">
        <v>125</v>
      </c>
      <c r="AI3001" t="s">
        <v>92</v>
      </c>
      <c r="AJ3001">
        <v>1278023</v>
      </c>
      <c r="AK3001">
        <v>12365300</v>
      </c>
      <c r="AL3001">
        <v>12900</v>
      </c>
    </row>
    <row r="3002" spans="1:38" x14ac:dyDescent="0.25">
      <c r="A3002" t="s">
        <v>617</v>
      </c>
      <c r="B3002" t="s">
        <v>641</v>
      </c>
      <c r="C3002" t="s">
        <v>40</v>
      </c>
      <c r="D3002" s="1">
        <v>43229</v>
      </c>
      <c r="E3002" s="1">
        <v>43593</v>
      </c>
      <c r="F3002" t="s">
        <v>72</v>
      </c>
      <c r="G3002">
        <v>3</v>
      </c>
      <c r="H3002" t="s">
        <v>125</v>
      </c>
      <c r="I3002" t="s">
        <v>43</v>
      </c>
      <c r="J3002" t="s">
        <v>126</v>
      </c>
      <c r="K3002" t="s">
        <v>44</v>
      </c>
      <c r="L3002">
        <v>976.81</v>
      </c>
      <c r="M3002" s="1">
        <v>43229</v>
      </c>
      <c r="N3002" t="s">
        <v>45</v>
      </c>
      <c r="O3002" t="s">
        <v>46</v>
      </c>
      <c r="P3002" t="s">
        <v>47</v>
      </c>
      <c r="Q3002" s="1">
        <v>43852</v>
      </c>
      <c r="R3002" t="s">
        <v>48</v>
      </c>
      <c r="S3002" t="s">
        <v>266</v>
      </c>
      <c r="T3002" t="s">
        <v>267</v>
      </c>
      <c r="U3002" t="s">
        <v>125</v>
      </c>
      <c r="V3002">
        <v>700000</v>
      </c>
      <c r="W3002">
        <v>100000</v>
      </c>
      <c r="X3002" s="1">
        <v>43830</v>
      </c>
      <c r="Y3002" t="s">
        <v>51</v>
      </c>
      <c r="Z3002" t="s">
        <v>43</v>
      </c>
      <c r="AA3002" t="s">
        <v>115</v>
      </c>
      <c r="AB3002" t="s">
        <v>268</v>
      </c>
      <c r="AC3002" t="s">
        <v>269</v>
      </c>
      <c r="AF3002" t="s">
        <v>136</v>
      </c>
      <c r="AG3002" s="1">
        <v>43839</v>
      </c>
      <c r="AH3002" t="s">
        <v>125</v>
      </c>
      <c r="AI3002" t="s">
        <v>92</v>
      </c>
      <c r="AJ3002">
        <v>1278023</v>
      </c>
      <c r="AK3002">
        <v>12365300</v>
      </c>
      <c r="AL3002">
        <v>12900</v>
      </c>
    </row>
    <row r="3003" spans="1:38" x14ac:dyDescent="0.25">
      <c r="A3003" t="s">
        <v>617</v>
      </c>
      <c r="B3003" t="s">
        <v>641</v>
      </c>
      <c r="C3003" t="s">
        <v>40</v>
      </c>
      <c r="D3003" s="1">
        <v>43229</v>
      </c>
      <c r="E3003" s="1">
        <v>43593</v>
      </c>
      <c r="F3003" t="s">
        <v>72</v>
      </c>
      <c r="G3003">
        <v>3</v>
      </c>
      <c r="H3003" t="s">
        <v>125</v>
      </c>
      <c r="I3003" t="s">
        <v>43</v>
      </c>
      <c r="J3003" t="s">
        <v>126</v>
      </c>
      <c r="K3003" t="s">
        <v>44</v>
      </c>
      <c r="L3003">
        <v>976.81</v>
      </c>
      <c r="M3003" s="1">
        <v>43229</v>
      </c>
      <c r="N3003" t="s">
        <v>45</v>
      </c>
      <c r="O3003" t="s">
        <v>46</v>
      </c>
      <c r="P3003" t="s">
        <v>47</v>
      </c>
      <c r="Q3003" s="1">
        <v>43852</v>
      </c>
      <c r="R3003" t="s">
        <v>48</v>
      </c>
      <c r="S3003" t="s">
        <v>266</v>
      </c>
      <c r="T3003" t="s">
        <v>267</v>
      </c>
      <c r="U3003" t="s">
        <v>125</v>
      </c>
      <c r="V3003">
        <v>700000</v>
      </c>
      <c r="W3003">
        <v>100000</v>
      </c>
      <c r="X3003" s="1">
        <v>43830</v>
      </c>
      <c r="Y3003" t="s">
        <v>51</v>
      </c>
      <c r="Z3003" t="s">
        <v>43</v>
      </c>
      <c r="AA3003" t="s">
        <v>115</v>
      </c>
      <c r="AB3003" t="s">
        <v>268</v>
      </c>
      <c r="AC3003" t="s">
        <v>269</v>
      </c>
      <c r="AF3003" t="s">
        <v>137</v>
      </c>
      <c r="AG3003" s="1">
        <v>43840</v>
      </c>
      <c r="AH3003" t="s">
        <v>125</v>
      </c>
      <c r="AI3003" t="s">
        <v>92</v>
      </c>
      <c r="AJ3003">
        <v>1278023</v>
      </c>
      <c r="AK3003">
        <v>12365300</v>
      </c>
      <c r="AL3003">
        <v>12900</v>
      </c>
    </row>
    <row r="3004" spans="1:38" x14ac:dyDescent="0.25">
      <c r="A3004" t="s">
        <v>617</v>
      </c>
      <c r="B3004" t="s">
        <v>641</v>
      </c>
      <c r="C3004" t="s">
        <v>40</v>
      </c>
      <c r="D3004" s="1">
        <v>43229</v>
      </c>
      <c r="E3004" s="1">
        <v>43593</v>
      </c>
      <c r="F3004" t="s">
        <v>72</v>
      </c>
      <c r="G3004">
        <v>3</v>
      </c>
      <c r="H3004" t="s">
        <v>125</v>
      </c>
      <c r="I3004" t="s">
        <v>43</v>
      </c>
      <c r="J3004" t="s">
        <v>126</v>
      </c>
      <c r="K3004" t="s">
        <v>44</v>
      </c>
      <c r="L3004">
        <v>976.81</v>
      </c>
      <c r="M3004" s="1">
        <v>43229</v>
      </c>
      <c r="N3004" t="s">
        <v>45</v>
      </c>
      <c r="O3004" t="s">
        <v>46</v>
      </c>
      <c r="P3004" t="s">
        <v>47</v>
      </c>
      <c r="Q3004" s="1">
        <v>43852</v>
      </c>
      <c r="R3004" t="s">
        <v>48</v>
      </c>
      <c r="S3004" t="s">
        <v>72</v>
      </c>
      <c r="T3004" t="s">
        <v>270</v>
      </c>
      <c r="U3004" t="s">
        <v>125</v>
      </c>
      <c r="V3004">
        <v>0</v>
      </c>
      <c r="W3004">
        <v>500000</v>
      </c>
      <c r="X3004" s="1">
        <v>43739</v>
      </c>
      <c r="Y3004" t="s">
        <v>131</v>
      </c>
      <c r="Z3004" t="s">
        <v>43</v>
      </c>
      <c r="AA3004" t="s">
        <v>115</v>
      </c>
      <c r="AB3004" t="s">
        <v>268</v>
      </c>
      <c r="AC3004" t="s">
        <v>269</v>
      </c>
      <c r="AF3004" t="s">
        <v>134</v>
      </c>
      <c r="AG3004" s="1">
        <v>43843</v>
      </c>
      <c r="AH3004" t="s">
        <v>125</v>
      </c>
      <c r="AI3004" t="s">
        <v>92</v>
      </c>
      <c r="AJ3004">
        <v>1278023</v>
      </c>
      <c r="AK3004">
        <v>12365300</v>
      </c>
      <c r="AL3004">
        <v>12900</v>
      </c>
    </row>
    <row r="3005" spans="1:38" x14ac:dyDescent="0.25">
      <c r="A3005" t="s">
        <v>617</v>
      </c>
      <c r="B3005" t="s">
        <v>641</v>
      </c>
      <c r="C3005" t="s">
        <v>40</v>
      </c>
      <c r="D3005" s="1">
        <v>43229</v>
      </c>
      <c r="E3005" s="1">
        <v>43593</v>
      </c>
      <c r="F3005" t="s">
        <v>72</v>
      </c>
      <c r="G3005">
        <v>3</v>
      </c>
      <c r="H3005" t="s">
        <v>125</v>
      </c>
      <c r="I3005" t="s">
        <v>43</v>
      </c>
      <c r="J3005" t="s">
        <v>126</v>
      </c>
      <c r="K3005" t="s">
        <v>44</v>
      </c>
      <c r="L3005">
        <v>976.81</v>
      </c>
      <c r="M3005" s="1">
        <v>43229</v>
      </c>
      <c r="N3005" t="s">
        <v>45</v>
      </c>
      <c r="O3005" t="s">
        <v>46</v>
      </c>
      <c r="P3005" t="s">
        <v>47</v>
      </c>
      <c r="Q3005" s="1">
        <v>43852</v>
      </c>
      <c r="R3005" t="s">
        <v>48</v>
      </c>
      <c r="S3005" t="s">
        <v>72</v>
      </c>
      <c r="T3005" t="s">
        <v>270</v>
      </c>
      <c r="U3005" t="s">
        <v>125</v>
      </c>
      <c r="V3005">
        <v>0</v>
      </c>
      <c r="W3005">
        <v>500000</v>
      </c>
      <c r="X3005" s="1">
        <v>43739</v>
      </c>
      <c r="Y3005" t="s">
        <v>131</v>
      </c>
      <c r="Z3005" t="s">
        <v>43</v>
      </c>
      <c r="AA3005" t="s">
        <v>115</v>
      </c>
      <c r="AB3005" t="s">
        <v>268</v>
      </c>
      <c r="AC3005" t="s">
        <v>269</v>
      </c>
      <c r="AF3005" t="s">
        <v>135</v>
      </c>
      <c r="AG3005" s="1">
        <v>43843</v>
      </c>
      <c r="AH3005" t="s">
        <v>125</v>
      </c>
      <c r="AI3005" t="s">
        <v>92</v>
      </c>
      <c r="AJ3005">
        <v>1278023</v>
      </c>
      <c r="AK3005">
        <v>12365300</v>
      </c>
      <c r="AL3005">
        <v>12900</v>
      </c>
    </row>
    <row r="3006" spans="1:38" x14ac:dyDescent="0.25">
      <c r="A3006" t="s">
        <v>617</v>
      </c>
      <c r="B3006" t="s">
        <v>641</v>
      </c>
      <c r="C3006" t="s">
        <v>40</v>
      </c>
      <c r="D3006" s="1">
        <v>43229</v>
      </c>
      <c r="E3006" s="1">
        <v>43593</v>
      </c>
      <c r="F3006" t="s">
        <v>72</v>
      </c>
      <c r="G3006">
        <v>3</v>
      </c>
      <c r="H3006" t="s">
        <v>125</v>
      </c>
      <c r="I3006" t="s">
        <v>43</v>
      </c>
      <c r="J3006" t="s">
        <v>126</v>
      </c>
      <c r="K3006" t="s">
        <v>44</v>
      </c>
      <c r="L3006">
        <v>976.81</v>
      </c>
      <c r="M3006" s="1">
        <v>43229</v>
      </c>
      <c r="N3006" t="s">
        <v>45</v>
      </c>
      <c r="O3006" t="s">
        <v>46</v>
      </c>
      <c r="P3006" t="s">
        <v>47</v>
      </c>
      <c r="Q3006" s="1">
        <v>43852</v>
      </c>
      <c r="R3006" t="s">
        <v>48</v>
      </c>
      <c r="S3006" t="s">
        <v>72</v>
      </c>
      <c r="T3006" t="s">
        <v>270</v>
      </c>
      <c r="U3006" t="s">
        <v>125</v>
      </c>
      <c r="V3006">
        <v>0</v>
      </c>
      <c r="W3006">
        <v>500000</v>
      </c>
      <c r="X3006" s="1">
        <v>43739</v>
      </c>
      <c r="Y3006" t="s">
        <v>131</v>
      </c>
      <c r="Z3006" t="s">
        <v>43</v>
      </c>
      <c r="AA3006" t="s">
        <v>115</v>
      </c>
      <c r="AB3006" t="s">
        <v>268</v>
      </c>
      <c r="AC3006" t="s">
        <v>269</v>
      </c>
      <c r="AF3006" t="s">
        <v>136</v>
      </c>
      <c r="AG3006" s="1">
        <v>43839</v>
      </c>
      <c r="AH3006" t="s">
        <v>125</v>
      </c>
      <c r="AI3006" t="s">
        <v>92</v>
      </c>
      <c r="AJ3006">
        <v>1278023</v>
      </c>
      <c r="AK3006">
        <v>12365300</v>
      </c>
      <c r="AL3006">
        <v>12900</v>
      </c>
    </row>
    <row r="3007" spans="1:38" x14ac:dyDescent="0.25">
      <c r="A3007" t="s">
        <v>617</v>
      </c>
      <c r="B3007" t="s">
        <v>641</v>
      </c>
      <c r="C3007" t="s">
        <v>40</v>
      </c>
      <c r="D3007" s="1">
        <v>43229</v>
      </c>
      <c r="E3007" s="1">
        <v>43593</v>
      </c>
      <c r="F3007" t="s">
        <v>72</v>
      </c>
      <c r="G3007">
        <v>3</v>
      </c>
      <c r="H3007" t="s">
        <v>125</v>
      </c>
      <c r="I3007" t="s">
        <v>43</v>
      </c>
      <c r="J3007" t="s">
        <v>126</v>
      </c>
      <c r="K3007" t="s">
        <v>44</v>
      </c>
      <c r="L3007">
        <v>976.81</v>
      </c>
      <c r="M3007" s="1">
        <v>43229</v>
      </c>
      <c r="N3007" t="s">
        <v>45</v>
      </c>
      <c r="O3007" t="s">
        <v>46</v>
      </c>
      <c r="P3007" t="s">
        <v>47</v>
      </c>
      <c r="Q3007" s="1">
        <v>43852</v>
      </c>
      <c r="R3007" t="s">
        <v>48</v>
      </c>
      <c r="S3007" t="s">
        <v>72</v>
      </c>
      <c r="T3007" t="s">
        <v>270</v>
      </c>
      <c r="U3007" t="s">
        <v>125</v>
      </c>
      <c r="V3007">
        <v>0</v>
      </c>
      <c r="W3007">
        <v>500000</v>
      </c>
      <c r="X3007" s="1">
        <v>43739</v>
      </c>
      <c r="Y3007" t="s">
        <v>131</v>
      </c>
      <c r="Z3007" t="s">
        <v>43</v>
      </c>
      <c r="AA3007" t="s">
        <v>115</v>
      </c>
      <c r="AB3007" t="s">
        <v>268</v>
      </c>
      <c r="AC3007" t="s">
        <v>269</v>
      </c>
      <c r="AF3007" t="s">
        <v>137</v>
      </c>
      <c r="AG3007" s="1">
        <v>43840</v>
      </c>
      <c r="AH3007" t="s">
        <v>125</v>
      </c>
      <c r="AI3007" t="s">
        <v>92</v>
      </c>
      <c r="AJ3007">
        <v>1278023</v>
      </c>
      <c r="AK3007">
        <v>12365300</v>
      </c>
      <c r="AL3007">
        <v>12900</v>
      </c>
    </row>
    <row r="3008" spans="1:38" x14ac:dyDescent="0.25">
      <c r="A3008" t="s">
        <v>617</v>
      </c>
      <c r="B3008" t="s">
        <v>641</v>
      </c>
      <c r="C3008" t="s">
        <v>40</v>
      </c>
      <c r="D3008" s="1">
        <v>43229</v>
      </c>
      <c r="E3008" s="1">
        <v>43593</v>
      </c>
      <c r="F3008" t="s">
        <v>72</v>
      </c>
      <c r="G3008">
        <v>3</v>
      </c>
      <c r="H3008" t="s">
        <v>125</v>
      </c>
      <c r="I3008" t="s">
        <v>43</v>
      </c>
      <c r="J3008" t="s">
        <v>126</v>
      </c>
      <c r="K3008" t="s">
        <v>44</v>
      </c>
      <c r="L3008">
        <v>976.81</v>
      </c>
      <c r="M3008" s="1">
        <v>43229</v>
      </c>
      <c r="N3008" t="s">
        <v>45</v>
      </c>
      <c r="O3008" t="s">
        <v>46</v>
      </c>
      <c r="P3008" t="s">
        <v>47</v>
      </c>
      <c r="Q3008" s="1">
        <v>43852</v>
      </c>
      <c r="R3008" t="s">
        <v>48</v>
      </c>
      <c r="S3008" t="s">
        <v>271</v>
      </c>
      <c r="T3008" t="s">
        <v>272</v>
      </c>
      <c r="U3008" t="s">
        <v>125</v>
      </c>
      <c r="V3008">
        <v>0</v>
      </c>
      <c r="W3008">
        <v>50000</v>
      </c>
      <c r="X3008" s="1">
        <v>43738</v>
      </c>
      <c r="Y3008" t="s">
        <v>140</v>
      </c>
      <c r="Z3008" t="s">
        <v>43</v>
      </c>
      <c r="AA3008" t="s">
        <v>115</v>
      </c>
      <c r="AB3008" t="s">
        <v>268</v>
      </c>
      <c r="AC3008" t="s">
        <v>269</v>
      </c>
      <c r="AF3008" t="s">
        <v>134</v>
      </c>
      <c r="AG3008" s="1">
        <v>43843</v>
      </c>
      <c r="AH3008" t="s">
        <v>125</v>
      </c>
      <c r="AI3008" t="s">
        <v>92</v>
      </c>
      <c r="AJ3008">
        <v>1278023</v>
      </c>
      <c r="AK3008">
        <v>12365300</v>
      </c>
      <c r="AL3008">
        <v>12900</v>
      </c>
    </row>
    <row r="3009" spans="1:38" x14ac:dyDescent="0.25">
      <c r="A3009" t="s">
        <v>617</v>
      </c>
      <c r="B3009" t="s">
        <v>641</v>
      </c>
      <c r="C3009" t="s">
        <v>40</v>
      </c>
      <c r="D3009" s="1">
        <v>43229</v>
      </c>
      <c r="E3009" s="1">
        <v>43593</v>
      </c>
      <c r="F3009" t="s">
        <v>72</v>
      </c>
      <c r="G3009">
        <v>3</v>
      </c>
      <c r="H3009" t="s">
        <v>125</v>
      </c>
      <c r="I3009" t="s">
        <v>43</v>
      </c>
      <c r="J3009" t="s">
        <v>126</v>
      </c>
      <c r="K3009" t="s">
        <v>44</v>
      </c>
      <c r="L3009">
        <v>976.81</v>
      </c>
      <c r="M3009" s="1">
        <v>43229</v>
      </c>
      <c r="N3009" t="s">
        <v>45</v>
      </c>
      <c r="O3009" t="s">
        <v>46</v>
      </c>
      <c r="P3009" t="s">
        <v>47</v>
      </c>
      <c r="Q3009" s="1">
        <v>43852</v>
      </c>
      <c r="R3009" t="s">
        <v>48</v>
      </c>
      <c r="S3009" t="s">
        <v>271</v>
      </c>
      <c r="T3009" t="s">
        <v>272</v>
      </c>
      <c r="U3009" t="s">
        <v>125</v>
      </c>
      <c r="V3009">
        <v>0</v>
      </c>
      <c r="W3009">
        <v>50000</v>
      </c>
      <c r="X3009" s="1">
        <v>43738</v>
      </c>
      <c r="Y3009" t="s">
        <v>140</v>
      </c>
      <c r="Z3009" t="s">
        <v>43</v>
      </c>
      <c r="AA3009" t="s">
        <v>115</v>
      </c>
      <c r="AB3009" t="s">
        <v>268</v>
      </c>
      <c r="AC3009" t="s">
        <v>269</v>
      </c>
      <c r="AF3009" t="s">
        <v>135</v>
      </c>
      <c r="AG3009" s="1">
        <v>43843</v>
      </c>
      <c r="AH3009" t="s">
        <v>125</v>
      </c>
      <c r="AI3009" t="s">
        <v>92</v>
      </c>
      <c r="AJ3009">
        <v>1278023</v>
      </c>
      <c r="AK3009">
        <v>12365300</v>
      </c>
      <c r="AL3009">
        <v>12900</v>
      </c>
    </row>
    <row r="3010" spans="1:38" x14ac:dyDescent="0.25">
      <c r="A3010" t="s">
        <v>617</v>
      </c>
      <c r="B3010" t="s">
        <v>641</v>
      </c>
      <c r="C3010" t="s">
        <v>40</v>
      </c>
      <c r="D3010" s="1">
        <v>43229</v>
      </c>
      <c r="E3010" s="1">
        <v>43593</v>
      </c>
      <c r="F3010" t="s">
        <v>72</v>
      </c>
      <c r="G3010">
        <v>3</v>
      </c>
      <c r="H3010" t="s">
        <v>125</v>
      </c>
      <c r="I3010" t="s">
        <v>43</v>
      </c>
      <c r="J3010" t="s">
        <v>126</v>
      </c>
      <c r="K3010" t="s">
        <v>44</v>
      </c>
      <c r="L3010">
        <v>976.81</v>
      </c>
      <c r="M3010" s="1">
        <v>43229</v>
      </c>
      <c r="N3010" t="s">
        <v>45</v>
      </c>
      <c r="O3010" t="s">
        <v>46</v>
      </c>
      <c r="P3010" t="s">
        <v>47</v>
      </c>
      <c r="Q3010" s="1">
        <v>43852</v>
      </c>
      <c r="R3010" t="s">
        <v>48</v>
      </c>
      <c r="S3010" t="s">
        <v>271</v>
      </c>
      <c r="T3010" t="s">
        <v>272</v>
      </c>
      <c r="U3010" t="s">
        <v>125</v>
      </c>
      <c r="V3010">
        <v>0</v>
      </c>
      <c r="W3010">
        <v>50000</v>
      </c>
      <c r="X3010" s="1">
        <v>43738</v>
      </c>
      <c r="Y3010" t="s">
        <v>140</v>
      </c>
      <c r="Z3010" t="s">
        <v>43</v>
      </c>
      <c r="AA3010" t="s">
        <v>115</v>
      </c>
      <c r="AB3010" t="s">
        <v>268</v>
      </c>
      <c r="AC3010" t="s">
        <v>269</v>
      </c>
      <c r="AF3010" t="s">
        <v>136</v>
      </c>
      <c r="AG3010" s="1">
        <v>43839</v>
      </c>
      <c r="AH3010" t="s">
        <v>125</v>
      </c>
      <c r="AI3010" t="s">
        <v>92</v>
      </c>
      <c r="AJ3010">
        <v>1278023</v>
      </c>
      <c r="AK3010">
        <v>12365300</v>
      </c>
      <c r="AL3010">
        <v>12900</v>
      </c>
    </row>
    <row r="3011" spans="1:38" x14ac:dyDescent="0.25">
      <c r="A3011" t="s">
        <v>617</v>
      </c>
      <c r="B3011" t="s">
        <v>641</v>
      </c>
      <c r="C3011" t="s">
        <v>40</v>
      </c>
      <c r="D3011" s="1">
        <v>43229</v>
      </c>
      <c r="E3011" s="1">
        <v>43593</v>
      </c>
      <c r="F3011" t="s">
        <v>72</v>
      </c>
      <c r="G3011">
        <v>3</v>
      </c>
      <c r="H3011" t="s">
        <v>125</v>
      </c>
      <c r="I3011" t="s">
        <v>43</v>
      </c>
      <c r="J3011" t="s">
        <v>126</v>
      </c>
      <c r="K3011" t="s">
        <v>44</v>
      </c>
      <c r="L3011">
        <v>976.81</v>
      </c>
      <c r="M3011" s="1">
        <v>43229</v>
      </c>
      <c r="N3011" t="s">
        <v>45</v>
      </c>
      <c r="O3011" t="s">
        <v>46</v>
      </c>
      <c r="P3011" t="s">
        <v>47</v>
      </c>
      <c r="Q3011" s="1">
        <v>43852</v>
      </c>
      <c r="R3011" t="s">
        <v>48</v>
      </c>
      <c r="S3011" t="s">
        <v>271</v>
      </c>
      <c r="T3011" t="s">
        <v>272</v>
      </c>
      <c r="U3011" t="s">
        <v>125</v>
      </c>
      <c r="V3011">
        <v>0</v>
      </c>
      <c r="W3011">
        <v>50000</v>
      </c>
      <c r="X3011" s="1">
        <v>43738</v>
      </c>
      <c r="Y3011" t="s">
        <v>140</v>
      </c>
      <c r="Z3011" t="s">
        <v>43</v>
      </c>
      <c r="AA3011" t="s">
        <v>115</v>
      </c>
      <c r="AB3011" t="s">
        <v>268</v>
      </c>
      <c r="AC3011" t="s">
        <v>269</v>
      </c>
      <c r="AF3011" t="s">
        <v>137</v>
      </c>
      <c r="AG3011" s="1">
        <v>43840</v>
      </c>
      <c r="AH3011" t="s">
        <v>125</v>
      </c>
      <c r="AI3011" t="s">
        <v>92</v>
      </c>
      <c r="AJ3011">
        <v>1278023</v>
      </c>
      <c r="AK3011">
        <v>12365300</v>
      </c>
      <c r="AL3011">
        <v>12900</v>
      </c>
    </row>
    <row r="3012" spans="1:38" x14ac:dyDescent="0.25">
      <c r="A3012" t="s">
        <v>617</v>
      </c>
      <c r="B3012" t="s">
        <v>642</v>
      </c>
      <c r="C3012" t="s">
        <v>71</v>
      </c>
      <c r="D3012" s="1">
        <v>43295</v>
      </c>
      <c r="E3012" s="1">
        <v>43659</v>
      </c>
      <c r="F3012" t="s">
        <v>84</v>
      </c>
      <c r="G3012">
        <v>10</v>
      </c>
      <c r="H3012" t="s">
        <v>85</v>
      </c>
      <c r="I3012" t="s">
        <v>43</v>
      </c>
      <c r="J3012" t="s">
        <v>86</v>
      </c>
      <c r="K3012" t="s">
        <v>44</v>
      </c>
      <c r="L3012">
        <v>26250</v>
      </c>
      <c r="M3012" s="1">
        <v>43295</v>
      </c>
      <c r="N3012" t="s">
        <v>45</v>
      </c>
      <c r="O3012" t="s">
        <v>46</v>
      </c>
      <c r="P3012" t="s">
        <v>47</v>
      </c>
      <c r="Q3012" s="1">
        <v>43852</v>
      </c>
      <c r="R3012" t="s">
        <v>48</v>
      </c>
      <c r="S3012" t="s">
        <v>87</v>
      </c>
      <c r="T3012" t="s">
        <v>88</v>
      </c>
      <c r="U3012" t="s">
        <v>85</v>
      </c>
      <c r="V3012">
        <v>1400000</v>
      </c>
      <c r="W3012">
        <v>100000</v>
      </c>
      <c r="X3012" s="1">
        <v>43808</v>
      </c>
      <c r="Y3012" t="s">
        <v>51</v>
      </c>
      <c r="Z3012" t="s">
        <v>43</v>
      </c>
      <c r="AA3012" t="s">
        <v>86</v>
      </c>
      <c r="AB3012" t="s">
        <v>89</v>
      </c>
      <c r="AC3012" t="s">
        <v>90</v>
      </c>
      <c r="AF3012" t="s">
        <v>91</v>
      </c>
      <c r="AG3012" s="1">
        <v>43852</v>
      </c>
      <c r="AH3012" t="s">
        <v>85</v>
      </c>
      <c r="AI3012" t="s">
        <v>92</v>
      </c>
      <c r="AJ3012">
        <v>19888</v>
      </c>
      <c r="AK3012">
        <v>128777</v>
      </c>
      <c r="AL3012">
        <v>198882</v>
      </c>
    </row>
    <row r="3013" spans="1:38" x14ac:dyDescent="0.25">
      <c r="A3013" t="s">
        <v>617</v>
      </c>
      <c r="B3013" t="s">
        <v>642</v>
      </c>
      <c r="C3013" t="s">
        <v>71</v>
      </c>
      <c r="D3013" s="1">
        <v>43295</v>
      </c>
      <c r="E3013" s="1">
        <v>43659</v>
      </c>
      <c r="F3013" t="s">
        <v>84</v>
      </c>
      <c r="G3013">
        <v>10</v>
      </c>
      <c r="H3013" t="s">
        <v>85</v>
      </c>
      <c r="I3013" t="s">
        <v>43</v>
      </c>
      <c r="J3013" t="s">
        <v>86</v>
      </c>
      <c r="K3013" t="s">
        <v>44</v>
      </c>
      <c r="L3013">
        <v>26250</v>
      </c>
      <c r="M3013" s="1">
        <v>43295</v>
      </c>
      <c r="N3013" t="s">
        <v>45</v>
      </c>
      <c r="O3013" t="s">
        <v>46</v>
      </c>
      <c r="P3013" t="s">
        <v>47</v>
      </c>
      <c r="Q3013" s="1">
        <v>43852</v>
      </c>
      <c r="R3013" t="s">
        <v>48</v>
      </c>
      <c r="S3013" t="s">
        <v>87</v>
      </c>
      <c r="T3013" t="s">
        <v>88</v>
      </c>
      <c r="U3013" t="s">
        <v>85</v>
      </c>
      <c r="V3013">
        <v>1400000</v>
      </c>
      <c r="W3013">
        <v>100000</v>
      </c>
      <c r="X3013" s="1">
        <v>43808</v>
      </c>
      <c r="Y3013" t="s">
        <v>51</v>
      </c>
      <c r="Z3013" t="s">
        <v>43</v>
      </c>
      <c r="AA3013" t="s">
        <v>86</v>
      </c>
      <c r="AB3013" t="s">
        <v>89</v>
      </c>
      <c r="AC3013" t="s">
        <v>90</v>
      </c>
      <c r="AF3013" t="s">
        <v>93</v>
      </c>
      <c r="AG3013" s="1">
        <v>43843</v>
      </c>
      <c r="AH3013" t="s">
        <v>85</v>
      </c>
      <c r="AI3013" t="s">
        <v>92</v>
      </c>
      <c r="AJ3013">
        <v>19888</v>
      </c>
      <c r="AK3013">
        <v>128777</v>
      </c>
      <c r="AL3013">
        <v>198882</v>
      </c>
    </row>
    <row r="3014" spans="1:38" x14ac:dyDescent="0.25">
      <c r="A3014" t="s">
        <v>617</v>
      </c>
      <c r="B3014" t="s">
        <v>642</v>
      </c>
      <c r="C3014" t="s">
        <v>71</v>
      </c>
      <c r="D3014" s="1">
        <v>43295</v>
      </c>
      <c r="E3014" s="1">
        <v>43659</v>
      </c>
      <c r="F3014" t="s">
        <v>84</v>
      </c>
      <c r="G3014">
        <v>10</v>
      </c>
      <c r="H3014" t="s">
        <v>85</v>
      </c>
      <c r="I3014" t="s">
        <v>43</v>
      </c>
      <c r="J3014" t="s">
        <v>86</v>
      </c>
      <c r="K3014" t="s">
        <v>44</v>
      </c>
      <c r="L3014">
        <v>26250</v>
      </c>
      <c r="M3014" s="1">
        <v>43295</v>
      </c>
      <c r="N3014" t="s">
        <v>45</v>
      </c>
      <c r="O3014" t="s">
        <v>46</v>
      </c>
      <c r="P3014" t="s">
        <v>47</v>
      </c>
      <c r="Q3014" s="1">
        <v>43852</v>
      </c>
      <c r="R3014" t="s">
        <v>48</v>
      </c>
      <c r="S3014" t="s">
        <v>94</v>
      </c>
      <c r="T3014" t="s">
        <v>95</v>
      </c>
      <c r="U3014" t="s">
        <v>85</v>
      </c>
      <c r="V3014">
        <v>4500000</v>
      </c>
      <c r="W3014">
        <v>300000</v>
      </c>
      <c r="X3014" s="1">
        <v>43767</v>
      </c>
      <c r="Y3014" t="s">
        <v>51</v>
      </c>
      <c r="Z3014" t="s">
        <v>43</v>
      </c>
      <c r="AA3014" t="s">
        <v>86</v>
      </c>
      <c r="AB3014" t="s">
        <v>89</v>
      </c>
      <c r="AC3014" t="s">
        <v>90</v>
      </c>
      <c r="AF3014" t="s">
        <v>91</v>
      </c>
      <c r="AG3014" s="1">
        <v>43852</v>
      </c>
      <c r="AH3014" t="s">
        <v>85</v>
      </c>
      <c r="AI3014" t="s">
        <v>92</v>
      </c>
      <c r="AJ3014">
        <v>19888</v>
      </c>
      <c r="AK3014">
        <v>128777</v>
      </c>
      <c r="AL3014">
        <v>198882</v>
      </c>
    </row>
    <row r="3015" spans="1:38" x14ac:dyDescent="0.25">
      <c r="A3015" t="s">
        <v>617</v>
      </c>
      <c r="B3015" t="s">
        <v>642</v>
      </c>
      <c r="C3015" t="s">
        <v>71</v>
      </c>
      <c r="D3015" s="1">
        <v>43295</v>
      </c>
      <c r="E3015" s="1">
        <v>43659</v>
      </c>
      <c r="F3015" t="s">
        <v>84</v>
      </c>
      <c r="G3015">
        <v>10</v>
      </c>
      <c r="H3015" t="s">
        <v>85</v>
      </c>
      <c r="I3015" t="s">
        <v>43</v>
      </c>
      <c r="J3015" t="s">
        <v>86</v>
      </c>
      <c r="K3015" t="s">
        <v>44</v>
      </c>
      <c r="L3015">
        <v>26250</v>
      </c>
      <c r="M3015" s="1">
        <v>43295</v>
      </c>
      <c r="N3015" t="s">
        <v>45</v>
      </c>
      <c r="O3015" t="s">
        <v>46</v>
      </c>
      <c r="P3015" t="s">
        <v>47</v>
      </c>
      <c r="Q3015" s="1">
        <v>43852</v>
      </c>
      <c r="R3015" t="s">
        <v>48</v>
      </c>
      <c r="S3015" t="s">
        <v>94</v>
      </c>
      <c r="T3015" t="s">
        <v>95</v>
      </c>
      <c r="U3015" t="s">
        <v>85</v>
      </c>
      <c r="V3015">
        <v>4500000</v>
      </c>
      <c r="W3015">
        <v>300000</v>
      </c>
      <c r="X3015" s="1">
        <v>43767</v>
      </c>
      <c r="Y3015" t="s">
        <v>51</v>
      </c>
      <c r="Z3015" t="s">
        <v>43</v>
      </c>
      <c r="AA3015" t="s">
        <v>86</v>
      </c>
      <c r="AB3015" t="s">
        <v>89</v>
      </c>
      <c r="AC3015" t="s">
        <v>90</v>
      </c>
      <c r="AF3015" t="s">
        <v>93</v>
      </c>
      <c r="AG3015" s="1">
        <v>43843</v>
      </c>
      <c r="AH3015" t="s">
        <v>85</v>
      </c>
      <c r="AI3015" t="s">
        <v>92</v>
      </c>
      <c r="AJ3015">
        <v>19888</v>
      </c>
      <c r="AK3015">
        <v>128777</v>
      </c>
      <c r="AL3015">
        <v>198882</v>
      </c>
    </row>
    <row r="3016" spans="1:38" x14ac:dyDescent="0.25">
      <c r="A3016" t="s">
        <v>617</v>
      </c>
      <c r="B3016" t="s">
        <v>642</v>
      </c>
      <c r="C3016" t="s">
        <v>71</v>
      </c>
      <c r="D3016" s="1">
        <v>43295</v>
      </c>
      <c r="E3016" s="1">
        <v>43659</v>
      </c>
      <c r="F3016" t="s">
        <v>84</v>
      </c>
      <c r="G3016">
        <v>10</v>
      </c>
      <c r="H3016" t="s">
        <v>85</v>
      </c>
      <c r="I3016" t="s">
        <v>43</v>
      </c>
      <c r="J3016" t="s">
        <v>86</v>
      </c>
      <c r="K3016" t="s">
        <v>44</v>
      </c>
      <c r="L3016">
        <v>26250</v>
      </c>
      <c r="M3016" s="1">
        <v>43295</v>
      </c>
      <c r="N3016" t="s">
        <v>45</v>
      </c>
      <c r="O3016" t="s">
        <v>46</v>
      </c>
      <c r="P3016" t="s">
        <v>47</v>
      </c>
      <c r="Q3016" s="1">
        <v>43852</v>
      </c>
      <c r="R3016" t="s">
        <v>48</v>
      </c>
      <c r="S3016" t="s">
        <v>96</v>
      </c>
      <c r="T3016" t="s">
        <v>97</v>
      </c>
      <c r="U3016" t="s">
        <v>85</v>
      </c>
      <c r="V3016">
        <v>600000</v>
      </c>
      <c r="W3016">
        <v>100000</v>
      </c>
      <c r="X3016" s="1">
        <v>43799</v>
      </c>
      <c r="Y3016" t="s">
        <v>51</v>
      </c>
      <c r="Z3016" t="s">
        <v>43</v>
      </c>
      <c r="AA3016" t="s">
        <v>98</v>
      </c>
      <c r="AB3016" t="s">
        <v>89</v>
      </c>
      <c r="AC3016" t="s">
        <v>90</v>
      </c>
      <c r="AF3016" t="s">
        <v>91</v>
      </c>
      <c r="AG3016" s="1">
        <v>43852</v>
      </c>
      <c r="AH3016" t="s">
        <v>85</v>
      </c>
      <c r="AI3016" t="s">
        <v>92</v>
      </c>
      <c r="AJ3016">
        <v>19888</v>
      </c>
      <c r="AK3016">
        <v>128777</v>
      </c>
      <c r="AL3016">
        <v>198882</v>
      </c>
    </row>
    <row r="3017" spans="1:38" x14ac:dyDescent="0.25">
      <c r="A3017" t="s">
        <v>617</v>
      </c>
      <c r="B3017" t="s">
        <v>642</v>
      </c>
      <c r="C3017" t="s">
        <v>71</v>
      </c>
      <c r="D3017" s="1">
        <v>43295</v>
      </c>
      <c r="E3017" s="1">
        <v>43659</v>
      </c>
      <c r="F3017" t="s">
        <v>84</v>
      </c>
      <c r="G3017">
        <v>10</v>
      </c>
      <c r="H3017" t="s">
        <v>85</v>
      </c>
      <c r="I3017" t="s">
        <v>43</v>
      </c>
      <c r="J3017" t="s">
        <v>86</v>
      </c>
      <c r="K3017" t="s">
        <v>44</v>
      </c>
      <c r="L3017">
        <v>26250</v>
      </c>
      <c r="M3017" s="1">
        <v>43295</v>
      </c>
      <c r="N3017" t="s">
        <v>45</v>
      </c>
      <c r="O3017" t="s">
        <v>46</v>
      </c>
      <c r="P3017" t="s">
        <v>47</v>
      </c>
      <c r="Q3017" s="1">
        <v>43852</v>
      </c>
      <c r="R3017" t="s">
        <v>48</v>
      </c>
      <c r="S3017" t="s">
        <v>96</v>
      </c>
      <c r="T3017" t="s">
        <v>97</v>
      </c>
      <c r="U3017" t="s">
        <v>85</v>
      </c>
      <c r="V3017">
        <v>600000</v>
      </c>
      <c r="W3017">
        <v>100000</v>
      </c>
      <c r="X3017" s="1">
        <v>43799</v>
      </c>
      <c r="Y3017" t="s">
        <v>51</v>
      </c>
      <c r="Z3017" t="s">
        <v>43</v>
      </c>
      <c r="AA3017" t="s">
        <v>98</v>
      </c>
      <c r="AB3017" t="s">
        <v>89</v>
      </c>
      <c r="AC3017" t="s">
        <v>90</v>
      </c>
      <c r="AF3017" t="s">
        <v>93</v>
      </c>
      <c r="AG3017" s="1">
        <v>43843</v>
      </c>
      <c r="AH3017" t="s">
        <v>85</v>
      </c>
      <c r="AI3017" t="s">
        <v>92</v>
      </c>
      <c r="AJ3017">
        <v>19888</v>
      </c>
      <c r="AK3017">
        <v>128777</v>
      </c>
      <c r="AL3017">
        <v>198882</v>
      </c>
    </row>
    <row r="3018" spans="1:38" x14ac:dyDescent="0.25">
      <c r="A3018" t="s">
        <v>617</v>
      </c>
      <c r="B3018" t="s">
        <v>642</v>
      </c>
      <c r="C3018" t="s">
        <v>71</v>
      </c>
      <c r="D3018" s="1">
        <v>43295</v>
      </c>
      <c r="E3018" s="1">
        <v>43659</v>
      </c>
      <c r="F3018" t="s">
        <v>84</v>
      </c>
      <c r="G3018">
        <v>10</v>
      </c>
      <c r="H3018" t="s">
        <v>85</v>
      </c>
      <c r="I3018" t="s">
        <v>43</v>
      </c>
      <c r="J3018" t="s">
        <v>86</v>
      </c>
      <c r="K3018" t="s">
        <v>44</v>
      </c>
      <c r="L3018">
        <v>26250</v>
      </c>
      <c r="M3018" s="1">
        <v>43295</v>
      </c>
      <c r="N3018" t="s">
        <v>45</v>
      </c>
      <c r="O3018" t="s">
        <v>46</v>
      </c>
      <c r="P3018" t="s">
        <v>47</v>
      </c>
      <c r="Q3018" s="1">
        <v>43852</v>
      </c>
      <c r="R3018" t="s">
        <v>48</v>
      </c>
      <c r="S3018" t="s">
        <v>99</v>
      </c>
      <c r="T3018" t="s">
        <v>100</v>
      </c>
      <c r="U3018" t="s">
        <v>85</v>
      </c>
      <c r="V3018">
        <v>210000</v>
      </c>
      <c r="W3018">
        <v>35000</v>
      </c>
      <c r="X3018" s="1">
        <v>43799</v>
      </c>
      <c r="Y3018" t="s">
        <v>51</v>
      </c>
      <c r="Z3018" t="s">
        <v>43</v>
      </c>
      <c r="AA3018" t="s">
        <v>98</v>
      </c>
      <c r="AB3018" t="s">
        <v>89</v>
      </c>
      <c r="AC3018" t="s">
        <v>101</v>
      </c>
      <c r="AF3018" t="s">
        <v>91</v>
      </c>
      <c r="AG3018" s="1">
        <v>43852</v>
      </c>
      <c r="AH3018" t="s">
        <v>85</v>
      </c>
      <c r="AI3018" t="s">
        <v>92</v>
      </c>
      <c r="AJ3018">
        <v>19888</v>
      </c>
      <c r="AK3018">
        <v>128777</v>
      </c>
      <c r="AL3018">
        <v>198882</v>
      </c>
    </row>
    <row r="3019" spans="1:38" x14ac:dyDescent="0.25">
      <c r="A3019" t="s">
        <v>617</v>
      </c>
      <c r="B3019" t="s">
        <v>642</v>
      </c>
      <c r="C3019" t="s">
        <v>71</v>
      </c>
      <c r="D3019" s="1">
        <v>43295</v>
      </c>
      <c r="E3019" s="1">
        <v>43659</v>
      </c>
      <c r="F3019" t="s">
        <v>84</v>
      </c>
      <c r="G3019">
        <v>10</v>
      </c>
      <c r="H3019" t="s">
        <v>85</v>
      </c>
      <c r="I3019" t="s">
        <v>43</v>
      </c>
      <c r="J3019" t="s">
        <v>86</v>
      </c>
      <c r="K3019" t="s">
        <v>44</v>
      </c>
      <c r="L3019">
        <v>26250</v>
      </c>
      <c r="M3019" s="1">
        <v>43295</v>
      </c>
      <c r="N3019" t="s">
        <v>45</v>
      </c>
      <c r="O3019" t="s">
        <v>46</v>
      </c>
      <c r="P3019" t="s">
        <v>47</v>
      </c>
      <c r="Q3019" s="1">
        <v>43852</v>
      </c>
      <c r="R3019" t="s">
        <v>48</v>
      </c>
      <c r="S3019" t="s">
        <v>99</v>
      </c>
      <c r="T3019" t="s">
        <v>100</v>
      </c>
      <c r="U3019" t="s">
        <v>85</v>
      </c>
      <c r="V3019">
        <v>210000</v>
      </c>
      <c r="W3019">
        <v>35000</v>
      </c>
      <c r="X3019" s="1">
        <v>43799</v>
      </c>
      <c r="Y3019" t="s">
        <v>51</v>
      </c>
      <c r="Z3019" t="s">
        <v>43</v>
      </c>
      <c r="AA3019" t="s">
        <v>98</v>
      </c>
      <c r="AB3019" t="s">
        <v>89</v>
      </c>
      <c r="AC3019" t="s">
        <v>101</v>
      </c>
      <c r="AF3019" t="s">
        <v>93</v>
      </c>
      <c r="AG3019" s="1">
        <v>43843</v>
      </c>
      <c r="AH3019" t="s">
        <v>85</v>
      </c>
      <c r="AI3019" t="s">
        <v>92</v>
      </c>
      <c r="AJ3019">
        <v>19888</v>
      </c>
      <c r="AK3019">
        <v>128777</v>
      </c>
      <c r="AL3019">
        <v>198882</v>
      </c>
    </row>
    <row r="3020" spans="1:38" x14ac:dyDescent="0.25">
      <c r="A3020" t="s">
        <v>617</v>
      </c>
      <c r="B3020" t="s">
        <v>642</v>
      </c>
      <c r="C3020" t="s">
        <v>71</v>
      </c>
      <c r="D3020" s="1">
        <v>43295</v>
      </c>
      <c r="E3020" s="1">
        <v>43659</v>
      </c>
      <c r="F3020" t="s">
        <v>84</v>
      </c>
      <c r="G3020">
        <v>10</v>
      </c>
      <c r="H3020" t="s">
        <v>85</v>
      </c>
      <c r="I3020" t="s">
        <v>43</v>
      </c>
      <c r="J3020" t="s">
        <v>86</v>
      </c>
      <c r="K3020" t="s">
        <v>44</v>
      </c>
      <c r="L3020">
        <v>26250</v>
      </c>
      <c r="M3020" s="1">
        <v>43295</v>
      </c>
      <c r="N3020" t="s">
        <v>45</v>
      </c>
      <c r="O3020" t="s">
        <v>46</v>
      </c>
      <c r="P3020" t="s">
        <v>47</v>
      </c>
      <c r="Q3020" s="1">
        <v>43852</v>
      </c>
      <c r="R3020" t="s">
        <v>48</v>
      </c>
      <c r="S3020" t="s">
        <v>102</v>
      </c>
      <c r="T3020" t="s">
        <v>103</v>
      </c>
      <c r="U3020" t="s">
        <v>85</v>
      </c>
      <c r="V3020">
        <v>5000000</v>
      </c>
      <c r="W3020">
        <v>250000</v>
      </c>
      <c r="X3020" s="1">
        <v>43799</v>
      </c>
      <c r="Y3020" t="s">
        <v>51</v>
      </c>
      <c r="Z3020" t="s">
        <v>43</v>
      </c>
      <c r="AA3020" t="s">
        <v>86</v>
      </c>
      <c r="AB3020" t="s">
        <v>89</v>
      </c>
      <c r="AC3020" t="s">
        <v>90</v>
      </c>
      <c r="AF3020" t="s">
        <v>91</v>
      </c>
      <c r="AG3020" s="1">
        <v>43852</v>
      </c>
      <c r="AH3020" t="s">
        <v>85</v>
      </c>
      <c r="AI3020" t="s">
        <v>92</v>
      </c>
      <c r="AJ3020">
        <v>19888</v>
      </c>
      <c r="AK3020">
        <v>128777</v>
      </c>
      <c r="AL3020">
        <v>198882</v>
      </c>
    </row>
    <row r="3021" spans="1:38" x14ac:dyDescent="0.25">
      <c r="A3021" t="s">
        <v>617</v>
      </c>
      <c r="B3021" t="s">
        <v>642</v>
      </c>
      <c r="C3021" t="s">
        <v>71</v>
      </c>
      <c r="D3021" s="1">
        <v>43295</v>
      </c>
      <c r="E3021" s="1">
        <v>43659</v>
      </c>
      <c r="F3021" t="s">
        <v>84</v>
      </c>
      <c r="G3021">
        <v>10</v>
      </c>
      <c r="H3021" t="s">
        <v>85</v>
      </c>
      <c r="I3021" t="s">
        <v>43</v>
      </c>
      <c r="J3021" t="s">
        <v>86</v>
      </c>
      <c r="K3021" t="s">
        <v>44</v>
      </c>
      <c r="L3021">
        <v>26250</v>
      </c>
      <c r="M3021" s="1">
        <v>43295</v>
      </c>
      <c r="N3021" t="s">
        <v>45</v>
      </c>
      <c r="O3021" t="s">
        <v>46</v>
      </c>
      <c r="P3021" t="s">
        <v>47</v>
      </c>
      <c r="Q3021" s="1">
        <v>43852</v>
      </c>
      <c r="R3021" t="s">
        <v>48</v>
      </c>
      <c r="S3021" t="s">
        <v>102</v>
      </c>
      <c r="T3021" t="s">
        <v>103</v>
      </c>
      <c r="U3021" t="s">
        <v>85</v>
      </c>
      <c r="V3021">
        <v>5000000</v>
      </c>
      <c r="W3021">
        <v>250000</v>
      </c>
      <c r="X3021" s="1">
        <v>43799</v>
      </c>
      <c r="Y3021" t="s">
        <v>51</v>
      </c>
      <c r="Z3021" t="s">
        <v>43</v>
      </c>
      <c r="AA3021" t="s">
        <v>86</v>
      </c>
      <c r="AB3021" t="s">
        <v>89</v>
      </c>
      <c r="AC3021" t="s">
        <v>90</v>
      </c>
      <c r="AF3021" t="s">
        <v>93</v>
      </c>
      <c r="AG3021" s="1">
        <v>43843</v>
      </c>
      <c r="AH3021" t="s">
        <v>85</v>
      </c>
      <c r="AI3021" t="s">
        <v>92</v>
      </c>
      <c r="AJ3021">
        <v>19888</v>
      </c>
      <c r="AK3021">
        <v>128777</v>
      </c>
      <c r="AL3021">
        <v>198882</v>
      </c>
    </row>
    <row r="3022" spans="1:38" x14ac:dyDescent="0.25">
      <c r="A3022" t="s">
        <v>617</v>
      </c>
      <c r="B3022" t="s">
        <v>643</v>
      </c>
      <c r="C3022" t="s">
        <v>40</v>
      </c>
      <c r="D3022" s="1">
        <v>43660</v>
      </c>
      <c r="E3022" s="1">
        <v>44025</v>
      </c>
      <c r="F3022" t="s">
        <v>84</v>
      </c>
      <c r="G3022">
        <v>10</v>
      </c>
      <c r="H3022" t="s">
        <v>85</v>
      </c>
      <c r="I3022" t="s">
        <v>43</v>
      </c>
      <c r="J3022" t="s">
        <v>86</v>
      </c>
      <c r="K3022" t="s">
        <v>44</v>
      </c>
      <c r="L3022">
        <v>22245.75</v>
      </c>
      <c r="M3022" s="1">
        <v>43660</v>
      </c>
      <c r="N3022" t="s">
        <v>45</v>
      </c>
      <c r="O3022" t="s">
        <v>44</v>
      </c>
      <c r="P3022" t="s">
        <v>47</v>
      </c>
      <c r="Q3022" s="1">
        <v>43852</v>
      </c>
      <c r="R3022" t="s">
        <v>48</v>
      </c>
      <c r="S3022" t="s">
        <v>87</v>
      </c>
      <c r="T3022" t="s">
        <v>88</v>
      </c>
      <c r="U3022" t="s">
        <v>85</v>
      </c>
      <c r="V3022">
        <v>1400000</v>
      </c>
      <c r="W3022">
        <v>100000</v>
      </c>
      <c r="X3022" s="1">
        <v>43808</v>
      </c>
      <c r="Y3022" t="s">
        <v>51</v>
      </c>
      <c r="Z3022" t="s">
        <v>43</v>
      </c>
      <c r="AA3022" t="s">
        <v>86</v>
      </c>
      <c r="AB3022" t="s">
        <v>89</v>
      </c>
      <c r="AC3022" t="s">
        <v>90</v>
      </c>
      <c r="AF3022" t="s">
        <v>91</v>
      </c>
      <c r="AG3022" s="1">
        <v>43852</v>
      </c>
      <c r="AH3022" t="s">
        <v>85</v>
      </c>
      <c r="AI3022" t="s">
        <v>92</v>
      </c>
      <c r="AJ3022">
        <v>19888</v>
      </c>
      <c r="AK3022">
        <v>128777</v>
      </c>
      <c r="AL3022">
        <v>198882</v>
      </c>
    </row>
    <row r="3023" spans="1:38" x14ac:dyDescent="0.25">
      <c r="A3023" t="s">
        <v>617</v>
      </c>
      <c r="B3023" t="s">
        <v>643</v>
      </c>
      <c r="C3023" t="s">
        <v>40</v>
      </c>
      <c r="D3023" s="1">
        <v>43660</v>
      </c>
      <c r="E3023" s="1">
        <v>44025</v>
      </c>
      <c r="F3023" t="s">
        <v>84</v>
      </c>
      <c r="G3023">
        <v>10</v>
      </c>
      <c r="H3023" t="s">
        <v>85</v>
      </c>
      <c r="I3023" t="s">
        <v>43</v>
      </c>
      <c r="J3023" t="s">
        <v>86</v>
      </c>
      <c r="K3023" t="s">
        <v>44</v>
      </c>
      <c r="L3023">
        <v>22245.75</v>
      </c>
      <c r="M3023" s="1">
        <v>43660</v>
      </c>
      <c r="N3023" t="s">
        <v>45</v>
      </c>
      <c r="O3023" t="s">
        <v>44</v>
      </c>
      <c r="P3023" t="s">
        <v>47</v>
      </c>
      <c r="Q3023" s="1">
        <v>43852</v>
      </c>
      <c r="R3023" t="s">
        <v>48</v>
      </c>
      <c r="S3023" t="s">
        <v>87</v>
      </c>
      <c r="T3023" t="s">
        <v>88</v>
      </c>
      <c r="U3023" t="s">
        <v>85</v>
      </c>
      <c r="V3023">
        <v>1400000</v>
      </c>
      <c r="W3023">
        <v>100000</v>
      </c>
      <c r="X3023" s="1">
        <v>43808</v>
      </c>
      <c r="Y3023" t="s">
        <v>51</v>
      </c>
      <c r="Z3023" t="s">
        <v>43</v>
      </c>
      <c r="AA3023" t="s">
        <v>86</v>
      </c>
      <c r="AB3023" t="s">
        <v>89</v>
      </c>
      <c r="AC3023" t="s">
        <v>90</v>
      </c>
      <c r="AF3023" t="s">
        <v>93</v>
      </c>
      <c r="AG3023" s="1">
        <v>43843</v>
      </c>
      <c r="AH3023" t="s">
        <v>85</v>
      </c>
      <c r="AI3023" t="s">
        <v>92</v>
      </c>
      <c r="AJ3023">
        <v>19888</v>
      </c>
      <c r="AK3023">
        <v>128777</v>
      </c>
      <c r="AL3023">
        <v>198882</v>
      </c>
    </row>
    <row r="3024" spans="1:38" x14ac:dyDescent="0.25">
      <c r="A3024" t="s">
        <v>617</v>
      </c>
      <c r="B3024" t="s">
        <v>643</v>
      </c>
      <c r="C3024" t="s">
        <v>40</v>
      </c>
      <c r="D3024" s="1">
        <v>43660</v>
      </c>
      <c r="E3024" s="1">
        <v>44025</v>
      </c>
      <c r="F3024" t="s">
        <v>84</v>
      </c>
      <c r="G3024">
        <v>10</v>
      </c>
      <c r="H3024" t="s">
        <v>85</v>
      </c>
      <c r="I3024" t="s">
        <v>43</v>
      </c>
      <c r="J3024" t="s">
        <v>86</v>
      </c>
      <c r="K3024" t="s">
        <v>44</v>
      </c>
      <c r="L3024">
        <v>22245.75</v>
      </c>
      <c r="M3024" s="1">
        <v>43660</v>
      </c>
      <c r="N3024" t="s">
        <v>45</v>
      </c>
      <c r="O3024" t="s">
        <v>44</v>
      </c>
      <c r="P3024" t="s">
        <v>47</v>
      </c>
      <c r="Q3024" s="1">
        <v>43852</v>
      </c>
      <c r="R3024" t="s">
        <v>48</v>
      </c>
      <c r="S3024" t="s">
        <v>94</v>
      </c>
      <c r="T3024" t="s">
        <v>95</v>
      </c>
      <c r="U3024" t="s">
        <v>85</v>
      </c>
      <c r="V3024">
        <v>4500000</v>
      </c>
      <c r="W3024">
        <v>300000</v>
      </c>
      <c r="X3024" s="1">
        <v>43767</v>
      </c>
      <c r="Y3024" t="s">
        <v>51</v>
      </c>
      <c r="Z3024" t="s">
        <v>43</v>
      </c>
      <c r="AA3024" t="s">
        <v>86</v>
      </c>
      <c r="AB3024" t="s">
        <v>89</v>
      </c>
      <c r="AC3024" t="s">
        <v>90</v>
      </c>
      <c r="AF3024" t="s">
        <v>91</v>
      </c>
      <c r="AG3024" s="1">
        <v>43852</v>
      </c>
      <c r="AH3024" t="s">
        <v>85</v>
      </c>
      <c r="AI3024" t="s">
        <v>92</v>
      </c>
      <c r="AJ3024">
        <v>19888</v>
      </c>
      <c r="AK3024">
        <v>128777</v>
      </c>
      <c r="AL3024">
        <v>198882</v>
      </c>
    </row>
    <row r="3025" spans="1:38" x14ac:dyDescent="0.25">
      <c r="A3025" t="s">
        <v>617</v>
      </c>
      <c r="B3025" t="s">
        <v>643</v>
      </c>
      <c r="C3025" t="s">
        <v>40</v>
      </c>
      <c r="D3025" s="1">
        <v>43660</v>
      </c>
      <c r="E3025" s="1">
        <v>44025</v>
      </c>
      <c r="F3025" t="s">
        <v>84</v>
      </c>
      <c r="G3025">
        <v>10</v>
      </c>
      <c r="H3025" t="s">
        <v>85</v>
      </c>
      <c r="I3025" t="s">
        <v>43</v>
      </c>
      <c r="J3025" t="s">
        <v>86</v>
      </c>
      <c r="K3025" t="s">
        <v>44</v>
      </c>
      <c r="L3025">
        <v>22245.75</v>
      </c>
      <c r="M3025" s="1">
        <v>43660</v>
      </c>
      <c r="N3025" t="s">
        <v>45</v>
      </c>
      <c r="O3025" t="s">
        <v>44</v>
      </c>
      <c r="P3025" t="s">
        <v>47</v>
      </c>
      <c r="Q3025" s="1">
        <v>43852</v>
      </c>
      <c r="R3025" t="s">
        <v>48</v>
      </c>
      <c r="S3025" t="s">
        <v>94</v>
      </c>
      <c r="T3025" t="s">
        <v>95</v>
      </c>
      <c r="U3025" t="s">
        <v>85</v>
      </c>
      <c r="V3025">
        <v>4500000</v>
      </c>
      <c r="W3025">
        <v>300000</v>
      </c>
      <c r="X3025" s="1">
        <v>43767</v>
      </c>
      <c r="Y3025" t="s">
        <v>51</v>
      </c>
      <c r="Z3025" t="s">
        <v>43</v>
      </c>
      <c r="AA3025" t="s">
        <v>86</v>
      </c>
      <c r="AB3025" t="s">
        <v>89</v>
      </c>
      <c r="AC3025" t="s">
        <v>90</v>
      </c>
      <c r="AF3025" t="s">
        <v>93</v>
      </c>
      <c r="AG3025" s="1">
        <v>43843</v>
      </c>
      <c r="AH3025" t="s">
        <v>85</v>
      </c>
      <c r="AI3025" t="s">
        <v>92</v>
      </c>
      <c r="AJ3025">
        <v>19888</v>
      </c>
      <c r="AK3025">
        <v>128777</v>
      </c>
      <c r="AL3025">
        <v>198882</v>
      </c>
    </row>
    <row r="3026" spans="1:38" x14ac:dyDescent="0.25">
      <c r="A3026" t="s">
        <v>617</v>
      </c>
      <c r="B3026" t="s">
        <v>643</v>
      </c>
      <c r="C3026" t="s">
        <v>40</v>
      </c>
      <c r="D3026" s="1">
        <v>43660</v>
      </c>
      <c r="E3026" s="1">
        <v>44025</v>
      </c>
      <c r="F3026" t="s">
        <v>84</v>
      </c>
      <c r="G3026">
        <v>10</v>
      </c>
      <c r="H3026" t="s">
        <v>85</v>
      </c>
      <c r="I3026" t="s">
        <v>43</v>
      </c>
      <c r="J3026" t="s">
        <v>86</v>
      </c>
      <c r="K3026" t="s">
        <v>44</v>
      </c>
      <c r="L3026">
        <v>22245.75</v>
      </c>
      <c r="M3026" s="1">
        <v>43660</v>
      </c>
      <c r="N3026" t="s">
        <v>45</v>
      </c>
      <c r="O3026" t="s">
        <v>44</v>
      </c>
      <c r="P3026" t="s">
        <v>47</v>
      </c>
      <c r="Q3026" s="1">
        <v>43852</v>
      </c>
      <c r="R3026" t="s">
        <v>48</v>
      </c>
      <c r="S3026" t="s">
        <v>96</v>
      </c>
      <c r="T3026" t="s">
        <v>97</v>
      </c>
      <c r="U3026" t="s">
        <v>85</v>
      </c>
      <c r="V3026">
        <v>600000</v>
      </c>
      <c r="W3026">
        <v>100000</v>
      </c>
      <c r="X3026" s="1">
        <v>43799</v>
      </c>
      <c r="Y3026" t="s">
        <v>51</v>
      </c>
      <c r="Z3026" t="s">
        <v>43</v>
      </c>
      <c r="AA3026" t="s">
        <v>98</v>
      </c>
      <c r="AB3026" t="s">
        <v>89</v>
      </c>
      <c r="AC3026" t="s">
        <v>90</v>
      </c>
      <c r="AF3026" t="s">
        <v>91</v>
      </c>
      <c r="AG3026" s="1">
        <v>43852</v>
      </c>
      <c r="AH3026" t="s">
        <v>85</v>
      </c>
      <c r="AI3026" t="s">
        <v>92</v>
      </c>
      <c r="AJ3026">
        <v>19888</v>
      </c>
      <c r="AK3026">
        <v>128777</v>
      </c>
      <c r="AL3026">
        <v>198882</v>
      </c>
    </row>
    <row r="3027" spans="1:38" x14ac:dyDescent="0.25">
      <c r="A3027" t="s">
        <v>617</v>
      </c>
      <c r="B3027" t="s">
        <v>643</v>
      </c>
      <c r="C3027" t="s">
        <v>40</v>
      </c>
      <c r="D3027" s="1">
        <v>43660</v>
      </c>
      <c r="E3027" s="1">
        <v>44025</v>
      </c>
      <c r="F3027" t="s">
        <v>84</v>
      </c>
      <c r="G3027">
        <v>10</v>
      </c>
      <c r="H3027" t="s">
        <v>85</v>
      </c>
      <c r="I3027" t="s">
        <v>43</v>
      </c>
      <c r="J3027" t="s">
        <v>86</v>
      </c>
      <c r="K3027" t="s">
        <v>44</v>
      </c>
      <c r="L3027">
        <v>22245.75</v>
      </c>
      <c r="M3027" s="1">
        <v>43660</v>
      </c>
      <c r="N3027" t="s">
        <v>45</v>
      </c>
      <c r="O3027" t="s">
        <v>44</v>
      </c>
      <c r="P3027" t="s">
        <v>47</v>
      </c>
      <c r="Q3027" s="1">
        <v>43852</v>
      </c>
      <c r="R3027" t="s">
        <v>48</v>
      </c>
      <c r="S3027" t="s">
        <v>96</v>
      </c>
      <c r="T3027" t="s">
        <v>97</v>
      </c>
      <c r="U3027" t="s">
        <v>85</v>
      </c>
      <c r="V3027">
        <v>600000</v>
      </c>
      <c r="W3027">
        <v>100000</v>
      </c>
      <c r="X3027" s="1">
        <v>43799</v>
      </c>
      <c r="Y3027" t="s">
        <v>51</v>
      </c>
      <c r="Z3027" t="s">
        <v>43</v>
      </c>
      <c r="AA3027" t="s">
        <v>98</v>
      </c>
      <c r="AB3027" t="s">
        <v>89</v>
      </c>
      <c r="AC3027" t="s">
        <v>90</v>
      </c>
      <c r="AF3027" t="s">
        <v>93</v>
      </c>
      <c r="AG3027" s="1">
        <v>43843</v>
      </c>
      <c r="AH3027" t="s">
        <v>85</v>
      </c>
      <c r="AI3027" t="s">
        <v>92</v>
      </c>
      <c r="AJ3027">
        <v>19888</v>
      </c>
      <c r="AK3027">
        <v>128777</v>
      </c>
      <c r="AL3027">
        <v>198882</v>
      </c>
    </row>
    <row r="3028" spans="1:38" x14ac:dyDescent="0.25">
      <c r="A3028" t="s">
        <v>617</v>
      </c>
      <c r="B3028" t="s">
        <v>643</v>
      </c>
      <c r="C3028" t="s">
        <v>40</v>
      </c>
      <c r="D3028" s="1">
        <v>43660</v>
      </c>
      <c r="E3028" s="1">
        <v>44025</v>
      </c>
      <c r="F3028" t="s">
        <v>84</v>
      </c>
      <c r="G3028">
        <v>10</v>
      </c>
      <c r="H3028" t="s">
        <v>85</v>
      </c>
      <c r="I3028" t="s">
        <v>43</v>
      </c>
      <c r="J3028" t="s">
        <v>86</v>
      </c>
      <c r="K3028" t="s">
        <v>44</v>
      </c>
      <c r="L3028">
        <v>22245.75</v>
      </c>
      <c r="M3028" s="1">
        <v>43660</v>
      </c>
      <c r="N3028" t="s">
        <v>45</v>
      </c>
      <c r="O3028" t="s">
        <v>44</v>
      </c>
      <c r="P3028" t="s">
        <v>47</v>
      </c>
      <c r="Q3028" s="1">
        <v>43852</v>
      </c>
      <c r="R3028" t="s">
        <v>48</v>
      </c>
      <c r="S3028" t="s">
        <v>99</v>
      </c>
      <c r="T3028" t="s">
        <v>100</v>
      </c>
      <c r="U3028" t="s">
        <v>85</v>
      </c>
      <c r="V3028">
        <v>210000</v>
      </c>
      <c r="W3028">
        <v>35000</v>
      </c>
      <c r="X3028" s="1">
        <v>43799</v>
      </c>
      <c r="Y3028" t="s">
        <v>51</v>
      </c>
      <c r="Z3028" t="s">
        <v>43</v>
      </c>
      <c r="AA3028" t="s">
        <v>98</v>
      </c>
      <c r="AB3028" t="s">
        <v>89</v>
      </c>
      <c r="AC3028" t="s">
        <v>101</v>
      </c>
      <c r="AF3028" t="s">
        <v>91</v>
      </c>
      <c r="AG3028" s="1">
        <v>43852</v>
      </c>
      <c r="AH3028" t="s">
        <v>85</v>
      </c>
      <c r="AI3028" t="s">
        <v>92</v>
      </c>
      <c r="AJ3028">
        <v>19888</v>
      </c>
      <c r="AK3028">
        <v>128777</v>
      </c>
      <c r="AL3028">
        <v>198882</v>
      </c>
    </row>
    <row r="3029" spans="1:38" x14ac:dyDescent="0.25">
      <c r="A3029" t="s">
        <v>617</v>
      </c>
      <c r="B3029" t="s">
        <v>643</v>
      </c>
      <c r="C3029" t="s">
        <v>40</v>
      </c>
      <c r="D3029" s="1">
        <v>43660</v>
      </c>
      <c r="E3029" s="1">
        <v>44025</v>
      </c>
      <c r="F3029" t="s">
        <v>84</v>
      </c>
      <c r="G3029">
        <v>10</v>
      </c>
      <c r="H3029" t="s">
        <v>85</v>
      </c>
      <c r="I3029" t="s">
        <v>43</v>
      </c>
      <c r="J3029" t="s">
        <v>86</v>
      </c>
      <c r="K3029" t="s">
        <v>44</v>
      </c>
      <c r="L3029">
        <v>22245.75</v>
      </c>
      <c r="M3029" s="1">
        <v>43660</v>
      </c>
      <c r="N3029" t="s">
        <v>45</v>
      </c>
      <c r="O3029" t="s">
        <v>44</v>
      </c>
      <c r="P3029" t="s">
        <v>47</v>
      </c>
      <c r="Q3029" s="1">
        <v>43852</v>
      </c>
      <c r="R3029" t="s">
        <v>48</v>
      </c>
      <c r="S3029" t="s">
        <v>99</v>
      </c>
      <c r="T3029" t="s">
        <v>100</v>
      </c>
      <c r="U3029" t="s">
        <v>85</v>
      </c>
      <c r="V3029">
        <v>210000</v>
      </c>
      <c r="W3029">
        <v>35000</v>
      </c>
      <c r="X3029" s="1">
        <v>43799</v>
      </c>
      <c r="Y3029" t="s">
        <v>51</v>
      </c>
      <c r="Z3029" t="s">
        <v>43</v>
      </c>
      <c r="AA3029" t="s">
        <v>98</v>
      </c>
      <c r="AB3029" t="s">
        <v>89</v>
      </c>
      <c r="AC3029" t="s">
        <v>101</v>
      </c>
      <c r="AF3029" t="s">
        <v>93</v>
      </c>
      <c r="AG3029" s="1">
        <v>43843</v>
      </c>
      <c r="AH3029" t="s">
        <v>85</v>
      </c>
      <c r="AI3029" t="s">
        <v>92</v>
      </c>
      <c r="AJ3029">
        <v>19888</v>
      </c>
      <c r="AK3029">
        <v>128777</v>
      </c>
      <c r="AL3029">
        <v>198882</v>
      </c>
    </row>
    <row r="3030" spans="1:38" x14ac:dyDescent="0.25">
      <c r="A3030" t="s">
        <v>617</v>
      </c>
      <c r="B3030" t="s">
        <v>643</v>
      </c>
      <c r="C3030" t="s">
        <v>40</v>
      </c>
      <c r="D3030" s="1">
        <v>43660</v>
      </c>
      <c r="E3030" s="1">
        <v>44025</v>
      </c>
      <c r="F3030" t="s">
        <v>84</v>
      </c>
      <c r="G3030">
        <v>10</v>
      </c>
      <c r="H3030" t="s">
        <v>85</v>
      </c>
      <c r="I3030" t="s">
        <v>43</v>
      </c>
      <c r="J3030" t="s">
        <v>86</v>
      </c>
      <c r="K3030" t="s">
        <v>44</v>
      </c>
      <c r="L3030">
        <v>22245.75</v>
      </c>
      <c r="M3030" s="1">
        <v>43660</v>
      </c>
      <c r="N3030" t="s">
        <v>45</v>
      </c>
      <c r="O3030" t="s">
        <v>44</v>
      </c>
      <c r="P3030" t="s">
        <v>47</v>
      </c>
      <c r="Q3030" s="1">
        <v>43852</v>
      </c>
      <c r="R3030" t="s">
        <v>48</v>
      </c>
      <c r="S3030" t="s">
        <v>102</v>
      </c>
      <c r="T3030" t="s">
        <v>103</v>
      </c>
      <c r="U3030" t="s">
        <v>85</v>
      </c>
      <c r="V3030">
        <v>5000000</v>
      </c>
      <c r="W3030">
        <v>250000</v>
      </c>
      <c r="X3030" s="1">
        <v>43799</v>
      </c>
      <c r="Y3030" t="s">
        <v>51</v>
      </c>
      <c r="Z3030" t="s">
        <v>43</v>
      </c>
      <c r="AA3030" t="s">
        <v>86</v>
      </c>
      <c r="AB3030" t="s">
        <v>89</v>
      </c>
      <c r="AC3030" t="s">
        <v>90</v>
      </c>
      <c r="AF3030" t="s">
        <v>91</v>
      </c>
      <c r="AG3030" s="1">
        <v>43852</v>
      </c>
      <c r="AH3030" t="s">
        <v>85</v>
      </c>
      <c r="AI3030" t="s">
        <v>92</v>
      </c>
      <c r="AJ3030">
        <v>19888</v>
      </c>
      <c r="AK3030">
        <v>128777</v>
      </c>
      <c r="AL3030">
        <v>198882</v>
      </c>
    </row>
    <row r="3031" spans="1:38" x14ac:dyDescent="0.25">
      <c r="A3031" t="s">
        <v>617</v>
      </c>
      <c r="B3031" t="s">
        <v>643</v>
      </c>
      <c r="C3031" t="s">
        <v>40</v>
      </c>
      <c r="D3031" s="1">
        <v>43660</v>
      </c>
      <c r="E3031" s="1">
        <v>44025</v>
      </c>
      <c r="F3031" t="s">
        <v>84</v>
      </c>
      <c r="G3031">
        <v>10</v>
      </c>
      <c r="H3031" t="s">
        <v>85</v>
      </c>
      <c r="I3031" t="s">
        <v>43</v>
      </c>
      <c r="J3031" t="s">
        <v>86</v>
      </c>
      <c r="K3031" t="s">
        <v>44</v>
      </c>
      <c r="L3031">
        <v>22245.75</v>
      </c>
      <c r="M3031" s="1">
        <v>43660</v>
      </c>
      <c r="N3031" t="s">
        <v>45</v>
      </c>
      <c r="O3031" t="s">
        <v>44</v>
      </c>
      <c r="P3031" t="s">
        <v>47</v>
      </c>
      <c r="Q3031" s="1">
        <v>43852</v>
      </c>
      <c r="R3031" t="s">
        <v>48</v>
      </c>
      <c r="S3031" t="s">
        <v>102</v>
      </c>
      <c r="T3031" t="s">
        <v>103</v>
      </c>
      <c r="U3031" t="s">
        <v>85</v>
      </c>
      <c r="V3031">
        <v>5000000</v>
      </c>
      <c r="W3031">
        <v>250000</v>
      </c>
      <c r="X3031" s="1">
        <v>43799</v>
      </c>
      <c r="Y3031" t="s">
        <v>51</v>
      </c>
      <c r="Z3031" t="s">
        <v>43</v>
      </c>
      <c r="AA3031" t="s">
        <v>86</v>
      </c>
      <c r="AB3031" t="s">
        <v>89</v>
      </c>
      <c r="AC3031" t="s">
        <v>90</v>
      </c>
      <c r="AF3031" t="s">
        <v>93</v>
      </c>
      <c r="AG3031" s="1">
        <v>43843</v>
      </c>
      <c r="AH3031" t="s">
        <v>85</v>
      </c>
      <c r="AI3031" t="s">
        <v>92</v>
      </c>
      <c r="AJ3031">
        <v>19888</v>
      </c>
      <c r="AK3031">
        <v>128777</v>
      </c>
      <c r="AL3031">
        <v>198882</v>
      </c>
    </row>
    <row r="3032" spans="1:38" x14ac:dyDescent="0.25">
      <c r="A3032" t="s">
        <v>617</v>
      </c>
      <c r="B3032" t="s">
        <v>644</v>
      </c>
      <c r="C3032" t="s">
        <v>40</v>
      </c>
      <c r="D3032" s="1">
        <v>43556</v>
      </c>
      <c r="E3032" s="1">
        <v>43921</v>
      </c>
      <c r="F3032" t="s">
        <v>84</v>
      </c>
      <c r="G3032">
        <v>10</v>
      </c>
      <c r="H3032" t="s">
        <v>85</v>
      </c>
      <c r="I3032" t="s">
        <v>43</v>
      </c>
      <c r="J3032" t="s">
        <v>86</v>
      </c>
      <c r="K3032" t="s">
        <v>44</v>
      </c>
      <c r="L3032">
        <v>3346.95</v>
      </c>
      <c r="M3032" s="1">
        <v>43556</v>
      </c>
      <c r="N3032" t="s">
        <v>45</v>
      </c>
      <c r="O3032" t="s">
        <v>44</v>
      </c>
      <c r="P3032" t="s">
        <v>47</v>
      </c>
      <c r="Q3032" s="1">
        <v>43852</v>
      </c>
      <c r="R3032" t="s">
        <v>48</v>
      </c>
      <c r="S3032" t="s">
        <v>87</v>
      </c>
      <c r="T3032" t="s">
        <v>88</v>
      </c>
      <c r="U3032" t="s">
        <v>85</v>
      </c>
      <c r="V3032">
        <v>1400000</v>
      </c>
      <c r="W3032">
        <v>100000</v>
      </c>
      <c r="X3032" s="1">
        <v>43808</v>
      </c>
      <c r="Y3032" t="s">
        <v>51</v>
      </c>
      <c r="Z3032" t="s">
        <v>43</v>
      </c>
      <c r="AA3032" t="s">
        <v>86</v>
      </c>
      <c r="AB3032" t="s">
        <v>89</v>
      </c>
      <c r="AC3032" t="s">
        <v>90</v>
      </c>
      <c r="AF3032" t="s">
        <v>91</v>
      </c>
      <c r="AG3032" s="1">
        <v>43852</v>
      </c>
      <c r="AH3032" t="s">
        <v>85</v>
      </c>
      <c r="AI3032" t="s">
        <v>92</v>
      </c>
      <c r="AJ3032">
        <v>19888</v>
      </c>
      <c r="AK3032">
        <v>128777</v>
      </c>
      <c r="AL3032">
        <v>198882</v>
      </c>
    </row>
    <row r="3033" spans="1:38" x14ac:dyDescent="0.25">
      <c r="A3033" t="s">
        <v>617</v>
      </c>
      <c r="B3033" t="s">
        <v>644</v>
      </c>
      <c r="C3033" t="s">
        <v>40</v>
      </c>
      <c r="D3033" s="1">
        <v>43556</v>
      </c>
      <c r="E3033" s="1">
        <v>43921</v>
      </c>
      <c r="F3033" t="s">
        <v>84</v>
      </c>
      <c r="G3033">
        <v>10</v>
      </c>
      <c r="H3033" t="s">
        <v>85</v>
      </c>
      <c r="I3033" t="s">
        <v>43</v>
      </c>
      <c r="J3033" t="s">
        <v>86</v>
      </c>
      <c r="K3033" t="s">
        <v>44</v>
      </c>
      <c r="L3033">
        <v>3346.95</v>
      </c>
      <c r="M3033" s="1">
        <v>43556</v>
      </c>
      <c r="N3033" t="s">
        <v>45</v>
      </c>
      <c r="O3033" t="s">
        <v>44</v>
      </c>
      <c r="P3033" t="s">
        <v>47</v>
      </c>
      <c r="Q3033" s="1">
        <v>43852</v>
      </c>
      <c r="R3033" t="s">
        <v>48</v>
      </c>
      <c r="S3033" t="s">
        <v>87</v>
      </c>
      <c r="T3033" t="s">
        <v>88</v>
      </c>
      <c r="U3033" t="s">
        <v>85</v>
      </c>
      <c r="V3033">
        <v>1400000</v>
      </c>
      <c r="W3033">
        <v>100000</v>
      </c>
      <c r="X3033" s="1">
        <v>43808</v>
      </c>
      <c r="Y3033" t="s">
        <v>51</v>
      </c>
      <c r="Z3033" t="s">
        <v>43</v>
      </c>
      <c r="AA3033" t="s">
        <v>86</v>
      </c>
      <c r="AB3033" t="s">
        <v>89</v>
      </c>
      <c r="AC3033" t="s">
        <v>90</v>
      </c>
      <c r="AF3033" t="s">
        <v>93</v>
      </c>
      <c r="AG3033" s="1">
        <v>43843</v>
      </c>
      <c r="AH3033" t="s">
        <v>85</v>
      </c>
      <c r="AI3033" t="s">
        <v>92</v>
      </c>
      <c r="AJ3033">
        <v>19888</v>
      </c>
      <c r="AK3033">
        <v>128777</v>
      </c>
      <c r="AL3033">
        <v>198882</v>
      </c>
    </row>
    <row r="3034" spans="1:38" x14ac:dyDescent="0.25">
      <c r="A3034" t="s">
        <v>617</v>
      </c>
      <c r="B3034" t="s">
        <v>644</v>
      </c>
      <c r="C3034" t="s">
        <v>40</v>
      </c>
      <c r="D3034" s="1">
        <v>43556</v>
      </c>
      <c r="E3034" s="1">
        <v>43921</v>
      </c>
      <c r="F3034" t="s">
        <v>84</v>
      </c>
      <c r="G3034">
        <v>10</v>
      </c>
      <c r="H3034" t="s">
        <v>85</v>
      </c>
      <c r="I3034" t="s">
        <v>43</v>
      </c>
      <c r="J3034" t="s">
        <v>86</v>
      </c>
      <c r="K3034" t="s">
        <v>44</v>
      </c>
      <c r="L3034">
        <v>3346.95</v>
      </c>
      <c r="M3034" s="1">
        <v>43556</v>
      </c>
      <c r="N3034" t="s">
        <v>45</v>
      </c>
      <c r="O3034" t="s">
        <v>44</v>
      </c>
      <c r="P3034" t="s">
        <v>47</v>
      </c>
      <c r="Q3034" s="1">
        <v>43852</v>
      </c>
      <c r="R3034" t="s">
        <v>48</v>
      </c>
      <c r="S3034" t="s">
        <v>94</v>
      </c>
      <c r="T3034" t="s">
        <v>95</v>
      </c>
      <c r="U3034" t="s">
        <v>85</v>
      </c>
      <c r="V3034">
        <v>4500000</v>
      </c>
      <c r="W3034">
        <v>300000</v>
      </c>
      <c r="X3034" s="1">
        <v>43767</v>
      </c>
      <c r="Y3034" t="s">
        <v>51</v>
      </c>
      <c r="Z3034" t="s">
        <v>43</v>
      </c>
      <c r="AA3034" t="s">
        <v>86</v>
      </c>
      <c r="AB3034" t="s">
        <v>89</v>
      </c>
      <c r="AC3034" t="s">
        <v>90</v>
      </c>
      <c r="AF3034" t="s">
        <v>91</v>
      </c>
      <c r="AG3034" s="1">
        <v>43852</v>
      </c>
      <c r="AH3034" t="s">
        <v>85</v>
      </c>
      <c r="AI3034" t="s">
        <v>92</v>
      </c>
      <c r="AJ3034">
        <v>19888</v>
      </c>
      <c r="AK3034">
        <v>128777</v>
      </c>
      <c r="AL3034">
        <v>198882</v>
      </c>
    </row>
    <row r="3035" spans="1:38" x14ac:dyDescent="0.25">
      <c r="A3035" t="s">
        <v>617</v>
      </c>
      <c r="B3035" t="s">
        <v>644</v>
      </c>
      <c r="C3035" t="s">
        <v>40</v>
      </c>
      <c r="D3035" s="1">
        <v>43556</v>
      </c>
      <c r="E3035" s="1">
        <v>43921</v>
      </c>
      <c r="F3035" t="s">
        <v>84</v>
      </c>
      <c r="G3035">
        <v>10</v>
      </c>
      <c r="H3035" t="s">
        <v>85</v>
      </c>
      <c r="I3035" t="s">
        <v>43</v>
      </c>
      <c r="J3035" t="s">
        <v>86</v>
      </c>
      <c r="K3035" t="s">
        <v>44</v>
      </c>
      <c r="L3035">
        <v>3346.95</v>
      </c>
      <c r="M3035" s="1">
        <v>43556</v>
      </c>
      <c r="N3035" t="s">
        <v>45</v>
      </c>
      <c r="O3035" t="s">
        <v>44</v>
      </c>
      <c r="P3035" t="s">
        <v>47</v>
      </c>
      <c r="Q3035" s="1">
        <v>43852</v>
      </c>
      <c r="R3035" t="s">
        <v>48</v>
      </c>
      <c r="S3035" t="s">
        <v>94</v>
      </c>
      <c r="T3035" t="s">
        <v>95</v>
      </c>
      <c r="U3035" t="s">
        <v>85</v>
      </c>
      <c r="V3035">
        <v>4500000</v>
      </c>
      <c r="W3035">
        <v>300000</v>
      </c>
      <c r="X3035" s="1">
        <v>43767</v>
      </c>
      <c r="Y3035" t="s">
        <v>51</v>
      </c>
      <c r="Z3035" t="s">
        <v>43</v>
      </c>
      <c r="AA3035" t="s">
        <v>86</v>
      </c>
      <c r="AB3035" t="s">
        <v>89</v>
      </c>
      <c r="AC3035" t="s">
        <v>90</v>
      </c>
      <c r="AF3035" t="s">
        <v>93</v>
      </c>
      <c r="AG3035" s="1">
        <v>43843</v>
      </c>
      <c r="AH3035" t="s">
        <v>85</v>
      </c>
      <c r="AI3035" t="s">
        <v>92</v>
      </c>
      <c r="AJ3035">
        <v>19888</v>
      </c>
      <c r="AK3035">
        <v>128777</v>
      </c>
      <c r="AL3035">
        <v>198882</v>
      </c>
    </row>
    <row r="3036" spans="1:38" x14ac:dyDescent="0.25">
      <c r="A3036" t="s">
        <v>617</v>
      </c>
      <c r="B3036" t="s">
        <v>644</v>
      </c>
      <c r="C3036" t="s">
        <v>40</v>
      </c>
      <c r="D3036" s="1">
        <v>43556</v>
      </c>
      <c r="E3036" s="1">
        <v>43921</v>
      </c>
      <c r="F3036" t="s">
        <v>84</v>
      </c>
      <c r="G3036">
        <v>10</v>
      </c>
      <c r="H3036" t="s">
        <v>85</v>
      </c>
      <c r="I3036" t="s">
        <v>43</v>
      </c>
      <c r="J3036" t="s">
        <v>86</v>
      </c>
      <c r="K3036" t="s">
        <v>44</v>
      </c>
      <c r="L3036">
        <v>3346.95</v>
      </c>
      <c r="M3036" s="1">
        <v>43556</v>
      </c>
      <c r="N3036" t="s">
        <v>45</v>
      </c>
      <c r="O3036" t="s">
        <v>44</v>
      </c>
      <c r="P3036" t="s">
        <v>47</v>
      </c>
      <c r="Q3036" s="1">
        <v>43852</v>
      </c>
      <c r="R3036" t="s">
        <v>48</v>
      </c>
      <c r="S3036" t="s">
        <v>96</v>
      </c>
      <c r="T3036" t="s">
        <v>97</v>
      </c>
      <c r="U3036" t="s">
        <v>85</v>
      </c>
      <c r="V3036">
        <v>600000</v>
      </c>
      <c r="W3036">
        <v>100000</v>
      </c>
      <c r="X3036" s="1">
        <v>43799</v>
      </c>
      <c r="Y3036" t="s">
        <v>51</v>
      </c>
      <c r="Z3036" t="s">
        <v>43</v>
      </c>
      <c r="AA3036" t="s">
        <v>98</v>
      </c>
      <c r="AB3036" t="s">
        <v>89</v>
      </c>
      <c r="AC3036" t="s">
        <v>90</v>
      </c>
      <c r="AF3036" t="s">
        <v>91</v>
      </c>
      <c r="AG3036" s="1">
        <v>43852</v>
      </c>
      <c r="AH3036" t="s">
        <v>85</v>
      </c>
      <c r="AI3036" t="s">
        <v>92</v>
      </c>
      <c r="AJ3036">
        <v>19888</v>
      </c>
      <c r="AK3036">
        <v>128777</v>
      </c>
      <c r="AL3036">
        <v>198882</v>
      </c>
    </row>
    <row r="3037" spans="1:38" x14ac:dyDescent="0.25">
      <c r="A3037" t="s">
        <v>617</v>
      </c>
      <c r="B3037" t="s">
        <v>644</v>
      </c>
      <c r="C3037" t="s">
        <v>40</v>
      </c>
      <c r="D3037" s="1">
        <v>43556</v>
      </c>
      <c r="E3037" s="1">
        <v>43921</v>
      </c>
      <c r="F3037" t="s">
        <v>84</v>
      </c>
      <c r="G3037">
        <v>10</v>
      </c>
      <c r="H3037" t="s">
        <v>85</v>
      </c>
      <c r="I3037" t="s">
        <v>43</v>
      </c>
      <c r="J3037" t="s">
        <v>86</v>
      </c>
      <c r="K3037" t="s">
        <v>44</v>
      </c>
      <c r="L3037">
        <v>3346.95</v>
      </c>
      <c r="M3037" s="1">
        <v>43556</v>
      </c>
      <c r="N3037" t="s">
        <v>45</v>
      </c>
      <c r="O3037" t="s">
        <v>44</v>
      </c>
      <c r="P3037" t="s">
        <v>47</v>
      </c>
      <c r="Q3037" s="1">
        <v>43852</v>
      </c>
      <c r="R3037" t="s">
        <v>48</v>
      </c>
      <c r="S3037" t="s">
        <v>96</v>
      </c>
      <c r="T3037" t="s">
        <v>97</v>
      </c>
      <c r="U3037" t="s">
        <v>85</v>
      </c>
      <c r="V3037">
        <v>600000</v>
      </c>
      <c r="W3037">
        <v>100000</v>
      </c>
      <c r="X3037" s="1">
        <v>43799</v>
      </c>
      <c r="Y3037" t="s">
        <v>51</v>
      </c>
      <c r="Z3037" t="s">
        <v>43</v>
      </c>
      <c r="AA3037" t="s">
        <v>98</v>
      </c>
      <c r="AB3037" t="s">
        <v>89</v>
      </c>
      <c r="AC3037" t="s">
        <v>90</v>
      </c>
      <c r="AF3037" t="s">
        <v>93</v>
      </c>
      <c r="AG3037" s="1">
        <v>43843</v>
      </c>
      <c r="AH3037" t="s">
        <v>85</v>
      </c>
      <c r="AI3037" t="s">
        <v>92</v>
      </c>
      <c r="AJ3037">
        <v>19888</v>
      </c>
      <c r="AK3037">
        <v>128777</v>
      </c>
      <c r="AL3037">
        <v>198882</v>
      </c>
    </row>
    <row r="3038" spans="1:38" x14ac:dyDescent="0.25">
      <c r="A3038" t="s">
        <v>617</v>
      </c>
      <c r="B3038" t="s">
        <v>644</v>
      </c>
      <c r="C3038" t="s">
        <v>40</v>
      </c>
      <c r="D3038" s="1">
        <v>43556</v>
      </c>
      <c r="E3038" s="1">
        <v>43921</v>
      </c>
      <c r="F3038" t="s">
        <v>84</v>
      </c>
      <c r="G3038">
        <v>10</v>
      </c>
      <c r="H3038" t="s">
        <v>85</v>
      </c>
      <c r="I3038" t="s">
        <v>43</v>
      </c>
      <c r="J3038" t="s">
        <v>86</v>
      </c>
      <c r="K3038" t="s">
        <v>44</v>
      </c>
      <c r="L3038">
        <v>3346.95</v>
      </c>
      <c r="M3038" s="1">
        <v>43556</v>
      </c>
      <c r="N3038" t="s">
        <v>45</v>
      </c>
      <c r="O3038" t="s">
        <v>44</v>
      </c>
      <c r="P3038" t="s">
        <v>47</v>
      </c>
      <c r="Q3038" s="1">
        <v>43852</v>
      </c>
      <c r="R3038" t="s">
        <v>48</v>
      </c>
      <c r="S3038" t="s">
        <v>99</v>
      </c>
      <c r="T3038" t="s">
        <v>100</v>
      </c>
      <c r="U3038" t="s">
        <v>85</v>
      </c>
      <c r="V3038">
        <v>210000</v>
      </c>
      <c r="W3038">
        <v>35000</v>
      </c>
      <c r="X3038" s="1">
        <v>43799</v>
      </c>
      <c r="Y3038" t="s">
        <v>51</v>
      </c>
      <c r="Z3038" t="s">
        <v>43</v>
      </c>
      <c r="AA3038" t="s">
        <v>98</v>
      </c>
      <c r="AB3038" t="s">
        <v>89</v>
      </c>
      <c r="AC3038" t="s">
        <v>101</v>
      </c>
      <c r="AF3038" t="s">
        <v>91</v>
      </c>
      <c r="AG3038" s="1">
        <v>43852</v>
      </c>
      <c r="AH3038" t="s">
        <v>85</v>
      </c>
      <c r="AI3038" t="s">
        <v>92</v>
      </c>
      <c r="AJ3038">
        <v>19888</v>
      </c>
      <c r="AK3038">
        <v>128777</v>
      </c>
      <c r="AL3038">
        <v>198882</v>
      </c>
    </row>
    <row r="3039" spans="1:38" x14ac:dyDescent="0.25">
      <c r="A3039" t="s">
        <v>617</v>
      </c>
      <c r="B3039" t="s">
        <v>644</v>
      </c>
      <c r="C3039" t="s">
        <v>40</v>
      </c>
      <c r="D3039" s="1">
        <v>43556</v>
      </c>
      <c r="E3039" s="1">
        <v>43921</v>
      </c>
      <c r="F3039" t="s">
        <v>84</v>
      </c>
      <c r="G3039">
        <v>10</v>
      </c>
      <c r="H3039" t="s">
        <v>85</v>
      </c>
      <c r="I3039" t="s">
        <v>43</v>
      </c>
      <c r="J3039" t="s">
        <v>86</v>
      </c>
      <c r="K3039" t="s">
        <v>44</v>
      </c>
      <c r="L3039">
        <v>3346.95</v>
      </c>
      <c r="M3039" s="1">
        <v>43556</v>
      </c>
      <c r="N3039" t="s">
        <v>45</v>
      </c>
      <c r="O3039" t="s">
        <v>44</v>
      </c>
      <c r="P3039" t="s">
        <v>47</v>
      </c>
      <c r="Q3039" s="1">
        <v>43852</v>
      </c>
      <c r="R3039" t="s">
        <v>48</v>
      </c>
      <c r="S3039" t="s">
        <v>99</v>
      </c>
      <c r="T3039" t="s">
        <v>100</v>
      </c>
      <c r="U3039" t="s">
        <v>85</v>
      </c>
      <c r="V3039">
        <v>210000</v>
      </c>
      <c r="W3039">
        <v>35000</v>
      </c>
      <c r="X3039" s="1">
        <v>43799</v>
      </c>
      <c r="Y3039" t="s">
        <v>51</v>
      </c>
      <c r="Z3039" t="s">
        <v>43</v>
      </c>
      <c r="AA3039" t="s">
        <v>98</v>
      </c>
      <c r="AB3039" t="s">
        <v>89</v>
      </c>
      <c r="AC3039" t="s">
        <v>101</v>
      </c>
      <c r="AF3039" t="s">
        <v>93</v>
      </c>
      <c r="AG3039" s="1">
        <v>43843</v>
      </c>
      <c r="AH3039" t="s">
        <v>85</v>
      </c>
      <c r="AI3039" t="s">
        <v>92</v>
      </c>
      <c r="AJ3039">
        <v>19888</v>
      </c>
      <c r="AK3039">
        <v>128777</v>
      </c>
      <c r="AL3039">
        <v>198882</v>
      </c>
    </row>
    <row r="3040" spans="1:38" x14ac:dyDescent="0.25">
      <c r="A3040" t="s">
        <v>617</v>
      </c>
      <c r="B3040" t="s">
        <v>644</v>
      </c>
      <c r="C3040" t="s">
        <v>40</v>
      </c>
      <c r="D3040" s="1">
        <v>43556</v>
      </c>
      <c r="E3040" s="1">
        <v>43921</v>
      </c>
      <c r="F3040" t="s">
        <v>84</v>
      </c>
      <c r="G3040">
        <v>10</v>
      </c>
      <c r="H3040" t="s">
        <v>85</v>
      </c>
      <c r="I3040" t="s">
        <v>43</v>
      </c>
      <c r="J3040" t="s">
        <v>86</v>
      </c>
      <c r="K3040" t="s">
        <v>44</v>
      </c>
      <c r="L3040">
        <v>3346.95</v>
      </c>
      <c r="M3040" s="1">
        <v>43556</v>
      </c>
      <c r="N3040" t="s">
        <v>45</v>
      </c>
      <c r="O3040" t="s">
        <v>44</v>
      </c>
      <c r="P3040" t="s">
        <v>47</v>
      </c>
      <c r="Q3040" s="1">
        <v>43852</v>
      </c>
      <c r="R3040" t="s">
        <v>48</v>
      </c>
      <c r="S3040" t="s">
        <v>102</v>
      </c>
      <c r="T3040" t="s">
        <v>103</v>
      </c>
      <c r="U3040" t="s">
        <v>85</v>
      </c>
      <c r="V3040">
        <v>5000000</v>
      </c>
      <c r="W3040">
        <v>250000</v>
      </c>
      <c r="X3040" s="1">
        <v>43799</v>
      </c>
      <c r="Y3040" t="s">
        <v>51</v>
      </c>
      <c r="Z3040" t="s">
        <v>43</v>
      </c>
      <c r="AA3040" t="s">
        <v>86</v>
      </c>
      <c r="AB3040" t="s">
        <v>89</v>
      </c>
      <c r="AC3040" t="s">
        <v>90</v>
      </c>
      <c r="AF3040" t="s">
        <v>91</v>
      </c>
      <c r="AG3040" s="1">
        <v>43852</v>
      </c>
      <c r="AH3040" t="s">
        <v>85</v>
      </c>
      <c r="AI3040" t="s">
        <v>92</v>
      </c>
      <c r="AJ3040">
        <v>19888</v>
      </c>
      <c r="AK3040">
        <v>128777</v>
      </c>
      <c r="AL3040">
        <v>198882</v>
      </c>
    </row>
    <row r="3041" spans="1:38" x14ac:dyDescent="0.25">
      <c r="A3041" t="s">
        <v>617</v>
      </c>
      <c r="B3041" t="s">
        <v>644</v>
      </c>
      <c r="C3041" t="s">
        <v>40</v>
      </c>
      <c r="D3041" s="1">
        <v>43556</v>
      </c>
      <c r="E3041" s="1">
        <v>43921</v>
      </c>
      <c r="F3041" t="s">
        <v>84</v>
      </c>
      <c r="G3041">
        <v>10</v>
      </c>
      <c r="H3041" t="s">
        <v>85</v>
      </c>
      <c r="I3041" t="s">
        <v>43</v>
      </c>
      <c r="J3041" t="s">
        <v>86</v>
      </c>
      <c r="K3041" t="s">
        <v>44</v>
      </c>
      <c r="L3041">
        <v>3346.95</v>
      </c>
      <c r="M3041" s="1">
        <v>43556</v>
      </c>
      <c r="N3041" t="s">
        <v>45</v>
      </c>
      <c r="O3041" t="s">
        <v>44</v>
      </c>
      <c r="P3041" t="s">
        <v>47</v>
      </c>
      <c r="Q3041" s="1">
        <v>43852</v>
      </c>
      <c r="R3041" t="s">
        <v>48</v>
      </c>
      <c r="S3041" t="s">
        <v>102</v>
      </c>
      <c r="T3041" t="s">
        <v>103</v>
      </c>
      <c r="U3041" t="s">
        <v>85</v>
      </c>
      <c r="V3041">
        <v>5000000</v>
      </c>
      <c r="W3041">
        <v>250000</v>
      </c>
      <c r="X3041" s="1">
        <v>43799</v>
      </c>
      <c r="Y3041" t="s">
        <v>51</v>
      </c>
      <c r="Z3041" t="s">
        <v>43</v>
      </c>
      <c r="AA3041" t="s">
        <v>86</v>
      </c>
      <c r="AB3041" t="s">
        <v>89</v>
      </c>
      <c r="AC3041" t="s">
        <v>90</v>
      </c>
      <c r="AF3041" t="s">
        <v>93</v>
      </c>
      <c r="AG3041" s="1">
        <v>43843</v>
      </c>
      <c r="AH3041" t="s">
        <v>85</v>
      </c>
      <c r="AI3041" t="s">
        <v>92</v>
      </c>
      <c r="AJ3041">
        <v>19888</v>
      </c>
      <c r="AK3041">
        <v>128777</v>
      </c>
      <c r="AL3041">
        <v>198882</v>
      </c>
    </row>
    <row r="3042" spans="1:38" x14ac:dyDescent="0.25">
      <c r="A3042" t="s">
        <v>617</v>
      </c>
      <c r="B3042" t="s">
        <v>645</v>
      </c>
      <c r="C3042" t="s">
        <v>71</v>
      </c>
      <c r="D3042" s="1">
        <v>43304</v>
      </c>
      <c r="E3042" s="1">
        <v>43666</v>
      </c>
      <c r="F3042" t="s">
        <v>77</v>
      </c>
      <c r="G3042">
        <v>3</v>
      </c>
      <c r="H3042" t="s">
        <v>125</v>
      </c>
      <c r="I3042" t="s">
        <v>43</v>
      </c>
      <c r="J3042" t="s">
        <v>126</v>
      </c>
      <c r="K3042" t="s">
        <v>44</v>
      </c>
      <c r="L3042">
        <v>0</v>
      </c>
      <c r="M3042" s="1">
        <v>43304</v>
      </c>
      <c r="N3042" t="s">
        <v>45</v>
      </c>
      <c r="O3042" t="s">
        <v>46</v>
      </c>
      <c r="P3042" t="s">
        <v>47</v>
      </c>
      <c r="Q3042" s="1">
        <v>43852</v>
      </c>
      <c r="R3042" t="s">
        <v>48</v>
      </c>
    </row>
    <row r="3043" spans="1:38" x14ac:dyDescent="0.25">
      <c r="A3043" t="s">
        <v>617</v>
      </c>
      <c r="B3043" t="s">
        <v>646</v>
      </c>
      <c r="C3043" t="s">
        <v>40</v>
      </c>
      <c r="D3043" s="1">
        <v>43669</v>
      </c>
      <c r="E3043" s="1">
        <v>44032</v>
      </c>
      <c r="F3043" t="s">
        <v>77</v>
      </c>
      <c r="G3043">
        <v>3</v>
      </c>
      <c r="H3043" t="s">
        <v>125</v>
      </c>
      <c r="I3043" t="s">
        <v>43</v>
      </c>
      <c r="J3043" t="s">
        <v>126</v>
      </c>
      <c r="K3043" t="s">
        <v>44</v>
      </c>
      <c r="L3043">
        <v>0</v>
      </c>
      <c r="M3043" s="1">
        <v>43669</v>
      </c>
      <c r="N3043" t="s">
        <v>45</v>
      </c>
      <c r="O3043" t="s">
        <v>44</v>
      </c>
      <c r="P3043" t="s">
        <v>47</v>
      </c>
      <c r="Q3043" s="1">
        <v>43852</v>
      </c>
      <c r="R3043" t="s">
        <v>48</v>
      </c>
    </row>
    <row r="3044" spans="1:38" x14ac:dyDescent="0.25">
      <c r="A3044" t="s">
        <v>617</v>
      </c>
      <c r="B3044" t="s">
        <v>647</v>
      </c>
      <c r="C3044" t="s">
        <v>40</v>
      </c>
      <c r="D3044" s="1">
        <v>43466</v>
      </c>
      <c r="E3044" s="1">
        <v>43830</v>
      </c>
      <c r="F3044" t="s">
        <v>77</v>
      </c>
      <c r="G3044">
        <v>3</v>
      </c>
      <c r="H3044" t="s">
        <v>125</v>
      </c>
      <c r="I3044" t="s">
        <v>43</v>
      </c>
      <c r="J3044" t="s">
        <v>126</v>
      </c>
      <c r="K3044" t="s">
        <v>44</v>
      </c>
      <c r="L3044">
        <v>19910.88</v>
      </c>
      <c r="M3044" s="1">
        <v>43466</v>
      </c>
      <c r="N3044" t="s">
        <v>45</v>
      </c>
      <c r="O3044" t="s">
        <v>106</v>
      </c>
      <c r="P3044" t="s">
        <v>47</v>
      </c>
      <c r="Q3044" s="1">
        <v>43852</v>
      </c>
      <c r="R3044" t="s">
        <v>48</v>
      </c>
    </row>
    <row r="3045" spans="1:38" x14ac:dyDescent="0.25">
      <c r="A3045" t="s">
        <v>617</v>
      </c>
      <c r="B3045" t="s">
        <v>647</v>
      </c>
      <c r="C3045" t="s">
        <v>40</v>
      </c>
      <c r="D3045" s="1">
        <v>43466</v>
      </c>
      <c r="E3045" s="1">
        <v>43830</v>
      </c>
      <c r="F3045" t="s">
        <v>77</v>
      </c>
      <c r="G3045">
        <v>3</v>
      </c>
      <c r="H3045" t="s">
        <v>125</v>
      </c>
      <c r="I3045" t="s">
        <v>43</v>
      </c>
      <c r="J3045" t="s">
        <v>126</v>
      </c>
      <c r="K3045" t="s">
        <v>44</v>
      </c>
      <c r="L3045">
        <v>2139.63</v>
      </c>
      <c r="M3045" s="1">
        <v>43495</v>
      </c>
      <c r="N3045" t="s">
        <v>108</v>
      </c>
      <c r="O3045" t="s">
        <v>106</v>
      </c>
      <c r="P3045" t="s">
        <v>47</v>
      </c>
      <c r="Q3045" s="1">
        <v>43852</v>
      </c>
      <c r="R3045" t="s">
        <v>48</v>
      </c>
    </row>
    <row r="3046" spans="1:38" x14ac:dyDescent="0.25">
      <c r="A3046" t="s">
        <v>617</v>
      </c>
      <c r="B3046" t="s">
        <v>648</v>
      </c>
      <c r="C3046" t="s">
        <v>71</v>
      </c>
      <c r="D3046" s="1">
        <v>43101</v>
      </c>
      <c r="E3046" s="1">
        <v>43465</v>
      </c>
      <c r="F3046" t="s">
        <v>77</v>
      </c>
      <c r="G3046">
        <v>3</v>
      </c>
      <c r="H3046" t="s">
        <v>125</v>
      </c>
      <c r="I3046" t="s">
        <v>43</v>
      </c>
      <c r="J3046" t="s">
        <v>126</v>
      </c>
      <c r="K3046" t="s">
        <v>44</v>
      </c>
      <c r="L3046">
        <v>20814.38</v>
      </c>
      <c r="M3046" s="1">
        <v>43101</v>
      </c>
      <c r="N3046" t="s">
        <v>45</v>
      </c>
      <c r="O3046" t="s">
        <v>46</v>
      </c>
      <c r="P3046" t="s">
        <v>47</v>
      </c>
      <c r="Q3046" s="1">
        <v>43852</v>
      </c>
      <c r="R3046" t="s">
        <v>48</v>
      </c>
    </row>
    <row r="3047" spans="1:38" x14ac:dyDescent="0.25">
      <c r="A3047" t="s">
        <v>617</v>
      </c>
      <c r="B3047" t="s">
        <v>649</v>
      </c>
      <c r="C3047" t="s">
        <v>40</v>
      </c>
      <c r="D3047" s="1">
        <v>43160</v>
      </c>
      <c r="E3047" s="1">
        <v>43524</v>
      </c>
      <c r="F3047" t="s">
        <v>41</v>
      </c>
      <c r="G3047">
        <v>3</v>
      </c>
      <c r="H3047" t="s">
        <v>125</v>
      </c>
      <c r="I3047" t="s">
        <v>43</v>
      </c>
      <c r="J3047" t="s">
        <v>126</v>
      </c>
      <c r="K3047" t="s">
        <v>44</v>
      </c>
      <c r="L3047">
        <v>126225</v>
      </c>
      <c r="M3047" s="1">
        <v>43160</v>
      </c>
      <c r="N3047" t="s">
        <v>45</v>
      </c>
      <c r="O3047" t="s">
        <v>46</v>
      </c>
      <c r="P3047" t="s">
        <v>47</v>
      </c>
      <c r="Q3047" s="1">
        <v>43852</v>
      </c>
      <c r="R3047" t="s">
        <v>48</v>
      </c>
      <c r="S3047" t="s">
        <v>41</v>
      </c>
      <c r="T3047" t="s">
        <v>130</v>
      </c>
      <c r="U3047" t="s">
        <v>125</v>
      </c>
      <c r="V3047">
        <v>0</v>
      </c>
      <c r="W3047">
        <v>100000</v>
      </c>
      <c r="X3047" s="1">
        <v>43769</v>
      </c>
      <c r="Y3047" t="s">
        <v>131</v>
      </c>
      <c r="Z3047" t="s">
        <v>43</v>
      </c>
      <c r="AA3047" t="s">
        <v>41</v>
      </c>
      <c r="AB3047" t="s">
        <v>132</v>
      </c>
      <c r="AC3047" t="s">
        <v>133</v>
      </c>
      <c r="AF3047" t="s">
        <v>134</v>
      </c>
      <c r="AG3047" s="1">
        <v>43843</v>
      </c>
      <c r="AH3047" t="s">
        <v>125</v>
      </c>
      <c r="AI3047" t="s">
        <v>92</v>
      </c>
      <c r="AJ3047">
        <v>1278023</v>
      </c>
      <c r="AK3047">
        <v>12365300</v>
      </c>
      <c r="AL3047">
        <v>12900</v>
      </c>
    </row>
    <row r="3048" spans="1:38" x14ac:dyDescent="0.25">
      <c r="A3048" t="s">
        <v>617</v>
      </c>
      <c r="B3048" t="s">
        <v>649</v>
      </c>
      <c r="C3048" t="s">
        <v>40</v>
      </c>
      <c r="D3048" s="1">
        <v>43160</v>
      </c>
      <c r="E3048" s="1">
        <v>43524</v>
      </c>
      <c r="F3048" t="s">
        <v>41</v>
      </c>
      <c r="G3048">
        <v>3</v>
      </c>
      <c r="H3048" t="s">
        <v>125</v>
      </c>
      <c r="I3048" t="s">
        <v>43</v>
      </c>
      <c r="J3048" t="s">
        <v>126</v>
      </c>
      <c r="K3048" t="s">
        <v>44</v>
      </c>
      <c r="L3048">
        <v>126225</v>
      </c>
      <c r="M3048" s="1">
        <v>43160</v>
      </c>
      <c r="N3048" t="s">
        <v>45</v>
      </c>
      <c r="O3048" t="s">
        <v>46</v>
      </c>
      <c r="P3048" t="s">
        <v>47</v>
      </c>
      <c r="Q3048" s="1">
        <v>43852</v>
      </c>
      <c r="R3048" t="s">
        <v>48</v>
      </c>
      <c r="S3048" t="s">
        <v>41</v>
      </c>
      <c r="T3048" t="s">
        <v>130</v>
      </c>
      <c r="U3048" t="s">
        <v>125</v>
      </c>
      <c r="V3048">
        <v>0</v>
      </c>
      <c r="W3048">
        <v>100000</v>
      </c>
      <c r="X3048" s="1">
        <v>43769</v>
      </c>
      <c r="Y3048" t="s">
        <v>131</v>
      </c>
      <c r="Z3048" t="s">
        <v>43</v>
      </c>
      <c r="AA3048" t="s">
        <v>41</v>
      </c>
      <c r="AB3048" t="s">
        <v>132</v>
      </c>
      <c r="AC3048" t="s">
        <v>133</v>
      </c>
      <c r="AF3048" t="s">
        <v>135</v>
      </c>
      <c r="AG3048" s="1">
        <v>43843</v>
      </c>
      <c r="AH3048" t="s">
        <v>125</v>
      </c>
      <c r="AI3048" t="s">
        <v>92</v>
      </c>
      <c r="AJ3048">
        <v>1278023</v>
      </c>
      <c r="AK3048">
        <v>12365300</v>
      </c>
      <c r="AL3048">
        <v>12900</v>
      </c>
    </row>
    <row r="3049" spans="1:38" x14ac:dyDescent="0.25">
      <c r="A3049" t="s">
        <v>617</v>
      </c>
      <c r="B3049" t="s">
        <v>649</v>
      </c>
      <c r="C3049" t="s">
        <v>40</v>
      </c>
      <c r="D3049" s="1">
        <v>43160</v>
      </c>
      <c r="E3049" s="1">
        <v>43524</v>
      </c>
      <c r="F3049" t="s">
        <v>41</v>
      </c>
      <c r="G3049">
        <v>3</v>
      </c>
      <c r="H3049" t="s">
        <v>125</v>
      </c>
      <c r="I3049" t="s">
        <v>43</v>
      </c>
      <c r="J3049" t="s">
        <v>126</v>
      </c>
      <c r="K3049" t="s">
        <v>44</v>
      </c>
      <c r="L3049">
        <v>126225</v>
      </c>
      <c r="M3049" s="1">
        <v>43160</v>
      </c>
      <c r="N3049" t="s">
        <v>45</v>
      </c>
      <c r="O3049" t="s">
        <v>46</v>
      </c>
      <c r="P3049" t="s">
        <v>47</v>
      </c>
      <c r="Q3049" s="1">
        <v>43852</v>
      </c>
      <c r="R3049" t="s">
        <v>48</v>
      </c>
      <c r="S3049" t="s">
        <v>41</v>
      </c>
      <c r="T3049" t="s">
        <v>130</v>
      </c>
      <c r="U3049" t="s">
        <v>125</v>
      </c>
      <c r="V3049">
        <v>0</v>
      </c>
      <c r="W3049">
        <v>100000</v>
      </c>
      <c r="X3049" s="1">
        <v>43769</v>
      </c>
      <c r="Y3049" t="s">
        <v>131</v>
      </c>
      <c r="Z3049" t="s">
        <v>43</v>
      </c>
      <c r="AA3049" t="s">
        <v>41</v>
      </c>
      <c r="AB3049" t="s">
        <v>132</v>
      </c>
      <c r="AC3049" t="s">
        <v>133</v>
      </c>
      <c r="AF3049" t="s">
        <v>136</v>
      </c>
      <c r="AG3049" s="1">
        <v>43839</v>
      </c>
      <c r="AH3049" t="s">
        <v>125</v>
      </c>
      <c r="AI3049" t="s">
        <v>92</v>
      </c>
      <c r="AJ3049">
        <v>1278023</v>
      </c>
      <c r="AK3049">
        <v>12365300</v>
      </c>
      <c r="AL3049">
        <v>12900</v>
      </c>
    </row>
    <row r="3050" spans="1:38" x14ac:dyDescent="0.25">
      <c r="A3050" t="s">
        <v>617</v>
      </c>
      <c r="B3050" t="s">
        <v>649</v>
      </c>
      <c r="C3050" t="s">
        <v>40</v>
      </c>
      <c r="D3050" s="1">
        <v>43160</v>
      </c>
      <c r="E3050" s="1">
        <v>43524</v>
      </c>
      <c r="F3050" t="s">
        <v>41</v>
      </c>
      <c r="G3050">
        <v>3</v>
      </c>
      <c r="H3050" t="s">
        <v>125</v>
      </c>
      <c r="I3050" t="s">
        <v>43</v>
      </c>
      <c r="J3050" t="s">
        <v>126</v>
      </c>
      <c r="K3050" t="s">
        <v>44</v>
      </c>
      <c r="L3050">
        <v>126225</v>
      </c>
      <c r="M3050" s="1">
        <v>43160</v>
      </c>
      <c r="N3050" t="s">
        <v>45</v>
      </c>
      <c r="O3050" t="s">
        <v>46</v>
      </c>
      <c r="P3050" t="s">
        <v>47</v>
      </c>
      <c r="Q3050" s="1">
        <v>43852</v>
      </c>
      <c r="R3050" t="s">
        <v>48</v>
      </c>
      <c r="S3050" t="s">
        <v>41</v>
      </c>
      <c r="T3050" t="s">
        <v>130</v>
      </c>
      <c r="U3050" t="s">
        <v>125</v>
      </c>
      <c r="V3050">
        <v>0</v>
      </c>
      <c r="W3050">
        <v>100000</v>
      </c>
      <c r="X3050" s="1">
        <v>43769</v>
      </c>
      <c r="Y3050" t="s">
        <v>131</v>
      </c>
      <c r="Z3050" t="s">
        <v>43</v>
      </c>
      <c r="AA3050" t="s">
        <v>41</v>
      </c>
      <c r="AB3050" t="s">
        <v>132</v>
      </c>
      <c r="AC3050" t="s">
        <v>133</v>
      </c>
      <c r="AF3050" t="s">
        <v>137</v>
      </c>
      <c r="AG3050" s="1">
        <v>43840</v>
      </c>
      <c r="AH3050" t="s">
        <v>125</v>
      </c>
      <c r="AI3050" t="s">
        <v>92</v>
      </c>
      <c r="AJ3050">
        <v>1278023</v>
      </c>
      <c r="AK3050">
        <v>12365300</v>
      </c>
      <c r="AL3050">
        <v>12900</v>
      </c>
    </row>
    <row r="3051" spans="1:38" x14ac:dyDescent="0.25">
      <c r="A3051" t="s">
        <v>617</v>
      </c>
      <c r="B3051" t="s">
        <v>649</v>
      </c>
      <c r="C3051" t="s">
        <v>40</v>
      </c>
      <c r="D3051" s="1">
        <v>43160</v>
      </c>
      <c r="E3051" s="1">
        <v>43524</v>
      </c>
      <c r="F3051" t="s">
        <v>41</v>
      </c>
      <c r="G3051">
        <v>3</v>
      </c>
      <c r="H3051" t="s">
        <v>125</v>
      </c>
      <c r="I3051" t="s">
        <v>43</v>
      </c>
      <c r="J3051" t="s">
        <v>126</v>
      </c>
      <c r="K3051" t="s">
        <v>44</v>
      </c>
      <c r="L3051">
        <v>126225</v>
      </c>
      <c r="M3051" s="1">
        <v>43160</v>
      </c>
      <c r="N3051" t="s">
        <v>45</v>
      </c>
      <c r="O3051" t="s">
        <v>46</v>
      </c>
      <c r="P3051" t="s">
        <v>47</v>
      </c>
      <c r="Q3051" s="1">
        <v>43852</v>
      </c>
      <c r="R3051" t="s">
        <v>48</v>
      </c>
      <c r="S3051" t="s">
        <v>138</v>
      </c>
      <c r="T3051" t="s">
        <v>139</v>
      </c>
      <c r="U3051" t="s">
        <v>125</v>
      </c>
      <c r="V3051">
        <v>0</v>
      </c>
      <c r="W3051">
        <v>10000</v>
      </c>
      <c r="X3051" s="1">
        <v>43738</v>
      </c>
      <c r="Y3051" t="s">
        <v>140</v>
      </c>
      <c r="Z3051" t="s">
        <v>43</v>
      </c>
      <c r="AA3051" t="s">
        <v>41</v>
      </c>
      <c r="AB3051" t="s">
        <v>132</v>
      </c>
      <c r="AC3051" t="s">
        <v>132</v>
      </c>
      <c r="AF3051" t="s">
        <v>134</v>
      </c>
      <c r="AG3051" s="1">
        <v>43843</v>
      </c>
      <c r="AH3051" t="s">
        <v>125</v>
      </c>
      <c r="AI3051" t="s">
        <v>92</v>
      </c>
      <c r="AJ3051">
        <v>1278023</v>
      </c>
      <c r="AK3051">
        <v>12365300</v>
      </c>
      <c r="AL3051">
        <v>12900</v>
      </c>
    </row>
    <row r="3052" spans="1:38" x14ac:dyDescent="0.25">
      <c r="A3052" t="s">
        <v>617</v>
      </c>
      <c r="B3052" t="s">
        <v>649</v>
      </c>
      <c r="C3052" t="s">
        <v>40</v>
      </c>
      <c r="D3052" s="1">
        <v>43160</v>
      </c>
      <c r="E3052" s="1">
        <v>43524</v>
      </c>
      <c r="F3052" t="s">
        <v>41</v>
      </c>
      <c r="G3052">
        <v>3</v>
      </c>
      <c r="H3052" t="s">
        <v>125</v>
      </c>
      <c r="I3052" t="s">
        <v>43</v>
      </c>
      <c r="J3052" t="s">
        <v>126</v>
      </c>
      <c r="K3052" t="s">
        <v>44</v>
      </c>
      <c r="L3052">
        <v>126225</v>
      </c>
      <c r="M3052" s="1">
        <v>43160</v>
      </c>
      <c r="N3052" t="s">
        <v>45</v>
      </c>
      <c r="O3052" t="s">
        <v>46</v>
      </c>
      <c r="P3052" t="s">
        <v>47</v>
      </c>
      <c r="Q3052" s="1">
        <v>43852</v>
      </c>
      <c r="R3052" t="s">
        <v>48</v>
      </c>
      <c r="S3052" t="s">
        <v>138</v>
      </c>
      <c r="T3052" t="s">
        <v>139</v>
      </c>
      <c r="U3052" t="s">
        <v>125</v>
      </c>
      <c r="V3052">
        <v>0</v>
      </c>
      <c r="W3052">
        <v>10000</v>
      </c>
      <c r="X3052" s="1">
        <v>43738</v>
      </c>
      <c r="Y3052" t="s">
        <v>140</v>
      </c>
      <c r="Z3052" t="s">
        <v>43</v>
      </c>
      <c r="AA3052" t="s">
        <v>41</v>
      </c>
      <c r="AB3052" t="s">
        <v>132</v>
      </c>
      <c r="AC3052" t="s">
        <v>132</v>
      </c>
      <c r="AF3052" t="s">
        <v>135</v>
      </c>
      <c r="AG3052" s="1">
        <v>43843</v>
      </c>
      <c r="AH3052" t="s">
        <v>125</v>
      </c>
      <c r="AI3052" t="s">
        <v>92</v>
      </c>
      <c r="AJ3052">
        <v>1278023</v>
      </c>
      <c r="AK3052">
        <v>12365300</v>
      </c>
      <c r="AL3052">
        <v>12900</v>
      </c>
    </row>
    <row r="3053" spans="1:38" x14ac:dyDescent="0.25">
      <c r="A3053" t="s">
        <v>617</v>
      </c>
      <c r="B3053" t="s">
        <v>649</v>
      </c>
      <c r="C3053" t="s">
        <v>40</v>
      </c>
      <c r="D3053" s="1">
        <v>43160</v>
      </c>
      <c r="E3053" s="1">
        <v>43524</v>
      </c>
      <c r="F3053" t="s">
        <v>41</v>
      </c>
      <c r="G3053">
        <v>3</v>
      </c>
      <c r="H3053" t="s">
        <v>125</v>
      </c>
      <c r="I3053" t="s">
        <v>43</v>
      </c>
      <c r="J3053" t="s">
        <v>126</v>
      </c>
      <c r="K3053" t="s">
        <v>44</v>
      </c>
      <c r="L3053">
        <v>126225</v>
      </c>
      <c r="M3053" s="1">
        <v>43160</v>
      </c>
      <c r="N3053" t="s">
        <v>45</v>
      </c>
      <c r="O3053" t="s">
        <v>46</v>
      </c>
      <c r="P3053" t="s">
        <v>47</v>
      </c>
      <c r="Q3053" s="1">
        <v>43852</v>
      </c>
      <c r="R3053" t="s">
        <v>48</v>
      </c>
      <c r="S3053" t="s">
        <v>138</v>
      </c>
      <c r="T3053" t="s">
        <v>139</v>
      </c>
      <c r="U3053" t="s">
        <v>125</v>
      </c>
      <c r="V3053">
        <v>0</v>
      </c>
      <c r="W3053">
        <v>10000</v>
      </c>
      <c r="X3053" s="1">
        <v>43738</v>
      </c>
      <c r="Y3053" t="s">
        <v>140</v>
      </c>
      <c r="Z3053" t="s">
        <v>43</v>
      </c>
      <c r="AA3053" t="s">
        <v>41</v>
      </c>
      <c r="AB3053" t="s">
        <v>132</v>
      </c>
      <c r="AC3053" t="s">
        <v>132</v>
      </c>
      <c r="AF3053" t="s">
        <v>136</v>
      </c>
      <c r="AG3053" s="1">
        <v>43839</v>
      </c>
      <c r="AH3053" t="s">
        <v>125</v>
      </c>
      <c r="AI3053" t="s">
        <v>92</v>
      </c>
      <c r="AJ3053">
        <v>1278023</v>
      </c>
      <c r="AK3053">
        <v>12365300</v>
      </c>
      <c r="AL3053">
        <v>12900</v>
      </c>
    </row>
    <row r="3054" spans="1:38" x14ac:dyDescent="0.25">
      <c r="A3054" t="s">
        <v>617</v>
      </c>
      <c r="B3054" t="s">
        <v>649</v>
      </c>
      <c r="C3054" t="s">
        <v>40</v>
      </c>
      <c r="D3054" s="1">
        <v>43160</v>
      </c>
      <c r="E3054" s="1">
        <v>43524</v>
      </c>
      <c r="F3054" t="s">
        <v>41</v>
      </c>
      <c r="G3054">
        <v>3</v>
      </c>
      <c r="H3054" t="s">
        <v>125</v>
      </c>
      <c r="I3054" t="s">
        <v>43</v>
      </c>
      <c r="J3054" t="s">
        <v>126</v>
      </c>
      <c r="K3054" t="s">
        <v>44</v>
      </c>
      <c r="L3054">
        <v>126225</v>
      </c>
      <c r="M3054" s="1">
        <v>43160</v>
      </c>
      <c r="N3054" t="s">
        <v>45</v>
      </c>
      <c r="O3054" t="s">
        <v>46</v>
      </c>
      <c r="P3054" t="s">
        <v>47</v>
      </c>
      <c r="Q3054" s="1">
        <v>43852</v>
      </c>
      <c r="R3054" t="s">
        <v>48</v>
      </c>
      <c r="S3054" t="s">
        <v>138</v>
      </c>
      <c r="T3054" t="s">
        <v>139</v>
      </c>
      <c r="U3054" t="s">
        <v>125</v>
      </c>
      <c r="V3054">
        <v>0</v>
      </c>
      <c r="W3054">
        <v>10000</v>
      </c>
      <c r="X3054" s="1">
        <v>43738</v>
      </c>
      <c r="Y3054" t="s">
        <v>140</v>
      </c>
      <c r="Z3054" t="s">
        <v>43</v>
      </c>
      <c r="AA3054" t="s">
        <v>41</v>
      </c>
      <c r="AB3054" t="s">
        <v>132</v>
      </c>
      <c r="AC3054" t="s">
        <v>132</v>
      </c>
      <c r="AF3054" t="s">
        <v>137</v>
      </c>
      <c r="AG3054" s="1">
        <v>43840</v>
      </c>
      <c r="AH3054" t="s">
        <v>125</v>
      </c>
      <c r="AI3054" t="s">
        <v>92</v>
      </c>
      <c r="AJ3054">
        <v>1278023</v>
      </c>
      <c r="AK3054">
        <v>12365300</v>
      </c>
      <c r="AL3054">
        <v>12900</v>
      </c>
    </row>
    <row r="3055" spans="1:38" x14ac:dyDescent="0.25">
      <c r="A3055" t="s">
        <v>617</v>
      </c>
      <c r="B3055" t="s">
        <v>650</v>
      </c>
      <c r="C3055" t="s">
        <v>71</v>
      </c>
      <c r="D3055" s="1">
        <v>43160</v>
      </c>
      <c r="E3055" s="1">
        <v>43524</v>
      </c>
      <c r="F3055" t="s">
        <v>41</v>
      </c>
      <c r="G3055">
        <v>3</v>
      </c>
      <c r="H3055" t="s">
        <v>125</v>
      </c>
      <c r="I3055" t="s">
        <v>43</v>
      </c>
      <c r="J3055" t="s">
        <v>126</v>
      </c>
      <c r="K3055" t="s">
        <v>44</v>
      </c>
      <c r="L3055">
        <v>63112.5</v>
      </c>
      <c r="M3055" s="1">
        <v>43160</v>
      </c>
      <c r="N3055" t="s">
        <v>45</v>
      </c>
      <c r="O3055" t="s">
        <v>46</v>
      </c>
      <c r="P3055" t="s">
        <v>47</v>
      </c>
      <c r="Q3055" s="1">
        <v>43852</v>
      </c>
      <c r="R3055" t="s">
        <v>48</v>
      </c>
      <c r="S3055" t="s">
        <v>41</v>
      </c>
      <c r="T3055" t="s">
        <v>130</v>
      </c>
      <c r="U3055" t="s">
        <v>125</v>
      </c>
      <c r="V3055">
        <v>0</v>
      </c>
      <c r="W3055">
        <v>100000</v>
      </c>
      <c r="X3055" s="1">
        <v>43769</v>
      </c>
      <c r="Y3055" t="s">
        <v>131</v>
      </c>
      <c r="Z3055" t="s">
        <v>43</v>
      </c>
      <c r="AA3055" t="s">
        <v>41</v>
      </c>
      <c r="AB3055" t="s">
        <v>132</v>
      </c>
      <c r="AC3055" t="s">
        <v>133</v>
      </c>
      <c r="AF3055" t="s">
        <v>134</v>
      </c>
      <c r="AG3055" s="1">
        <v>43843</v>
      </c>
      <c r="AH3055" t="s">
        <v>125</v>
      </c>
      <c r="AI3055" t="s">
        <v>92</v>
      </c>
      <c r="AJ3055">
        <v>1278023</v>
      </c>
      <c r="AK3055">
        <v>12365300</v>
      </c>
      <c r="AL3055">
        <v>12900</v>
      </c>
    </row>
    <row r="3056" spans="1:38" x14ac:dyDescent="0.25">
      <c r="A3056" t="s">
        <v>617</v>
      </c>
      <c r="B3056" t="s">
        <v>650</v>
      </c>
      <c r="C3056" t="s">
        <v>71</v>
      </c>
      <c r="D3056" s="1">
        <v>43160</v>
      </c>
      <c r="E3056" s="1">
        <v>43524</v>
      </c>
      <c r="F3056" t="s">
        <v>41</v>
      </c>
      <c r="G3056">
        <v>3</v>
      </c>
      <c r="H3056" t="s">
        <v>125</v>
      </c>
      <c r="I3056" t="s">
        <v>43</v>
      </c>
      <c r="J3056" t="s">
        <v>126</v>
      </c>
      <c r="K3056" t="s">
        <v>44</v>
      </c>
      <c r="L3056">
        <v>63112.5</v>
      </c>
      <c r="M3056" s="1">
        <v>43160</v>
      </c>
      <c r="N3056" t="s">
        <v>45</v>
      </c>
      <c r="O3056" t="s">
        <v>46</v>
      </c>
      <c r="P3056" t="s">
        <v>47</v>
      </c>
      <c r="Q3056" s="1">
        <v>43852</v>
      </c>
      <c r="R3056" t="s">
        <v>48</v>
      </c>
      <c r="S3056" t="s">
        <v>41</v>
      </c>
      <c r="T3056" t="s">
        <v>130</v>
      </c>
      <c r="U3056" t="s">
        <v>125</v>
      </c>
      <c r="V3056">
        <v>0</v>
      </c>
      <c r="W3056">
        <v>100000</v>
      </c>
      <c r="X3056" s="1">
        <v>43769</v>
      </c>
      <c r="Y3056" t="s">
        <v>131</v>
      </c>
      <c r="Z3056" t="s">
        <v>43</v>
      </c>
      <c r="AA3056" t="s">
        <v>41</v>
      </c>
      <c r="AB3056" t="s">
        <v>132</v>
      </c>
      <c r="AC3056" t="s">
        <v>133</v>
      </c>
      <c r="AF3056" t="s">
        <v>135</v>
      </c>
      <c r="AG3056" s="1">
        <v>43843</v>
      </c>
      <c r="AH3056" t="s">
        <v>125</v>
      </c>
      <c r="AI3056" t="s">
        <v>92</v>
      </c>
      <c r="AJ3056">
        <v>1278023</v>
      </c>
      <c r="AK3056">
        <v>12365300</v>
      </c>
      <c r="AL3056">
        <v>12900</v>
      </c>
    </row>
    <row r="3057" spans="1:38" x14ac:dyDescent="0.25">
      <c r="A3057" t="s">
        <v>617</v>
      </c>
      <c r="B3057" t="s">
        <v>650</v>
      </c>
      <c r="C3057" t="s">
        <v>71</v>
      </c>
      <c r="D3057" s="1">
        <v>43160</v>
      </c>
      <c r="E3057" s="1">
        <v>43524</v>
      </c>
      <c r="F3057" t="s">
        <v>41</v>
      </c>
      <c r="G3057">
        <v>3</v>
      </c>
      <c r="H3057" t="s">
        <v>125</v>
      </c>
      <c r="I3057" t="s">
        <v>43</v>
      </c>
      <c r="J3057" t="s">
        <v>126</v>
      </c>
      <c r="K3057" t="s">
        <v>44</v>
      </c>
      <c r="L3057">
        <v>63112.5</v>
      </c>
      <c r="M3057" s="1">
        <v>43160</v>
      </c>
      <c r="N3057" t="s">
        <v>45</v>
      </c>
      <c r="O3057" t="s">
        <v>46</v>
      </c>
      <c r="P3057" t="s">
        <v>47</v>
      </c>
      <c r="Q3057" s="1">
        <v>43852</v>
      </c>
      <c r="R3057" t="s">
        <v>48</v>
      </c>
      <c r="S3057" t="s">
        <v>41</v>
      </c>
      <c r="T3057" t="s">
        <v>130</v>
      </c>
      <c r="U3057" t="s">
        <v>125</v>
      </c>
      <c r="V3057">
        <v>0</v>
      </c>
      <c r="W3057">
        <v>100000</v>
      </c>
      <c r="X3057" s="1">
        <v>43769</v>
      </c>
      <c r="Y3057" t="s">
        <v>131</v>
      </c>
      <c r="Z3057" t="s">
        <v>43</v>
      </c>
      <c r="AA3057" t="s">
        <v>41</v>
      </c>
      <c r="AB3057" t="s">
        <v>132</v>
      </c>
      <c r="AC3057" t="s">
        <v>133</v>
      </c>
      <c r="AF3057" t="s">
        <v>136</v>
      </c>
      <c r="AG3057" s="1">
        <v>43839</v>
      </c>
      <c r="AH3057" t="s">
        <v>125</v>
      </c>
      <c r="AI3057" t="s">
        <v>92</v>
      </c>
      <c r="AJ3057">
        <v>1278023</v>
      </c>
      <c r="AK3057">
        <v>12365300</v>
      </c>
      <c r="AL3057">
        <v>12900</v>
      </c>
    </row>
    <row r="3058" spans="1:38" x14ac:dyDescent="0.25">
      <c r="A3058" t="s">
        <v>617</v>
      </c>
      <c r="B3058" t="s">
        <v>650</v>
      </c>
      <c r="C3058" t="s">
        <v>71</v>
      </c>
      <c r="D3058" s="1">
        <v>43160</v>
      </c>
      <c r="E3058" s="1">
        <v>43524</v>
      </c>
      <c r="F3058" t="s">
        <v>41</v>
      </c>
      <c r="G3058">
        <v>3</v>
      </c>
      <c r="H3058" t="s">
        <v>125</v>
      </c>
      <c r="I3058" t="s">
        <v>43</v>
      </c>
      <c r="J3058" t="s">
        <v>126</v>
      </c>
      <c r="K3058" t="s">
        <v>44</v>
      </c>
      <c r="L3058">
        <v>63112.5</v>
      </c>
      <c r="M3058" s="1">
        <v>43160</v>
      </c>
      <c r="N3058" t="s">
        <v>45</v>
      </c>
      <c r="O3058" t="s">
        <v>46</v>
      </c>
      <c r="P3058" t="s">
        <v>47</v>
      </c>
      <c r="Q3058" s="1">
        <v>43852</v>
      </c>
      <c r="R3058" t="s">
        <v>48</v>
      </c>
      <c r="S3058" t="s">
        <v>41</v>
      </c>
      <c r="T3058" t="s">
        <v>130</v>
      </c>
      <c r="U3058" t="s">
        <v>125</v>
      </c>
      <c r="V3058">
        <v>0</v>
      </c>
      <c r="W3058">
        <v>100000</v>
      </c>
      <c r="X3058" s="1">
        <v>43769</v>
      </c>
      <c r="Y3058" t="s">
        <v>131</v>
      </c>
      <c r="Z3058" t="s">
        <v>43</v>
      </c>
      <c r="AA3058" t="s">
        <v>41</v>
      </c>
      <c r="AB3058" t="s">
        <v>132</v>
      </c>
      <c r="AC3058" t="s">
        <v>133</v>
      </c>
      <c r="AF3058" t="s">
        <v>137</v>
      </c>
      <c r="AG3058" s="1">
        <v>43840</v>
      </c>
      <c r="AH3058" t="s">
        <v>125</v>
      </c>
      <c r="AI3058" t="s">
        <v>92</v>
      </c>
      <c r="AJ3058">
        <v>1278023</v>
      </c>
      <c r="AK3058">
        <v>12365300</v>
      </c>
      <c r="AL3058">
        <v>12900</v>
      </c>
    </row>
    <row r="3059" spans="1:38" x14ac:dyDescent="0.25">
      <c r="A3059" t="s">
        <v>617</v>
      </c>
      <c r="B3059" t="s">
        <v>650</v>
      </c>
      <c r="C3059" t="s">
        <v>71</v>
      </c>
      <c r="D3059" s="1">
        <v>43160</v>
      </c>
      <c r="E3059" s="1">
        <v>43524</v>
      </c>
      <c r="F3059" t="s">
        <v>41</v>
      </c>
      <c r="G3059">
        <v>3</v>
      </c>
      <c r="H3059" t="s">
        <v>125</v>
      </c>
      <c r="I3059" t="s">
        <v>43</v>
      </c>
      <c r="J3059" t="s">
        <v>126</v>
      </c>
      <c r="K3059" t="s">
        <v>44</v>
      </c>
      <c r="L3059">
        <v>63112.5</v>
      </c>
      <c r="M3059" s="1">
        <v>43160</v>
      </c>
      <c r="N3059" t="s">
        <v>45</v>
      </c>
      <c r="O3059" t="s">
        <v>46</v>
      </c>
      <c r="P3059" t="s">
        <v>47</v>
      </c>
      <c r="Q3059" s="1">
        <v>43852</v>
      </c>
      <c r="R3059" t="s">
        <v>48</v>
      </c>
      <c r="S3059" t="s">
        <v>138</v>
      </c>
      <c r="T3059" t="s">
        <v>139</v>
      </c>
      <c r="U3059" t="s">
        <v>125</v>
      </c>
      <c r="V3059">
        <v>0</v>
      </c>
      <c r="W3059">
        <v>10000</v>
      </c>
      <c r="X3059" s="1">
        <v>43738</v>
      </c>
      <c r="Y3059" t="s">
        <v>140</v>
      </c>
      <c r="Z3059" t="s">
        <v>43</v>
      </c>
      <c r="AA3059" t="s">
        <v>41</v>
      </c>
      <c r="AB3059" t="s">
        <v>132</v>
      </c>
      <c r="AC3059" t="s">
        <v>132</v>
      </c>
      <c r="AF3059" t="s">
        <v>134</v>
      </c>
      <c r="AG3059" s="1">
        <v>43843</v>
      </c>
      <c r="AH3059" t="s">
        <v>125</v>
      </c>
      <c r="AI3059" t="s">
        <v>92</v>
      </c>
      <c r="AJ3059">
        <v>1278023</v>
      </c>
      <c r="AK3059">
        <v>12365300</v>
      </c>
      <c r="AL3059">
        <v>12900</v>
      </c>
    </row>
    <row r="3060" spans="1:38" x14ac:dyDescent="0.25">
      <c r="A3060" t="s">
        <v>617</v>
      </c>
      <c r="B3060" t="s">
        <v>650</v>
      </c>
      <c r="C3060" t="s">
        <v>71</v>
      </c>
      <c r="D3060" s="1">
        <v>43160</v>
      </c>
      <c r="E3060" s="1">
        <v>43524</v>
      </c>
      <c r="F3060" t="s">
        <v>41</v>
      </c>
      <c r="G3060">
        <v>3</v>
      </c>
      <c r="H3060" t="s">
        <v>125</v>
      </c>
      <c r="I3060" t="s">
        <v>43</v>
      </c>
      <c r="J3060" t="s">
        <v>126</v>
      </c>
      <c r="K3060" t="s">
        <v>44</v>
      </c>
      <c r="L3060">
        <v>63112.5</v>
      </c>
      <c r="M3060" s="1">
        <v>43160</v>
      </c>
      <c r="N3060" t="s">
        <v>45</v>
      </c>
      <c r="O3060" t="s">
        <v>46</v>
      </c>
      <c r="P3060" t="s">
        <v>47</v>
      </c>
      <c r="Q3060" s="1">
        <v>43852</v>
      </c>
      <c r="R3060" t="s">
        <v>48</v>
      </c>
      <c r="S3060" t="s">
        <v>138</v>
      </c>
      <c r="T3060" t="s">
        <v>139</v>
      </c>
      <c r="U3060" t="s">
        <v>125</v>
      </c>
      <c r="V3060">
        <v>0</v>
      </c>
      <c r="W3060">
        <v>10000</v>
      </c>
      <c r="X3060" s="1">
        <v>43738</v>
      </c>
      <c r="Y3060" t="s">
        <v>140</v>
      </c>
      <c r="Z3060" t="s">
        <v>43</v>
      </c>
      <c r="AA3060" t="s">
        <v>41</v>
      </c>
      <c r="AB3060" t="s">
        <v>132</v>
      </c>
      <c r="AC3060" t="s">
        <v>132</v>
      </c>
      <c r="AF3060" t="s">
        <v>135</v>
      </c>
      <c r="AG3060" s="1">
        <v>43843</v>
      </c>
      <c r="AH3060" t="s">
        <v>125</v>
      </c>
      <c r="AI3060" t="s">
        <v>92</v>
      </c>
      <c r="AJ3060">
        <v>1278023</v>
      </c>
      <c r="AK3060">
        <v>12365300</v>
      </c>
      <c r="AL3060">
        <v>12900</v>
      </c>
    </row>
    <row r="3061" spans="1:38" x14ac:dyDescent="0.25">
      <c r="A3061" t="s">
        <v>617</v>
      </c>
      <c r="B3061" t="s">
        <v>650</v>
      </c>
      <c r="C3061" t="s">
        <v>71</v>
      </c>
      <c r="D3061" s="1">
        <v>43160</v>
      </c>
      <c r="E3061" s="1">
        <v>43524</v>
      </c>
      <c r="F3061" t="s">
        <v>41</v>
      </c>
      <c r="G3061">
        <v>3</v>
      </c>
      <c r="H3061" t="s">
        <v>125</v>
      </c>
      <c r="I3061" t="s">
        <v>43</v>
      </c>
      <c r="J3061" t="s">
        <v>126</v>
      </c>
      <c r="K3061" t="s">
        <v>44</v>
      </c>
      <c r="L3061">
        <v>63112.5</v>
      </c>
      <c r="M3061" s="1">
        <v>43160</v>
      </c>
      <c r="N3061" t="s">
        <v>45</v>
      </c>
      <c r="O3061" t="s">
        <v>46</v>
      </c>
      <c r="P3061" t="s">
        <v>47</v>
      </c>
      <c r="Q3061" s="1">
        <v>43852</v>
      </c>
      <c r="R3061" t="s">
        <v>48</v>
      </c>
      <c r="S3061" t="s">
        <v>138</v>
      </c>
      <c r="T3061" t="s">
        <v>139</v>
      </c>
      <c r="U3061" t="s">
        <v>125</v>
      </c>
      <c r="V3061">
        <v>0</v>
      </c>
      <c r="W3061">
        <v>10000</v>
      </c>
      <c r="X3061" s="1">
        <v>43738</v>
      </c>
      <c r="Y3061" t="s">
        <v>140</v>
      </c>
      <c r="Z3061" t="s">
        <v>43</v>
      </c>
      <c r="AA3061" t="s">
        <v>41</v>
      </c>
      <c r="AB3061" t="s">
        <v>132</v>
      </c>
      <c r="AC3061" t="s">
        <v>132</v>
      </c>
      <c r="AF3061" t="s">
        <v>136</v>
      </c>
      <c r="AG3061" s="1">
        <v>43839</v>
      </c>
      <c r="AH3061" t="s">
        <v>125</v>
      </c>
      <c r="AI3061" t="s">
        <v>92</v>
      </c>
      <c r="AJ3061">
        <v>1278023</v>
      </c>
      <c r="AK3061">
        <v>12365300</v>
      </c>
      <c r="AL3061">
        <v>12900</v>
      </c>
    </row>
    <row r="3062" spans="1:38" x14ac:dyDescent="0.25">
      <c r="A3062" t="s">
        <v>617</v>
      </c>
      <c r="B3062" t="s">
        <v>650</v>
      </c>
      <c r="C3062" t="s">
        <v>71</v>
      </c>
      <c r="D3062" s="1">
        <v>43160</v>
      </c>
      <c r="E3062" s="1">
        <v>43524</v>
      </c>
      <c r="F3062" t="s">
        <v>41</v>
      </c>
      <c r="G3062">
        <v>3</v>
      </c>
      <c r="H3062" t="s">
        <v>125</v>
      </c>
      <c r="I3062" t="s">
        <v>43</v>
      </c>
      <c r="J3062" t="s">
        <v>126</v>
      </c>
      <c r="K3062" t="s">
        <v>44</v>
      </c>
      <c r="L3062">
        <v>63112.5</v>
      </c>
      <c r="M3062" s="1">
        <v>43160</v>
      </c>
      <c r="N3062" t="s">
        <v>45</v>
      </c>
      <c r="O3062" t="s">
        <v>46</v>
      </c>
      <c r="P3062" t="s">
        <v>47</v>
      </c>
      <c r="Q3062" s="1">
        <v>43852</v>
      </c>
      <c r="R3062" t="s">
        <v>48</v>
      </c>
      <c r="S3062" t="s">
        <v>138</v>
      </c>
      <c r="T3062" t="s">
        <v>139</v>
      </c>
      <c r="U3062" t="s">
        <v>125</v>
      </c>
      <c r="V3062">
        <v>0</v>
      </c>
      <c r="W3062">
        <v>10000</v>
      </c>
      <c r="X3062" s="1">
        <v>43738</v>
      </c>
      <c r="Y3062" t="s">
        <v>140</v>
      </c>
      <c r="Z3062" t="s">
        <v>43</v>
      </c>
      <c r="AA3062" t="s">
        <v>41</v>
      </c>
      <c r="AB3062" t="s">
        <v>132</v>
      </c>
      <c r="AC3062" t="s">
        <v>132</v>
      </c>
      <c r="AF3062" t="s">
        <v>137</v>
      </c>
      <c r="AG3062" s="1">
        <v>43840</v>
      </c>
      <c r="AH3062" t="s">
        <v>125</v>
      </c>
      <c r="AI3062" t="s">
        <v>92</v>
      </c>
      <c r="AJ3062">
        <v>1278023</v>
      </c>
      <c r="AK3062">
        <v>12365300</v>
      </c>
      <c r="AL3062">
        <v>12900</v>
      </c>
    </row>
    <row r="3063" spans="1:38" x14ac:dyDescent="0.25">
      <c r="A3063" t="s">
        <v>617</v>
      </c>
      <c r="B3063" t="s">
        <v>651</v>
      </c>
      <c r="C3063" t="s">
        <v>40</v>
      </c>
      <c r="D3063" s="1">
        <v>43525</v>
      </c>
      <c r="E3063" s="1">
        <v>43890</v>
      </c>
      <c r="F3063" t="s">
        <v>41</v>
      </c>
      <c r="G3063">
        <v>3</v>
      </c>
      <c r="H3063" t="s">
        <v>125</v>
      </c>
      <c r="I3063" t="s">
        <v>43</v>
      </c>
      <c r="J3063" t="s">
        <v>126</v>
      </c>
      <c r="K3063" t="s">
        <v>44</v>
      </c>
      <c r="L3063">
        <v>148500</v>
      </c>
      <c r="M3063" s="1">
        <v>43525</v>
      </c>
      <c r="N3063" t="s">
        <v>45</v>
      </c>
      <c r="O3063" t="s">
        <v>44</v>
      </c>
      <c r="P3063" t="s">
        <v>47</v>
      </c>
      <c r="Q3063" s="1">
        <v>43852</v>
      </c>
      <c r="R3063" t="s">
        <v>48</v>
      </c>
      <c r="S3063" t="s">
        <v>41</v>
      </c>
      <c r="T3063" t="s">
        <v>130</v>
      </c>
      <c r="U3063" t="s">
        <v>125</v>
      </c>
      <c r="V3063">
        <v>0</v>
      </c>
      <c r="W3063">
        <v>100000</v>
      </c>
      <c r="X3063" s="1">
        <v>43769</v>
      </c>
      <c r="Y3063" t="s">
        <v>131</v>
      </c>
      <c r="Z3063" t="s">
        <v>43</v>
      </c>
      <c r="AA3063" t="s">
        <v>41</v>
      </c>
      <c r="AB3063" t="s">
        <v>132</v>
      </c>
      <c r="AC3063" t="s">
        <v>133</v>
      </c>
      <c r="AF3063" t="s">
        <v>134</v>
      </c>
      <c r="AG3063" s="1">
        <v>43843</v>
      </c>
      <c r="AH3063" t="s">
        <v>125</v>
      </c>
      <c r="AI3063" t="s">
        <v>92</v>
      </c>
      <c r="AJ3063">
        <v>1278023</v>
      </c>
      <c r="AK3063">
        <v>12365300</v>
      </c>
      <c r="AL3063">
        <v>12900</v>
      </c>
    </row>
    <row r="3064" spans="1:38" x14ac:dyDescent="0.25">
      <c r="A3064" t="s">
        <v>617</v>
      </c>
      <c r="B3064" t="s">
        <v>651</v>
      </c>
      <c r="C3064" t="s">
        <v>40</v>
      </c>
      <c r="D3064" s="1">
        <v>43525</v>
      </c>
      <c r="E3064" s="1">
        <v>43890</v>
      </c>
      <c r="F3064" t="s">
        <v>41</v>
      </c>
      <c r="G3064">
        <v>3</v>
      </c>
      <c r="H3064" t="s">
        <v>125</v>
      </c>
      <c r="I3064" t="s">
        <v>43</v>
      </c>
      <c r="J3064" t="s">
        <v>126</v>
      </c>
      <c r="K3064" t="s">
        <v>44</v>
      </c>
      <c r="L3064">
        <v>148500</v>
      </c>
      <c r="M3064" s="1">
        <v>43525</v>
      </c>
      <c r="N3064" t="s">
        <v>45</v>
      </c>
      <c r="O3064" t="s">
        <v>44</v>
      </c>
      <c r="P3064" t="s">
        <v>47</v>
      </c>
      <c r="Q3064" s="1">
        <v>43852</v>
      </c>
      <c r="R3064" t="s">
        <v>48</v>
      </c>
      <c r="S3064" t="s">
        <v>41</v>
      </c>
      <c r="T3064" t="s">
        <v>130</v>
      </c>
      <c r="U3064" t="s">
        <v>125</v>
      </c>
      <c r="V3064">
        <v>0</v>
      </c>
      <c r="W3064">
        <v>100000</v>
      </c>
      <c r="X3064" s="1">
        <v>43769</v>
      </c>
      <c r="Y3064" t="s">
        <v>131</v>
      </c>
      <c r="Z3064" t="s">
        <v>43</v>
      </c>
      <c r="AA3064" t="s">
        <v>41</v>
      </c>
      <c r="AB3064" t="s">
        <v>132</v>
      </c>
      <c r="AC3064" t="s">
        <v>133</v>
      </c>
      <c r="AF3064" t="s">
        <v>135</v>
      </c>
      <c r="AG3064" s="1">
        <v>43843</v>
      </c>
      <c r="AH3064" t="s">
        <v>125</v>
      </c>
      <c r="AI3064" t="s">
        <v>92</v>
      </c>
      <c r="AJ3064">
        <v>1278023</v>
      </c>
      <c r="AK3064">
        <v>12365300</v>
      </c>
      <c r="AL3064">
        <v>12900</v>
      </c>
    </row>
    <row r="3065" spans="1:38" x14ac:dyDescent="0.25">
      <c r="A3065" t="s">
        <v>617</v>
      </c>
      <c r="B3065" t="s">
        <v>651</v>
      </c>
      <c r="C3065" t="s">
        <v>40</v>
      </c>
      <c r="D3065" s="1">
        <v>43525</v>
      </c>
      <c r="E3065" s="1">
        <v>43890</v>
      </c>
      <c r="F3065" t="s">
        <v>41</v>
      </c>
      <c r="G3065">
        <v>3</v>
      </c>
      <c r="H3065" t="s">
        <v>125</v>
      </c>
      <c r="I3065" t="s">
        <v>43</v>
      </c>
      <c r="J3065" t="s">
        <v>126</v>
      </c>
      <c r="K3065" t="s">
        <v>44</v>
      </c>
      <c r="L3065">
        <v>148500</v>
      </c>
      <c r="M3065" s="1">
        <v>43525</v>
      </c>
      <c r="N3065" t="s">
        <v>45</v>
      </c>
      <c r="O3065" t="s">
        <v>44</v>
      </c>
      <c r="P3065" t="s">
        <v>47</v>
      </c>
      <c r="Q3065" s="1">
        <v>43852</v>
      </c>
      <c r="R3065" t="s">
        <v>48</v>
      </c>
      <c r="S3065" t="s">
        <v>41</v>
      </c>
      <c r="T3065" t="s">
        <v>130</v>
      </c>
      <c r="U3065" t="s">
        <v>125</v>
      </c>
      <c r="V3065">
        <v>0</v>
      </c>
      <c r="W3065">
        <v>100000</v>
      </c>
      <c r="X3065" s="1">
        <v>43769</v>
      </c>
      <c r="Y3065" t="s">
        <v>131</v>
      </c>
      <c r="Z3065" t="s">
        <v>43</v>
      </c>
      <c r="AA3065" t="s">
        <v>41</v>
      </c>
      <c r="AB3065" t="s">
        <v>132</v>
      </c>
      <c r="AC3065" t="s">
        <v>133</v>
      </c>
      <c r="AF3065" t="s">
        <v>136</v>
      </c>
      <c r="AG3065" s="1">
        <v>43839</v>
      </c>
      <c r="AH3065" t="s">
        <v>125</v>
      </c>
      <c r="AI3065" t="s">
        <v>92</v>
      </c>
      <c r="AJ3065">
        <v>1278023</v>
      </c>
      <c r="AK3065">
        <v>12365300</v>
      </c>
      <c r="AL3065">
        <v>12900</v>
      </c>
    </row>
    <row r="3066" spans="1:38" x14ac:dyDescent="0.25">
      <c r="A3066" t="s">
        <v>617</v>
      </c>
      <c r="B3066" t="s">
        <v>651</v>
      </c>
      <c r="C3066" t="s">
        <v>40</v>
      </c>
      <c r="D3066" s="1">
        <v>43525</v>
      </c>
      <c r="E3066" s="1">
        <v>43890</v>
      </c>
      <c r="F3066" t="s">
        <v>41</v>
      </c>
      <c r="G3066">
        <v>3</v>
      </c>
      <c r="H3066" t="s">
        <v>125</v>
      </c>
      <c r="I3066" t="s">
        <v>43</v>
      </c>
      <c r="J3066" t="s">
        <v>126</v>
      </c>
      <c r="K3066" t="s">
        <v>44</v>
      </c>
      <c r="L3066">
        <v>148500</v>
      </c>
      <c r="M3066" s="1">
        <v>43525</v>
      </c>
      <c r="N3066" t="s">
        <v>45</v>
      </c>
      <c r="O3066" t="s">
        <v>44</v>
      </c>
      <c r="P3066" t="s">
        <v>47</v>
      </c>
      <c r="Q3066" s="1">
        <v>43852</v>
      </c>
      <c r="R3066" t="s">
        <v>48</v>
      </c>
      <c r="S3066" t="s">
        <v>41</v>
      </c>
      <c r="T3066" t="s">
        <v>130</v>
      </c>
      <c r="U3066" t="s">
        <v>125</v>
      </c>
      <c r="V3066">
        <v>0</v>
      </c>
      <c r="W3066">
        <v>100000</v>
      </c>
      <c r="X3066" s="1">
        <v>43769</v>
      </c>
      <c r="Y3066" t="s">
        <v>131</v>
      </c>
      <c r="Z3066" t="s">
        <v>43</v>
      </c>
      <c r="AA3066" t="s">
        <v>41</v>
      </c>
      <c r="AB3066" t="s">
        <v>132</v>
      </c>
      <c r="AC3066" t="s">
        <v>133</v>
      </c>
      <c r="AF3066" t="s">
        <v>137</v>
      </c>
      <c r="AG3066" s="1">
        <v>43840</v>
      </c>
      <c r="AH3066" t="s">
        <v>125</v>
      </c>
      <c r="AI3066" t="s">
        <v>92</v>
      </c>
      <c r="AJ3066">
        <v>1278023</v>
      </c>
      <c r="AK3066">
        <v>12365300</v>
      </c>
      <c r="AL3066">
        <v>12900</v>
      </c>
    </row>
    <row r="3067" spans="1:38" x14ac:dyDescent="0.25">
      <c r="A3067" t="s">
        <v>617</v>
      </c>
      <c r="B3067" t="s">
        <v>651</v>
      </c>
      <c r="C3067" t="s">
        <v>40</v>
      </c>
      <c r="D3067" s="1">
        <v>43525</v>
      </c>
      <c r="E3067" s="1">
        <v>43890</v>
      </c>
      <c r="F3067" t="s">
        <v>41</v>
      </c>
      <c r="G3067">
        <v>3</v>
      </c>
      <c r="H3067" t="s">
        <v>125</v>
      </c>
      <c r="I3067" t="s">
        <v>43</v>
      </c>
      <c r="J3067" t="s">
        <v>126</v>
      </c>
      <c r="K3067" t="s">
        <v>44</v>
      </c>
      <c r="L3067">
        <v>148500</v>
      </c>
      <c r="M3067" s="1">
        <v>43525</v>
      </c>
      <c r="N3067" t="s">
        <v>45</v>
      </c>
      <c r="O3067" t="s">
        <v>44</v>
      </c>
      <c r="P3067" t="s">
        <v>47</v>
      </c>
      <c r="Q3067" s="1">
        <v>43852</v>
      </c>
      <c r="R3067" t="s">
        <v>48</v>
      </c>
      <c r="S3067" t="s">
        <v>138</v>
      </c>
      <c r="T3067" t="s">
        <v>139</v>
      </c>
      <c r="U3067" t="s">
        <v>125</v>
      </c>
      <c r="V3067">
        <v>0</v>
      </c>
      <c r="W3067">
        <v>10000</v>
      </c>
      <c r="X3067" s="1">
        <v>43738</v>
      </c>
      <c r="Y3067" t="s">
        <v>140</v>
      </c>
      <c r="Z3067" t="s">
        <v>43</v>
      </c>
      <c r="AA3067" t="s">
        <v>41</v>
      </c>
      <c r="AB3067" t="s">
        <v>132</v>
      </c>
      <c r="AC3067" t="s">
        <v>132</v>
      </c>
      <c r="AF3067" t="s">
        <v>134</v>
      </c>
      <c r="AG3067" s="1">
        <v>43843</v>
      </c>
      <c r="AH3067" t="s">
        <v>125</v>
      </c>
      <c r="AI3067" t="s">
        <v>92</v>
      </c>
      <c r="AJ3067">
        <v>1278023</v>
      </c>
      <c r="AK3067">
        <v>12365300</v>
      </c>
      <c r="AL3067">
        <v>12900</v>
      </c>
    </row>
    <row r="3068" spans="1:38" x14ac:dyDescent="0.25">
      <c r="A3068" t="s">
        <v>617</v>
      </c>
      <c r="B3068" t="s">
        <v>651</v>
      </c>
      <c r="C3068" t="s">
        <v>40</v>
      </c>
      <c r="D3068" s="1">
        <v>43525</v>
      </c>
      <c r="E3068" s="1">
        <v>43890</v>
      </c>
      <c r="F3068" t="s">
        <v>41</v>
      </c>
      <c r="G3068">
        <v>3</v>
      </c>
      <c r="H3068" t="s">
        <v>125</v>
      </c>
      <c r="I3068" t="s">
        <v>43</v>
      </c>
      <c r="J3068" t="s">
        <v>126</v>
      </c>
      <c r="K3068" t="s">
        <v>44</v>
      </c>
      <c r="L3068">
        <v>148500</v>
      </c>
      <c r="M3068" s="1">
        <v>43525</v>
      </c>
      <c r="N3068" t="s">
        <v>45</v>
      </c>
      <c r="O3068" t="s">
        <v>44</v>
      </c>
      <c r="P3068" t="s">
        <v>47</v>
      </c>
      <c r="Q3068" s="1">
        <v>43852</v>
      </c>
      <c r="R3068" t="s">
        <v>48</v>
      </c>
      <c r="S3068" t="s">
        <v>138</v>
      </c>
      <c r="T3068" t="s">
        <v>139</v>
      </c>
      <c r="U3068" t="s">
        <v>125</v>
      </c>
      <c r="V3068">
        <v>0</v>
      </c>
      <c r="W3068">
        <v>10000</v>
      </c>
      <c r="X3068" s="1">
        <v>43738</v>
      </c>
      <c r="Y3068" t="s">
        <v>140</v>
      </c>
      <c r="Z3068" t="s">
        <v>43</v>
      </c>
      <c r="AA3068" t="s">
        <v>41</v>
      </c>
      <c r="AB3068" t="s">
        <v>132</v>
      </c>
      <c r="AC3068" t="s">
        <v>132</v>
      </c>
      <c r="AF3068" t="s">
        <v>135</v>
      </c>
      <c r="AG3068" s="1">
        <v>43843</v>
      </c>
      <c r="AH3068" t="s">
        <v>125</v>
      </c>
      <c r="AI3068" t="s">
        <v>92</v>
      </c>
      <c r="AJ3068">
        <v>1278023</v>
      </c>
      <c r="AK3068">
        <v>12365300</v>
      </c>
      <c r="AL3068">
        <v>12900</v>
      </c>
    </row>
    <row r="3069" spans="1:38" x14ac:dyDescent="0.25">
      <c r="A3069" t="s">
        <v>617</v>
      </c>
      <c r="B3069" t="s">
        <v>651</v>
      </c>
      <c r="C3069" t="s">
        <v>40</v>
      </c>
      <c r="D3069" s="1">
        <v>43525</v>
      </c>
      <c r="E3069" s="1">
        <v>43890</v>
      </c>
      <c r="F3069" t="s">
        <v>41</v>
      </c>
      <c r="G3069">
        <v>3</v>
      </c>
      <c r="H3069" t="s">
        <v>125</v>
      </c>
      <c r="I3069" t="s">
        <v>43</v>
      </c>
      <c r="J3069" t="s">
        <v>126</v>
      </c>
      <c r="K3069" t="s">
        <v>44</v>
      </c>
      <c r="L3069">
        <v>148500</v>
      </c>
      <c r="M3069" s="1">
        <v>43525</v>
      </c>
      <c r="N3069" t="s">
        <v>45</v>
      </c>
      <c r="O3069" t="s">
        <v>44</v>
      </c>
      <c r="P3069" t="s">
        <v>47</v>
      </c>
      <c r="Q3069" s="1">
        <v>43852</v>
      </c>
      <c r="R3069" t="s">
        <v>48</v>
      </c>
      <c r="S3069" t="s">
        <v>138</v>
      </c>
      <c r="T3069" t="s">
        <v>139</v>
      </c>
      <c r="U3069" t="s">
        <v>125</v>
      </c>
      <c r="V3069">
        <v>0</v>
      </c>
      <c r="W3069">
        <v>10000</v>
      </c>
      <c r="X3069" s="1">
        <v>43738</v>
      </c>
      <c r="Y3069" t="s">
        <v>140</v>
      </c>
      <c r="Z3069" t="s">
        <v>43</v>
      </c>
      <c r="AA3069" t="s">
        <v>41</v>
      </c>
      <c r="AB3069" t="s">
        <v>132</v>
      </c>
      <c r="AC3069" t="s">
        <v>132</v>
      </c>
      <c r="AF3069" t="s">
        <v>136</v>
      </c>
      <c r="AG3069" s="1">
        <v>43839</v>
      </c>
      <c r="AH3069" t="s">
        <v>125</v>
      </c>
      <c r="AI3069" t="s">
        <v>92</v>
      </c>
      <c r="AJ3069">
        <v>1278023</v>
      </c>
      <c r="AK3069">
        <v>12365300</v>
      </c>
      <c r="AL3069">
        <v>12900</v>
      </c>
    </row>
    <row r="3070" spans="1:38" x14ac:dyDescent="0.25">
      <c r="A3070" t="s">
        <v>617</v>
      </c>
      <c r="B3070" t="s">
        <v>651</v>
      </c>
      <c r="C3070" t="s">
        <v>40</v>
      </c>
      <c r="D3070" s="1">
        <v>43525</v>
      </c>
      <c r="E3070" s="1">
        <v>43890</v>
      </c>
      <c r="F3070" t="s">
        <v>41</v>
      </c>
      <c r="G3070">
        <v>3</v>
      </c>
      <c r="H3070" t="s">
        <v>125</v>
      </c>
      <c r="I3070" t="s">
        <v>43</v>
      </c>
      <c r="J3070" t="s">
        <v>126</v>
      </c>
      <c r="K3070" t="s">
        <v>44</v>
      </c>
      <c r="L3070">
        <v>148500</v>
      </c>
      <c r="M3070" s="1">
        <v>43525</v>
      </c>
      <c r="N3070" t="s">
        <v>45</v>
      </c>
      <c r="O3070" t="s">
        <v>44</v>
      </c>
      <c r="P3070" t="s">
        <v>47</v>
      </c>
      <c r="Q3070" s="1">
        <v>43852</v>
      </c>
      <c r="R3070" t="s">
        <v>48</v>
      </c>
      <c r="S3070" t="s">
        <v>138</v>
      </c>
      <c r="T3070" t="s">
        <v>139</v>
      </c>
      <c r="U3070" t="s">
        <v>125</v>
      </c>
      <c r="V3070">
        <v>0</v>
      </c>
      <c r="W3070">
        <v>10000</v>
      </c>
      <c r="X3070" s="1">
        <v>43738</v>
      </c>
      <c r="Y3070" t="s">
        <v>140</v>
      </c>
      <c r="Z3070" t="s">
        <v>43</v>
      </c>
      <c r="AA3070" t="s">
        <v>41</v>
      </c>
      <c r="AB3070" t="s">
        <v>132</v>
      </c>
      <c r="AC3070" t="s">
        <v>132</v>
      </c>
      <c r="AF3070" t="s">
        <v>137</v>
      </c>
      <c r="AG3070" s="1">
        <v>43840</v>
      </c>
      <c r="AH3070" t="s">
        <v>125</v>
      </c>
      <c r="AI3070" t="s">
        <v>92</v>
      </c>
      <c r="AJ3070">
        <v>1278023</v>
      </c>
      <c r="AK3070">
        <v>12365300</v>
      </c>
      <c r="AL3070">
        <v>12900</v>
      </c>
    </row>
    <row r="3071" spans="1:38" x14ac:dyDescent="0.25">
      <c r="A3071" t="s">
        <v>617</v>
      </c>
      <c r="B3071">
        <v>12031703</v>
      </c>
      <c r="C3071" t="s">
        <v>40</v>
      </c>
      <c r="D3071" s="1">
        <v>43281</v>
      </c>
      <c r="E3071" s="1">
        <v>43645</v>
      </c>
      <c r="F3071" t="s">
        <v>72</v>
      </c>
      <c r="G3071">
        <v>1</v>
      </c>
      <c r="H3071" t="s">
        <v>42</v>
      </c>
      <c r="I3071" t="s">
        <v>43</v>
      </c>
      <c r="J3071" t="s">
        <v>115</v>
      </c>
      <c r="K3071" t="s">
        <v>44</v>
      </c>
      <c r="L3071">
        <v>39762.71</v>
      </c>
      <c r="M3071" s="1">
        <v>43281</v>
      </c>
      <c r="N3071" t="s">
        <v>45</v>
      </c>
      <c r="O3071" t="s">
        <v>46</v>
      </c>
      <c r="P3071" t="s">
        <v>47</v>
      </c>
      <c r="Q3071" s="1">
        <v>43852</v>
      </c>
      <c r="R3071" t="s">
        <v>48</v>
      </c>
    </row>
    <row r="3072" spans="1:38" x14ac:dyDescent="0.25">
      <c r="A3072" t="s">
        <v>617</v>
      </c>
      <c r="B3072" s="2">
        <v>2.4142E+18</v>
      </c>
      <c r="C3072" t="s">
        <v>40</v>
      </c>
      <c r="D3072" s="1">
        <v>43448</v>
      </c>
      <c r="E3072" s="1">
        <v>43812</v>
      </c>
      <c r="F3072" t="s">
        <v>41</v>
      </c>
      <c r="G3072">
        <v>2</v>
      </c>
      <c r="H3072" t="s">
        <v>67</v>
      </c>
      <c r="I3072" t="s">
        <v>43</v>
      </c>
      <c r="J3072" t="s">
        <v>41</v>
      </c>
      <c r="K3072" t="s">
        <v>127</v>
      </c>
      <c r="L3072">
        <v>28050</v>
      </c>
      <c r="M3072" s="1">
        <v>43448</v>
      </c>
      <c r="N3072" t="s">
        <v>45</v>
      </c>
      <c r="O3072" t="s">
        <v>106</v>
      </c>
      <c r="P3072" t="s">
        <v>47</v>
      </c>
      <c r="Q3072" s="1">
        <v>43852</v>
      </c>
      <c r="R3072" t="s">
        <v>48</v>
      </c>
    </row>
    <row r="3073" spans="1:38" x14ac:dyDescent="0.25">
      <c r="A3073" t="s">
        <v>617</v>
      </c>
      <c r="B3073" s="2">
        <v>2.4142E+18</v>
      </c>
      <c r="C3073" t="s">
        <v>40</v>
      </c>
      <c r="D3073" s="1">
        <v>43448</v>
      </c>
      <c r="E3073" s="1">
        <v>43812</v>
      </c>
      <c r="F3073" t="s">
        <v>41</v>
      </c>
      <c r="G3073">
        <v>2</v>
      </c>
      <c r="H3073" t="s">
        <v>67</v>
      </c>
      <c r="I3073" t="s">
        <v>43</v>
      </c>
      <c r="J3073" t="s">
        <v>41</v>
      </c>
      <c r="K3073" t="s">
        <v>127</v>
      </c>
      <c r="L3073">
        <v>56100</v>
      </c>
      <c r="M3073" s="1">
        <v>43532</v>
      </c>
      <c r="N3073" t="s">
        <v>108</v>
      </c>
      <c r="O3073" t="s">
        <v>106</v>
      </c>
      <c r="P3073" t="s">
        <v>47</v>
      </c>
      <c r="Q3073" s="1">
        <v>43852</v>
      </c>
      <c r="R3073" t="s">
        <v>48</v>
      </c>
    </row>
    <row r="3074" spans="1:38" x14ac:dyDescent="0.25">
      <c r="A3074" t="s">
        <v>617</v>
      </c>
      <c r="B3074" s="2">
        <v>2.4142E+18</v>
      </c>
      <c r="C3074" t="s">
        <v>40</v>
      </c>
      <c r="D3074" s="1">
        <v>43448</v>
      </c>
      <c r="E3074" s="1">
        <v>43812</v>
      </c>
      <c r="F3074" t="s">
        <v>41</v>
      </c>
      <c r="G3074">
        <v>2</v>
      </c>
      <c r="H3074" t="s">
        <v>67</v>
      </c>
      <c r="I3074" t="s">
        <v>43</v>
      </c>
      <c r="J3074" t="s">
        <v>41</v>
      </c>
      <c r="K3074" t="s">
        <v>127</v>
      </c>
      <c r="L3074">
        <v>14025</v>
      </c>
      <c r="M3074" s="1">
        <v>43760</v>
      </c>
      <c r="N3074" t="s">
        <v>108</v>
      </c>
      <c r="O3074" t="s">
        <v>106</v>
      </c>
      <c r="P3074" t="s">
        <v>47</v>
      </c>
      <c r="Q3074" s="1">
        <v>43852</v>
      </c>
      <c r="R3074" t="s">
        <v>48</v>
      </c>
    </row>
    <row r="3075" spans="1:38" x14ac:dyDescent="0.25">
      <c r="A3075" t="s">
        <v>617</v>
      </c>
      <c r="B3075">
        <v>41040284</v>
      </c>
      <c r="C3075" t="s">
        <v>71</v>
      </c>
      <c r="D3075" s="1">
        <v>43199</v>
      </c>
      <c r="E3075" s="1">
        <v>43563</v>
      </c>
      <c r="F3075" t="s">
        <v>77</v>
      </c>
      <c r="G3075">
        <v>11</v>
      </c>
      <c r="H3075" t="s">
        <v>223</v>
      </c>
      <c r="I3075" t="s">
        <v>43</v>
      </c>
      <c r="J3075" t="s">
        <v>77</v>
      </c>
      <c r="K3075" t="s">
        <v>44</v>
      </c>
      <c r="L3075">
        <v>59851.63</v>
      </c>
      <c r="M3075" s="1">
        <v>43199</v>
      </c>
      <c r="N3075" t="s">
        <v>45</v>
      </c>
      <c r="O3075" t="s">
        <v>46</v>
      </c>
      <c r="P3075" t="s">
        <v>47</v>
      </c>
      <c r="Q3075" s="1">
        <v>43852</v>
      </c>
      <c r="R3075" t="s">
        <v>48</v>
      </c>
    </row>
    <row r="3076" spans="1:38" x14ac:dyDescent="0.25">
      <c r="A3076" t="s">
        <v>617</v>
      </c>
      <c r="B3076">
        <v>41046110</v>
      </c>
      <c r="C3076" t="s">
        <v>40</v>
      </c>
      <c r="D3076" s="1">
        <v>43564</v>
      </c>
      <c r="E3076" s="1">
        <v>43929</v>
      </c>
      <c r="F3076" t="s">
        <v>77</v>
      </c>
      <c r="G3076">
        <v>1</v>
      </c>
      <c r="H3076" t="s">
        <v>42</v>
      </c>
      <c r="I3076" t="s">
        <v>43</v>
      </c>
      <c r="J3076" t="s">
        <v>77</v>
      </c>
      <c r="K3076" t="s">
        <v>44</v>
      </c>
      <c r="L3076">
        <v>74250</v>
      </c>
      <c r="M3076" s="1">
        <v>43564</v>
      </c>
      <c r="N3076" t="s">
        <v>45</v>
      </c>
      <c r="O3076" t="s">
        <v>46</v>
      </c>
      <c r="P3076" t="s">
        <v>47</v>
      </c>
      <c r="Q3076" s="1">
        <v>43852</v>
      </c>
      <c r="R3076" t="s">
        <v>48</v>
      </c>
      <c r="S3076" t="s">
        <v>233</v>
      </c>
      <c r="T3076" t="s">
        <v>234</v>
      </c>
      <c r="U3076" t="s">
        <v>42</v>
      </c>
      <c r="V3076">
        <v>0</v>
      </c>
      <c r="W3076">
        <v>100000</v>
      </c>
      <c r="X3076" s="1">
        <v>43982</v>
      </c>
      <c r="Y3076" t="s">
        <v>51</v>
      </c>
      <c r="Z3076" t="s">
        <v>43</v>
      </c>
      <c r="AA3076" t="s">
        <v>77</v>
      </c>
      <c r="AB3076" t="s">
        <v>158</v>
      </c>
      <c r="AC3076" t="s">
        <v>235</v>
      </c>
      <c r="AF3076" t="s">
        <v>54</v>
      </c>
      <c r="AG3076" s="1">
        <v>43832</v>
      </c>
      <c r="AH3076" t="s">
        <v>42</v>
      </c>
      <c r="AI3076" t="s">
        <v>55</v>
      </c>
      <c r="AJ3076">
        <v>12788092</v>
      </c>
      <c r="AK3076">
        <v>250000</v>
      </c>
      <c r="AL3076">
        <v>1500000</v>
      </c>
    </row>
    <row r="3077" spans="1:38" x14ac:dyDescent="0.25">
      <c r="A3077" t="s">
        <v>617</v>
      </c>
      <c r="B3077">
        <v>41046110</v>
      </c>
      <c r="C3077" t="s">
        <v>40</v>
      </c>
      <c r="D3077" s="1">
        <v>43564</v>
      </c>
      <c r="E3077" s="1">
        <v>43929</v>
      </c>
      <c r="F3077" t="s">
        <v>77</v>
      </c>
      <c r="G3077">
        <v>1</v>
      </c>
      <c r="H3077" t="s">
        <v>42</v>
      </c>
      <c r="I3077" t="s">
        <v>43</v>
      </c>
      <c r="J3077" t="s">
        <v>77</v>
      </c>
      <c r="K3077" t="s">
        <v>44</v>
      </c>
      <c r="L3077">
        <v>74250</v>
      </c>
      <c r="M3077" s="1">
        <v>43564</v>
      </c>
      <c r="N3077" t="s">
        <v>45</v>
      </c>
      <c r="O3077" t="s">
        <v>46</v>
      </c>
      <c r="P3077" t="s">
        <v>47</v>
      </c>
      <c r="Q3077" s="1">
        <v>43852</v>
      </c>
      <c r="R3077" t="s">
        <v>48</v>
      </c>
      <c r="S3077" t="s">
        <v>233</v>
      </c>
      <c r="T3077" t="s">
        <v>234</v>
      </c>
      <c r="U3077" t="s">
        <v>42</v>
      </c>
      <c r="V3077">
        <v>0</v>
      </c>
      <c r="W3077">
        <v>100000</v>
      </c>
      <c r="X3077" s="1">
        <v>43982</v>
      </c>
      <c r="Y3077" t="s">
        <v>51</v>
      </c>
      <c r="Z3077" t="s">
        <v>43</v>
      </c>
      <c r="AA3077" t="s">
        <v>77</v>
      </c>
      <c r="AB3077" t="s">
        <v>158</v>
      </c>
      <c r="AC3077" t="s">
        <v>235</v>
      </c>
      <c r="AF3077" t="s">
        <v>56</v>
      </c>
      <c r="AG3077" s="1">
        <v>43833</v>
      </c>
      <c r="AH3077" t="s">
        <v>42</v>
      </c>
      <c r="AI3077" t="s">
        <v>55</v>
      </c>
      <c r="AJ3077">
        <v>12788092</v>
      </c>
      <c r="AK3077">
        <v>250000</v>
      </c>
      <c r="AL3077">
        <v>1500000</v>
      </c>
    </row>
    <row r="3078" spans="1:38" x14ac:dyDescent="0.25">
      <c r="A3078" t="s">
        <v>617</v>
      </c>
      <c r="B3078">
        <v>41046110</v>
      </c>
      <c r="C3078" t="s">
        <v>40</v>
      </c>
      <c r="D3078" s="1">
        <v>43564</v>
      </c>
      <c r="E3078" s="1">
        <v>43929</v>
      </c>
      <c r="F3078" t="s">
        <v>77</v>
      </c>
      <c r="G3078">
        <v>1</v>
      </c>
      <c r="H3078" t="s">
        <v>42</v>
      </c>
      <c r="I3078" t="s">
        <v>43</v>
      </c>
      <c r="J3078" t="s">
        <v>77</v>
      </c>
      <c r="K3078" t="s">
        <v>44</v>
      </c>
      <c r="L3078">
        <v>74250</v>
      </c>
      <c r="M3078" s="1">
        <v>43564</v>
      </c>
      <c r="N3078" t="s">
        <v>45</v>
      </c>
      <c r="O3078" t="s">
        <v>46</v>
      </c>
      <c r="P3078" t="s">
        <v>47</v>
      </c>
      <c r="Q3078" s="1">
        <v>43852</v>
      </c>
      <c r="R3078" t="s">
        <v>48</v>
      </c>
      <c r="S3078" t="s">
        <v>233</v>
      </c>
      <c r="T3078" t="s">
        <v>234</v>
      </c>
      <c r="U3078" t="s">
        <v>42</v>
      </c>
      <c r="V3078">
        <v>0</v>
      </c>
      <c r="W3078">
        <v>100000</v>
      </c>
      <c r="X3078" s="1">
        <v>43982</v>
      </c>
      <c r="Y3078" t="s">
        <v>51</v>
      </c>
      <c r="Z3078" t="s">
        <v>43</v>
      </c>
      <c r="AA3078" t="s">
        <v>77</v>
      </c>
      <c r="AB3078" t="s">
        <v>158</v>
      </c>
      <c r="AC3078" t="s">
        <v>235</v>
      </c>
      <c r="AF3078" t="s">
        <v>57</v>
      </c>
      <c r="AG3078" s="1">
        <v>43836</v>
      </c>
      <c r="AH3078" t="s">
        <v>42</v>
      </c>
      <c r="AI3078" t="s">
        <v>55</v>
      </c>
      <c r="AJ3078">
        <v>12788092</v>
      </c>
      <c r="AK3078">
        <v>250000</v>
      </c>
      <c r="AL3078">
        <v>1500000</v>
      </c>
    </row>
    <row r="3079" spans="1:38" x14ac:dyDescent="0.25">
      <c r="A3079" t="s">
        <v>617</v>
      </c>
      <c r="B3079">
        <v>41046110</v>
      </c>
      <c r="C3079" t="s">
        <v>40</v>
      </c>
      <c r="D3079" s="1">
        <v>43564</v>
      </c>
      <c r="E3079" s="1">
        <v>43929</v>
      </c>
      <c r="F3079" t="s">
        <v>77</v>
      </c>
      <c r="G3079">
        <v>1</v>
      </c>
      <c r="H3079" t="s">
        <v>42</v>
      </c>
      <c r="I3079" t="s">
        <v>43</v>
      </c>
      <c r="J3079" t="s">
        <v>77</v>
      </c>
      <c r="K3079" t="s">
        <v>44</v>
      </c>
      <c r="L3079">
        <v>74250</v>
      </c>
      <c r="M3079" s="1">
        <v>43564</v>
      </c>
      <c r="N3079" t="s">
        <v>45</v>
      </c>
      <c r="O3079" t="s">
        <v>46</v>
      </c>
      <c r="P3079" t="s">
        <v>47</v>
      </c>
      <c r="Q3079" s="1">
        <v>43852</v>
      </c>
      <c r="R3079" t="s">
        <v>48</v>
      </c>
      <c r="S3079" t="s">
        <v>233</v>
      </c>
      <c r="T3079" t="s">
        <v>234</v>
      </c>
      <c r="U3079" t="s">
        <v>42</v>
      </c>
      <c r="V3079">
        <v>0</v>
      </c>
      <c r="W3079">
        <v>100000</v>
      </c>
      <c r="X3079" s="1">
        <v>43982</v>
      </c>
      <c r="Y3079" t="s">
        <v>51</v>
      </c>
      <c r="Z3079" t="s">
        <v>43</v>
      </c>
      <c r="AA3079" t="s">
        <v>77</v>
      </c>
      <c r="AB3079" t="s">
        <v>158</v>
      </c>
      <c r="AC3079" t="s">
        <v>235</v>
      </c>
      <c r="AF3079" t="s">
        <v>58</v>
      </c>
      <c r="AG3079" s="1">
        <v>43837</v>
      </c>
      <c r="AH3079" t="s">
        <v>42</v>
      </c>
      <c r="AI3079" t="s">
        <v>55</v>
      </c>
      <c r="AJ3079">
        <v>12788092</v>
      </c>
      <c r="AK3079">
        <v>250000</v>
      </c>
      <c r="AL3079">
        <v>1500000</v>
      </c>
    </row>
    <row r="3080" spans="1:38" x14ac:dyDescent="0.25">
      <c r="A3080" t="s">
        <v>617</v>
      </c>
      <c r="B3080">
        <v>41046110</v>
      </c>
      <c r="C3080" t="s">
        <v>40</v>
      </c>
      <c r="D3080" s="1">
        <v>43564</v>
      </c>
      <c r="E3080" s="1">
        <v>43929</v>
      </c>
      <c r="F3080" t="s">
        <v>77</v>
      </c>
      <c r="G3080">
        <v>1</v>
      </c>
      <c r="H3080" t="s">
        <v>42</v>
      </c>
      <c r="I3080" t="s">
        <v>43</v>
      </c>
      <c r="J3080" t="s">
        <v>77</v>
      </c>
      <c r="K3080" t="s">
        <v>44</v>
      </c>
      <c r="L3080">
        <v>74250</v>
      </c>
      <c r="M3080" s="1">
        <v>43564</v>
      </c>
      <c r="N3080" t="s">
        <v>45</v>
      </c>
      <c r="O3080" t="s">
        <v>46</v>
      </c>
      <c r="P3080" t="s">
        <v>47</v>
      </c>
      <c r="Q3080" s="1">
        <v>43852</v>
      </c>
      <c r="R3080" t="s">
        <v>48</v>
      </c>
      <c r="S3080" t="s">
        <v>233</v>
      </c>
      <c r="T3080" t="s">
        <v>234</v>
      </c>
      <c r="U3080" t="s">
        <v>42</v>
      </c>
      <c r="V3080">
        <v>0</v>
      </c>
      <c r="W3080">
        <v>100000</v>
      </c>
      <c r="X3080" s="1">
        <v>43982</v>
      </c>
      <c r="Y3080" t="s">
        <v>51</v>
      </c>
      <c r="Z3080" t="s">
        <v>43</v>
      </c>
      <c r="AA3080" t="s">
        <v>77</v>
      </c>
      <c r="AB3080" t="s">
        <v>158</v>
      </c>
      <c r="AC3080" t="s">
        <v>235</v>
      </c>
      <c r="AF3080" t="s">
        <v>59</v>
      </c>
      <c r="AG3080" s="1">
        <v>43838</v>
      </c>
      <c r="AH3080" t="s">
        <v>42</v>
      </c>
      <c r="AI3080" t="s">
        <v>55</v>
      </c>
      <c r="AJ3080">
        <v>12788092</v>
      </c>
      <c r="AK3080">
        <v>250000</v>
      </c>
      <c r="AL3080">
        <v>1500000</v>
      </c>
    </row>
    <row r="3081" spans="1:38" x14ac:dyDescent="0.25">
      <c r="A3081" t="s">
        <v>617</v>
      </c>
      <c r="B3081" t="s">
        <v>652</v>
      </c>
      <c r="C3081" t="s">
        <v>40</v>
      </c>
      <c r="D3081" s="1">
        <v>43564</v>
      </c>
      <c r="E3081" s="1">
        <v>43929</v>
      </c>
      <c r="F3081" t="s">
        <v>77</v>
      </c>
      <c r="G3081">
        <v>11</v>
      </c>
      <c r="H3081" t="s">
        <v>223</v>
      </c>
      <c r="I3081" t="s">
        <v>43</v>
      </c>
      <c r="J3081" t="s">
        <v>77</v>
      </c>
      <c r="K3081" t="s">
        <v>44</v>
      </c>
      <c r="L3081">
        <v>68125</v>
      </c>
      <c r="M3081" s="1">
        <v>43564</v>
      </c>
      <c r="N3081" t="s">
        <v>45</v>
      </c>
      <c r="O3081" t="s">
        <v>44</v>
      </c>
      <c r="P3081" t="s">
        <v>47</v>
      </c>
      <c r="Q3081" s="1">
        <v>43852</v>
      </c>
      <c r="R3081" t="s">
        <v>48</v>
      </c>
    </row>
    <row r="3082" spans="1:38" x14ac:dyDescent="0.25">
      <c r="A3082" t="s">
        <v>66</v>
      </c>
      <c r="B3082" s="2">
        <v>2.13E+19</v>
      </c>
      <c r="C3082" t="s">
        <v>71</v>
      </c>
      <c r="D3082" s="1">
        <v>43191</v>
      </c>
      <c r="E3082" s="1">
        <v>43555</v>
      </c>
      <c r="F3082" t="s">
        <v>77</v>
      </c>
      <c r="G3082">
        <v>6</v>
      </c>
      <c r="H3082" t="s">
        <v>187</v>
      </c>
      <c r="I3082" t="s">
        <v>43</v>
      </c>
      <c r="J3082" t="s">
        <v>77</v>
      </c>
      <c r="K3082" t="s">
        <v>68</v>
      </c>
      <c r="L3082">
        <v>117812.5</v>
      </c>
      <c r="M3082" s="1">
        <v>43191</v>
      </c>
      <c r="N3082" t="s">
        <v>45</v>
      </c>
      <c r="O3082" t="s">
        <v>46</v>
      </c>
      <c r="P3082" t="s">
        <v>47</v>
      </c>
      <c r="Q3082" s="1">
        <v>43852</v>
      </c>
      <c r="R3082" t="s">
        <v>48</v>
      </c>
    </row>
    <row r="3083" spans="1:38" x14ac:dyDescent="0.25">
      <c r="A3083" t="s">
        <v>69</v>
      </c>
      <c r="B3083" s="2">
        <v>2.13E+19</v>
      </c>
      <c r="C3083" t="s">
        <v>40</v>
      </c>
      <c r="D3083" s="1">
        <v>43556</v>
      </c>
      <c r="E3083" s="1">
        <v>43921</v>
      </c>
      <c r="F3083" t="s">
        <v>77</v>
      </c>
      <c r="G3083">
        <v>6</v>
      </c>
      <c r="H3083" t="s">
        <v>187</v>
      </c>
      <c r="I3083" t="s">
        <v>43</v>
      </c>
      <c r="J3083" t="s">
        <v>77</v>
      </c>
      <c r="K3083" t="s">
        <v>44</v>
      </c>
      <c r="L3083">
        <v>115625</v>
      </c>
      <c r="M3083" s="1">
        <v>43556</v>
      </c>
      <c r="N3083" t="s">
        <v>45</v>
      </c>
      <c r="O3083" t="s">
        <v>44</v>
      </c>
      <c r="P3083" t="s">
        <v>47</v>
      </c>
      <c r="Q3083" s="1">
        <v>43852</v>
      </c>
      <c r="R3083" t="s">
        <v>48</v>
      </c>
    </row>
    <row r="3084" spans="1:38" x14ac:dyDescent="0.25">
      <c r="A3084" t="s">
        <v>74</v>
      </c>
      <c r="B3084" t="s">
        <v>653</v>
      </c>
      <c r="C3084" t="s">
        <v>40</v>
      </c>
      <c r="D3084" s="1">
        <v>43588</v>
      </c>
      <c r="E3084" s="1">
        <v>43953</v>
      </c>
      <c r="F3084" t="s">
        <v>72</v>
      </c>
      <c r="G3084">
        <v>1</v>
      </c>
      <c r="H3084" t="s">
        <v>42</v>
      </c>
      <c r="I3084" t="s">
        <v>43</v>
      </c>
      <c r="J3084" t="s">
        <v>77</v>
      </c>
      <c r="K3084" t="s">
        <v>44</v>
      </c>
      <c r="L3084">
        <v>10427</v>
      </c>
      <c r="M3084" s="1">
        <v>43588</v>
      </c>
      <c r="N3084" t="s">
        <v>45</v>
      </c>
      <c r="O3084" t="s">
        <v>46</v>
      </c>
      <c r="P3084" t="s">
        <v>47</v>
      </c>
      <c r="Q3084" s="1">
        <v>43852</v>
      </c>
      <c r="R3084" t="s">
        <v>48</v>
      </c>
    </row>
    <row r="3085" spans="1:38" x14ac:dyDescent="0.25">
      <c r="A3085" t="s">
        <v>75</v>
      </c>
      <c r="B3085">
        <v>43168456</v>
      </c>
      <c r="C3085" t="s">
        <v>71</v>
      </c>
      <c r="D3085" s="1">
        <v>43254</v>
      </c>
      <c r="E3085" s="1">
        <v>43618</v>
      </c>
      <c r="F3085" t="s">
        <v>77</v>
      </c>
      <c r="G3085">
        <v>13</v>
      </c>
      <c r="H3085" t="s">
        <v>316</v>
      </c>
      <c r="I3085" t="s">
        <v>43</v>
      </c>
      <c r="J3085" t="s">
        <v>77</v>
      </c>
      <c r="K3085" t="s">
        <v>44</v>
      </c>
      <c r="L3085">
        <v>2930.9</v>
      </c>
      <c r="M3085" s="1">
        <v>43254</v>
      </c>
      <c r="N3085" t="s">
        <v>45</v>
      </c>
      <c r="O3085" t="s">
        <v>46</v>
      </c>
      <c r="P3085" t="s">
        <v>47</v>
      </c>
      <c r="Q3085" s="1">
        <v>43852</v>
      </c>
      <c r="R3085" t="s">
        <v>48</v>
      </c>
    </row>
    <row r="3086" spans="1:38" x14ac:dyDescent="0.25">
      <c r="A3086" t="s">
        <v>82</v>
      </c>
      <c r="B3086">
        <v>43191787</v>
      </c>
      <c r="C3086" t="s">
        <v>40</v>
      </c>
      <c r="D3086" s="1">
        <v>43649</v>
      </c>
      <c r="E3086" s="1">
        <v>44014</v>
      </c>
      <c r="F3086" t="s">
        <v>77</v>
      </c>
      <c r="G3086">
        <v>13</v>
      </c>
      <c r="H3086" t="s">
        <v>316</v>
      </c>
      <c r="I3086" t="s">
        <v>43</v>
      </c>
      <c r="J3086" t="s">
        <v>77</v>
      </c>
      <c r="K3086" t="s">
        <v>44</v>
      </c>
      <c r="L3086">
        <v>6213.24</v>
      </c>
      <c r="M3086" s="1">
        <v>43649</v>
      </c>
      <c r="N3086" t="s">
        <v>45</v>
      </c>
      <c r="O3086" t="s">
        <v>44</v>
      </c>
      <c r="P3086" t="s">
        <v>47</v>
      </c>
      <c r="Q3086" s="1">
        <v>43852</v>
      </c>
      <c r="R3086" t="s">
        <v>48</v>
      </c>
    </row>
    <row r="3087" spans="1:38" x14ac:dyDescent="0.25">
      <c r="A3087" t="s">
        <v>104</v>
      </c>
      <c r="B3087">
        <v>431172859</v>
      </c>
      <c r="C3087" t="s">
        <v>71</v>
      </c>
      <c r="D3087" s="1">
        <v>43365</v>
      </c>
      <c r="E3087" s="1">
        <v>43729</v>
      </c>
      <c r="F3087" t="s">
        <v>76</v>
      </c>
      <c r="G3087">
        <v>3</v>
      </c>
      <c r="H3087" t="s">
        <v>125</v>
      </c>
      <c r="I3087" t="s">
        <v>43</v>
      </c>
      <c r="J3087" t="s">
        <v>126</v>
      </c>
      <c r="K3087" t="s">
        <v>44</v>
      </c>
      <c r="L3087">
        <v>1772.75</v>
      </c>
      <c r="M3087" s="1">
        <v>43730</v>
      </c>
      <c r="N3087" t="s">
        <v>45</v>
      </c>
      <c r="O3087" t="s">
        <v>46</v>
      </c>
      <c r="P3087" t="s">
        <v>47</v>
      </c>
      <c r="Q3087" s="1">
        <v>43852</v>
      </c>
      <c r="R3087" t="s">
        <v>48</v>
      </c>
    </row>
    <row r="3088" spans="1:38" x14ac:dyDescent="0.25">
      <c r="A3088" t="s">
        <v>107</v>
      </c>
      <c r="B3088">
        <v>43196279</v>
      </c>
      <c r="C3088" t="s">
        <v>40</v>
      </c>
      <c r="D3088" s="1">
        <v>43730</v>
      </c>
      <c r="E3088" s="1">
        <v>44095</v>
      </c>
      <c r="F3088" t="s">
        <v>76</v>
      </c>
      <c r="G3088">
        <v>3</v>
      </c>
      <c r="H3088" t="s">
        <v>125</v>
      </c>
      <c r="I3088" t="s">
        <v>43</v>
      </c>
      <c r="J3088" t="s">
        <v>126</v>
      </c>
      <c r="K3088" t="s">
        <v>44</v>
      </c>
      <c r="L3088">
        <v>2970</v>
      </c>
      <c r="M3088" s="1">
        <v>43730</v>
      </c>
      <c r="N3088" t="s">
        <v>45</v>
      </c>
      <c r="O3088" t="s">
        <v>44</v>
      </c>
      <c r="P3088" t="s">
        <v>47</v>
      </c>
      <c r="Q3088" s="1">
        <v>43852</v>
      </c>
      <c r="R3088" t="s">
        <v>48</v>
      </c>
    </row>
    <row r="3089" spans="1:38" x14ac:dyDescent="0.25">
      <c r="A3089" t="s">
        <v>109</v>
      </c>
      <c r="B3089" t="s">
        <v>654</v>
      </c>
      <c r="C3089" t="s">
        <v>71</v>
      </c>
      <c r="D3089" s="1">
        <v>43364</v>
      </c>
      <c r="E3089" s="1">
        <v>43728</v>
      </c>
      <c r="F3089" t="s">
        <v>41</v>
      </c>
      <c r="G3089">
        <v>3</v>
      </c>
      <c r="H3089" t="s">
        <v>125</v>
      </c>
      <c r="I3089" t="s">
        <v>43</v>
      </c>
      <c r="J3089" t="s">
        <v>126</v>
      </c>
      <c r="K3089" t="s">
        <v>44</v>
      </c>
      <c r="L3089">
        <v>5610</v>
      </c>
      <c r="M3089" s="1">
        <v>43729</v>
      </c>
      <c r="N3089" t="s">
        <v>45</v>
      </c>
      <c r="O3089" t="s">
        <v>106</v>
      </c>
      <c r="P3089" t="s">
        <v>47</v>
      </c>
      <c r="Q3089" s="1">
        <v>43852</v>
      </c>
      <c r="R3089" t="s">
        <v>48</v>
      </c>
      <c r="S3089" t="s">
        <v>41</v>
      </c>
      <c r="T3089" t="s">
        <v>130</v>
      </c>
      <c r="U3089" t="s">
        <v>125</v>
      </c>
      <c r="V3089">
        <v>0</v>
      </c>
      <c r="W3089">
        <v>100000</v>
      </c>
      <c r="X3089" s="1">
        <v>43769</v>
      </c>
      <c r="Y3089" t="s">
        <v>131</v>
      </c>
      <c r="Z3089" t="s">
        <v>43</v>
      </c>
      <c r="AA3089" t="s">
        <v>41</v>
      </c>
      <c r="AB3089" t="s">
        <v>132</v>
      </c>
      <c r="AC3089" t="s">
        <v>133</v>
      </c>
      <c r="AF3089" t="s">
        <v>134</v>
      </c>
      <c r="AG3089" s="1">
        <v>43843</v>
      </c>
      <c r="AH3089" t="s">
        <v>125</v>
      </c>
      <c r="AI3089" t="s">
        <v>92</v>
      </c>
      <c r="AJ3089">
        <v>1278023</v>
      </c>
      <c r="AK3089">
        <v>12365300</v>
      </c>
      <c r="AL3089">
        <v>12900</v>
      </c>
    </row>
    <row r="3090" spans="1:38" x14ac:dyDescent="0.25">
      <c r="A3090" t="s">
        <v>109</v>
      </c>
      <c r="B3090" t="s">
        <v>654</v>
      </c>
      <c r="C3090" t="s">
        <v>71</v>
      </c>
      <c r="D3090" s="1">
        <v>43364</v>
      </c>
      <c r="E3090" s="1">
        <v>43728</v>
      </c>
      <c r="F3090" t="s">
        <v>41</v>
      </c>
      <c r="G3090">
        <v>3</v>
      </c>
      <c r="H3090" t="s">
        <v>125</v>
      </c>
      <c r="I3090" t="s">
        <v>43</v>
      </c>
      <c r="J3090" t="s">
        <v>126</v>
      </c>
      <c r="K3090" t="s">
        <v>44</v>
      </c>
      <c r="L3090">
        <v>5610</v>
      </c>
      <c r="M3090" s="1">
        <v>43729</v>
      </c>
      <c r="N3090" t="s">
        <v>45</v>
      </c>
      <c r="O3090" t="s">
        <v>106</v>
      </c>
      <c r="P3090" t="s">
        <v>47</v>
      </c>
      <c r="Q3090" s="1">
        <v>43852</v>
      </c>
      <c r="R3090" t="s">
        <v>48</v>
      </c>
      <c r="S3090" t="s">
        <v>41</v>
      </c>
      <c r="T3090" t="s">
        <v>130</v>
      </c>
      <c r="U3090" t="s">
        <v>125</v>
      </c>
      <c r="V3090">
        <v>0</v>
      </c>
      <c r="W3090">
        <v>100000</v>
      </c>
      <c r="X3090" s="1">
        <v>43769</v>
      </c>
      <c r="Y3090" t="s">
        <v>131</v>
      </c>
      <c r="Z3090" t="s">
        <v>43</v>
      </c>
      <c r="AA3090" t="s">
        <v>41</v>
      </c>
      <c r="AB3090" t="s">
        <v>132</v>
      </c>
      <c r="AC3090" t="s">
        <v>133</v>
      </c>
      <c r="AF3090" t="s">
        <v>135</v>
      </c>
      <c r="AG3090" s="1">
        <v>43843</v>
      </c>
      <c r="AH3090" t="s">
        <v>125</v>
      </c>
      <c r="AI3090" t="s">
        <v>92</v>
      </c>
      <c r="AJ3090">
        <v>1278023</v>
      </c>
      <c r="AK3090">
        <v>12365300</v>
      </c>
      <c r="AL3090">
        <v>12900</v>
      </c>
    </row>
    <row r="3091" spans="1:38" x14ac:dyDescent="0.25">
      <c r="A3091" t="s">
        <v>109</v>
      </c>
      <c r="B3091" t="s">
        <v>654</v>
      </c>
      <c r="C3091" t="s">
        <v>71</v>
      </c>
      <c r="D3091" s="1">
        <v>43364</v>
      </c>
      <c r="E3091" s="1">
        <v>43728</v>
      </c>
      <c r="F3091" t="s">
        <v>41</v>
      </c>
      <c r="G3091">
        <v>3</v>
      </c>
      <c r="H3091" t="s">
        <v>125</v>
      </c>
      <c r="I3091" t="s">
        <v>43</v>
      </c>
      <c r="J3091" t="s">
        <v>126</v>
      </c>
      <c r="K3091" t="s">
        <v>44</v>
      </c>
      <c r="L3091">
        <v>5610</v>
      </c>
      <c r="M3091" s="1">
        <v>43729</v>
      </c>
      <c r="N3091" t="s">
        <v>45</v>
      </c>
      <c r="O3091" t="s">
        <v>106</v>
      </c>
      <c r="P3091" t="s">
        <v>47</v>
      </c>
      <c r="Q3091" s="1">
        <v>43852</v>
      </c>
      <c r="R3091" t="s">
        <v>48</v>
      </c>
      <c r="S3091" t="s">
        <v>41</v>
      </c>
      <c r="T3091" t="s">
        <v>130</v>
      </c>
      <c r="U3091" t="s">
        <v>125</v>
      </c>
      <c r="V3091">
        <v>0</v>
      </c>
      <c r="W3091">
        <v>100000</v>
      </c>
      <c r="X3091" s="1">
        <v>43769</v>
      </c>
      <c r="Y3091" t="s">
        <v>131</v>
      </c>
      <c r="Z3091" t="s">
        <v>43</v>
      </c>
      <c r="AA3091" t="s">
        <v>41</v>
      </c>
      <c r="AB3091" t="s">
        <v>132</v>
      </c>
      <c r="AC3091" t="s">
        <v>133</v>
      </c>
      <c r="AF3091" t="s">
        <v>136</v>
      </c>
      <c r="AG3091" s="1">
        <v>43839</v>
      </c>
      <c r="AH3091" t="s">
        <v>125</v>
      </c>
      <c r="AI3091" t="s">
        <v>92</v>
      </c>
      <c r="AJ3091">
        <v>1278023</v>
      </c>
      <c r="AK3091">
        <v>12365300</v>
      </c>
      <c r="AL3091">
        <v>12900</v>
      </c>
    </row>
    <row r="3092" spans="1:38" x14ac:dyDescent="0.25">
      <c r="A3092" t="s">
        <v>109</v>
      </c>
      <c r="B3092" t="s">
        <v>654</v>
      </c>
      <c r="C3092" t="s">
        <v>71</v>
      </c>
      <c r="D3092" s="1">
        <v>43364</v>
      </c>
      <c r="E3092" s="1">
        <v>43728</v>
      </c>
      <c r="F3092" t="s">
        <v>41</v>
      </c>
      <c r="G3092">
        <v>3</v>
      </c>
      <c r="H3092" t="s">
        <v>125</v>
      </c>
      <c r="I3092" t="s">
        <v>43</v>
      </c>
      <c r="J3092" t="s">
        <v>126</v>
      </c>
      <c r="K3092" t="s">
        <v>44</v>
      </c>
      <c r="L3092">
        <v>5610</v>
      </c>
      <c r="M3092" s="1">
        <v>43729</v>
      </c>
      <c r="N3092" t="s">
        <v>45</v>
      </c>
      <c r="O3092" t="s">
        <v>106</v>
      </c>
      <c r="P3092" t="s">
        <v>47</v>
      </c>
      <c r="Q3092" s="1">
        <v>43852</v>
      </c>
      <c r="R3092" t="s">
        <v>48</v>
      </c>
      <c r="S3092" t="s">
        <v>41</v>
      </c>
      <c r="T3092" t="s">
        <v>130</v>
      </c>
      <c r="U3092" t="s">
        <v>125</v>
      </c>
      <c r="V3092">
        <v>0</v>
      </c>
      <c r="W3092">
        <v>100000</v>
      </c>
      <c r="X3092" s="1">
        <v>43769</v>
      </c>
      <c r="Y3092" t="s">
        <v>131</v>
      </c>
      <c r="Z3092" t="s">
        <v>43</v>
      </c>
      <c r="AA3092" t="s">
        <v>41</v>
      </c>
      <c r="AB3092" t="s">
        <v>132</v>
      </c>
      <c r="AC3092" t="s">
        <v>133</v>
      </c>
      <c r="AF3092" t="s">
        <v>137</v>
      </c>
      <c r="AG3092" s="1">
        <v>43840</v>
      </c>
      <c r="AH3092" t="s">
        <v>125</v>
      </c>
      <c r="AI3092" t="s">
        <v>92</v>
      </c>
      <c r="AJ3092">
        <v>1278023</v>
      </c>
      <c r="AK3092">
        <v>12365300</v>
      </c>
      <c r="AL3092">
        <v>12900</v>
      </c>
    </row>
    <row r="3093" spans="1:38" x14ac:dyDescent="0.25">
      <c r="A3093" t="s">
        <v>109</v>
      </c>
      <c r="B3093" t="s">
        <v>654</v>
      </c>
      <c r="C3093" t="s">
        <v>71</v>
      </c>
      <c r="D3093" s="1">
        <v>43364</v>
      </c>
      <c r="E3093" s="1">
        <v>43728</v>
      </c>
      <c r="F3093" t="s">
        <v>41</v>
      </c>
      <c r="G3093">
        <v>3</v>
      </c>
      <c r="H3093" t="s">
        <v>125</v>
      </c>
      <c r="I3093" t="s">
        <v>43</v>
      </c>
      <c r="J3093" t="s">
        <v>126</v>
      </c>
      <c r="K3093" t="s">
        <v>44</v>
      </c>
      <c r="L3093">
        <v>5610</v>
      </c>
      <c r="M3093" s="1">
        <v>43729</v>
      </c>
      <c r="N3093" t="s">
        <v>45</v>
      </c>
      <c r="O3093" t="s">
        <v>106</v>
      </c>
      <c r="P3093" t="s">
        <v>47</v>
      </c>
      <c r="Q3093" s="1">
        <v>43852</v>
      </c>
      <c r="R3093" t="s">
        <v>48</v>
      </c>
      <c r="S3093" t="s">
        <v>138</v>
      </c>
      <c r="T3093" t="s">
        <v>139</v>
      </c>
      <c r="U3093" t="s">
        <v>125</v>
      </c>
      <c r="V3093">
        <v>0</v>
      </c>
      <c r="W3093">
        <v>10000</v>
      </c>
      <c r="X3093" s="1">
        <v>43738</v>
      </c>
      <c r="Y3093" t="s">
        <v>140</v>
      </c>
      <c r="Z3093" t="s">
        <v>43</v>
      </c>
      <c r="AA3093" t="s">
        <v>41</v>
      </c>
      <c r="AB3093" t="s">
        <v>132</v>
      </c>
      <c r="AC3093" t="s">
        <v>132</v>
      </c>
      <c r="AF3093" t="s">
        <v>134</v>
      </c>
      <c r="AG3093" s="1">
        <v>43843</v>
      </c>
      <c r="AH3093" t="s">
        <v>125</v>
      </c>
      <c r="AI3093" t="s">
        <v>92</v>
      </c>
      <c r="AJ3093">
        <v>1278023</v>
      </c>
      <c r="AK3093">
        <v>12365300</v>
      </c>
      <c r="AL3093">
        <v>12900</v>
      </c>
    </row>
    <row r="3094" spans="1:38" x14ac:dyDescent="0.25">
      <c r="A3094" t="s">
        <v>109</v>
      </c>
      <c r="B3094" t="s">
        <v>654</v>
      </c>
      <c r="C3094" t="s">
        <v>71</v>
      </c>
      <c r="D3094" s="1">
        <v>43364</v>
      </c>
      <c r="E3094" s="1">
        <v>43728</v>
      </c>
      <c r="F3094" t="s">
        <v>41</v>
      </c>
      <c r="G3094">
        <v>3</v>
      </c>
      <c r="H3094" t="s">
        <v>125</v>
      </c>
      <c r="I3094" t="s">
        <v>43</v>
      </c>
      <c r="J3094" t="s">
        <v>126</v>
      </c>
      <c r="K3094" t="s">
        <v>44</v>
      </c>
      <c r="L3094">
        <v>5610</v>
      </c>
      <c r="M3094" s="1">
        <v>43729</v>
      </c>
      <c r="N3094" t="s">
        <v>45</v>
      </c>
      <c r="O3094" t="s">
        <v>106</v>
      </c>
      <c r="P3094" t="s">
        <v>47</v>
      </c>
      <c r="Q3094" s="1">
        <v>43852</v>
      </c>
      <c r="R3094" t="s">
        <v>48</v>
      </c>
      <c r="S3094" t="s">
        <v>138</v>
      </c>
      <c r="T3094" t="s">
        <v>139</v>
      </c>
      <c r="U3094" t="s">
        <v>125</v>
      </c>
      <c r="V3094">
        <v>0</v>
      </c>
      <c r="W3094">
        <v>10000</v>
      </c>
      <c r="X3094" s="1">
        <v>43738</v>
      </c>
      <c r="Y3094" t="s">
        <v>140</v>
      </c>
      <c r="Z3094" t="s">
        <v>43</v>
      </c>
      <c r="AA3094" t="s">
        <v>41</v>
      </c>
      <c r="AB3094" t="s">
        <v>132</v>
      </c>
      <c r="AC3094" t="s">
        <v>132</v>
      </c>
      <c r="AF3094" t="s">
        <v>135</v>
      </c>
      <c r="AG3094" s="1">
        <v>43843</v>
      </c>
      <c r="AH3094" t="s">
        <v>125</v>
      </c>
      <c r="AI3094" t="s">
        <v>92</v>
      </c>
      <c r="AJ3094">
        <v>1278023</v>
      </c>
      <c r="AK3094">
        <v>12365300</v>
      </c>
      <c r="AL3094">
        <v>12900</v>
      </c>
    </row>
    <row r="3095" spans="1:38" x14ac:dyDescent="0.25">
      <c r="A3095" t="s">
        <v>109</v>
      </c>
      <c r="B3095" t="s">
        <v>654</v>
      </c>
      <c r="C3095" t="s">
        <v>71</v>
      </c>
      <c r="D3095" s="1">
        <v>43364</v>
      </c>
      <c r="E3095" s="1">
        <v>43728</v>
      </c>
      <c r="F3095" t="s">
        <v>41</v>
      </c>
      <c r="G3095">
        <v>3</v>
      </c>
      <c r="H3095" t="s">
        <v>125</v>
      </c>
      <c r="I3095" t="s">
        <v>43</v>
      </c>
      <c r="J3095" t="s">
        <v>126</v>
      </c>
      <c r="K3095" t="s">
        <v>44</v>
      </c>
      <c r="L3095">
        <v>5610</v>
      </c>
      <c r="M3095" s="1">
        <v>43729</v>
      </c>
      <c r="N3095" t="s">
        <v>45</v>
      </c>
      <c r="O3095" t="s">
        <v>106</v>
      </c>
      <c r="P3095" t="s">
        <v>47</v>
      </c>
      <c r="Q3095" s="1">
        <v>43852</v>
      </c>
      <c r="R3095" t="s">
        <v>48</v>
      </c>
      <c r="S3095" t="s">
        <v>138</v>
      </c>
      <c r="T3095" t="s">
        <v>139</v>
      </c>
      <c r="U3095" t="s">
        <v>125</v>
      </c>
      <c r="V3095">
        <v>0</v>
      </c>
      <c r="W3095">
        <v>10000</v>
      </c>
      <c r="X3095" s="1">
        <v>43738</v>
      </c>
      <c r="Y3095" t="s">
        <v>140</v>
      </c>
      <c r="Z3095" t="s">
        <v>43</v>
      </c>
      <c r="AA3095" t="s">
        <v>41</v>
      </c>
      <c r="AB3095" t="s">
        <v>132</v>
      </c>
      <c r="AC3095" t="s">
        <v>132</v>
      </c>
      <c r="AF3095" t="s">
        <v>136</v>
      </c>
      <c r="AG3095" s="1">
        <v>43839</v>
      </c>
      <c r="AH3095" t="s">
        <v>125</v>
      </c>
      <c r="AI3095" t="s">
        <v>92</v>
      </c>
      <c r="AJ3095">
        <v>1278023</v>
      </c>
      <c r="AK3095">
        <v>12365300</v>
      </c>
      <c r="AL3095">
        <v>12900</v>
      </c>
    </row>
    <row r="3096" spans="1:38" x14ac:dyDescent="0.25">
      <c r="A3096" t="s">
        <v>109</v>
      </c>
      <c r="B3096" t="s">
        <v>654</v>
      </c>
      <c r="C3096" t="s">
        <v>71</v>
      </c>
      <c r="D3096" s="1">
        <v>43364</v>
      </c>
      <c r="E3096" s="1">
        <v>43728</v>
      </c>
      <c r="F3096" t="s">
        <v>41</v>
      </c>
      <c r="G3096">
        <v>3</v>
      </c>
      <c r="H3096" t="s">
        <v>125</v>
      </c>
      <c r="I3096" t="s">
        <v>43</v>
      </c>
      <c r="J3096" t="s">
        <v>126</v>
      </c>
      <c r="K3096" t="s">
        <v>44</v>
      </c>
      <c r="L3096">
        <v>5610</v>
      </c>
      <c r="M3096" s="1">
        <v>43729</v>
      </c>
      <c r="N3096" t="s">
        <v>45</v>
      </c>
      <c r="O3096" t="s">
        <v>106</v>
      </c>
      <c r="P3096" t="s">
        <v>47</v>
      </c>
      <c r="Q3096" s="1">
        <v>43852</v>
      </c>
      <c r="R3096" t="s">
        <v>48</v>
      </c>
      <c r="S3096" t="s">
        <v>138</v>
      </c>
      <c r="T3096" t="s">
        <v>139</v>
      </c>
      <c r="U3096" t="s">
        <v>125</v>
      </c>
      <c r="V3096">
        <v>0</v>
      </c>
      <c r="W3096">
        <v>10000</v>
      </c>
      <c r="X3096" s="1">
        <v>43738</v>
      </c>
      <c r="Y3096" t="s">
        <v>140</v>
      </c>
      <c r="Z3096" t="s">
        <v>43</v>
      </c>
      <c r="AA3096" t="s">
        <v>41</v>
      </c>
      <c r="AB3096" t="s">
        <v>132</v>
      </c>
      <c r="AC3096" t="s">
        <v>132</v>
      </c>
      <c r="AF3096" t="s">
        <v>137</v>
      </c>
      <c r="AG3096" s="1">
        <v>43840</v>
      </c>
      <c r="AH3096" t="s">
        <v>125</v>
      </c>
      <c r="AI3096" t="s">
        <v>92</v>
      </c>
      <c r="AJ3096">
        <v>1278023</v>
      </c>
      <c r="AK3096">
        <v>12365300</v>
      </c>
      <c r="AL3096">
        <v>12900</v>
      </c>
    </row>
    <row r="3097" spans="1:38" x14ac:dyDescent="0.25">
      <c r="A3097" t="s">
        <v>110</v>
      </c>
      <c r="B3097" t="s">
        <v>654</v>
      </c>
      <c r="C3097" t="s">
        <v>71</v>
      </c>
      <c r="D3097" s="1">
        <v>43364</v>
      </c>
      <c r="E3097" s="1">
        <v>43728</v>
      </c>
      <c r="F3097" t="s">
        <v>41</v>
      </c>
      <c r="G3097">
        <v>3</v>
      </c>
      <c r="H3097" t="s">
        <v>125</v>
      </c>
      <c r="I3097" t="s">
        <v>43</v>
      </c>
      <c r="J3097" t="s">
        <v>126</v>
      </c>
      <c r="K3097" t="s">
        <v>44</v>
      </c>
      <c r="L3097">
        <v>1980</v>
      </c>
      <c r="M3097" s="1">
        <v>43630</v>
      </c>
      <c r="N3097" t="s">
        <v>108</v>
      </c>
      <c r="O3097" t="s">
        <v>106</v>
      </c>
      <c r="P3097" t="s">
        <v>47</v>
      </c>
      <c r="Q3097" s="1">
        <v>43852</v>
      </c>
      <c r="R3097" t="s">
        <v>48</v>
      </c>
      <c r="S3097" t="s">
        <v>41</v>
      </c>
      <c r="T3097" t="s">
        <v>130</v>
      </c>
      <c r="U3097" t="s">
        <v>125</v>
      </c>
      <c r="V3097">
        <v>0</v>
      </c>
      <c r="W3097">
        <v>100000</v>
      </c>
      <c r="X3097" s="1">
        <v>43769</v>
      </c>
      <c r="Y3097" t="s">
        <v>131</v>
      </c>
      <c r="Z3097" t="s">
        <v>43</v>
      </c>
      <c r="AA3097" t="s">
        <v>41</v>
      </c>
      <c r="AB3097" t="s">
        <v>132</v>
      </c>
      <c r="AC3097" t="s">
        <v>133</v>
      </c>
      <c r="AF3097" t="s">
        <v>134</v>
      </c>
      <c r="AG3097" s="1">
        <v>43843</v>
      </c>
      <c r="AH3097" t="s">
        <v>125</v>
      </c>
      <c r="AI3097" t="s">
        <v>92</v>
      </c>
      <c r="AJ3097">
        <v>1278023</v>
      </c>
      <c r="AK3097">
        <v>12365300</v>
      </c>
      <c r="AL3097">
        <v>12900</v>
      </c>
    </row>
    <row r="3098" spans="1:38" x14ac:dyDescent="0.25">
      <c r="A3098" t="s">
        <v>110</v>
      </c>
      <c r="B3098" t="s">
        <v>654</v>
      </c>
      <c r="C3098" t="s">
        <v>71</v>
      </c>
      <c r="D3098" s="1">
        <v>43364</v>
      </c>
      <c r="E3098" s="1">
        <v>43728</v>
      </c>
      <c r="F3098" t="s">
        <v>41</v>
      </c>
      <c r="G3098">
        <v>3</v>
      </c>
      <c r="H3098" t="s">
        <v>125</v>
      </c>
      <c r="I3098" t="s">
        <v>43</v>
      </c>
      <c r="J3098" t="s">
        <v>126</v>
      </c>
      <c r="K3098" t="s">
        <v>44</v>
      </c>
      <c r="L3098">
        <v>1980</v>
      </c>
      <c r="M3098" s="1">
        <v>43630</v>
      </c>
      <c r="N3098" t="s">
        <v>108</v>
      </c>
      <c r="O3098" t="s">
        <v>106</v>
      </c>
      <c r="P3098" t="s">
        <v>47</v>
      </c>
      <c r="Q3098" s="1">
        <v>43852</v>
      </c>
      <c r="R3098" t="s">
        <v>48</v>
      </c>
      <c r="S3098" t="s">
        <v>41</v>
      </c>
      <c r="T3098" t="s">
        <v>130</v>
      </c>
      <c r="U3098" t="s">
        <v>125</v>
      </c>
      <c r="V3098">
        <v>0</v>
      </c>
      <c r="W3098">
        <v>100000</v>
      </c>
      <c r="X3098" s="1">
        <v>43769</v>
      </c>
      <c r="Y3098" t="s">
        <v>131</v>
      </c>
      <c r="Z3098" t="s">
        <v>43</v>
      </c>
      <c r="AA3098" t="s">
        <v>41</v>
      </c>
      <c r="AB3098" t="s">
        <v>132</v>
      </c>
      <c r="AC3098" t="s">
        <v>133</v>
      </c>
      <c r="AF3098" t="s">
        <v>135</v>
      </c>
      <c r="AG3098" s="1">
        <v>43843</v>
      </c>
      <c r="AH3098" t="s">
        <v>125</v>
      </c>
      <c r="AI3098" t="s">
        <v>92</v>
      </c>
      <c r="AJ3098">
        <v>1278023</v>
      </c>
      <c r="AK3098">
        <v>12365300</v>
      </c>
      <c r="AL3098">
        <v>12900</v>
      </c>
    </row>
    <row r="3099" spans="1:38" x14ac:dyDescent="0.25">
      <c r="A3099" t="s">
        <v>110</v>
      </c>
      <c r="B3099" t="s">
        <v>654</v>
      </c>
      <c r="C3099" t="s">
        <v>71</v>
      </c>
      <c r="D3099" s="1">
        <v>43364</v>
      </c>
      <c r="E3099" s="1">
        <v>43728</v>
      </c>
      <c r="F3099" t="s">
        <v>41</v>
      </c>
      <c r="G3099">
        <v>3</v>
      </c>
      <c r="H3099" t="s">
        <v>125</v>
      </c>
      <c r="I3099" t="s">
        <v>43</v>
      </c>
      <c r="J3099" t="s">
        <v>126</v>
      </c>
      <c r="K3099" t="s">
        <v>44</v>
      </c>
      <c r="L3099">
        <v>1980</v>
      </c>
      <c r="M3099" s="1">
        <v>43630</v>
      </c>
      <c r="N3099" t="s">
        <v>108</v>
      </c>
      <c r="O3099" t="s">
        <v>106</v>
      </c>
      <c r="P3099" t="s">
        <v>47</v>
      </c>
      <c r="Q3099" s="1">
        <v>43852</v>
      </c>
      <c r="R3099" t="s">
        <v>48</v>
      </c>
      <c r="S3099" t="s">
        <v>41</v>
      </c>
      <c r="T3099" t="s">
        <v>130</v>
      </c>
      <c r="U3099" t="s">
        <v>125</v>
      </c>
      <c r="V3099">
        <v>0</v>
      </c>
      <c r="W3099">
        <v>100000</v>
      </c>
      <c r="X3099" s="1">
        <v>43769</v>
      </c>
      <c r="Y3099" t="s">
        <v>131</v>
      </c>
      <c r="Z3099" t="s">
        <v>43</v>
      </c>
      <c r="AA3099" t="s">
        <v>41</v>
      </c>
      <c r="AB3099" t="s">
        <v>132</v>
      </c>
      <c r="AC3099" t="s">
        <v>133</v>
      </c>
      <c r="AF3099" t="s">
        <v>136</v>
      </c>
      <c r="AG3099" s="1">
        <v>43839</v>
      </c>
      <c r="AH3099" t="s">
        <v>125</v>
      </c>
      <c r="AI3099" t="s">
        <v>92</v>
      </c>
      <c r="AJ3099">
        <v>1278023</v>
      </c>
      <c r="AK3099">
        <v>12365300</v>
      </c>
      <c r="AL3099">
        <v>12900</v>
      </c>
    </row>
    <row r="3100" spans="1:38" x14ac:dyDescent="0.25">
      <c r="A3100" t="s">
        <v>110</v>
      </c>
      <c r="B3100" t="s">
        <v>654</v>
      </c>
      <c r="C3100" t="s">
        <v>71</v>
      </c>
      <c r="D3100" s="1">
        <v>43364</v>
      </c>
      <c r="E3100" s="1">
        <v>43728</v>
      </c>
      <c r="F3100" t="s">
        <v>41</v>
      </c>
      <c r="G3100">
        <v>3</v>
      </c>
      <c r="H3100" t="s">
        <v>125</v>
      </c>
      <c r="I3100" t="s">
        <v>43</v>
      </c>
      <c r="J3100" t="s">
        <v>126</v>
      </c>
      <c r="K3100" t="s">
        <v>44</v>
      </c>
      <c r="L3100">
        <v>1980</v>
      </c>
      <c r="M3100" s="1">
        <v>43630</v>
      </c>
      <c r="N3100" t="s">
        <v>108</v>
      </c>
      <c r="O3100" t="s">
        <v>106</v>
      </c>
      <c r="P3100" t="s">
        <v>47</v>
      </c>
      <c r="Q3100" s="1">
        <v>43852</v>
      </c>
      <c r="R3100" t="s">
        <v>48</v>
      </c>
      <c r="S3100" t="s">
        <v>41</v>
      </c>
      <c r="T3100" t="s">
        <v>130</v>
      </c>
      <c r="U3100" t="s">
        <v>125</v>
      </c>
      <c r="V3100">
        <v>0</v>
      </c>
      <c r="W3100">
        <v>100000</v>
      </c>
      <c r="X3100" s="1">
        <v>43769</v>
      </c>
      <c r="Y3100" t="s">
        <v>131</v>
      </c>
      <c r="Z3100" t="s">
        <v>43</v>
      </c>
      <c r="AA3100" t="s">
        <v>41</v>
      </c>
      <c r="AB3100" t="s">
        <v>132</v>
      </c>
      <c r="AC3100" t="s">
        <v>133</v>
      </c>
      <c r="AF3100" t="s">
        <v>137</v>
      </c>
      <c r="AG3100" s="1">
        <v>43840</v>
      </c>
      <c r="AH3100" t="s">
        <v>125</v>
      </c>
      <c r="AI3100" t="s">
        <v>92</v>
      </c>
      <c r="AJ3100">
        <v>1278023</v>
      </c>
      <c r="AK3100">
        <v>12365300</v>
      </c>
      <c r="AL3100">
        <v>12900</v>
      </c>
    </row>
    <row r="3101" spans="1:38" x14ac:dyDescent="0.25">
      <c r="A3101" t="s">
        <v>110</v>
      </c>
      <c r="B3101" t="s">
        <v>654</v>
      </c>
      <c r="C3101" t="s">
        <v>71</v>
      </c>
      <c r="D3101" s="1">
        <v>43364</v>
      </c>
      <c r="E3101" s="1">
        <v>43728</v>
      </c>
      <c r="F3101" t="s">
        <v>41</v>
      </c>
      <c r="G3101">
        <v>3</v>
      </c>
      <c r="H3101" t="s">
        <v>125</v>
      </c>
      <c r="I3101" t="s">
        <v>43</v>
      </c>
      <c r="J3101" t="s">
        <v>126</v>
      </c>
      <c r="K3101" t="s">
        <v>44</v>
      </c>
      <c r="L3101">
        <v>1980</v>
      </c>
      <c r="M3101" s="1">
        <v>43630</v>
      </c>
      <c r="N3101" t="s">
        <v>108</v>
      </c>
      <c r="O3101" t="s">
        <v>106</v>
      </c>
      <c r="P3101" t="s">
        <v>47</v>
      </c>
      <c r="Q3101" s="1">
        <v>43852</v>
      </c>
      <c r="R3101" t="s">
        <v>48</v>
      </c>
      <c r="S3101" t="s">
        <v>138</v>
      </c>
      <c r="T3101" t="s">
        <v>139</v>
      </c>
      <c r="U3101" t="s">
        <v>125</v>
      </c>
      <c r="V3101">
        <v>0</v>
      </c>
      <c r="W3101">
        <v>10000</v>
      </c>
      <c r="X3101" s="1">
        <v>43738</v>
      </c>
      <c r="Y3101" t="s">
        <v>140</v>
      </c>
      <c r="Z3101" t="s">
        <v>43</v>
      </c>
      <c r="AA3101" t="s">
        <v>41</v>
      </c>
      <c r="AB3101" t="s">
        <v>132</v>
      </c>
      <c r="AC3101" t="s">
        <v>132</v>
      </c>
      <c r="AF3101" t="s">
        <v>134</v>
      </c>
      <c r="AG3101" s="1">
        <v>43843</v>
      </c>
      <c r="AH3101" t="s">
        <v>125</v>
      </c>
      <c r="AI3101" t="s">
        <v>92</v>
      </c>
      <c r="AJ3101">
        <v>1278023</v>
      </c>
      <c r="AK3101">
        <v>12365300</v>
      </c>
      <c r="AL3101">
        <v>12900</v>
      </c>
    </row>
    <row r="3102" spans="1:38" x14ac:dyDescent="0.25">
      <c r="A3102" t="s">
        <v>110</v>
      </c>
      <c r="B3102" t="s">
        <v>654</v>
      </c>
      <c r="C3102" t="s">
        <v>71</v>
      </c>
      <c r="D3102" s="1">
        <v>43364</v>
      </c>
      <c r="E3102" s="1">
        <v>43728</v>
      </c>
      <c r="F3102" t="s">
        <v>41</v>
      </c>
      <c r="G3102">
        <v>3</v>
      </c>
      <c r="H3102" t="s">
        <v>125</v>
      </c>
      <c r="I3102" t="s">
        <v>43</v>
      </c>
      <c r="J3102" t="s">
        <v>126</v>
      </c>
      <c r="K3102" t="s">
        <v>44</v>
      </c>
      <c r="L3102">
        <v>1980</v>
      </c>
      <c r="M3102" s="1">
        <v>43630</v>
      </c>
      <c r="N3102" t="s">
        <v>108</v>
      </c>
      <c r="O3102" t="s">
        <v>106</v>
      </c>
      <c r="P3102" t="s">
        <v>47</v>
      </c>
      <c r="Q3102" s="1">
        <v>43852</v>
      </c>
      <c r="R3102" t="s">
        <v>48</v>
      </c>
      <c r="S3102" t="s">
        <v>138</v>
      </c>
      <c r="T3102" t="s">
        <v>139</v>
      </c>
      <c r="U3102" t="s">
        <v>125</v>
      </c>
      <c r="V3102">
        <v>0</v>
      </c>
      <c r="W3102">
        <v>10000</v>
      </c>
      <c r="X3102" s="1">
        <v>43738</v>
      </c>
      <c r="Y3102" t="s">
        <v>140</v>
      </c>
      <c r="Z3102" t="s">
        <v>43</v>
      </c>
      <c r="AA3102" t="s">
        <v>41</v>
      </c>
      <c r="AB3102" t="s">
        <v>132</v>
      </c>
      <c r="AC3102" t="s">
        <v>132</v>
      </c>
      <c r="AF3102" t="s">
        <v>135</v>
      </c>
      <c r="AG3102" s="1">
        <v>43843</v>
      </c>
      <c r="AH3102" t="s">
        <v>125</v>
      </c>
      <c r="AI3102" t="s">
        <v>92</v>
      </c>
      <c r="AJ3102">
        <v>1278023</v>
      </c>
      <c r="AK3102">
        <v>12365300</v>
      </c>
      <c r="AL3102">
        <v>12900</v>
      </c>
    </row>
    <row r="3103" spans="1:38" x14ac:dyDescent="0.25">
      <c r="A3103" t="s">
        <v>110</v>
      </c>
      <c r="B3103" t="s">
        <v>654</v>
      </c>
      <c r="C3103" t="s">
        <v>71</v>
      </c>
      <c r="D3103" s="1">
        <v>43364</v>
      </c>
      <c r="E3103" s="1">
        <v>43728</v>
      </c>
      <c r="F3103" t="s">
        <v>41</v>
      </c>
      <c r="G3103">
        <v>3</v>
      </c>
      <c r="H3103" t="s">
        <v>125</v>
      </c>
      <c r="I3103" t="s">
        <v>43</v>
      </c>
      <c r="J3103" t="s">
        <v>126</v>
      </c>
      <c r="K3103" t="s">
        <v>44</v>
      </c>
      <c r="L3103">
        <v>1980</v>
      </c>
      <c r="M3103" s="1">
        <v>43630</v>
      </c>
      <c r="N3103" t="s">
        <v>108</v>
      </c>
      <c r="O3103" t="s">
        <v>106</v>
      </c>
      <c r="P3103" t="s">
        <v>47</v>
      </c>
      <c r="Q3103" s="1">
        <v>43852</v>
      </c>
      <c r="R3103" t="s">
        <v>48</v>
      </c>
      <c r="S3103" t="s">
        <v>138</v>
      </c>
      <c r="T3103" t="s">
        <v>139</v>
      </c>
      <c r="U3103" t="s">
        <v>125</v>
      </c>
      <c r="V3103">
        <v>0</v>
      </c>
      <c r="W3103">
        <v>10000</v>
      </c>
      <c r="X3103" s="1">
        <v>43738</v>
      </c>
      <c r="Y3103" t="s">
        <v>140</v>
      </c>
      <c r="Z3103" t="s">
        <v>43</v>
      </c>
      <c r="AA3103" t="s">
        <v>41</v>
      </c>
      <c r="AB3103" t="s">
        <v>132</v>
      </c>
      <c r="AC3103" t="s">
        <v>132</v>
      </c>
      <c r="AF3103" t="s">
        <v>136</v>
      </c>
      <c r="AG3103" s="1">
        <v>43839</v>
      </c>
      <c r="AH3103" t="s">
        <v>125</v>
      </c>
      <c r="AI3103" t="s">
        <v>92</v>
      </c>
      <c r="AJ3103">
        <v>1278023</v>
      </c>
      <c r="AK3103">
        <v>12365300</v>
      </c>
      <c r="AL3103">
        <v>12900</v>
      </c>
    </row>
    <row r="3104" spans="1:38" x14ac:dyDescent="0.25">
      <c r="A3104" t="s">
        <v>110</v>
      </c>
      <c r="B3104" t="s">
        <v>654</v>
      </c>
      <c r="C3104" t="s">
        <v>71</v>
      </c>
      <c r="D3104" s="1">
        <v>43364</v>
      </c>
      <c r="E3104" s="1">
        <v>43728</v>
      </c>
      <c r="F3104" t="s">
        <v>41</v>
      </c>
      <c r="G3104">
        <v>3</v>
      </c>
      <c r="H3104" t="s">
        <v>125</v>
      </c>
      <c r="I3104" t="s">
        <v>43</v>
      </c>
      <c r="J3104" t="s">
        <v>126</v>
      </c>
      <c r="K3104" t="s">
        <v>44</v>
      </c>
      <c r="L3104">
        <v>1980</v>
      </c>
      <c r="M3104" s="1">
        <v>43630</v>
      </c>
      <c r="N3104" t="s">
        <v>108</v>
      </c>
      <c r="O3104" t="s">
        <v>106</v>
      </c>
      <c r="P3104" t="s">
        <v>47</v>
      </c>
      <c r="Q3104" s="1">
        <v>43852</v>
      </c>
      <c r="R3104" t="s">
        <v>48</v>
      </c>
      <c r="S3104" t="s">
        <v>138</v>
      </c>
      <c r="T3104" t="s">
        <v>139</v>
      </c>
      <c r="U3104" t="s">
        <v>125</v>
      </c>
      <c r="V3104">
        <v>0</v>
      </c>
      <c r="W3104">
        <v>10000</v>
      </c>
      <c r="X3104" s="1">
        <v>43738</v>
      </c>
      <c r="Y3104" t="s">
        <v>140</v>
      </c>
      <c r="Z3104" t="s">
        <v>43</v>
      </c>
      <c r="AA3104" t="s">
        <v>41</v>
      </c>
      <c r="AB3104" t="s">
        <v>132</v>
      </c>
      <c r="AC3104" t="s">
        <v>132</v>
      </c>
      <c r="AF3104" t="s">
        <v>137</v>
      </c>
      <c r="AG3104" s="1">
        <v>43840</v>
      </c>
      <c r="AH3104" t="s">
        <v>125</v>
      </c>
      <c r="AI3104" t="s">
        <v>92</v>
      </c>
      <c r="AJ3104">
        <v>1278023</v>
      </c>
      <c r="AK3104">
        <v>12365300</v>
      </c>
      <c r="AL3104">
        <v>12900</v>
      </c>
    </row>
    <row r="3105" spans="1:38" x14ac:dyDescent="0.25">
      <c r="A3105" t="s">
        <v>112</v>
      </c>
      <c r="B3105" t="s">
        <v>655</v>
      </c>
      <c r="C3105" t="s">
        <v>71</v>
      </c>
      <c r="D3105" s="1">
        <v>43364</v>
      </c>
      <c r="E3105" s="1">
        <v>43728</v>
      </c>
      <c r="F3105" t="s">
        <v>76</v>
      </c>
      <c r="G3105">
        <v>3</v>
      </c>
      <c r="H3105" t="s">
        <v>125</v>
      </c>
      <c r="I3105" t="s">
        <v>43</v>
      </c>
      <c r="J3105" t="s">
        <v>126</v>
      </c>
      <c r="K3105" t="s">
        <v>44</v>
      </c>
      <c r="L3105">
        <v>3861.25</v>
      </c>
      <c r="M3105" s="1">
        <v>43364</v>
      </c>
      <c r="N3105" t="s">
        <v>45</v>
      </c>
      <c r="O3105" t="s">
        <v>46</v>
      </c>
      <c r="P3105" t="s">
        <v>47</v>
      </c>
      <c r="Q3105" s="1">
        <v>43852</v>
      </c>
      <c r="R3105" t="s">
        <v>48</v>
      </c>
    </row>
    <row r="3106" spans="1:38" x14ac:dyDescent="0.25">
      <c r="A3106" t="s">
        <v>114</v>
      </c>
      <c r="B3106" t="s">
        <v>656</v>
      </c>
      <c r="C3106" t="s">
        <v>71</v>
      </c>
      <c r="D3106" s="1">
        <v>43364</v>
      </c>
      <c r="E3106" s="1">
        <v>43728</v>
      </c>
      <c r="F3106" t="s">
        <v>76</v>
      </c>
      <c r="G3106">
        <v>3</v>
      </c>
      <c r="H3106" t="s">
        <v>125</v>
      </c>
      <c r="I3106" t="s">
        <v>43</v>
      </c>
      <c r="J3106" t="s">
        <v>126</v>
      </c>
      <c r="K3106" t="s">
        <v>44</v>
      </c>
      <c r="L3106">
        <v>13036.5</v>
      </c>
      <c r="M3106" s="1">
        <v>43364</v>
      </c>
      <c r="N3106" t="s">
        <v>45</v>
      </c>
      <c r="O3106" t="s">
        <v>46</v>
      </c>
      <c r="P3106" t="s">
        <v>47</v>
      </c>
      <c r="Q3106" s="1">
        <v>43852</v>
      </c>
      <c r="R3106" t="s">
        <v>48</v>
      </c>
    </row>
    <row r="3107" spans="1:38" x14ac:dyDescent="0.25">
      <c r="A3107" t="s">
        <v>116</v>
      </c>
      <c r="B3107" t="s">
        <v>657</v>
      </c>
      <c r="C3107" t="s">
        <v>71</v>
      </c>
      <c r="D3107" s="1">
        <v>43364</v>
      </c>
      <c r="E3107" s="1">
        <v>43728</v>
      </c>
      <c r="F3107" t="s">
        <v>76</v>
      </c>
      <c r="G3107">
        <v>3</v>
      </c>
      <c r="H3107" t="s">
        <v>125</v>
      </c>
      <c r="I3107" t="s">
        <v>43</v>
      </c>
      <c r="J3107" t="s">
        <v>126</v>
      </c>
      <c r="K3107" t="s">
        <v>44</v>
      </c>
      <c r="L3107">
        <v>8194.25</v>
      </c>
      <c r="M3107" s="1">
        <v>43364</v>
      </c>
      <c r="N3107" t="s">
        <v>45</v>
      </c>
      <c r="O3107" t="s">
        <v>46</v>
      </c>
      <c r="P3107" t="s">
        <v>47</v>
      </c>
      <c r="Q3107" s="1">
        <v>43852</v>
      </c>
      <c r="R3107" t="s">
        <v>48</v>
      </c>
    </row>
    <row r="3108" spans="1:38" x14ac:dyDescent="0.25">
      <c r="A3108" t="s">
        <v>117</v>
      </c>
      <c r="B3108" t="s">
        <v>658</v>
      </c>
      <c r="C3108" t="s">
        <v>40</v>
      </c>
      <c r="D3108" s="1">
        <v>43729</v>
      </c>
      <c r="E3108" s="1">
        <v>44094</v>
      </c>
      <c r="F3108" t="s">
        <v>41</v>
      </c>
      <c r="G3108">
        <v>3</v>
      </c>
      <c r="H3108" t="s">
        <v>125</v>
      </c>
      <c r="I3108" t="s">
        <v>43</v>
      </c>
      <c r="J3108" t="s">
        <v>126</v>
      </c>
      <c r="K3108" t="s">
        <v>44</v>
      </c>
      <c r="L3108">
        <v>8580</v>
      </c>
      <c r="M3108" s="1">
        <v>43729</v>
      </c>
      <c r="N3108" t="s">
        <v>45</v>
      </c>
      <c r="O3108" t="s">
        <v>44</v>
      </c>
      <c r="P3108" t="s">
        <v>47</v>
      </c>
      <c r="Q3108" s="1">
        <v>43852</v>
      </c>
      <c r="R3108" t="s">
        <v>48</v>
      </c>
      <c r="S3108" t="s">
        <v>41</v>
      </c>
      <c r="T3108" t="s">
        <v>130</v>
      </c>
      <c r="U3108" t="s">
        <v>125</v>
      </c>
      <c r="V3108">
        <v>0</v>
      </c>
      <c r="W3108">
        <v>100000</v>
      </c>
      <c r="X3108" s="1">
        <v>43769</v>
      </c>
      <c r="Y3108" t="s">
        <v>131</v>
      </c>
      <c r="Z3108" t="s">
        <v>43</v>
      </c>
      <c r="AA3108" t="s">
        <v>41</v>
      </c>
      <c r="AB3108" t="s">
        <v>132</v>
      </c>
      <c r="AC3108" t="s">
        <v>133</v>
      </c>
      <c r="AF3108" t="s">
        <v>134</v>
      </c>
      <c r="AG3108" s="1">
        <v>43843</v>
      </c>
      <c r="AH3108" t="s">
        <v>125</v>
      </c>
      <c r="AI3108" t="s">
        <v>92</v>
      </c>
      <c r="AJ3108">
        <v>1278023</v>
      </c>
      <c r="AK3108">
        <v>12365300</v>
      </c>
      <c r="AL3108">
        <v>12900</v>
      </c>
    </row>
    <row r="3109" spans="1:38" x14ac:dyDescent="0.25">
      <c r="A3109" t="s">
        <v>117</v>
      </c>
      <c r="B3109" t="s">
        <v>658</v>
      </c>
      <c r="C3109" t="s">
        <v>40</v>
      </c>
      <c r="D3109" s="1">
        <v>43729</v>
      </c>
      <c r="E3109" s="1">
        <v>44094</v>
      </c>
      <c r="F3109" t="s">
        <v>41</v>
      </c>
      <c r="G3109">
        <v>3</v>
      </c>
      <c r="H3109" t="s">
        <v>125</v>
      </c>
      <c r="I3109" t="s">
        <v>43</v>
      </c>
      <c r="J3109" t="s">
        <v>126</v>
      </c>
      <c r="K3109" t="s">
        <v>44</v>
      </c>
      <c r="L3109">
        <v>8580</v>
      </c>
      <c r="M3109" s="1">
        <v>43729</v>
      </c>
      <c r="N3109" t="s">
        <v>45</v>
      </c>
      <c r="O3109" t="s">
        <v>44</v>
      </c>
      <c r="P3109" t="s">
        <v>47</v>
      </c>
      <c r="Q3109" s="1">
        <v>43852</v>
      </c>
      <c r="R3109" t="s">
        <v>48</v>
      </c>
      <c r="S3109" t="s">
        <v>41</v>
      </c>
      <c r="T3109" t="s">
        <v>130</v>
      </c>
      <c r="U3109" t="s">
        <v>125</v>
      </c>
      <c r="V3109">
        <v>0</v>
      </c>
      <c r="W3109">
        <v>100000</v>
      </c>
      <c r="X3109" s="1">
        <v>43769</v>
      </c>
      <c r="Y3109" t="s">
        <v>131</v>
      </c>
      <c r="Z3109" t="s">
        <v>43</v>
      </c>
      <c r="AA3109" t="s">
        <v>41</v>
      </c>
      <c r="AB3109" t="s">
        <v>132</v>
      </c>
      <c r="AC3109" t="s">
        <v>133</v>
      </c>
      <c r="AF3109" t="s">
        <v>135</v>
      </c>
      <c r="AG3109" s="1">
        <v>43843</v>
      </c>
      <c r="AH3109" t="s">
        <v>125</v>
      </c>
      <c r="AI3109" t="s">
        <v>92</v>
      </c>
      <c r="AJ3109">
        <v>1278023</v>
      </c>
      <c r="AK3109">
        <v>12365300</v>
      </c>
      <c r="AL3109">
        <v>12900</v>
      </c>
    </row>
    <row r="3110" spans="1:38" x14ac:dyDescent="0.25">
      <c r="A3110" t="s">
        <v>117</v>
      </c>
      <c r="B3110" t="s">
        <v>658</v>
      </c>
      <c r="C3110" t="s">
        <v>40</v>
      </c>
      <c r="D3110" s="1">
        <v>43729</v>
      </c>
      <c r="E3110" s="1">
        <v>44094</v>
      </c>
      <c r="F3110" t="s">
        <v>41</v>
      </c>
      <c r="G3110">
        <v>3</v>
      </c>
      <c r="H3110" t="s">
        <v>125</v>
      </c>
      <c r="I3110" t="s">
        <v>43</v>
      </c>
      <c r="J3110" t="s">
        <v>126</v>
      </c>
      <c r="K3110" t="s">
        <v>44</v>
      </c>
      <c r="L3110">
        <v>8580</v>
      </c>
      <c r="M3110" s="1">
        <v>43729</v>
      </c>
      <c r="N3110" t="s">
        <v>45</v>
      </c>
      <c r="O3110" t="s">
        <v>44</v>
      </c>
      <c r="P3110" t="s">
        <v>47</v>
      </c>
      <c r="Q3110" s="1">
        <v>43852</v>
      </c>
      <c r="R3110" t="s">
        <v>48</v>
      </c>
      <c r="S3110" t="s">
        <v>41</v>
      </c>
      <c r="T3110" t="s">
        <v>130</v>
      </c>
      <c r="U3110" t="s">
        <v>125</v>
      </c>
      <c r="V3110">
        <v>0</v>
      </c>
      <c r="W3110">
        <v>100000</v>
      </c>
      <c r="X3110" s="1">
        <v>43769</v>
      </c>
      <c r="Y3110" t="s">
        <v>131</v>
      </c>
      <c r="Z3110" t="s">
        <v>43</v>
      </c>
      <c r="AA3110" t="s">
        <v>41</v>
      </c>
      <c r="AB3110" t="s">
        <v>132</v>
      </c>
      <c r="AC3110" t="s">
        <v>133</v>
      </c>
      <c r="AF3110" t="s">
        <v>136</v>
      </c>
      <c r="AG3110" s="1">
        <v>43839</v>
      </c>
      <c r="AH3110" t="s">
        <v>125</v>
      </c>
      <c r="AI3110" t="s">
        <v>92</v>
      </c>
      <c r="AJ3110">
        <v>1278023</v>
      </c>
      <c r="AK3110">
        <v>12365300</v>
      </c>
      <c r="AL3110">
        <v>12900</v>
      </c>
    </row>
    <row r="3111" spans="1:38" x14ac:dyDescent="0.25">
      <c r="A3111" t="s">
        <v>117</v>
      </c>
      <c r="B3111" t="s">
        <v>658</v>
      </c>
      <c r="C3111" t="s">
        <v>40</v>
      </c>
      <c r="D3111" s="1">
        <v>43729</v>
      </c>
      <c r="E3111" s="1">
        <v>44094</v>
      </c>
      <c r="F3111" t="s">
        <v>41</v>
      </c>
      <c r="G3111">
        <v>3</v>
      </c>
      <c r="H3111" t="s">
        <v>125</v>
      </c>
      <c r="I3111" t="s">
        <v>43</v>
      </c>
      <c r="J3111" t="s">
        <v>126</v>
      </c>
      <c r="K3111" t="s">
        <v>44</v>
      </c>
      <c r="L3111">
        <v>8580</v>
      </c>
      <c r="M3111" s="1">
        <v>43729</v>
      </c>
      <c r="N3111" t="s">
        <v>45</v>
      </c>
      <c r="O3111" t="s">
        <v>44</v>
      </c>
      <c r="P3111" t="s">
        <v>47</v>
      </c>
      <c r="Q3111" s="1">
        <v>43852</v>
      </c>
      <c r="R3111" t="s">
        <v>48</v>
      </c>
      <c r="S3111" t="s">
        <v>41</v>
      </c>
      <c r="T3111" t="s">
        <v>130</v>
      </c>
      <c r="U3111" t="s">
        <v>125</v>
      </c>
      <c r="V3111">
        <v>0</v>
      </c>
      <c r="W3111">
        <v>100000</v>
      </c>
      <c r="X3111" s="1">
        <v>43769</v>
      </c>
      <c r="Y3111" t="s">
        <v>131</v>
      </c>
      <c r="Z3111" t="s">
        <v>43</v>
      </c>
      <c r="AA3111" t="s">
        <v>41</v>
      </c>
      <c r="AB3111" t="s">
        <v>132</v>
      </c>
      <c r="AC3111" t="s">
        <v>133</v>
      </c>
      <c r="AF3111" t="s">
        <v>137</v>
      </c>
      <c r="AG3111" s="1">
        <v>43840</v>
      </c>
      <c r="AH3111" t="s">
        <v>125</v>
      </c>
      <c r="AI3111" t="s">
        <v>92</v>
      </c>
      <c r="AJ3111">
        <v>1278023</v>
      </c>
      <c r="AK3111">
        <v>12365300</v>
      </c>
      <c r="AL3111">
        <v>12900</v>
      </c>
    </row>
    <row r="3112" spans="1:38" x14ac:dyDescent="0.25">
      <c r="A3112" t="s">
        <v>117</v>
      </c>
      <c r="B3112" t="s">
        <v>658</v>
      </c>
      <c r="C3112" t="s">
        <v>40</v>
      </c>
      <c r="D3112" s="1">
        <v>43729</v>
      </c>
      <c r="E3112" s="1">
        <v>44094</v>
      </c>
      <c r="F3112" t="s">
        <v>41</v>
      </c>
      <c r="G3112">
        <v>3</v>
      </c>
      <c r="H3112" t="s">
        <v>125</v>
      </c>
      <c r="I3112" t="s">
        <v>43</v>
      </c>
      <c r="J3112" t="s">
        <v>126</v>
      </c>
      <c r="K3112" t="s">
        <v>44</v>
      </c>
      <c r="L3112">
        <v>8580</v>
      </c>
      <c r="M3112" s="1">
        <v>43729</v>
      </c>
      <c r="N3112" t="s">
        <v>45</v>
      </c>
      <c r="O3112" t="s">
        <v>44</v>
      </c>
      <c r="P3112" t="s">
        <v>47</v>
      </c>
      <c r="Q3112" s="1">
        <v>43852</v>
      </c>
      <c r="R3112" t="s">
        <v>48</v>
      </c>
      <c r="S3112" t="s">
        <v>138</v>
      </c>
      <c r="T3112" t="s">
        <v>139</v>
      </c>
      <c r="U3112" t="s">
        <v>125</v>
      </c>
      <c r="V3112">
        <v>0</v>
      </c>
      <c r="W3112">
        <v>10000</v>
      </c>
      <c r="X3112" s="1">
        <v>43738</v>
      </c>
      <c r="Y3112" t="s">
        <v>140</v>
      </c>
      <c r="Z3112" t="s">
        <v>43</v>
      </c>
      <c r="AA3112" t="s">
        <v>41</v>
      </c>
      <c r="AB3112" t="s">
        <v>132</v>
      </c>
      <c r="AC3112" t="s">
        <v>132</v>
      </c>
      <c r="AF3112" t="s">
        <v>134</v>
      </c>
      <c r="AG3112" s="1">
        <v>43843</v>
      </c>
      <c r="AH3112" t="s">
        <v>125</v>
      </c>
      <c r="AI3112" t="s">
        <v>92</v>
      </c>
      <c r="AJ3112">
        <v>1278023</v>
      </c>
      <c r="AK3112">
        <v>12365300</v>
      </c>
      <c r="AL3112">
        <v>12900</v>
      </c>
    </row>
    <row r="3113" spans="1:38" x14ac:dyDescent="0.25">
      <c r="A3113" t="s">
        <v>117</v>
      </c>
      <c r="B3113" t="s">
        <v>658</v>
      </c>
      <c r="C3113" t="s">
        <v>40</v>
      </c>
      <c r="D3113" s="1">
        <v>43729</v>
      </c>
      <c r="E3113" s="1">
        <v>44094</v>
      </c>
      <c r="F3113" t="s">
        <v>41</v>
      </c>
      <c r="G3113">
        <v>3</v>
      </c>
      <c r="H3113" t="s">
        <v>125</v>
      </c>
      <c r="I3113" t="s">
        <v>43</v>
      </c>
      <c r="J3113" t="s">
        <v>126</v>
      </c>
      <c r="K3113" t="s">
        <v>44</v>
      </c>
      <c r="L3113">
        <v>8580</v>
      </c>
      <c r="M3113" s="1">
        <v>43729</v>
      </c>
      <c r="N3113" t="s">
        <v>45</v>
      </c>
      <c r="O3113" t="s">
        <v>44</v>
      </c>
      <c r="P3113" t="s">
        <v>47</v>
      </c>
      <c r="Q3113" s="1">
        <v>43852</v>
      </c>
      <c r="R3113" t="s">
        <v>48</v>
      </c>
      <c r="S3113" t="s">
        <v>138</v>
      </c>
      <c r="T3113" t="s">
        <v>139</v>
      </c>
      <c r="U3113" t="s">
        <v>125</v>
      </c>
      <c r="V3113">
        <v>0</v>
      </c>
      <c r="W3113">
        <v>10000</v>
      </c>
      <c r="X3113" s="1">
        <v>43738</v>
      </c>
      <c r="Y3113" t="s">
        <v>140</v>
      </c>
      <c r="Z3113" t="s">
        <v>43</v>
      </c>
      <c r="AA3113" t="s">
        <v>41</v>
      </c>
      <c r="AB3113" t="s">
        <v>132</v>
      </c>
      <c r="AC3113" t="s">
        <v>132</v>
      </c>
      <c r="AF3113" t="s">
        <v>135</v>
      </c>
      <c r="AG3113" s="1">
        <v>43843</v>
      </c>
      <c r="AH3113" t="s">
        <v>125</v>
      </c>
      <c r="AI3113" t="s">
        <v>92</v>
      </c>
      <c r="AJ3113">
        <v>1278023</v>
      </c>
      <c r="AK3113">
        <v>12365300</v>
      </c>
      <c r="AL3113">
        <v>12900</v>
      </c>
    </row>
    <row r="3114" spans="1:38" x14ac:dyDescent="0.25">
      <c r="A3114" t="s">
        <v>117</v>
      </c>
      <c r="B3114" t="s">
        <v>658</v>
      </c>
      <c r="C3114" t="s">
        <v>40</v>
      </c>
      <c r="D3114" s="1">
        <v>43729</v>
      </c>
      <c r="E3114" s="1">
        <v>44094</v>
      </c>
      <c r="F3114" t="s">
        <v>41</v>
      </c>
      <c r="G3114">
        <v>3</v>
      </c>
      <c r="H3114" t="s">
        <v>125</v>
      </c>
      <c r="I3114" t="s">
        <v>43</v>
      </c>
      <c r="J3114" t="s">
        <v>126</v>
      </c>
      <c r="K3114" t="s">
        <v>44</v>
      </c>
      <c r="L3114">
        <v>8580</v>
      </c>
      <c r="M3114" s="1">
        <v>43729</v>
      </c>
      <c r="N3114" t="s">
        <v>45</v>
      </c>
      <c r="O3114" t="s">
        <v>44</v>
      </c>
      <c r="P3114" t="s">
        <v>47</v>
      </c>
      <c r="Q3114" s="1">
        <v>43852</v>
      </c>
      <c r="R3114" t="s">
        <v>48</v>
      </c>
      <c r="S3114" t="s">
        <v>138</v>
      </c>
      <c r="T3114" t="s">
        <v>139</v>
      </c>
      <c r="U3114" t="s">
        <v>125</v>
      </c>
      <c r="V3114">
        <v>0</v>
      </c>
      <c r="W3114">
        <v>10000</v>
      </c>
      <c r="X3114" s="1">
        <v>43738</v>
      </c>
      <c r="Y3114" t="s">
        <v>140</v>
      </c>
      <c r="Z3114" t="s">
        <v>43</v>
      </c>
      <c r="AA3114" t="s">
        <v>41</v>
      </c>
      <c r="AB3114" t="s">
        <v>132</v>
      </c>
      <c r="AC3114" t="s">
        <v>132</v>
      </c>
      <c r="AF3114" t="s">
        <v>136</v>
      </c>
      <c r="AG3114" s="1">
        <v>43839</v>
      </c>
      <c r="AH3114" t="s">
        <v>125</v>
      </c>
      <c r="AI3114" t="s">
        <v>92</v>
      </c>
      <c r="AJ3114">
        <v>1278023</v>
      </c>
      <c r="AK3114">
        <v>12365300</v>
      </c>
      <c r="AL3114">
        <v>12900</v>
      </c>
    </row>
    <row r="3115" spans="1:38" x14ac:dyDescent="0.25">
      <c r="A3115" t="s">
        <v>117</v>
      </c>
      <c r="B3115" t="s">
        <v>658</v>
      </c>
      <c r="C3115" t="s">
        <v>40</v>
      </c>
      <c r="D3115" s="1">
        <v>43729</v>
      </c>
      <c r="E3115" s="1">
        <v>44094</v>
      </c>
      <c r="F3115" t="s">
        <v>41</v>
      </c>
      <c r="G3115">
        <v>3</v>
      </c>
      <c r="H3115" t="s">
        <v>125</v>
      </c>
      <c r="I3115" t="s">
        <v>43</v>
      </c>
      <c r="J3115" t="s">
        <v>126</v>
      </c>
      <c r="K3115" t="s">
        <v>44</v>
      </c>
      <c r="L3115">
        <v>8580</v>
      </c>
      <c r="M3115" s="1">
        <v>43729</v>
      </c>
      <c r="N3115" t="s">
        <v>45</v>
      </c>
      <c r="O3115" t="s">
        <v>44</v>
      </c>
      <c r="P3115" t="s">
        <v>47</v>
      </c>
      <c r="Q3115" s="1">
        <v>43852</v>
      </c>
      <c r="R3115" t="s">
        <v>48</v>
      </c>
      <c r="S3115" t="s">
        <v>138</v>
      </c>
      <c r="T3115" t="s">
        <v>139</v>
      </c>
      <c r="U3115" t="s">
        <v>125</v>
      </c>
      <c r="V3115">
        <v>0</v>
      </c>
      <c r="W3115">
        <v>10000</v>
      </c>
      <c r="X3115" s="1">
        <v>43738</v>
      </c>
      <c r="Y3115" t="s">
        <v>140</v>
      </c>
      <c r="Z3115" t="s">
        <v>43</v>
      </c>
      <c r="AA3115" t="s">
        <v>41</v>
      </c>
      <c r="AB3115" t="s">
        <v>132</v>
      </c>
      <c r="AC3115" t="s">
        <v>132</v>
      </c>
      <c r="AF3115" t="s">
        <v>137</v>
      </c>
      <c r="AG3115" s="1">
        <v>43840</v>
      </c>
      <c r="AH3115" t="s">
        <v>125</v>
      </c>
      <c r="AI3115" t="s">
        <v>92</v>
      </c>
      <c r="AJ3115">
        <v>1278023</v>
      </c>
      <c r="AK3115">
        <v>12365300</v>
      </c>
      <c r="AL3115">
        <v>12900</v>
      </c>
    </row>
    <row r="3116" spans="1:38" x14ac:dyDescent="0.25">
      <c r="A3116" t="s">
        <v>119</v>
      </c>
      <c r="B3116" t="s">
        <v>659</v>
      </c>
      <c r="C3116" t="s">
        <v>40</v>
      </c>
      <c r="D3116" s="1">
        <v>43729</v>
      </c>
      <c r="E3116" s="1">
        <v>44094</v>
      </c>
      <c r="F3116" t="s">
        <v>76</v>
      </c>
      <c r="G3116">
        <v>3</v>
      </c>
      <c r="H3116" t="s">
        <v>125</v>
      </c>
      <c r="I3116" t="s">
        <v>43</v>
      </c>
      <c r="J3116" t="s">
        <v>126</v>
      </c>
      <c r="K3116" t="s">
        <v>44</v>
      </c>
      <c r="L3116">
        <v>4579</v>
      </c>
      <c r="M3116" s="1">
        <v>43729</v>
      </c>
      <c r="N3116" t="s">
        <v>45</v>
      </c>
      <c r="O3116" t="s">
        <v>44</v>
      </c>
      <c r="P3116" t="s">
        <v>47</v>
      </c>
      <c r="Q3116" s="1">
        <v>43852</v>
      </c>
      <c r="R3116" t="s">
        <v>48</v>
      </c>
    </row>
    <row r="3117" spans="1:38" x14ac:dyDescent="0.25">
      <c r="A3117" t="s">
        <v>123</v>
      </c>
      <c r="B3117" t="s">
        <v>660</v>
      </c>
      <c r="C3117" t="s">
        <v>40</v>
      </c>
      <c r="D3117" s="1">
        <v>43729</v>
      </c>
      <c r="E3117" s="1">
        <v>44094</v>
      </c>
      <c r="F3117" t="s">
        <v>76</v>
      </c>
      <c r="G3117">
        <v>3</v>
      </c>
      <c r="H3117" t="s">
        <v>125</v>
      </c>
      <c r="I3117" t="s">
        <v>43</v>
      </c>
      <c r="J3117" t="s">
        <v>126</v>
      </c>
      <c r="K3117" t="s">
        <v>44</v>
      </c>
      <c r="L3117">
        <v>3330</v>
      </c>
      <c r="M3117" s="1">
        <v>43729</v>
      </c>
      <c r="N3117" t="s">
        <v>45</v>
      </c>
      <c r="O3117" t="s">
        <v>44</v>
      </c>
      <c r="P3117" t="s">
        <v>47</v>
      </c>
      <c r="Q3117" s="1">
        <v>43852</v>
      </c>
      <c r="R3117" t="s">
        <v>48</v>
      </c>
    </row>
    <row r="3118" spans="1:38" x14ac:dyDescent="0.25">
      <c r="A3118" t="s">
        <v>124</v>
      </c>
      <c r="B3118" t="s">
        <v>661</v>
      </c>
      <c r="C3118" t="s">
        <v>40</v>
      </c>
      <c r="D3118" s="1">
        <v>43729</v>
      </c>
      <c r="E3118" s="1">
        <v>44094</v>
      </c>
      <c r="F3118" t="s">
        <v>76</v>
      </c>
      <c r="G3118">
        <v>3</v>
      </c>
      <c r="H3118" t="s">
        <v>125</v>
      </c>
      <c r="I3118" t="s">
        <v>43</v>
      </c>
      <c r="J3118" t="s">
        <v>126</v>
      </c>
      <c r="K3118" t="s">
        <v>44</v>
      </c>
      <c r="L3118">
        <v>8625.3799999999992</v>
      </c>
      <c r="M3118" s="1">
        <v>43729</v>
      </c>
      <c r="N3118" t="s">
        <v>45</v>
      </c>
      <c r="O3118" t="s">
        <v>44</v>
      </c>
      <c r="P3118" t="s">
        <v>47</v>
      </c>
      <c r="Q3118" s="1">
        <v>43852</v>
      </c>
      <c r="R3118" t="s">
        <v>48</v>
      </c>
    </row>
    <row r="3119" spans="1:38" x14ac:dyDescent="0.25">
      <c r="A3119" t="s">
        <v>128</v>
      </c>
      <c r="B3119" t="s">
        <v>662</v>
      </c>
      <c r="C3119" t="s">
        <v>40</v>
      </c>
      <c r="D3119" s="1">
        <v>43574</v>
      </c>
      <c r="E3119" s="1">
        <v>43939</v>
      </c>
      <c r="F3119" t="s">
        <v>41</v>
      </c>
      <c r="G3119">
        <v>1</v>
      </c>
      <c r="H3119" t="s">
        <v>42</v>
      </c>
      <c r="I3119" t="s">
        <v>43</v>
      </c>
      <c r="J3119" t="s">
        <v>41</v>
      </c>
      <c r="K3119" t="s">
        <v>127</v>
      </c>
      <c r="L3119">
        <v>150.65</v>
      </c>
      <c r="M3119" s="1">
        <v>43574</v>
      </c>
      <c r="N3119" t="s">
        <v>45</v>
      </c>
      <c r="O3119" t="s">
        <v>46</v>
      </c>
      <c r="P3119" t="s">
        <v>47</v>
      </c>
      <c r="Q3119" s="1">
        <v>43852</v>
      </c>
      <c r="R3119" t="s">
        <v>48</v>
      </c>
      <c r="S3119" t="s">
        <v>49</v>
      </c>
      <c r="T3119" t="s">
        <v>50</v>
      </c>
      <c r="U3119" t="s">
        <v>42</v>
      </c>
      <c r="V3119">
        <v>0</v>
      </c>
      <c r="W3119">
        <v>100000</v>
      </c>
      <c r="X3119" s="1">
        <v>44012</v>
      </c>
      <c r="Y3119" t="s">
        <v>51</v>
      </c>
      <c r="Z3119" t="s">
        <v>43</v>
      </c>
      <c r="AA3119" t="s">
        <v>41</v>
      </c>
      <c r="AB3119" t="s">
        <v>52</v>
      </c>
      <c r="AC3119" t="s">
        <v>53</v>
      </c>
      <c r="AF3119" t="s">
        <v>54</v>
      </c>
      <c r="AG3119" s="1">
        <v>43832</v>
      </c>
      <c r="AH3119" t="s">
        <v>42</v>
      </c>
      <c r="AI3119" t="s">
        <v>55</v>
      </c>
      <c r="AJ3119">
        <v>12788092</v>
      </c>
      <c r="AK3119">
        <v>250000</v>
      </c>
      <c r="AL3119">
        <v>1500000</v>
      </c>
    </row>
    <row r="3120" spans="1:38" x14ac:dyDescent="0.25">
      <c r="A3120" t="s">
        <v>128</v>
      </c>
      <c r="B3120" t="s">
        <v>662</v>
      </c>
      <c r="C3120" t="s">
        <v>40</v>
      </c>
      <c r="D3120" s="1">
        <v>43574</v>
      </c>
      <c r="E3120" s="1">
        <v>43939</v>
      </c>
      <c r="F3120" t="s">
        <v>41</v>
      </c>
      <c r="G3120">
        <v>1</v>
      </c>
      <c r="H3120" t="s">
        <v>42</v>
      </c>
      <c r="I3120" t="s">
        <v>43</v>
      </c>
      <c r="J3120" t="s">
        <v>41</v>
      </c>
      <c r="K3120" t="s">
        <v>127</v>
      </c>
      <c r="L3120">
        <v>150.65</v>
      </c>
      <c r="M3120" s="1">
        <v>43574</v>
      </c>
      <c r="N3120" t="s">
        <v>45</v>
      </c>
      <c r="O3120" t="s">
        <v>46</v>
      </c>
      <c r="P3120" t="s">
        <v>47</v>
      </c>
      <c r="Q3120" s="1">
        <v>43852</v>
      </c>
      <c r="R3120" t="s">
        <v>48</v>
      </c>
      <c r="S3120" t="s">
        <v>49</v>
      </c>
      <c r="T3120" t="s">
        <v>50</v>
      </c>
      <c r="U3120" t="s">
        <v>42</v>
      </c>
      <c r="V3120">
        <v>0</v>
      </c>
      <c r="W3120">
        <v>100000</v>
      </c>
      <c r="X3120" s="1">
        <v>44012</v>
      </c>
      <c r="Y3120" t="s">
        <v>51</v>
      </c>
      <c r="Z3120" t="s">
        <v>43</v>
      </c>
      <c r="AA3120" t="s">
        <v>41</v>
      </c>
      <c r="AB3120" t="s">
        <v>52</v>
      </c>
      <c r="AC3120" t="s">
        <v>53</v>
      </c>
      <c r="AF3120" t="s">
        <v>56</v>
      </c>
      <c r="AG3120" s="1">
        <v>43833</v>
      </c>
      <c r="AH3120" t="s">
        <v>42</v>
      </c>
      <c r="AI3120" t="s">
        <v>55</v>
      </c>
      <c r="AJ3120">
        <v>12788092</v>
      </c>
      <c r="AK3120">
        <v>250000</v>
      </c>
      <c r="AL3120">
        <v>1500000</v>
      </c>
    </row>
    <row r="3121" spans="1:38" x14ac:dyDescent="0.25">
      <c r="A3121" t="s">
        <v>128</v>
      </c>
      <c r="B3121" t="s">
        <v>662</v>
      </c>
      <c r="C3121" t="s">
        <v>40</v>
      </c>
      <c r="D3121" s="1">
        <v>43574</v>
      </c>
      <c r="E3121" s="1">
        <v>43939</v>
      </c>
      <c r="F3121" t="s">
        <v>41</v>
      </c>
      <c r="G3121">
        <v>1</v>
      </c>
      <c r="H3121" t="s">
        <v>42</v>
      </c>
      <c r="I3121" t="s">
        <v>43</v>
      </c>
      <c r="J3121" t="s">
        <v>41</v>
      </c>
      <c r="K3121" t="s">
        <v>127</v>
      </c>
      <c r="L3121">
        <v>150.65</v>
      </c>
      <c r="M3121" s="1">
        <v>43574</v>
      </c>
      <c r="N3121" t="s">
        <v>45</v>
      </c>
      <c r="O3121" t="s">
        <v>46</v>
      </c>
      <c r="P3121" t="s">
        <v>47</v>
      </c>
      <c r="Q3121" s="1">
        <v>43852</v>
      </c>
      <c r="R3121" t="s">
        <v>48</v>
      </c>
      <c r="S3121" t="s">
        <v>49</v>
      </c>
      <c r="T3121" t="s">
        <v>50</v>
      </c>
      <c r="U3121" t="s">
        <v>42</v>
      </c>
      <c r="V3121">
        <v>0</v>
      </c>
      <c r="W3121">
        <v>100000</v>
      </c>
      <c r="X3121" s="1">
        <v>44012</v>
      </c>
      <c r="Y3121" t="s">
        <v>51</v>
      </c>
      <c r="Z3121" t="s">
        <v>43</v>
      </c>
      <c r="AA3121" t="s">
        <v>41</v>
      </c>
      <c r="AB3121" t="s">
        <v>52</v>
      </c>
      <c r="AC3121" t="s">
        <v>53</v>
      </c>
      <c r="AF3121" t="s">
        <v>57</v>
      </c>
      <c r="AG3121" s="1">
        <v>43836</v>
      </c>
      <c r="AH3121" t="s">
        <v>42</v>
      </c>
      <c r="AI3121" t="s">
        <v>55</v>
      </c>
      <c r="AJ3121">
        <v>12788092</v>
      </c>
      <c r="AK3121">
        <v>250000</v>
      </c>
      <c r="AL3121">
        <v>1500000</v>
      </c>
    </row>
    <row r="3122" spans="1:38" x14ac:dyDescent="0.25">
      <c r="A3122" t="s">
        <v>128</v>
      </c>
      <c r="B3122" t="s">
        <v>662</v>
      </c>
      <c r="C3122" t="s">
        <v>40</v>
      </c>
      <c r="D3122" s="1">
        <v>43574</v>
      </c>
      <c r="E3122" s="1">
        <v>43939</v>
      </c>
      <c r="F3122" t="s">
        <v>41</v>
      </c>
      <c r="G3122">
        <v>1</v>
      </c>
      <c r="H3122" t="s">
        <v>42</v>
      </c>
      <c r="I3122" t="s">
        <v>43</v>
      </c>
      <c r="J3122" t="s">
        <v>41</v>
      </c>
      <c r="K3122" t="s">
        <v>127</v>
      </c>
      <c r="L3122">
        <v>150.65</v>
      </c>
      <c r="M3122" s="1">
        <v>43574</v>
      </c>
      <c r="N3122" t="s">
        <v>45</v>
      </c>
      <c r="O3122" t="s">
        <v>46</v>
      </c>
      <c r="P3122" t="s">
        <v>47</v>
      </c>
      <c r="Q3122" s="1">
        <v>43852</v>
      </c>
      <c r="R3122" t="s">
        <v>48</v>
      </c>
      <c r="S3122" t="s">
        <v>49</v>
      </c>
      <c r="T3122" t="s">
        <v>50</v>
      </c>
      <c r="U3122" t="s">
        <v>42</v>
      </c>
      <c r="V3122">
        <v>0</v>
      </c>
      <c r="W3122">
        <v>100000</v>
      </c>
      <c r="X3122" s="1">
        <v>44012</v>
      </c>
      <c r="Y3122" t="s">
        <v>51</v>
      </c>
      <c r="Z3122" t="s">
        <v>43</v>
      </c>
      <c r="AA3122" t="s">
        <v>41</v>
      </c>
      <c r="AB3122" t="s">
        <v>52</v>
      </c>
      <c r="AC3122" t="s">
        <v>53</v>
      </c>
      <c r="AF3122" t="s">
        <v>58</v>
      </c>
      <c r="AG3122" s="1">
        <v>43837</v>
      </c>
      <c r="AH3122" t="s">
        <v>42</v>
      </c>
      <c r="AI3122" t="s">
        <v>55</v>
      </c>
      <c r="AJ3122">
        <v>12788092</v>
      </c>
      <c r="AK3122">
        <v>250000</v>
      </c>
      <c r="AL3122">
        <v>1500000</v>
      </c>
    </row>
    <row r="3123" spans="1:38" x14ac:dyDescent="0.25">
      <c r="A3123" t="s">
        <v>128</v>
      </c>
      <c r="B3123" t="s">
        <v>662</v>
      </c>
      <c r="C3123" t="s">
        <v>40</v>
      </c>
      <c r="D3123" s="1">
        <v>43574</v>
      </c>
      <c r="E3123" s="1">
        <v>43939</v>
      </c>
      <c r="F3123" t="s">
        <v>41</v>
      </c>
      <c r="G3123">
        <v>1</v>
      </c>
      <c r="H3123" t="s">
        <v>42</v>
      </c>
      <c r="I3123" t="s">
        <v>43</v>
      </c>
      <c r="J3123" t="s">
        <v>41</v>
      </c>
      <c r="K3123" t="s">
        <v>127</v>
      </c>
      <c r="L3123">
        <v>150.65</v>
      </c>
      <c r="M3123" s="1">
        <v>43574</v>
      </c>
      <c r="N3123" t="s">
        <v>45</v>
      </c>
      <c r="O3123" t="s">
        <v>46</v>
      </c>
      <c r="P3123" t="s">
        <v>47</v>
      </c>
      <c r="Q3123" s="1">
        <v>43852</v>
      </c>
      <c r="R3123" t="s">
        <v>48</v>
      </c>
      <c r="S3123" t="s">
        <v>49</v>
      </c>
      <c r="T3123" t="s">
        <v>50</v>
      </c>
      <c r="U3123" t="s">
        <v>42</v>
      </c>
      <c r="V3123">
        <v>0</v>
      </c>
      <c r="W3123">
        <v>100000</v>
      </c>
      <c r="X3123" s="1">
        <v>44012</v>
      </c>
      <c r="Y3123" t="s">
        <v>51</v>
      </c>
      <c r="Z3123" t="s">
        <v>43</v>
      </c>
      <c r="AA3123" t="s">
        <v>41</v>
      </c>
      <c r="AB3123" t="s">
        <v>52</v>
      </c>
      <c r="AC3123" t="s">
        <v>53</v>
      </c>
      <c r="AF3123" t="s">
        <v>59</v>
      </c>
      <c r="AG3123" s="1">
        <v>43838</v>
      </c>
      <c r="AH3123" t="s">
        <v>42</v>
      </c>
      <c r="AI3123" t="s">
        <v>55</v>
      </c>
      <c r="AJ3123">
        <v>12788092</v>
      </c>
      <c r="AK3123">
        <v>250000</v>
      </c>
      <c r="AL3123">
        <v>1500000</v>
      </c>
    </row>
    <row r="3124" spans="1:38" x14ac:dyDescent="0.25">
      <c r="A3124" t="s">
        <v>128</v>
      </c>
      <c r="B3124" t="s">
        <v>662</v>
      </c>
      <c r="C3124" t="s">
        <v>40</v>
      </c>
      <c r="D3124" s="1">
        <v>43574</v>
      </c>
      <c r="E3124" s="1">
        <v>43939</v>
      </c>
      <c r="F3124" t="s">
        <v>41</v>
      </c>
      <c r="G3124">
        <v>1</v>
      </c>
      <c r="H3124" t="s">
        <v>42</v>
      </c>
      <c r="I3124" t="s">
        <v>43</v>
      </c>
      <c r="J3124" t="s">
        <v>41</v>
      </c>
      <c r="K3124" t="s">
        <v>127</v>
      </c>
      <c r="L3124">
        <v>150.65</v>
      </c>
      <c r="M3124" s="1">
        <v>43574</v>
      </c>
      <c r="N3124" t="s">
        <v>45</v>
      </c>
      <c r="O3124" t="s">
        <v>46</v>
      </c>
      <c r="P3124" t="s">
        <v>47</v>
      </c>
      <c r="Q3124" s="1">
        <v>43852</v>
      </c>
      <c r="R3124" t="s">
        <v>48</v>
      </c>
      <c r="S3124" t="s">
        <v>60</v>
      </c>
      <c r="T3124" t="s">
        <v>61</v>
      </c>
      <c r="U3124" t="s">
        <v>42</v>
      </c>
      <c r="V3124">
        <v>0</v>
      </c>
      <c r="W3124">
        <v>100000</v>
      </c>
      <c r="X3124" s="1">
        <v>43921</v>
      </c>
      <c r="Y3124" t="s">
        <v>51</v>
      </c>
      <c r="Z3124" t="s">
        <v>43</v>
      </c>
      <c r="AA3124" t="s">
        <v>41</v>
      </c>
      <c r="AB3124" t="s">
        <v>52</v>
      </c>
      <c r="AC3124" t="s">
        <v>53</v>
      </c>
      <c r="AF3124" t="s">
        <v>54</v>
      </c>
      <c r="AG3124" s="1">
        <v>43832</v>
      </c>
      <c r="AH3124" t="s">
        <v>42</v>
      </c>
      <c r="AI3124" t="s">
        <v>55</v>
      </c>
      <c r="AJ3124">
        <v>12788092</v>
      </c>
      <c r="AK3124">
        <v>250000</v>
      </c>
      <c r="AL3124">
        <v>1500000</v>
      </c>
    </row>
    <row r="3125" spans="1:38" x14ac:dyDescent="0.25">
      <c r="A3125" t="s">
        <v>128</v>
      </c>
      <c r="B3125" t="s">
        <v>662</v>
      </c>
      <c r="C3125" t="s">
        <v>40</v>
      </c>
      <c r="D3125" s="1">
        <v>43574</v>
      </c>
      <c r="E3125" s="1">
        <v>43939</v>
      </c>
      <c r="F3125" t="s">
        <v>41</v>
      </c>
      <c r="G3125">
        <v>1</v>
      </c>
      <c r="H3125" t="s">
        <v>42</v>
      </c>
      <c r="I3125" t="s">
        <v>43</v>
      </c>
      <c r="J3125" t="s">
        <v>41</v>
      </c>
      <c r="K3125" t="s">
        <v>127</v>
      </c>
      <c r="L3125">
        <v>150.65</v>
      </c>
      <c r="M3125" s="1">
        <v>43574</v>
      </c>
      <c r="N3125" t="s">
        <v>45</v>
      </c>
      <c r="O3125" t="s">
        <v>46</v>
      </c>
      <c r="P3125" t="s">
        <v>47</v>
      </c>
      <c r="Q3125" s="1">
        <v>43852</v>
      </c>
      <c r="R3125" t="s">
        <v>48</v>
      </c>
      <c r="S3125" t="s">
        <v>60</v>
      </c>
      <c r="T3125" t="s">
        <v>61</v>
      </c>
      <c r="U3125" t="s">
        <v>42</v>
      </c>
      <c r="V3125">
        <v>0</v>
      </c>
      <c r="W3125">
        <v>100000</v>
      </c>
      <c r="X3125" s="1">
        <v>43921</v>
      </c>
      <c r="Y3125" t="s">
        <v>51</v>
      </c>
      <c r="Z3125" t="s">
        <v>43</v>
      </c>
      <c r="AA3125" t="s">
        <v>41</v>
      </c>
      <c r="AB3125" t="s">
        <v>52</v>
      </c>
      <c r="AC3125" t="s">
        <v>53</v>
      </c>
      <c r="AF3125" t="s">
        <v>56</v>
      </c>
      <c r="AG3125" s="1">
        <v>43833</v>
      </c>
      <c r="AH3125" t="s">
        <v>42</v>
      </c>
      <c r="AI3125" t="s">
        <v>55</v>
      </c>
      <c r="AJ3125">
        <v>12788092</v>
      </c>
      <c r="AK3125">
        <v>250000</v>
      </c>
      <c r="AL3125">
        <v>1500000</v>
      </c>
    </row>
    <row r="3126" spans="1:38" x14ac:dyDescent="0.25">
      <c r="A3126" t="s">
        <v>128</v>
      </c>
      <c r="B3126" t="s">
        <v>662</v>
      </c>
      <c r="C3126" t="s">
        <v>40</v>
      </c>
      <c r="D3126" s="1">
        <v>43574</v>
      </c>
      <c r="E3126" s="1">
        <v>43939</v>
      </c>
      <c r="F3126" t="s">
        <v>41</v>
      </c>
      <c r="G3126">
        <v>1</v>
      </c>
      <c r="H3126" t="s">
        <v>42</v>
      </c>
      <c r="I3126" t="s">
        <v>43</v>
      </c>
      <c r="J3126" t="s">
        <v>41</v>
      </c>
      <c r="K3126" t="s">
        <v>127</v>
      </c>
      <c r="L3126">
        <v>150.65</v>
      </c>
      <c r="M3126" s="1">
        <v>43574</v>
      </c>
      <c r="N3126" t="s">
        <v>45</v>
      </c>
      <c r="O3126" t="s">
        <v>46</v>
      </c>
      <c r="P3126" t="s">
        <v>47</v>
      </c>
      <c r="Q3126" s="1">
        <v>43852</v>
      </c>
      <c r="R3126" t="s">
        <v>48</v>
      </c>
      <c r="S3126" t="s">
        <v>60</v>
      </c>
      <c r="T3126" t="s">
        <v>61</v>
      </c>
      <c r="U3126" t="s">
        <v>42</v>
      </c>
      <c r="V3126">
        <v>0</v>
      </c>
      <c r="W3126">
        <v>100000</v>
      </c>
      <c r="X3126" s="1">
        <v>43921</v>
      </c>
      <c r="Y3126" t="s">
        <v>51</v>
      </c>
      <c r="Z3126" t="s">
        <v>43</v>
      </c>
      <c r="AA3126" t="s">
        <v>41</v>
      </c>
      <c r="AB3126" t="s">
        <v>52</v>
      </c>
      <c r="AC3126" t="s">
        <v>53</v>
      </c>
      <c r="AF3126" t="s">
        <v>57</v>
      </c>
      <c r="AG3126" s="1">
        <v>43836</v>
      </c>
      <c r="AH3126" t="s">
        <v>42</v>
      </c>
      <c r="AI3126" t="s">
        <v>55</v>
      </c>
      <c r="AJ3126">
        <v>12788092</v>
      </c>
      <c r="AK3126">
        <v>250000</v>
      </c>
      <c r="AL3126">
        <v>1500000</v>
      </c>
    </row>
    <row r="3127" spans="1:38" x14ac:dyDescent="0.25">
      <c r="A3127" t="s">
        <v>128</v>
      </c>
      <c r="B3127" t="s">
        <v>662</v>
      </c>
      <c r="C3127" t="s">
        <v>40</v>
      </c>
      <c r="D3127" s="1">
        <v>43574</v>
      </c>
      <c r="E3127" s="1">
        <v>43939</v>
      </c>
      <c r="F3127" t="s">
        <v>41</v>
      </c>
      <c r="G3127">
        <v>1</v>
      </c>
      <c r="H3127" t="s">
        <v>42</v>
      </c>
      <c r="I3127" t="s">
        <v>43</v>
      </c>
      <c r="J3127" t="s">
        <v>41</v>
      </c>
      <c r="K3127" t="s">
        <v>127</v>
      </c>
      <c r="L3127">
        <v>150.65</v>
      </c>
      <c r="M3127" s="1">
        <v>43574</v>
      </c>
      <c r="N3127" t="s">
        <v>45</v>
      </c>
      <c r="O3127" t="s">
        <v>46</v>
      </c>
      <c r="P3127" t="s">
        <v>47</v>
      </c>
      <c r="Q3127" s="1">
        <v>43852</v>
      </c>
      <c r="R3127" t="s">
        <v>48</v>
      </c>
      <c r="S3127" t="s">
        <v>60</v>
      </c>
      <c r="T3127" t="s">
        <v>61</v>
      </c>
      <c r="U3127" t="s">
        <v>42</v>
      </c>
      <c r="V3127">
        <v>0</v>
      </c>
      <c r="W3127">
        <v>100000</v>
      </c>
      <c r="X3127" s="1">
        <v>43921</v>
      </c>
      <c r="Y3127" t="s">
        <v>51</v>
      </c>
      <c r="Z3127" t="s">
        <v>43</v>
      </c>
      <c r="AA3127" t="s">
        <v>41</v>
      </c>
      <c r="AB3127" t="s">
        <v>52</v>
      </c>
      <c r="AC3127" t="s">
        <v>53</v>
      </c>
      <c r="AF3127" t="s">
        <v>58</v>
      </c>
      <c r="AG3127" s="1">
        <v>43837</v>
      </c>
      <c r="AH3127" t="s">
        <v>42</v>
      </c>
      <c r="AI3127" t="s">
        <v>55</v>
      </c>
      <c r="AJ3127">
        <v>12788092</v>
      </c>
      <c r="AK3127">
        <v>250000</v>
      </c>
      <c r="AL3127">
        <v>1500000</v>
      </c>
    </row>
    <row r="3128" spans="1:38" x14ac:dyDescent="0.25">
      <c r="A3128" t="s">
        <v>128</v>
      </c>
      <c r="B3128" t="s">
        <v>662</v>
      </c>
      <c r="C3128" t="s">
        <v>40</v>
      </c>
      <c r="D3128" s="1">
        <v>43574</v>
      </c>
      <c r="E3128" s="1">
        <v>43939</v>
      </c>
      <c r="F3128" t="s">
        <v>41</v>
      </c>
      <c r="G3128">
        <v>1</v>
      </c>
      <c r="H3128" t="s">
        <v>42</v>
      </c>
      <c r="I3128" t="s">
        <v>43</v>
      </c>
      <c r="J3128" t="s">
        <v>41</v>
      </c>
      <c r="K3128" t="s">
        <v>127</v>
      </c>
      <c r="L3128">
        <v>150.65</v>
      </c>
      <c r="M3128" s="1">
        <v>43574</v>
      </c>
      <c r="N3128" t="s">
        <v>45</v>
      </c>
      <c r="O3128" t="s">
        <v>46</v>
      </c>
      <c r="P3128" t="s">
        <v>47</v>
      </c>
      <c r="Q3128" s="1">
        <v>43852</v>
      </c>
      <c r="R3128" t="s">
        <v>48</v>
      </c>
      <c r="S3128" t="s">
        <v>60</v>
      </c>
      <c r="T3128" t="s">
        <v>61</v>
      </c>
      <c r="U3128" t="s">
        <v>42</v>
      </c>
      <c r="V3128">
        <v>0</v>
      </c>
      <c r="W3128">
        <v>100000</v>
      </c>
      <c r="X3128" s="1">
        <v>43921</v>
      </c>
      <c r="Y3128" t="s">
        <v>51</v>
      </c>
      <c r="Z3128" t="s">
        <v>43</v>
      </c>
      <c r="AA3128" t="s">
        <v>41</v>
      </c>
      <c r="AB3128" t="s">
        <v>52</v>
      </c>
      <c r="AC3128" t="s">
        <v>53</v>
      </c>
      <c r="AF3128" t="s">
        <v>59</v>
      </c>
      <c r="AG3128" s="1">
        <v>43838</v>
      </c>
      <c r="AH3128" t="s">
        <v>42</v>
      </c>
      <c r="AI3128" t="s">
        <v>55</v>
      </c>
      <c r="AJ3128">
        <v>12788092</v>
      </c>
      <c r="AK3128">
        <v>250000</v>
      </c>
      <c r="AL3128">
        <v>1500000</v>
      </c>
    </row>
    <row r="3129" spans="1:38" x14ac:dyDescent="0.25">
      <c r="A3129" t="s">
        <v>128</v>
      </c>
      <c r="B3129" t="s">
        <v>662</v>
      </c>
      <c r="C3129" t="s">
        <v>40</v>
      </c>
      <c r="D3129" s="1">
        <v>43574</v>
      </c>
      <c r="E3129" s="1">
        <v>43939</v>
      </c>
      <c r="F3129" t="s">
        <v>41</v>
      </c>
      <c r="G3129">
        <v>1</v>
      </c>
      <c r="H3129" t="s">
        <v>42</v>
      </c>
      <c r="I3129" t="s">
        <v>43</v>
      </c>
      <c r="J3129" t="s">
        <v>41</v>
      </c>
      <c r="K3129" t="s">
        <v>127</v>
      </c>
      <c r="L3129">
        <v>150.65</v>
      </c>
      <c r="M3129" s="1">
        <v>43574</v>
      </c>
      <c r="N3129" t="s">
        <v>45</v>
      </c>
      <c r="O3129" t="s">
        <v>46</v>
      </c>
      <c r="P3129" t="s">
        <v>47</v>
      </c>
      <c r="Q3129" s="1">
        <v>43852</v>
      </c>
      <c r="R3129" t="s">
        <v>48</v>
      </c>
      <c r="S3129" t="s">
        <v>62</v>
      </c>
      <c r="T3129" t="s">
        <v>63</v>
      </c>
      <c r="U3129" t="s">
        <v>42</v>
      </c>
      <c r="V3129">
        <v>0</v>
      </c>
      <c r="W3129">
        <v>100000</v>
      </c>
      <c r="X3129" s="1">
        <v>43982</v>
      </c>
      <c r="Y3129" t="s">
        <v>51</v>
      </c>
      <c r="Z3129" t="s">
        <v>43</v>
      </c>
      <c r="AA3129" t="s">
        <v>41</v>
      </c>
      <c r="AB3129" t="s">
        <v>52</v>
      </c>
      <c r="AC3129" t="s">
        <v>53</v>
      </c>
      <c r="AF3129" t="s">
        <v>54</v>
      </c>
      <c r="AG3129" s="1">
        <v>43832</v>
      </c>
      <c r="AH3129" t="s">
        <v>42</v>
      </c>
      <c r="AI3129" t="s">
        <v>55</v>
      </c>
      <c r="AJ3129">
        <v>12788092</v>
      </c>
      <c r="AK3129">
        <v>250000</v>
      </c>
      <c r="AL3129">
        <v>1500000</v>
      </c>
    </row>
    <row r="3130" spans="1:38" x14ac:dyDescent="0.25">
      <c r="A3130" t="s">
        <v>128</v>
      </c>
      <c r="B3130" t="s">
        <v>662</v>
      </c>
      <c r="C3130" t="s">
        <v>40</v>
      </c>
      <c r="D3130" s="1">
        <v>43574</v>
      </c>
      <c r="E3130" s="1">
        <v>43939</v>
      </c>
      <c r="F3130" t="s">
        <v>41</v>
      </c>
      <c r="G3130">
        <v>1</v>
      </c>
      <c r="H3130" t="s">
        <v>42</v>
      </c>
      <c r="I3130" t="s">
        <v>43</v>
      </c>
      <c r="J3130" t="s">
        <v>41</v>
      </c>
      <c r="K3130" t="s">
        <v>127</v>
      </c>
      <c r="L3130">
        <v>150.65</v>
      </c>
      <c r="M3130" s="1">
        <v>43574</v>
      </c>
      <c r="N3130" t="s">
        <v>45</v>
      </c>
      <c r="O3130" t="s">
        <v>46</v>
      </c>
      <c r="P3130" t="s">
        <v>47</v>
      </c>
      <c r="Q3130" s="1">
        <v>43852</v>
      </c>
      <c r="R3130" t="s">
        <v>48</v>
      </c>
      <c r="S3130" t="s">
        <v>62</v>
      </c>
      <c r="T3130" t="s">
        <v>63</v>
      </c>
      <c r="U3130" t="s">
        <v>42</v>
      </c>
      <c r="V3130">
        <v>0</v>
      </c>
      <c r="W3130">
        <v>100000</v>
      </c>
      <c r="X3130" s="1">
        <v>43982</v>
      </c>
      <c r="Y3130" t="s">
        <v>51</v>
      </c>
      <c r="Z3130" t="s">
        <v>43</v>
      </c>
      <c r="AA3130" t="s">
        <v>41</v>
      </c>
      <c r="AB3130" t="s">
        <v>52</v>
      </c>
      <c r="AC3130" t="s">
        <v>53</v>
      </c>
      <c r="AF3130" t="s">
        <v>56</v>
      </c>
      <c r="AG3130" s="1">
        <v>43833</v>
      </c>
      <c r="AH3130" t="s">
        <v>42</v>
      </c>
      <c r="AI3130" t="s">
        <v>55</v>
      </c>
      <c r="AJ3130">
        <v>12788092</v>
      </c>
      <c r="AK3130">
        <v>250000</v>
      </c>
      <c r="AL3130">
        <v>1500000</v>
      </c>
    </row>
    <row r="3131" spans="1:38" x14ac:dyDescent="0.25">
      <c r="A3131" t="s">
        <v>128</v>
      </c>
      <c r="B3131" t="s">
        <v>662</v>
      </c>
      <c r="C3131" t="s">
        <v>40</v>
      </c>
      <c r="D3131" s="1">
        <v>43574</v>
      </c>
      <c r="E3131" s="1">
        <v>43939</v>
      </c>
      <c r="F3131" t="s">
        <v>41</v>
      </c>
      <c r="G3131">
        <v>1</v>
      </c>
      <c r="H3131" t="s">
        <v>42</v>
      </c>
      <c r="I3131" t="s">
        <v>43</v>
      </c>
      <c r="J3131" t="s">
        <v>41</v>
      </c>
      <c r="K3131" t="s">
        <v>127</v>
      </c>
      <c r="L3131">
        <v>150.65</v>
      </c>
      <c r="M3131" s="1">
        <v>43574</v>
      </c>
      <c r="N3131" t="s">
        <v>45</v>
      </c>
      <c r="O3131" t="s">
        <v>46</v>
      </c>
      <c r="P3131" t="s">
        <v>47</v>
      </c>
      <c r="Q3131" s="1">
        <v>43852</v>
      </c>
      <c r="R3131" t="s">
        <v>48</v>
      </c>
      <c r="S3131" t="s">
        <v>62</v>
      </c>
      <c r="T3131" t="s">
        <v>63</v>
      </c>
      <c r="U3131" t="s">
        <v>42</v>
      </c>
      <c r="V3131">
        <v>0</v>
      </c>
      <c r="W3131">
        <v>100000</v>
      </c>
      <c r="X3131" s="1">
        <v>43982</v>
      </c>
      <c r="Y3131" t="s">
        <v>51</v>
      </c>
      <c r="Z3131" t="s">
        <v>43</v>
      </c>
      <c r="AA3131" t="s">
        <v>41</v>
      </c>
      <c r="AB3131" t="s">
        <v>52</v>
      </c>
      <c r="AC3131" t="s">
        <v>53</v>
      </c>
      <c r="AF3131" t="s">
        <v>57</v>
      </c>
      <c r="AG3131" s="1">
        <v>43836</v>
      </c>
      <c r="AH3131" t="s">
        <v>42</v>
      </c>
      <c r="AI3131" t="s">
        <v>55</v>
      </c>
      <c r="AJ3131">
        <v>12788092</v>
      </c>
      <c r="AK3131">
        <v>250000</v>
      </c>
      <c r="AL3131">
        <v>1500000</v>
      </c>
    </row>
    <row r="3132" spans="1:38" x14ac:dyDescent="0.25">
      <c r="A3132" t="s">
        <v>128</v>
      </c>
      <c r="B3132" t="s">
        <v>662</v>
      </c>
      <c r="C3132" t="s">
        <v>40</v>
      </c>
      <c r="D3132" s="1">
        <v>43574</v>
      </c>
      <c r="E3132" s="1">
        <v>43939</v>
      </c>
      <c r="F3132" t="s">
        <v>41</v>
      </c>
      <c r="G3132">
        <v>1</v>
      </c>
      <c r="H3132" t="s">
        <v>42</v>
      </c>
      <c r="I3132" t="s">
        <v>43</v>
      </c>
      <c r="J3132" t="s">
        <v>41</v>
      </c>
      <c r="K3132" t="s">
        <v>127</v>
      </c>
      <c r="L3132">
        <v>150.65</v>
      </c>
      <c r="M3132" s="1">
        <v>43574</v>
      </c>
      <c r="N3132" t="s">
        <v>45</v>
      </c>
      <c r="O3132" t="s">
        <v>46</v>
      </c>
      <c r="P3132" t="s">
        <v>47</v>
      </c>
      <c r="Q3132" s="1">
        <v>43852</v>
      </c>
      <c r="R3132" t="s">
        <v>48</v>
      </c>
      <c r="S3132" t="s">
        <v>62</v>
      </c>
      <c r="T3132" t="s">
        <v>63</v>
      </c>
      <c r="U3132" t="s">
        <v>42</v>
      </c>
      <c r="V3132">
        <v>0</v>
      </c>
      <c r="W3132">
        <v>100000</v>
      </c>
      <c r="X3132" s="1">
        <v>43982</v>
      </c>
      <c r="Y3132" t="s">
        <v>51</v>
      </c>
      <c r="Z3132" t="s">
        <v>43</v>
      </c>
      <c r="AA3132" t="s">
        <v>41</v>
      </c>
      <c r="AB3132" t="s">
        <v>52</v>
      </c>
      <c r="AC3132" t="s">
        <v>53</v>
      </c>
      <c r="AF3132" t="s">
        <v>58</v>
      </c>
      <c r="AG3132" s="1">
        <v>43837</v>
      </c>
      <c r="AH3132" t="s">
        <v>42</v>
      </c>
      <c r="AI3132" t="s">
        <v>55</v>
      </c>
      <c r="AJ3132">
        <v>12788092</v>
      </c>
      <c r="AK3132">
        <v>250000</v>
      </c>
      <c r="AL3132">
        <v>1500000</v>
      </c>
    </row>
    <row r="3133" spans="1:38" x14ac:dyDescent="0.25">
      <c r="A3133" t="s">
        <v>128</v>
      </c>
      <c r="B3133" t="s">
        <v>662</v>
      </c>
      <c r="C3133" t="s">
        <v>40</v>
      </c>
      <c r="D3133" s="1">
        <v>43574</v>
      </c>
      <c r="E3133" s="1">
        <v>43939</v>
      </c>
      <c r="F3133" t="s">
        <v>41</v>
      </c>
      <c r="G3133">
        <v>1</v>
      </c>
      <c r="H3133" t="s">
        <v>42</v>
      </c>
      <c r="I3133" t="s">
        <v>43</v>
      </c>
      <c r="J3133" t="s">
        <v>41</v>
      </c>
      <c r="K3133" t="s">
        <v>127</v>
      </c>
      <c r="L3133">
        <v>150.65</v>
      </c>
      <c r="M3133" s="1">
        <v>43574</v>
      </c>
      <c r="N3133" t="s">
        <v>45</v>
      </c>
      <c r="O3133" t="s">
        <v>46</v>
      </c>
      <c r="P3133" t="s">
        <v>47</v>
      </c>
      <c r="Q3133" s="1">
        <v>43852</v>
      </c>
      <c r="R3133" t="s">
        <v>48</v>
      </c>
      <c r="S3133" t="s">
        <v>62</v>
      </c>
      <c r="T3133" t="s">
        <v>63</v>
      </c>
      <c r="U3133" t="s">
        <v>42</v>
      </c>
      <c r="V3133">
        <v>0</v>
      </c>
      <c r="W3133">
        <v>100000</v>
      </c>
      <c r="X3133" s="1">
        <v>43982</v>
      </c>
      <c r="Y3133" t="s">
        <v>51</v>
      </c>
      <c r="Z3133" t="s">
        <v>43</v>
      </c>
      <c r="AA3133" t="s">
        <v>41</v>
      </c>
      <c r="AB3133" t="s">
        <v>52</v>
      </c>
      <c r="AC3133" t="s">
        <v>53</v>
      </c>
      <c r="AF3133" t="s">
        <v>59</v>
      </c>
      <c r="AG3133" s="1">
        <v>43838</v>
      </c>
      <c r="AH3133" t="s">
        <v>42</v>
      </c>
      <c r="AI3133" t="s">
        <v>55</v>
      </c>
      <c r="AJ3133">
        <v>12788092</v>
      </c>
      <c r="AK3133">
        <v>250000</v>
      </c>
      <c r="AL3133">
        <v>1500000</v>
      </c>
    </row>
    <row r="3134" spans="1:38" x14ac:dyDescent="0.25">
      <c r="A3134" t="s">
        <v>128</v>
      </c>
      <c r="B3134" t="s">
        <v>662</v>
      </c>
      <c r="C3134" t="s">
        <v>40</v>
      </c>
      <c r="D3134" s="1">
        <v>43574</v>
      </c>
      <c r="E3134" s="1">
        <v>43939</v>
      </c>
      <c r="F3134" t="s">
        <v>41</v>
      </c>
      <c r="G3134">
        <v>1</v>
      </c>
      <c r="H3134" t="s">
        <v>42</v>
      </c>
      <c r="I3134" t="s">
        <v>43</v>
      </c>
      <c r="J3134" t="s">
        <v>41</v>
      </c>
      <c r="K3134" t="s">
        <v>127</v>
      </c>
      <c r="L3134">
        <v>150.65</v>
      </c>
      <c r="M3134" s="1">
        <v>43574</v>
      </c>
      <c r="N3134" t="s">
        <v>45</v>
      </c>
      <c r="O3134" t="s">
        <v>46</v>
      </c>
      <c r="P3134" t="s">
        <v>47</v>
      </c>
      <c r="Q3134" s="1">
        <v>43852</v>
      </c>
      <c r="R3134" t="s">
        <v>48</v>
      </c>
      <c r="S3134" t="s">
        <v>64</v>
      </c>
      <c r="T3134" t="s">
        <v>65</v>
      </c>
      <c r="U3134" t="s">
        <v>42</v>
      </c>
      <c r="V3134">
        <v>0</v>
      </c>
      <c r="W3134">
        <v>100000</v>
      </c>
      <c r="X3134" s="1">
        <v>43921</v>
      </c>
      <c r="Y3134" t="s">
        <v>51</v>
      </c>
      <c r="Z3134" t="s">
        <v>43</v>
      </c>
      <c r="AA3134" t="s">
        <v>41</v>
      </c>
      <c r="AB3134" t="s">
        <v>52</v>
      </c>
      <c r="AC3134" t="s">
        <v>53</v>
      </c>
      <c r="AF3134" t="s">
        <v>54</v>
      </c>
      <c r="AG3134" s="1">
        <v>43832</v>
      </c>
      <c r="AH3134" t="s">
        <v>42</v>
      </c>
      <c r="AI3134" t="s">
        <v>55</v>
      </c>
      <c r="AJ3134">
        <v>12788092</v>
      </c>
      <c r="AK3134">
        <v>250000</v>
      </c>
      <c r="AL3134">
        <v>1500000</v>
      </c>
    </row>
    <row r="3135" spans="1:38" x14ac:dyDescent="0.25">
      <c r="A3135" t="s">
        <v>128</v>
      </c>
      <c r="B3135" t="s">
        <v>662</v>
      </c>
      <c r="C3135" t="s">
        <v>40</v>
      </c>
      <c r="D3135" s="1">
        <v>43574</v>
      </c>
      <c r="E3135" s="1">
        <v>43939</v>
      </c>
      <c r="F3135" t="s">
        <v>41</v>
      </c>
      <c r="G3135">
        <v>1</v>
      </c>
      <c r="H3135" t="s">
        <v>42</v>
      </c>
      <c r="I3135" t="s">
        <v>43</v>
      </c>
      <c r="J3135" t="s">
        <v>41</v>
      </c>
      <c r="K3135" t="s">
        <v>127</v>
      </c>
      <c r="L3135">
        <v>150.65</v>
      </c>
      <c r="M3135" s="1">
        <v>43574</v>
      </c>
      <c r="N3135" t="s">
        <v>45</v>
      </c>
      <c r="O3135" t="s">
        <v>46</v>
      </c>
      <c r="P3135" t="s">
        <v>47</v>
      </c>
      <c r="Q3135" s="1">
        <v>43852</v>
      </c>
      <c r="R3135" t="s">
        <v>48</v>
      </c>
      <c r="S3135" t="s">
        <v>64</v>
      </c>
      <c r="T3135" t="s">
        <v>65</v>
      </c>
      <c r="U3135" t="s">
        <v>42</v>
      </c>
      <c r="V3135">
        <v>0</v>
      </c>
      <c r="W3135">
        <v>100000</v>
      </c>
      <c r="X3135" s="1">
        <v>43921</v>
      </c>
      <c r="Y3135" t="s">
        <v>51</v>
      </c>
      <c r="Z3135" t="s">
        <v>43</v>
      </c>
      <c r="AA3135" t="s">
        <v>41</v>
      </c>
      <c r="AB3135" t="s">
        <v>52</v>
      </c>
      <c r="AC3135" t="s">
        <v>53</v>
      </c>
      <c r="AF3135" t="s">
        <v>56</v>
      </c>
      <c r="AG3135" s="1">
        <v>43833</v>
      </c>
      <c r="AH3135" t="s">
        <v>42</v>
      </c>
      <c r="AI3135" t="s">
        <v>55</v>
      </c>
      <c r="AJ3135">
        <v>12788092</v>
      </c>
      <c r="AK3135">
        <v>250000</v>
      </c>
      <c r="AL3135">
        <v>1500000</v>
      </c>
    </row>
    <row r="3136" spans="1:38" x14ac:dyDescent="0.25">
      <c r="A3136" t="s">
        <v>128</v>
      </c>
      <c r="B3136" t="s">
        <v>662</v>
      </c>
      <c r="C3136" t="s">
        <v>40</v>
      </c>
      <c r="D3136" s="1">
        <v>43574</v>
      </c>
      <c r="E3136" s="1">
        <v>43939</v>
      </c>
      <c r="F3136" t="s">
        <v>41</v>
      </c>
      <c r="G3136">
        <v>1</v>
      </c>
      <c r="H3136" t="s">
        <v>42</v>
      </c>
      <c r="I3136" t="s">
        <v>43</v>
      </c>
      <c r="J3136" t="s">
        <v>41</v>
      </c>
      <c r="K3136" t="s">
        <v>127</v>
      </c>
      <c r="L3136">
        <v>150.65</v>
      </c>
      <c r="M3136" s="1">
        <v>43574</v>
      </c>
      <c r="N3136" t="s">
        <v>45</v>
      </c>
      <c r="O3136" t="s">
        <v>46</v>
      </c>
      <c r="P3136" t="s">
        <v>47</v>
      </c>
      <c r="Q3136" s="1">
        <v>43852</v>
      </c>
      <c r="R3136" t="s">
        <v>48</v>
      </c>
      <c r="S3136" t="s">
        <v>64</v>
      </c>
      <c r="T3136" t="s">
        <v>65</v>
      </c>
      <c r="U3136" t="s">
        <v>42</v>
      </c>
      <c r="V3136">
        <v>0</v>
      </c>
      <c r="W3136">
        <v>100000</v>
      </c>
      <c r="X3136" s="1">
        <v>43921</v>
      </c>
      <c r="Y3136" t="s">
        <v>51</v>
      </c>
      <c r="Z3136" t="s">
        <v>43</v>
      </c>
      <c r="AA3136" t="s">
        <v>41</v>
      </c>
      <c r="AB3136" t="s">
        <v>52</v>
      </c>
      <c r="AC3136" t="s">
        <v>53</v>
      </c>
      <c r="AF3136" t="s">
        <v>57</v>
      </c>
      <c r="AG3136" s="1">
        <v>43836</v>
      </c>
      <c r="AH3136" t="s">
        <v>42</v>
      </c>
      <c r="AI3136" t="s">
        <v>55</v>
      </c>
      <c r="AJ3136">
        <v>12788092</v>
      </c>
      <c r="AK3136">
        <v>250000</v>
      </c>
      <c r="AL3136">
        <v>1500000</v>
      </c>
    </row>
    <row r="3137" spans="1:38" x14ac:dyDescent="0.25">
      <c r="A3137" t="s">
        <v>128</v>
      </c>
      <c r="B3137" t="s">
        <v>662</v>
      </c>
      <c r="C3137" t="s">
        <v>40</v>
      </c>
      <c r="D3137" s="1">
        <v>43574</v>
      </c>
      <c r="E3137" s="1">
        <v>43939</v>
      </c>
      <c r="F3137" t="s">
        <v>41</v>
      </c>
      <c r="G3137">
        <v>1</v>
      </c>
      <c r="H3137" t="s">
        <v>42</v>
      </c>
      <c r="I3137" t="s">
        <v>43</v>
      </c>
      <c r="J3137" t="s">
        <v>41</v>
      </c>
      <c r="K3137" t="s">
        <v>127</v>
      </c>
      <c r="L3137">
        <v>150.65</v>
      </c>
      <c r="M3137" s="1">
        <v>43574</v>
      </c>
      <c r="N3137" t="s">
        <v>45</v>
      </c>
      <c r="O3137" t="s">
        <v>46</v>
      </c>
      <c r="P3137" t="s">
        <v>47</v>
      </c>
      <c r="Q3137" s="1">
        <v>43852</v>
      </c>
      <c r="R3137" t="s">
        <v>48</v>
      </c>
      <c r="S3137" t="s">
        <v>64</v>
      </c>
      <c r="T3137" t="s">
        <v>65</v>
      </c>
      <c r="U3137" t="s">
        <v>42</v>
      </c>
      <c r="V3137">
        <v>0</v>
      </c>
      <c r="W3137">
        <v>100000</v>
      </c>
      <c r="X3137" s="1">
        <v>43921</v>
      </c>
      <c r="Y3137" t="s">
        <v>51</v>
      </c>
      <c r="Z3137" t="s">
        <v>43</v>
      </c>
      <c r="AA3137" t="s">
        <v>41</v>
      </c>
      <c r="AB3137" t="s">
        <v>52</v>
      </c>
      <c r="AC3137" t="s">
        <v>53</v>
      </c>
      <c r="AF3137" t="s">
        <v>58</v>
      </c>
      <c r="AG3137" s="1">
        <v>43837</v>
      </c>
      <c r="AH3137" t="s">
        <v>42</v>
      </c>
      <c r="AI3137" t="s">
        <v>55</v>
      </c>
      <c r="AJ3137">
        <v>12788092</v>
      </c>
      <c r="AK3137">
        <v>250000</v>
      </c>
      <c r="AL3137">
        <v>1500000</v>
      </c>
    </row>
    <row r="3138" spans="1:38" x14ac:dyDescent="0.25">
      <c r="A3138" t="s">
        <v>128</v>
      </c>
      <c r="B3138" t="s">
        <v>662</v>
      </c>
      <c r="C3138" t="s">
        <v>40</v>
      </c>
      <c r="D3138" s="1">
        <v>43574</v>
      </c>
      <c r="E3138" s="1">
        <v>43939</v>
      </c>
      <c r="F3138" t="s">
        <v>41</v>
      </c>
      <c r="G3138">
        <v>1</v>
      </c>
      <c r="H3138" t="s">
        <v>42</v>
      </c>
      <c r="I3138" t="s">
        <v>43</v>
      </c>
      <c r="J3138" t="s">
        <v>41</v>
      </c>
      <c r="K3138" t="s">
        <v>127</v>
      </c>
      <c r="L3138">
        <v>150.65</v>
      </c>
      <c r="M3138" s="1">
        <v>43574</v>
      </c>
      <c r="N3138" t="s">
        <v>45</v>
      </c>
      <c r="O3138" t="s">
        <v>46</v>
      </c>
      <c r="P3138" t="s">
        <v>47</v>
      </c>
      <c r="Q3138" s="1">
        <v>43852</v>
      </c>
      <c r="R3138" t="s">
        <v>48</v>
      </c>
      <c r="S3138" t="s">
        <v>64</v>
      </c>
      <c r="T3138" t="s">
        <v>65</v>
      </c>
      <c r="U3138" t="s">
        <v>42</v>
      </c>
      <c r="V3138">
        <v>0</v>
      </c>
      <c r="W3138">
        <v>100000</v>
      </c>
      <c r="X3138" s="1">
        <v>43921</v>
      </c>
      <c r="Y3138" t="s">
        <v>51</v>
      </c>
      <c r="Z3138" t="s">
        <v>43</v>
      </c>
      <c r="AA3138" t="s">
        <v>41</v>
      </c>
      <c r="AB3138" t="s">
        <v>52</v>
      </c>
      <c r="AC3138" t="s">
        <v>53</v>
      </c>
      <c r="AF3138" t="s">
        <v>59</v>
      </c>
      <c r="AG3138" s="1">
        <v>43838</v>
      </c>
      <c r="AH3138" t="s">
        <v>42</v>
      </c>
      <c r="AI3138" t="s">
        <v>55</v>
      </c>
      <c r="AJ3138">
        <v>12788092</v>
      </c>
      <c r="AK3138">
        <v>250000</v>
      </c>
      <c r="AL3138">
        <v>1500000</v>
      </c>
    </row>
    <row r="3139" spans="1:38" x14ac:dyDescent="0.25">
      <c r="A3139" t="s">
        <v>522</v>
      </c>
      <c r="B3139">
        <v>304003070</v>
      </c>
      <c r="C3139" t="s">
        <v>40</v>
      </c>
      <c r="D3139" s="1">
        <v>43433</v>
      </c>
      <c r="E3139" s="1">
        <v>43797</v>
      </c>
      <c r="F3139" t="s">
        <v>77</v>
      </c>
      <c r="G3139">
        <v>6</v>
      </c>
      <c r="H3139" t="s">
        <v>187</v>
      </c>
      <c r="I3139" t="s">
        <v>43</v>
      </c>
      <c r="J3139" t="s">
        <v>77</v>
      </c>
      <c r="K3139" t="s">
        <v>68</v>
      </c>
      <c r="L3139">
        <v>115173.38</v>
      </c>
      <c r="M3139" s="1">
        <v>43433</v>
      </c>
      <c r="N3139" t="s">
        <v>45</v>
      </c>
      <c r="O3139" t="s">
        <v>46</v>
      </c>
      <c r="P3139" t="s">
        <v>47</v>
      </c>
      <c r="Q3139" s="1">
        <v>43852</v>
      </c>
      <c r="R3139" t="s">
        <v>48</v>
      </c>
    </row>
    <row r="3140" spans="1:38" x14ac:dyDescent="0.25">
      <c r="A3140" t="s">
        <v>143</v>
      </c>
      <c r="B3140" t="s">
        <v>663</v>
      </c>
      <c r="C3140" t="s">
        <v>40</v>
      </c>
      <c r="D3140" s="1">
        <v>43471</v>
      </c>
      <c r="E3140" s="1">
        <v>43835</v>
      </c>
      <c r="F3140" t="s">
        <v>41</v>
      </c>
      <c r="G3140">
        <v>11</v>
      </c>
      <c r="H3140" t="s">
        <v>223</v>
      </c>
      <c r="I3140" t="s">
        <v>43</v>
      </c>
      <c r="J3140" t="s">
        <v>41</v>
      </c>
      <c r="K3140" t="s">
        <v>127</v>
      </c>
      <c r="L3140">
        <v>825</v>
      </c>
      <c r="M3140" s="1">
        <v>43471</v>
      </c>
      <c r="N3140" t="s">
        <v>45</v>
      </c>
      <c r="O3140" t="s">
        <v>46</v>
      </c>
      <c r="P3140" t="s">
        <v>47</v>
      </c>
      <c r="Q3140" s="1">
        <v>43852</v>
      </c>
      <c r="R3140" t="s">
        <v>48</v>
      </c>
    </row>
    <row r="3141" spans="1:38" x14ac:dyDescent="0.25">
      <c r="A3141" t="s">
        <v>144</v>
      </c>
      <c r="B3141" t="s">
        <v>664</v>
      </c>
      <c r="C3141" t="s">
        <v>40</v>
      </c>
      <c r="D3141" s="1">
        <v>43264</v>
      </c>
      <c r="E3141" s="1">
        <v>43628</v>
      </c>
      <c r="F3141" t="s">
        <v>41</v>
      </c>
      <c r="G3141">
        <v>11</v>
      </c>
      <c r="H3141" t="s">
        <v>223</v>
      </c>
      <c r="I3141" t="s">
        <v>43</v>
      </c>
      <c r="J3141" t="s">
        <v>41</v>
      </c>
      <c r="K3141" t="s">
        <v>44</v>
      </c>
      <c r="L3141">
        <v>20625</v>
      </c>
      <c r="M3141" s="1">
        <v>43264</v>
      </c>
      <c r="N3141" t="s">
        <v>45</v>
      </c>
      <c r="O3141" t="s">
        <v>46</v>
      </c>
      <c r="P3141" t="s">
        <v>47</v>
      </c>
      <c r="Q3141" s="1">
        <v>43852</v>
      </c>
      <c r="R3141" t="s">
        <v>48</v>
      </c>
    </row>
    <row r="3142" spans="1:38" x14ac:dyDescent="0.25">
      <c r="A3142" t="s">
        <v>146</v>
      </c>
      <c r="B3142" t="s">
        <v>665</v>
      </c>
      <c r="C3142" t="s">
        <v>40</v>
      </c>
      <c r="D3142" s="1">
        <v>43563</v>
      </c>
      <c r="E3142" s="1">
        <v>43928</v>
      </c>
      <c r="F3142" t="s">
        <v>41</v>
      </c>
      <c r="G3142">
        <v>11</v>
      </c>
      <c r="H3142" t="s">
        <v>223</v>
      </c>
      <c r="I3142" t="s">
        <v>43</v>
      </c>
      <c r="J3142" t="s">
        <v>41</v>
      </c>
      <c r="K3142" t="s">
        <v>127</v>
      </c>
      <c r="L3142">
        <v>2598.75</v>
      </c>
      <c r="M3142" s="1">
        <v>43563</v>
      </c>
      <c r="N3142" t="s">
        <v>45</v>
      </c>
      <c r="O3142" t="s">
        <v>46</v>
      </c>
      <c r="P3142" t="s">
        <v>47</v>
      </c>
      <c r="Q3142" s="1">
        <v>43852</v>
      </c>
      <c r="R3142" t="s">
        <v>48</v>
      </c>
    </row>
    <row r="3143" spans="1:38" x14ac:dyDescent="0.25">
      <c r="A3143" t="s">
        <v>148</v>
      </c>
      <c r="B3143" t="s">
        <v>666</v>
      </c>
      <c r="C3143" t="s">
        <v>40</v>
      </c>
      <c r="D3143" s="1">
        <v>43563</v>
      </c>
      <c r="E3143" s="1">
        <v>43928</v>
      </c>
      <c r="F3143" t="s">
        <v>41</v>
      </c>
      <c r="G3143">
        <v>11</v>
      </c>
      <c r="H3143" t="s">
        <v>223</v>
      </c>
      <c r="I3143" t="s">
        <v>43</v>
      </c>
      <c r="J3143" t="s">
        <v>41</v>
      </c>
      <c r="K3143" t="s">
        <v>127</v>
      </c>
      <c r="L3143">
        <v>693</v>
      </c>
      <c r="M3143" s="1">
        <v>43563</v>
      </c>
      <c r="N3143" t="s">
        <v>45</v>
      </c>
      <c r="O3143" t="s">
        <v>46</v>
      </c>
      <c r="P3143" t="s">
        <v>47</v>
      </c>
      <c r="Q3143" s="1">
        <v>43852</v>
      </c>
      <c r="R3143" t="s">
        <v>48</v>
      </c>
    </row>
    <row r="3144" spans="1:38" x14ac:dyDescent="0.25">
      <c r="A3144" t="s">
        <v>150</v>
      </c>
      <c r="B3144" t="s">
        <v>667</v>
      </c>
      <c r="C3144" t="s">
        <v>40</v>
      </c>
      <c r="D3144" s="1">
        <v>43577</v>
      </c>
      <c r="E3144" s="1">
        <v>43942</v>
      </c>
      <c r="F3144" t="s">
        <v>41</v>
      </c>
      <c r="G3144">
        <v>11</v>
      </c>
      <c r="H3144" t="s">
        <v>223</v>
      </c>
      <c r="I3144" t="s">
        <v>43</v>
      </c>
      <c r="J3144" t="s">
        <v>41</v>
      </c>
      <c r="K3144" t="s">
        <v>127</v>
      </c>
      <c r="L3144">
        <v>357.06</v>
      </c>
      <c r="M3144" s="1">
        <v>43577</v>
      </c>
      <c r="N3144" t="s">
        <v>45</v>
      </c>
      <c r="O3144" t="s">
        <v>46</v>
      </c>
      <c r="P3144" t="s">
        <v>47</v>
      </c>
      <c r="Q3144" s="1">
        <v>43852</v>
      </c>
      <c r="R3144" t="s">
        <v>48</v>
      </c>
    </row>
    <row r="3145" spans="1:38" x14ac:dyDescent="0.25">
      <c r="A3145" t="s">
        <v>151</v>
      </c>
      <c r="B3145" s="2">
        <v>1.31001E+19</v>
      </c>
      <c r="C3145" t="s">
        <v>40</v>
      </c>
      <c r="D3145" s="1">
        <v>43531</v>
      </c>
      <c r="E3145" s="1">
        <v>43896</v>
      </c>
      <c r="F3145" t="s">
        <v>76</v>
      </c>
      <c r="G3145">
        <v>11</v>
      </c>
      <c r="H3145" t="s">
        <v>223</v>
      </c>
      <c r="I3145" t="s">
        <v>43</v>
      </c>
      <c r="J3145" t="s">
        <v>80</v>
      </c>
      <c r="K3145" t="s">
        <v>44</v>
      </c>
      <c r="L3145">
        <v>41625</v>
      </c>
      <c r="M3145" s="1">
        <v>43652</v>
      </c>
      <c r="N3145" t="s">
        <v>45</v>
      </c>
      <c r="O3145" t="s">
        <v>46</v>
      </c>
      <c r="P3145" t="s">
        <v>47</v>
      </c>
      <c r="Q3145" s="1">
        <v>43852</v>
      </c>
      <c r="R3145" t="s">
        <v>48</v>
      </c>
    </row>
    <row r="3146" spans="1:38" x14ac:dyDescent="0.25">
      <c r="A3146" t="s">
        <v>152</v>
      </c>
      <c r="B3146" s="2">
        <v>1.31001E+19</v>
      </c>
      <c r="C3146" t="s">
        <v>40</v>
      </c>
      <c r="D3146" s="1">
        <v>43531</v>
      </c>
      <c r="E3146" s="1">
        <v>43896</v>
      </c>
      <c r="F3146" t="s">
        <v>76</v>
      </c>
      <c r="G3146">
        <v>11</v>
      </c>
      <c r="H3146" t="s">
        <v>223</v>
      </c>
      <c r="I3146" t="s">
        <v>43</v>
      </c>
      <c r="J3146" t="s">
        <v>80</v>
      </c>
      <c r="K3146" t="s">
        <v>44</v>
      </c>
      <c r="L3146">
        <v>41625</v>
      </c>
      <c r="M3146" s="1">
        <v>43773</v>
      </c>
      <c r="N3146" t="s">
        <v>45</v>
      </c>
      <c r="O3146" t="s">
        <v>46</v>
      </c>
      <c r="P3146" t="s">
        <v>47</v>
      </c>
      <c r="Q3146" s="1">
        <v>43852</v>
      </c>
      <c r="R3146" t="s">
        <v>48</v>
      </c>
    </row>
    <row r="3147" spans="1:38" x14ac:dyDescent="0.25">
      <c r="A3147" t="s">
        <v>153</v>
      </c>
      <c r="B3147" s="2">
        <v>1.31001E+19</v>
      </c>
      <c r="C3147" t="s">
        <v>40</v>
      </c>
      <c r="D3147" s="1">
        <v>43531</v>
      </c>
      <c r="E3147" s="1">
        <v>43896</v>
      </c>
      <c r="F3147" t="s">
        <v>76</v>
      </c>
      <c r="G3147">
        <v>11</v>
      </c>
      <c r="H3147" t="s">
        <v>223</v>
      </c>
      <c r="I3147" t="s">
        <v>43</v>
      </c>
      <c r="J3147" t="s">
        <v>80</v>
      </c>
      <c r="K3147" t="s">
        <v>44</v>
      </c>
      <c r="L3147">
        <v>124875</v>
      </c>
      <c r="M3147" s="1">
        <v>43531</v>
      </c>
      <c r="N3147" t="s">
        <v>45</v>
      </c>
      <c r="O3147" t="s">
        <v>46</v>
      </c>
      <c r="P3147" t="s">
        <v>47</v>
      </c>
      <c r="Q3147" s="1">
        <v>43852</v>
      </c>
      <c r="R3147" t="s">
        <v>48</v>
      </c>
    </row>
    <row r="3148" spans="1:38" x14ac:dyDescent="0.25">
      <c r="A3148" t="s">
        <v>167</v>
      </c>
      <c r="B3148">
        <v>41048751</v>
      </c>
      <c r="C3148" t="s">
        <v>40</v>
      </c>
      <c r="D3148" s="1">
        <v>43705</v>
      </c>
      <c r="E3148" s="1">
        <v>44070</v>
      </c>
      <c r="F3148" t="s">
        <v>77</v>
      </c>
      <c r="G3148">
        <v>1</v>
      </c>
      <c r="H3148" t="s">
        <v>42</v>
      </c>
      <c r="I3148" t="s">
        <v>43</v>
      </c>
      <c r="J3148" t="s">
        <v>77</v>
      </c>
      <c r="K3148" t="s">
        <v>44</v>
      </c>
      <c r="L3148">
        <v>42900</v>
      </c>
      <c r="M3148" s="1">
        <v>43340</v>
      </c>
      <c r="N3148" t="s">
        <v>45</v>
      </c>
      <c r="O3148" t="s">
        <v>46</v>
      </c>
      <c r="P3148" t="s">
        <v>47</v>
      </c>
      <c r="Q3148" s="1">
        <v>43852</v>
      </c>
      <c r="R3148" t="s">
        <v>48</v>
      </c>
      <c r="S3148" t="s">
        <v>233</v>
      </c>
      <c r="T3148" t="s">
        <v>234</v>
      </c>
      <c r="U3148" t="s">
        <v>42</v>
      </c>
      <c r="V3148">
        <v>0</v>
      </c>
      <c r="W3148">
        <v>100000</v>
      </c>
      <c r="X3148" s="1">
        <v>43982</v>
      </c>
      <c r="Y3148" t="s">
        <v>51</v>
      </c>
      <c r="Z3148" t="s">
        <v>43</v>
      </c>
      <c r="AA3148" t="s">
        <v>77</v>
      </c>
      <c r="AB3148" t="s">
        <v>158</v>
      </c>
      <c r="AC3148" t="s">
        <v>235</v>
      </c>
      <c r="AF3148" t="s">
        <v>54</v>
      </c>
      <c r="AG3148" s="1">
        <v>43832</v>
      </c>
      <c r="AH3148" t="s">
        <v>42</v>
      </c>
      <c r="AI3148" t="s">
        <v>55</v>
      </c>
      <c r="AJ3148">
        <v>12788092</v>
      </c>
      <c r="AK3148">
        <v>250000</v>
      </c>
      <c r="AL3148">
        <v>1500000</v>
      </c>
    </row>
    <row r="3149" spans="1:38" x14ac:dyDescent="0.25">
      <c r="A3149" t="s">
        <v>167</v>
      </c>
      <c r="B3149">
        <v>41048751</v>
      </c>
      <c r="C3149" t="s">
        <v>40</v>
      </c>
      <c r="D3149" s="1">
        <v>43705</v>
      </c>
      <c r="E3149" s="1">
        <v>44070</v>
      </c>
      <c r="F3149" t="s">
        <v>77</v>
      </c>
      <c r="G3149">
        <v>1</v>
      </c>
      <c r="H3149" t="s">
        <v>42</v>
      </c>
      <c r="I3149" t="s">
        <v>43</v>
      </c>
      <c r="J3149" t="s">
        <v>77</v>
      </c>
      <c r="K3149" t="s">
        <v>44</v>
      </c>
      <c r="L3149">
        <v>42900</v>
      </c>
      <c r="M3149" s="1">
        <v>43340</v>
      </c>
      <c r="N3149" t="s">
        <v>45</v>
      </c>
      <c r="O3149" t="s">
        <v>46</v>
      </c>
      <c r="P3149" t="s">
        <v>47</v>
      </c>
      <c r="Q3149" s="1">
        <v>43852</v>
      </c>
      <c r="R3149" t="s">
        <v>48</v>
      </c>
      <c r="S3149" t="s">
        <v>233</v>
      </c>
      <c r="T3149" t="s">
        <v>234</v>
      </c>
      <c r="U3149" t="s">
        <v>42</v>
      </c>
      <c r="V3149">
        <v>0</v>
      </c>
      <c r="W3149">
        <v>100000</v>
      </c>
      <c r="X3149" s="1">
        <v>43982</v>
      </c>
      <c r="Y3149" t="s">
        <v>51</v>
      </c>
      <c r="Z3149" t="s">
        <v>43</v>
      </c>
      <c r="AA3149" t="s">
        <v>77</v>
      </c>
      <c r="AB3149" t="s">
        <v>158</v>
      </c>
      <c r="AC3149" t="s">
        <v>235</v>
      </c>
      <c r="AF3149" t="s">
        <v>56</v>
      </c>
      <c r="AG3149" s="1">
        <v>43833</v>
      </c>
      <c r="AH3149" t="s">
        <v>42</v>
      </c>
      <c r="AI3149" t="s">
        <v>55</v>
      </c>
      <c r="AJ3149">
        <v>12788092</v>
      </c>
      <c r="AK3149">
        <v>250000</v>
      </c>
      <c r="AL3149">
        <v>1500000</v>
      </c>
    </row>
    <row r="3150" spans="1:38" x14ac:dyDescent="0.25">
      <c r="A3150" t="s">
        <v>167</v>
      </c>
      <c r="B3150">
        <v>41048751</v>
      </c>
      <c r="C3150" t="s">
        <v>40</v>
      </c>
      <c r="D3150" s="1">
        <v>43705</v>
      </c>
      <c r="E3150" s="1">
        <v>44070</v>
      </c>
      <c r="F3150" t="s">
        <v>77</v>
      </c>
      <c r="G3150">
        <v>1</v>
      </c>
      <c r="H3150" t="s">
        <v>42</v>
      </c>
      <c r="I3150" t="s">
        <v>43</v>
      </c>
      <c r="J3150" t="s">
        <v>77</v>
      </c>
      <c r="K3150" t="s">
        <v>44</v>
      </c>
      <c r="L3150">
        <v>42900</v>
      </c>
      <c r="M3150" s="1">
        <v>43340</v>
      </c>
      <c r="N3150" t="s">
        <v>45</v>
      </c>
      <c r="O3150" t="s">
        <v>46</v>
      </c>
      <c r="P3150" t="s">
        <v>47</v>
      </c>
      <c r="Q3150" s="1">
        <v>43852</v>
      </c>
      <c r="R3150" t="s">
        <v>48</v>
      </c>
      <c r="S3150" t="s">
        <v>233</v>
      </c>
      <c r="T3150" t="s">
        <v>234</v>
      </c>
      <c r="U3150" t="s">
        <v>42</v>
      </c>
      <c r="V3150">
        <v>0</v>
      </c>
      <c r="W3150">
        <v>100000</v>
      </c>
      <c r="X3150" s="1">
        <v>43982</v>
      </c>
      <c r="Y3150" t="s">
        <v>51</v>
      </c>
      <c r="Z3150" t="s">
        <v>43</v>
      </c>
      <c r="AA3150" t="s">
        <v>77</v>
      </c>
      <c r="AB3150" t="s">
        <v>158</v>
      </c>
      <c r="AC3150" t="s">
        <v>235</v>
      </c>
      <c r="AF3150" t="s">
        <v>57</v>
      </c>
      <c r="AG3150" s="1">
        <v>43836</v>
      </c>
      <c r="AH3150" t="s">
        <v>42</v>
      </c>
      <c r="AI3150" t="s">
        <v>55</v>
      </c>
      <c r="AJ3150">
        <v>12788092</v>
      </c>
      <c r="AK3150">
        <v>250000</v>
      </c>
      <c r="AL3150">
        <v>1500000</v>
      </c>
    </row>
    <row r="3151" spans="1:38" x14ac:dyDescent="0.25">
      <c r="A3151" t="s">
        <v>167</v>
      </c>
      <c r="B3151">
        <v>41048751</v>
      </c>
      <c r="C3151" t="s">
        <v>40</v>
      </c>
      <c r="D3151" s="1">
        <v>43705</v>
      </c>
      <c r="E3151" s="1">
        <v>44070</v>
      </c>
      <c r="F3151" t="s">
        <v>77</v>
      </c>
      <c r="G3151">
        <v>1</v>
      </c>
      <c r="H3151" t="s">
        <v>42</v>
      </c>
      <c r="I3151" t="s">
        <v>43</v>
      </c>
      <c r="J3151" t="s">
        <v>77</v>
      </c>
      <c r="K3151" t="s">
        <v>44</v>
      </c>
      <c r="L3151">
        <v>42900</v>
      </c>
      <c r="M3151" s="1">
        <v>43340</v>
      </c>
      <c r="N3151" t="s">
        <v>45</v>
      </c>
      <c r="O3151" t="s">
        <v>46</v>
      </c>
      <c r="P3151" t="s">
        <v>47</v>
      </c>
      <c r="Q3151" s="1">
        <v>43852</v>
      </c>
      <c r="R3151" t="s">
        <v>48</v>
      </c>
      <c r="S3151" t="s">
        <v>233</v>
      </c>
      <c r="T3151" t="s">
        <v>234</v>
      </c>
      <c r="U3151" t="s">
        <v>42</v>
      </c>
      <c r="V3151">
        <v>0</v>
      </c>
      <c r="W3151">
        <v>100000</v>
      </c>
      <c r="X3151" s="1">
        <v>43982</v>
      </c>
      <c r="Y3151" t="s">
        <v>51</v>
      </c>
      <c r="Z3151" t="s">
        <v>43</v>
      </c>
      <c r="AA3151" t="s">
        <v>77</v>
      </c>
      <c r="AB3151" t="s">
        <v>158</v>
      </c>
      <c r="AC3151" t="s">
        <v>235</v>
      </c>
      <c r="AF3151" t="s">
        <v>58</v>
      </c>
      <c r="AG3151" s="1">
        <v>43837</v>
      </c>
      <c r="AH3151" t="s">
        <v>42</v>
      </c>
      <c r="AI3151" t="s">
        <v>55</v>
      </c>
      <c r="AJ3151">
        <v>12788092</v>
      </c>
      <c r="AK3151">
        <v>250000</v>
      </c>
      <c r="AL3151">
        <v>1500000</v>
      </c>
    </row>
    <row r="3152" spans="1:38" x14ac:dyDescent="0.25">
      <c r="A3152" t="s">
        <v>167</v>
      </c>
      <c r="B3152">
        <v>41048751</v>
      </c>
      <c r="C3152" t="s">
        <v>40</v>
      </c>
      <c r="D3152" s="1">
        <v>43705</v>
      </c>
      <c r="E3152" s="1">
        <v>44070</v>
      </c>
      <c r="F3152" t="s">
        <v>77</v>
      </c>
      <c r="G3152">
        <v>1</v>
      </c>
      <c r="H3152" t="s">
        <v>42</v>
      </c>
      <c r="I3152" t="s">
        <v>43</v>
      </c>
      <c r="J3152" t="s">
        <v>77</v>
      </c>
      <c r="K3152" t="s">
        <v>44</v>
      </c>
      <c r="L3152">
        <v>42900</v>
      </c>
      <c r="M3152" s="1">
        <v>43340</v>
      </c>
      <c r="N3152" t="s">
        <v>45</v>
      </c>
      <c r="O3152" t="s">
        <v>46</v>
      </c>
      <c r="P3152" t="s">
        <v>47</v>
      </c>
      <c r="Q3152" s="1">
        <v>43852</v>
      </c>
      <c r="R3152" t="s">
        <v>48</v>
      </c>
      <c r="S3152" t="s">
        <v>233</v>
      </c>
      <c r="T3152" t="s">
        <v>234</v>
      </c>
      <c r="U3152" t="s">
        <v>42</v>
      </c>
      <c r="V3152">
        <v>0</v>
      </c>
      <c r="W3152">
        <v>100000</v>
      </c>
      <c r="X3152" s="1">
        <v>43982</v>
      </c>
      <c r="Y3152" t="s">
        <v>51</v>
      </c>
      <c r="Z3152" t="s">
        <v>43</v>
      </c>
      <c r="AA3152" t="s">
        <v>77</v>
      </c>
      <c r="AB3152" t="s">
        <v>158</v>
      </c>
      <c r="AC3152" t="s">
        <v>235</v>
      </c>
      <c r="AF3152" t="s">
        <v>59</v>
      </c>
      <c r="AG3152" s="1">
        <v>43838</v>
      </c>
      <c r="AH3152" t="s">
        <v>42</v>
      </c>
      <c r="AI3152" t="s">
        <v>55</v>
      </c>
      <c r="AJ3152">
        <v>12788092</v>
      </c>
      <c r="AK3152">
        <v>250000</v>
      </c>
      <c r="AL3152">
        <v>1500000</v>
      </c>
    </row>
    <row r="3153" spans="1:38" x14ac:dyDescent="0.25">
      <c r="A3153" t="s">
        <v>169</v>
      </c>
      <c r="B3153">
        <v>41048762</v>
      </c>
      <c r="C3153" t="s">
        <v>40</v>
      </c>
      <c r="D3153" s="1">
        <v>43705</v>
      </c>
      <c r="E3153" s="1">
        <v>44070</v>
      </c>
      <c r="F3153" t="s">
        <v>77</v>
      </c>
      <c r="G3153">
        <v>1</v>
      </c>
      <c r="H3153" t="s">
        <v>42</v>
      </c>
      <c r="I3153" t="s">
        <v>43</v>
      </c>
      <c r="J3153" t="s">
        <v>77</v>
      </c>
      <c r="K3153" t="s">
        <v>44</v>
      </c>
      <c r="L3153">
        <v>52800</v>
      </c>
      <c r="M3153" s="1">
        <v>43705</v>
      </c>
      <c r="N3153" t="s">
        <v>45</v>
      </c>
      <c r="O3153" t="s">
        <v>46</v>
      </c>
      <c r="P3153" t="s">
        <v>47</v>
      </c>
      <c r="Q3153" s="1">
        <v>43852</v>
      </c>
      <c r="R3153" t="s">
        <v>48</v>
      </c>
      <c r="S3153" t="s">
        <v>233</v>
      </c>
      <c r="T3153" t="s">
        <v>234</v>
      </c>
      <c r="U3153" t="s">
        <v>42</v>
      </c>
      <c r="V3153">
        <v>0</v>
      </c>
      <c r="W3153">
        <v>100000</v>
      </c>
      <c r="X3153" s="1">
        <v>43982</v>
      </c>
      <c r="Y3153" t="s">
        <v>51</v>
      </c>
      <c r="Z3153" t="s">
        <v>43</v>
      </c>
      <c r="AA3153" t="s">
        <v>77</v>
      </c>
      <c r="AB3153" t="s">
        <v>158</v>
      </c>
      <c r="AC3153" t="s">
        <v>235</v>
      </c>
      <c r="AF3153" t="s">
        <v>54</v>
      </c>
      <c r="AG3153" s="1">
        <v>43832</v>
      </c>
      <c r="AH3153" t="s">
        <v>42</v>
      </c>
      <c r="AI3153" t="s">
        <v>55</v>
      </c>
      <c r="AJ3153">
        <v>12788092</v>
      </c>
      <c r="AK3153">
        <v>250000</v>
      </c>
      <c r="AL3153">
        <v>1500000</v>
      </c>
    </row>
    <row r="3154" spans="1:38" x14ac:dyDescent="0.25">
      <c r="A3154" t="s">
        <v>169</v>
      </c>
      <c r="B3154">
        <v>41048762</v>
      </c>
      <c r="C3154" t="s">
        <v>40</v>
      </c>
      <c r="D3154" s="1">
        <v>43705</v>
      </c>
      <c r="E3154" s="1">
        <v>44070</v>
      </c>
      <c r="F3154" t="s">
        <v>77</v>
      </c>
      <c r="G3154">
        <v>1</v>
      </c>
      <c r="H3154" t="s">
        <v>42</v>
      </c>
      <c r="I3154" t="s">
        <v>43</v>
      </c>
      <c r="J3154" t="s">
        <v>77</v>
      </c>
      <c r="K3154" t="s">
        <v>44</v>
      </c>
      <c r="L3154">
        <v>52800</v>
      </c>
      <c r="M3154" s="1">
        <v>43705</v>
      </c>
      <c r="N3154" t="s">
        <v>45</v>
      </c>
      <c r="O3154" t="s">
        <v>46</v>
      </c>
      <c r="P3154" t="s">
        <v>47</v>
      </c>
      <c r="Q3154" s="1">
        <v>43852</v>
      </c>
      <c r="R3154" t="s">
        <v>48</v>
      </c>
      <c r="S3154" t="s">
        <v>233</v>
      </c>
      <c r="T3154" t="s">
        <v>234</v>
      </c>
      <c r="U3154" t="s">
        <v>42</v>
      </c>
      <c r="V3154">
        <v>0</v>
      </c>
      <c r="W3154">
        <v>100000</v>
      </c>
      <c r="X3154" s="1">
        <v>43982</v>
      </c>
      <c r="Y3154" t="s">
        <v>51</v>
      </c>
      <c r="Z3154" t="s">
        <v>43</v>
      </c>
      <c r="AA3154" t="s">
        <v>77</v>
      </c>
      <c r="AB3154" t="s">
        <v>158</v>
      </c>
      <c r="AC3154" t="s">
        <v>235</v>
      </c>
      <c r="AF3154" t="s">
        <v>56</v>
      </c>
      <c r="AG3154" s="1">
        <v>43833</v>
      </c>
      <c r="AH3154" t="s">
        <v>42</v>
      </c>
      <c r="AI3154" t="s">
        <v>55</v>
      </c>
      <c r="AJ3154">
        <v>12788092</v>
      </c>
      <c r="AK3154">
        <v>250000</v>
      </c>
      <c r="AL3154">
        <v>1500000</v>
      </c>
    </row>
    <row r="3155" spans="1:38" x14ac:dyDescent="0.25">
      <c r="A3155" t="s">
        <v>169</v>
      </c>
      <c r="B3155">
        <v>41048762</v>
      </c>
      <c r="C3155" t="s">
        <v>40</v>
      </c>
      <c r="D3155" s="1">
        <v>43705</v>
      </c>
      <c r="E3155" s="1">
        <v>44070</v>
      </c>
      <c r="F3155" t="s">
        <v>77</v>
      </c>
      <c r="G3155">
        <v>1</v>
      </c>
      <c r="H3155" t="s">
        <v>42</v>
      </c>
      <c r="I3155" t="s">
        <v>43</v>
      </c>
      <c r="J3155" t="s">
        <v>77</v>
      </c>
      <c r="K3155" t="s">
        <v>44</v>
      </c>
      <c r="L3155">
        <v>52800</v>
      </c>
      <c r="M3155" s="1">
        <v>43705</v>
      </c>
      <c r="N3155" t="s">
        <v>45</v>
      </c>
      <c r="O3155" t="s">
        <v>46</v>
      </c>
      <c r="P3155" t="s">
        <v>47</v>
      </c>
      <c r="Q3155" s="1">
        <v>43852</v>
      </c>
      <c r="R3155" t="s">
        <v>48</v>
      </c>
      <c r="S3155" t="s">
        <v>233</v>
      </c>
      <c r="T3155" t="s">
        <v>234</v>
      </c>
      <c r="U3155" t="s">
        <v>42</v>
      </c>
      <c r="V3155">
        <v>0</v>
      </c>
      <c r="W3155">
        <v>100000</v>
      </c>
      <c r="X3155" s="1">
        <v>43982</v>
      </c>
      <c r="Y3155" t="s">
        <v>51</v>
      </c>
      <c r="Z3155" t="s">
        <v>43</v>
      </c>
      <c r="AA3155" t="s">
        <v>77</v>
      </c>
      <c r="AB3155" t="s">
        <v>158</v>
      </c>
      <c r="AC3155" t="s">
        <v>235</v>
      </c>
      <c r="AF3155" t="s">
        <v>57</v>
      </c>
      <c r="AG3155" s="1">
        <v>43836</v>
      </c>
      <c r="AH3155" t="s">
        <v>42</v>
      </c>
      <c r="AI3155" t="s">
        <v>55</v>
      </c>
      <c r="AJ3155">
        <v>12788092</v>
      </c>
      <c r="AK3155">
        <v>250000</v>
      </c>
      <c r="AL3155">
        <v>1500000</v>
      </c>
    </row>
    <row r="3156" spans="1:38" x14ac:dyDescent="0.25">
      <c r="A3156" t="s">
        <v>169</v>
      </c>
      <c r="B3156">
        <v>41048762</v>
      </c>
      <c r="C3156" t="s">
        <v>40</v>
      </c>
      <c r="D3156" s="1">
        <v>43705</v>
      </c>
      <c r="E3156" s="1">
        <v>44070</v>
      </c>
      <c r="F3156" t="s">
        <v>77</v>
      </c>
      <c r="G3156">
        <v>1</v>
      </c>
      <c r="H3156" t="s">
        <v>42</v>
      </c>
      <c r="I3156" t="s">
        <v>43</v>
      </c>
      <c r="J3156" t="s">
        <v>77</v>
      </c>
      <c r="K3156" t="s">
        <v>44</v>
      </c>
      <c r="L3156">
        <v>52800</v>
      </c>
      <c r="M3156" s="1">
        <v>43705</v>
      </c>
      <c r="N3156" t="s">
        <v>45</v>
      </c>
      <c r="O3156" t="s">
        <v>46</v>
      </c>
      <c r="P3156" t="s">
        <v>47</v>
      </c>
      <c r="Q3156" s="1">
        <v>43852</v>
      </c>
      <c r="R3156" t="s">
        <v>48</v>
      </c>
      <c r="S3156" t="s">
        <v>233</v>
      </c>
      <c r="T3156" t="s">
        <v>234</v>
      </c>
      <c r="U3156" t="s">
        <v>42</v>
      </c>
      <c r="V3156">
        <v>0</v>
      </c>
      <c r="W3156">
        <v>100000</v>
      </c>
      <c r="X3156" s="1">
        <v>43982</v>
      </c>
      <c r="Y3156" t="s">
        <v>51</v>
      </c>
      <c r="Z3156" t="s">
        <v>43</v>
      </c>
      <c r="AA3156" t="s">
        <v>77</v>
      </c>
      <c r="AB3156" t="s">
        <v>158</v>
      </c>
      <c r="AC3156" t="s">
        <v>235</v>
      </c>
      <c r="AF3156" t="s">
        <v>58</v>
      </c>
      <c r="AG3156" s="1">
        <v>43837</v>
      </c>
      <c r="AH3156" t="s">
        <v>42</v>
      </c>
      <c r="AI3156" t="s">
        <v>55</v>
      </c>
      <c r="AJ3156">
        <v>12788092</v>
      </c>
      <c r="AK3156">
        <v>250000</v>
      </c>
      <c r="AL3156">
        <v>1500000</v>
      </c>
    </row>
    <row r="3157" spans="1:38" x14ac:dyDescent="0.25">
      <c r="A3157" t="s">
        <v>169</v>
      </c>
      <c r="B3157">
        <v>41048762</v>
      </c>
      <c r="C3157" t="s">
        <v>40</v>
      </c>
      <c r="D3157" s="1">
        <v>43705</v>
      </c>
      <c r="E3157" s="1">
        <v>44070</v>
      </c>
      <c r="F3157" t="s">
        <v>77</v>
      </c>
      <c r="G3157">
        <v>1</v>
      </c>
      <c r="H3157" t="s">
        <v>42</v>
      </c>
      <c r="I3157" t="s">
        <v>43</v>
      </c>
      <c r="J3157" t="s">
        <v>77</v>
      </c>
      <c r="K3157" t="s">
        <v>44</v>
      </c>
      <c r="L3157">
        <v>52800</v>
      </c>
      <c r="M3157" s="1">
        <v>43705</v>
      </c>
      <c r="N3157" t="s">
        <v>45</v>
      </c>
      <c r="O3157" t="s">
        <v>46</v>
      </c>
      <c r="P3157" t="s">
        <v>47</v>
      </c>
      <c r="Q3157" s="1">
        <v>43852</v>
      </c>
      <c r="R3157" t="s">
        <v>48</v>
      </c>
      <c r="S3157" t="s">
        <v>233</v>
      </c>
      <c r="T3157" t="s">
        <v>234</v>
      </c>
      <c r="U3157" t="s">
        <v>42</v>
      </c>
      <c r="V3157">
        <v>0</v>
      </c>
      <c r="W3157">
        <v>100000</v>
      </c>
      <c r="X3157" s="1">
        <v>43982</v>
      </c>
      <c r="Y3157" t="s">
        <v>51</v>
      </c>
      <c r="Z3157" t="s">
        <v>43</v>
      </c>
      <c r="AA3157" t="s">
        <v>77</v>
      </c>
      <c r="AB3157" t="s">
        <v>158</v>
      </c>
      <c r="AC3157" t="s">
        <v>235</v>
      </c>
      <c r="AF3157" t="s">
        <v>59</v>
      </c>
      <c r="AG3157" s="1">
        <v>43838</v>
      </c>
      <c r="AH3157" t="s">
        <v>42</v>
      </c>
      <c r="AI3157" t="s">
        <v>55</v>
      </c>
      <c r="AJ3157">
        <v>12788092</v>
      </c>
      <c r="AK3157">
        <v>250000</v>
      </c>
      <c r="AL3157">
        <v>1500000</v>
      </c>
    </row>
    <row r="3158" spans="1:38" x14ac:dyDescent="0.25">
      <c r="A3158" t="s">
        <v>170</v>
      </c>
      <c r="B3158">
        <v>41048763</v>
      </c>
      <c r="C3158" t="s">
        <v>40</v>
      </c>
      <c r="D3158" s="1">
        <v>43705</v>
      </c>
      <c r="E3158" s="1">
        <v>44070</v>
      </c>
      <c r="F3158" t="s">
        <v>77</v>
      </c>
      <c r="G3158">
        <v>1</v>
      </c>
      <c r="H3158" t="s">
        <v>42</v>
      </c>
      <c r="I3158" t="s">
        <v>43</v>
      </c>
      <c r="J3158" t="s">
        <v>77</v>
      </c>
      <c r="K3158" t="s">
        <v>44</v>
      </c>
      <c r="L3158">
        <v>44130.41</v>
      </c>
      <c r="M3158" s="1">
        <v>43705</v>
      </c>
      <c r="N3158" t="s">
        <v>45</v>
      </c>
      <c r="O3158" t="s">
        <v>46</v>
      </c>
      <c r="P3158" t="s">
        <v>47</v>
      </c>
      <c r="Q3158" s="1">
        <v>43852</v>
      </c>
      <c r="R3158" t="s">
        <v>48</v>
      </c>
      <c r="S3158" t="s">
        <v>233</v>
      </c>
      <c r="T3158" t="s">
        <v>234</v>
      </c>
      <c r="U3158" t="s">
        <v>42</v>
      </c>
      <c r="V3158">
        <v>0</v>
      </c>
      <c r="W3158">
        <v>100000</v>
      </c>
      <c r="X3158" s="1">
        <v>43982</v>
      </c>
      <c r="Y3158" t="s">
        <v>51</v>
      </c>
      <c r="Z3158" t="s">
        <v>43</v>
      </c>
      <c r="AA3158" t="s">
        <v>77</v>
      </c>
      <c r="AB3158" t="s">
        <v>158</v>
      </c>
      <c r="AC3158" t="s">
        <v>235</v>
      </c>
      <c r="AF3158" t="s">
        <v>54</v>
      </c>
      <c r="AG3158" s="1">
        <v>43832</v>
      </c>
      <c r="AH3158" t="s">
        <v>42</v>
      </c>
      <c r="AI3158" t="s">
        <v>55</v>
      </c>
      <c r="AJ3158">
        <v>12788092</v>
      </c>
      <c r="AK3158">
        <v>250000</v>
      </c>
      <c r="AL3158">
        <v>1500000</v>
      </c>
    </row>
    <row r="3159" spans="1:38" x14ac:dyDescent="0.25">
      <c r="A3159" t="s">
        <v>170</v>
      </c>
      <c r="B3159">
        <v>41048763</v>
      </c>
      <c r="C3159" t="s">
        <v>40</v>
      </c>
      <c r="D3159" s="1">
        <v>43705</v>
      </c>
      <c r="E3159" s="1">
        <v>44070</v>
      </c>
      <c r="F3159" t="s">
        <v>77</v>
      </c>
      <c r="G3159">
        <v>1</v>
      </c>
      <c r="H3159" t="s">
        <v>42</v>
      </c>
      <c r="I3159" t="s">
        <v>43</v>
      </c>
      <c r="J3159" t="s">
        <v>77</v>
      </c>
      <c r="K3159" t="s">
        <v>44</v>
      </c>
      <c r="L3159">
        <v>44130.41</v>
      </c>
      <c r="M3159" s="1">
        <v>43705</v>
      </c>
      <c r="N3159" t="s">
        <v>45</v>
      </c>
      <c r="O3159" t="s">
        <v>46</v>
      </c>
      <c r="P3159" t="s">
        <v>47</v>
      </c>
      <c r="Q3159" s="1">
        <v>43852</v>
      </c>
      <c r="R3159" t="s">
        <v>48</v>
      </c>
      <c r="S3159" t="s">
        <v>233</v>
      </c>
      <c r="T3159" t="s">
        <v>234</v>
      </c>
      <c r="U3159" t="s">
        <v>42</v>
      </c>
      <c r="V3159">
        <v>0</v>
      </c>
      <c r="W3159">
        <v>100000</v>
      </c>
      <c r="X3159" s="1">
        <v>43982</v>
      </c>
      <c r="Y3159" t="s">
        <v>51</v>
      </c>
      <c r="Z3159" t="s">
        <v>43</v>
      </c>
      <c r="AA3159" t="s">
        <v>77</v>
      </c>
      <c r="AB3159" t="s">
        <v>158</v>
      </c>
      <c r="AC3159" t="s">
        <v>235</v>
      </c>
      <c r="AF3159" t="s">
        <v>56</v>
      </c>
      <c r="AG3159" s="1">
        <v>43833</v>
      </c>
      <c r="AH3159" t="s">
        <v>42</v>
      </c>
      <c r="AI3159" t="s">
        <v>55</v>
      </c>
      <c r="AJ3159">
        <v>12788092</v>
      </c>
      <c r="AK3159">
        <v>250000</v>
      </c>
      <c r="AL3159">
        <v>1500000</v>
      </c>
    </row>
    <row r="3160" spans="1:38" x14ac:dyDescent="0.25">
      <c r="A3160" t="s">
        <v>170</v>
      </c>
      <c r="B3160">
        <v>41048763</v>
      </c>
      <c r="C3160" t="s">
        <v>40</v>
      </c>
      <c r="D3160" s="1">
        <v>43705</v>
      </c>
      <c r="E3160" s="1">
        <v>44070</v>
      </c>
      <c r="F3160" t="s">
        <v>77</v>
      </c>
      <c r="G3160">
        <v>1</v>
      </c>
      <c r="H3160" t="s">
        <v>42</v>
      </c>
      <c r="I3160" t="s">
        <v>43</v>
      </c>
      <c r="J3160" t="s">
        <v>77</v>
      </c>
      <c r="K3160" t="s">
        <v>44</v>
      </c>
      <c r="L3160">
        <v>44130.41</v>
      </c>
      <c r="M3160" s="1">
        <v>43705</v>
      </c>
      <c r="N3160" t="s">
        <v>45</v>
      </c>
      <c r="O3160" t="s">
        <v>46</v>
      </c>
      <c r="P3160" t="s">
        <v>47</v>
      </c>
      <c r="Q3160" s="1">
        <v>43852</v>
      </c>
      <c r="R3160" t="s">
        <v>48</v>
      </c>
      <c r="S3160" t="s">
        <v>233</v>
      </c>
      <c r="T3160" t="s">
        <v>234</v>
      </c>
      <c r="U3160" t="s">
        <v>42</v>
      </c>
      <c r="V3160">
        <v>0</v>
      </c>
      <c r="W3160">
        <v>100000</v>
      </c>
      <c r="X3160" s="1">
        <v>43982</v>
      </c>
      <c r="Y3160" t="s">
        <v>51</v>
      </c>
      <c r="Z3160" t="s">
        <v>43</v>
      </c>
      <c r="AA3160" t="s">
        <v>77</v>
      </c>
      <c r="AB3160" t="s">
        <v>158</v>
      </c>
      <c r="AC3160" t="s">
        <v>235</v>
      </c>
      <c r="AF3160" t="s">
        <v>57</v>
      </c>
      <c r="AG3160" s="1">
        <v>43836</v>
      </c>
      <c r="AH3160" t="s">
        <v>42</v>
      </c>
      <c r="AI3160" t="s">
        <v>55</v>
      </c>
      <c r="AJ3160">
        <v>12788092</v>
      </c>
      <c r="AK3160">
        <v>250000</v>
      </c>
      <c r="AL3160">
        <v>1500000</v>
      </c>
    </row>
    <row r="3161" spans="1:38" x14ac:dyDescent="0.25">
      <c r="A3161" t="s">
        <v>170</v>
      </c>
      <c r="B3161">
        <v>41048763</v>
      </c>
      <c r="C3161" t="s">
        <v>40</v>
      </c>
      <c r="D3161" s="1">
        <v>43705</v>
      </c>
      <c r="E3161" s="1">
        <v>44070</v>
      </c>
      <c r="F3161" t="s">
        <v>77</v>
      </c>
      <c r="G3161">
        <v>1</v>
      </c>
      <c r="H3161" t="s">
        <v>42</v>
      </c>
      <c r="I3161" t="s">
        <v>43</v>
      </c>
      <c r="J3161" t="s">
        <v>77</v>
      </c>
      <c r="K3161" t="s">
        <v>44</v>
      </c>
      <c r="L3161">
        <v>44130.41</v>
      </c>
      <c r="M3161" s="1">
        <v>43705</v>
      </c>
      <c r="N3161" t="s">
        <v>45</v>
      </c>
      <c r="O3161" t="s">
        <v>46</v>
      </c>
      <c r="P3161" t="s">
        <v>47</v>
      </c>
      <c r="Q3161" s="1">
        <v>43852</v>
      </c>
      <c r="R3161" t="s">
        <v>48</v>
      </c>
      <c r="S3161" t="s">
        <v>233</v>
      </c>
      <c r="T3161" t="s">
        <v>234</v>
      </c>
      <c r="U3161" t="s">
        <v>42</v>
      </c>
      <c r="V3161">
        <v>0</v>
      </c>
      <c r="W3161">
        <v>100000</v>
      </c>
      <c r="X3161" s="1">
        <v>43982</v>
      </c>
      <c r="Y3161" t="s">
        <v>51</v>
      </c>
      <c r="Z3161" t="s">
        <v>43</v>
      </c>
      <c r="AA3161" t="s">
        <v>77</v>
      </c>
      <c r="AB3161" t="s">
        <v>158</v>
      </c>
      <c r="AC3161" t="s">
        <v>235</v>
      </c>
      <c r="AF3161" t="s">
        <v>58</v>
      </c>
      <c r="AG3161" s="1">
        <v>43837</v>
      </c>
      <c r="AH3161" t="s">
        <v>42</v>
      </c>
      <c r="AI3161" t="s">
        <v>55</v>
      </c>
      <c r="AJ3161">
        <v>12788092</v>
      </c>
      <c r="AK3161">
        <v>250000</v>
      </c>
      <c r="AL3161">
        <v>1500000</v>
      </c>
    </row>
    <row r="3162" spans="1:38" x14ac:dyDescent="0.25">
      <c r="A3162" t="s">
        <v>170</v>
      </c>
      <c r="B3162">
        <v>41048763</v>
      </c>
      <c r="C3162" t="s">
        <v>40</v>
      </c>
      <c r="D3162" s="1">
        <v>43705</v>
      </c>
      <c r="E3162" s="1">
        <v>44070</v>
      </c>
      <c r="F3162" t="s">
        <v>77</v>
      </c>
      <c r="G3162">
        <v>1</v>
      </c>
      <c r="H3162" t="s">
        <v>42</v>
      </c>
      <c r="I3162" t="s">
        <v>43</v>
      </c>
      <c r="J3162" t="s">
        <v>77</v>
      </c>
      <c r="K3162" t="s">
        <v>44</v>
      </c>
      <c r="L3162">
        <v>44130.41</v>
      </c>
      <c r="M3162" s="1">
        <v>43705</v>
      </c>
      <c r="N3162" t="s">
        <v>45</v>
      </c>
      <c r="O3162" t="s">
        <v>46</v>
      </c>
      <c r="P3162" t="s">
        <v>47</v>
      </c>
      <c r="Q3162" s="1">
        <v>43852</v>
      </c>
      <c r="R3162" t="s">
        <v>48</v>
      </c>
      <c r="S3162" t="s">
        <v>233</v>
      </c>
      <c r="T3162" t="s">
        <v>234</v>
      </c>
      <c r="U3162" t="s">
        <v>42</v>
      </c>
      <c r="V3162">
        <v>0</v>
      </c>
      <c r="W3162">
        <v>100000</v>
      </c>
      <c r="X3162" s="1">
        <v>43982</v>
      </c>
      <c r="Y3162" t="s">
        <v>51</v>
      </c>
      <c r="Z3162" t="s">
        <v>43</v>
      </c>
      <c r="AA3162" t="s">
        <v>77</v>
      </c>
      <c r="AB3162" t="s">
        <v>158</v>
      </c>
      <c r="AC3162" t="s">
        <v>235</v>
      </c>
      <c r="AF3162" t="s">
        <v>59</v>
      </c>
      <c r="AG3162" s="1">
        <v>43838</v>
      </c>
      <c r="AH3162" t="s">
        <v>42</v>
      </c>
      <c r="AI3162" t="s">
        <v>55</v>
      </c>
      <c r="AJ3162">
        <v>12788092</v>
      </c>
      <c r="AK3162">
        <v>250000</v>
      </c>
      <c r="AL3162">
        <v>1500000</v>
      </c>
    </row>
    <row r="3163" spans="1:38" x14ac:dyDescent="0.25">
      <c r="A3163" t="s">
        <v>171</v>
      </c>
      <c r="B3163" t="s">
        <v>668</v>
      </c>
      <c r="C3163" t="s">
        <v>40</v>
      </c>
      <c r="D3163" s="1">
        <v>43469</v>
      </c>
      <c r="E3163" s="1">
        <v>43833</v>
      </c>
      <c r="F3163" t="s">
        <v>84</v>
      </c>
      <c r="G3163">
        <v>10</v>
      </c>
      <c r="H3163" t="s">
        <v>85</v>
      </c>
      <c r="I3163" t="s">
        <v>43</v>
      </c>
      <c r="J3163" t="s">
        <v>86</v>
      </c>
      <c r="K3163" t="s">
        <v>44</v>
      </c>
      <c r="L3163">
        <v>156000</v>
      </c>
      <c r="M3163" s="1">
        <v>43469</v>
      </c>
      <c r="N3163" t="s">
        <v>45</v>
      </c>
      <c r="O3163" t="s">
        <v>106</v>
      </c>
      <c r="P3163" t="s">
        <v>47</v>
      </c>
      <c r="Q3163" s="1">
        <v>43852</v>
      </c>
      <c r="R3163" t="s">
        <v>48</v>
      </c>
      <c r="S3163" t="s">
        <v>87</v>
      </c>
      <c r="T3163" t="s">
        <v>88</v>
      </c>
      <c r="U3163" t="s">
        <v>85</v>
      </c>
      <c r="V3163">
        <v>1400000</v>
      </c>
      <c r="W3163">
        <v>100000</v>
      </c>
      <c r="X3163" s="1">
        <v>43808</v>
      </c>
      <c r="Y3163" t="s">
        <v>51</v>
      </c>
      <c r="Z3163" t="s">
        <v>43</v>
      </c>
      <c r="AA3163" t="s">
        <v>86</v>
      </c>
      <c r="AB3163" t="s">
        <v>89</v>
      </c>
      <c r="AC3163" t="s">
        <v>90</v>
      </c>
      <c r="AF3163" t="s">
        <v>91</v>
      </c>
      <c r="AG3163" s="1">
        <v>43852</v>
      </c>
      <c r="AH3163" t="s">
        <v>85</v>
      </c>
      <c r="AI3163" t="s">
        <v>92</v>
      </c>
      <c r="AJ3163">
        <v>19888</v>
      </c>
      <c r="AK3163">
        <v>128777</v>
      </c>
      <c r="AL3163">
        <v>198882</v>
      </c>
    </row>
    <row r="3164" spans="1:38" x14ac:dyDescent="0.25">
      <c r="A3164" t="s">
        <v>171</v>
      </c>
      <c r="B3164" t="s">
        <v>668</v>
      </c>
      <c r="C3164" t="s">
        <v>40</v>
      </c>
      <c r="D3164" s="1">
        <v>43469</v>
      </c>
      <c r="E3164" s="1">
        <v>43833</v>
      </c>
      <c r="F3164" t="s">
        <v>84</v>
      </c>
      <c r="G3164">
        <v>10</v>
      </c>
      <c r="H3164" t="s">
        <v>85</v>
      </c>
      <c r="I3164" t="s">
        <v>43</v>
      </c>
      <c r="J3164" t="s">
        <v>86</v>
      </c>
      <c r="K3164" t="s">
        <v>44</v>
      </c>
      <c r="L3164">
        <v>156000</v>
      </c>
      <c r="M3164" s="1">
        <v>43469</v>
      </c>
      <c r="N3164" t="s">
        <v>45</v>
      </c>
      <c r="O3164" t="s">
        <v>106</v>
      </c>
      <c r="P3164" t="s">
        <v>47</v>
      </c>
      <c r="Q3164" s="1">
        <v>43852</v>
      </c>
      <c r="R3164" t="s">
        <v>48</v>
      </c>
      <c r="S3164" t="s">
        <v>87</v>
      </c>
      <c r="T3164" t="s">
        <v>88</v>
      </c>
      <c r="U3164" t="s">
        <v>85</v>
      </c>
      <c r="V3164">
        <v>1400000</v>
      </c>
      <c r="W3164">
        <v>100000</v>
      </c>
      <c r="X3164" s="1">
        <v>43808</v>
      </c>
      <c r="Y3164" t="s">
        <v>51</v>
      </c>
      <c r="Z3164" t="s">
        <v>43</v>
      </c>
      <c r="AA3164" t="s">
        <v>86</v>
      </c>
      <c r="AB3164" t="s">
        <v>89</v>
      </c>
      <c r="AC3164" t="s">
        <v>90</v>
      </c>
      <c r="AF3164" t="s">
        <v>93</v>
      </c>
      <c r="AG3164" s="1">
        <v>43843</v>
      </c>
      <c r="AH3164" t="s">
        <v>85</v>
      </c>
      <c r="AI3164" t="s">
        <v>92</v>
      </c>
      <c r="AJ3164">
        <v>19888</v>
      </c>
      <c r="AK3164">
        <v>128777</v>
      </c>
      <c r="AL3164">
        <v>198882</v>
      </c>
    </row>
    <row r="3165" spans="1:38" x14ac:dyDescent="0.25">
      <c r="A3165" t="s">
        <v>171</v>
      </c>
      <c r="B3165" t="s">
        <v>668</v>
      </c>
      <c r="C3165" t="s">
        <v>40</v>
      </c>
      <c r="D3165" s="1">
        <v>43469</v>
      </c>
      <c r="E3165" s="1">
        <v>43833</v>
      </c>
      <c r="F3165" t="s">
        <v>84</v>
      </c>
      <c r="G3165">
        <v>10</v>
      </c>
      <c r="H3165" t="s">
        <v>85</v>
      </c>
      <c r="I3165" t="s">
        <v>43</v>
      </c>
      <c r="J3165" t="s">
        <v>86</v>
      </c>
      <c r="K3165" t="s">
        <v>44</v>
      </c>
      <c r="L3165">
        <v>156000</v>
      </c>
      <c r="M3165" s="1">
        <v>43469</v>
      </c>
      <c r="N3165" t="s">
        <v>45</v>
      </c>
      <c r="O3165" t="s">
        <v>106</v>
      </c>
      <c r="P3165" t="s">
        <v>47</v>
      </c>
      <c r="Q3165" s="1">
        <v>43852</v>
      </c>
      <c r="R3165" t="s">
        <v>48</v>
      </c>
      <c r="S3165" t="s">
        <v>94</v>
      </c>
      <c r="T3165" t="s">
        <v>95</v>
      </c>
      <c r="U3165" t="s">
        <v>85</v>
      </c>
      <c r="V3165">
        <v>4500000</v>
      </c>
      <c r="W3165">
        <v>300000</v>
      </c>
      <c r="X3165" s="1">
        <v>43767</v>
      </c>
      <c r="Y3165" t="s">
        <v>51</v>
      </c>
      <c r="Z3165" t="s">
        <v>43</v>
      </c>
      <c r="AA3165" t="s">
        <v>86</v>
      </c>
      <c r="AB3165" t="s">
        <v>89</v>
      </c>
      <c r="AC3165" t="s">
        <v>90</v>
      </c>
      <c r="AF3165" t="s">
        <v>91</v>
      </c>
      <c r="AG3165" s="1">
        <v>43852</v>
      </c>
      <c r="AH3165" t="s">
        <v>85</v>
      </c>
      <c r="AI3165" t="s">
        <v>92</v>
      </c>
      <c r="AJ3165">
        <v>19888</v>
      </c>
      <c r="AK3165">
        <v>128777</v>
      </c>
      <c r="AL3165">
        <v>198882</v>
      </c>
    </row>
    <row r="3166" spans="1:38" x14ac:dyDescent="0.25">
      <c r="A3166" t="s">
        <v>171</v>
      </c>
      <c r="B3166" t="s">
        <v>668</v>
      </c>
      <c r="C3166" t="s">
        <v>40</v>
      </c>
      <c r="D3166" s="1">
        <v>43469</v>
      </c>
      <c r="E3166" s="1">
        <v>43833</v>
      </c>
      <c r="F3166" t="s">
        <v>84</v>
      </c>
      <c r="G3166">
        <v>10</v>
      </c>
      <c r="H3166" t="s">
        <v>85</v>
      </c>
      <c r="I3166" t="s">
        <v>43</v>
      </c>
      <c r="J3166" t="s">
        <v>86</v>
      </c>
      <c r="K3166" t="s">
        <v>44</v>
      </c>
      <c r="L3166">
        <v>156000</v>
      </c>
      <c r="M3166" s="1">
        <v>43469</v>
      </c>
      <c r="N3166" t="s">
        <v>45</v>
      </c>
      <c r="O3166" t="s">
        <v>106</v>
      </c>
      <c r="P3166" t="s">
        <v>47</v>
      </c>
      <c r="Q3166" s="1">
        <v>43852</v>
      </c>
      <c r="R3166" t="s">
        <v>48</v>
      </c>
      <c r="S3166" t="s">
        <v>94</v>
      </c>
      <c r="T3166" t="s">
        <v>95</v>
      </c>
      <c r="U3166" t="s">
        <v>85</v>
      </c>
      <c r="V3166">
        <v>4500000</v>
      </c>
      <c r="W3166">
        <v>300000</v>
      </c>
      <c r="X3166" s="1">
        <v>43767</v>
      </c>
      <c r="Y3166" t="s">
        <v>51</v>
      </c>
      <c r="Z3166" t="s">
        <v>43</v>
      </c>
      <c r="AA3166" t="s">
        <v>86</v>
      </c>
      <c r="AB3166" t="s">
        <v>89</v>
      </c>
      <c r="AC3166" t="s">
        <v>90</v>
      </c>
      <c r="AF3166" t="s">
        <v>93</v>
      </c>
      <c r="AG3166" s="1">
        <v>43843</v>
      </c>
      <c r="AH3166" t="s">
        <v>85</v>
      </c>
      <c r="AI3166" t="s">
        <v>92</v>
      </c>
      <c r="AJ3166">
        <v>19888</v>
      </c>
      <c r="AK3166">
        <v>128777</v>
      </c>
      <c r="AL3166">
        <v>198882</v>
      </c>
    </row>
    <row r="3167" spans="1:38" x14ac:dyDescent="0.25">
      <c r="A3167" t="s">
        <v>171</v>
      </c>
      <c r="B3167" t="s">
        <v>668</v>
      </c>
      <c r="C3167" t="s">
        <v>40</v>
      </c>
      <c r="D3167" s="1">
        <v>43469</v>
      </c>
      <c r="E3167" s="1">
        <v>43833</v>
      </c>
      <c r="F3167" t="s">
        <v>84</v>
      </c>
      <c r="G3167">
        <v>10</v>
      </c>
      <c r="H3167" t="s">
        <v>85</v>
      </c>
      <c r="I3167" t="s">
        <v>43</v>
      </c>
      <c r="J3167" t="s">
        <v>86</v>
      </c>
      <c r="K3167" t="s">
        <v>44</v>
      </c>
      <c r="L3167">
        <v>156000</v>
      </c>
      <c r="M3167" s="1">
        <v>43469</v>
      </c>
      <c r="N3167" t="s">
        <v>45</v>
      </c>
      <c r="O3167" t="s">
        <v>106</v>
      </c>
      <c r="P3167" t="s">
        <v>47</v>
      </c>
      <c r="Q3167" s="1">
        <v>43852</v>
      </c>
      <c r="R3167" t="s">
        <v>48</v>
      </c>
      <c r="S3167" t="s">
        <v>96</v>
      </c>
      <c r="T3167" t="s">
        <v>97</v>
      </c>
      <c r="U3167" t="s">
        <v>85</v>
      </c>
      <c r="V3167">
        <v>600000</v>
      </c>
      <c r="W3167">
        <v>100000</v>
      </c>
      <c r="X3167" s="1">
        <v>43799</v>
      </c>
      <c r="Y3167" t="s">
        <v>51</v>
      </c>
      <c r="Z3167" t="s">
        <v>43</v>
      </c>
      <c r="AA3167" t="s">
        <v>98</v>
      </c>
      <c r="AB3167" t="s">
        <v>89</v>
      </c>
      <c r="AC3167" t="s">
        <v>90</v>
      </c>
      <c r="AF3167" t="s">
        <v>91</v>
      </c>
      <c r="AG3167" s="1">
        <v>43852</v>
      </c>
      <c r="AH3167" t="s">
        <v>85</v>
      </c>
      <c r="AI3167" t="s">
        <v>92</v>
      </c>
      <c r="AJ3167">
        <v>19888</v>
      </c>
      <c r="AK3167">
        <v>128777</v>
      </c>
      <c r="AL3167">
        <v>198882</v>
      </c>
    </row>
    <row r="3168" spans="1:38" x14ac:dyDescent="0.25">
      <c r="A3168" t="s">
        <v>171</v>
      </c>
      <c r="B3168" t="s">
        <v>668</v>
      </c>
      <c r="C3168" t="s">
        <v>40</v>
      </c>
      <c r="D3168" s="1">
        <v>43469</v>
      </c>
      <c r="E3168" s="1">
        <v>43833</v>
      </c>
      <c r="F3168" t="s">
        <v>84</v>
      </c>
      <c r="G3168">
        <v>10</v>
      </c>
      <c r="H3168" t="s">
        <v>85</v>
      </c>
      <c r="I3168" t="s">
        <v>43</v>
      </c>
      <c r="J3168" t="s">
        <v>86</v>
      </c>
      <c r="K3168" t="s">
        <v>44</v>
      </c>
      <c r="L3168">
        <v>156000</v>
      </c>
      <c r="M3168" s="1">
        <v>43469</v>
      </c>
      <c r="N3168" t="s">
        <v>45</v>
      </c>
      <c r="O3168" t="s">
        <v>106</v>
      </c>
      <c r="P3168" t="s">
        <v>47</v>
      </c>
      <c r="Q3168" s="1">
        <v>43852</v>
      </c>
      <c r="R3168" t="s">
        <v>48</v>
      </c>
      <c r="S3168" t="s">
        <v>96</v>
      </c>
      <c r="T3168" t="s">
        <v>97</v>
      </c>
      <c r="U3168" t="s">
        <v>85</v>
      </c>
      <c r="V3168">
        <v>600000</v>
      </c>
      <c r="W3168">
        <v>100000</v>
      </c>
      <c r="X3168" s="1">
        <v>43799</v>
      </c>
      <c r="Y3168" t="s">
        <v>51</v>
      </c>
      <c r="Z3168" t="s">
        <v>43</v>
      </c>
      <c r="AA3168" t="s">
        <v>98</v>
      </c>
      <c r="AB3168" t="s">
        <v>89</v>
      </c>
      <c r="AC3168" t="s">
        <v>90</v>
      </c>
      <c r="AF3168" t="s">
        <v>93</v>
      </c>
      <c r="AG3168" s="1">
        <v>43843</v>
      </c>
      <c r="AH3168" t="s">
        <v>85</v>
      </c>
      <c r="AI3168" t="s">
        <v>92</v>
      </c>
      <c r="AJ3168">
        <v>19888</v>
      </c>
      <c r="AK3168">
        <v>128777</v>
      </c>
      <c r="AL3168">
        <v>198882</v>
      </c>
    </row>
    <row r="3169" spans="1:38" x14ac:dyDescent="0.25">
      <c r="A3169" t="s">
        <v>171</v>
      </c>
      <c r="B3169" t="s">
        <v>668</v>
      </c>
      <c r="C3169" t="s">
        <v>40</v>
      </c>
      <c r="D3169" s="1">
        <v>43469</v>
      </c>
      <c r="E3169" s="1">
        <v>43833</v>
      </c>
      <c r="F3169" t="s">
        <v>84</v>
      </c>
      <c r="G3169">
        <v>10</v>
      </c>
      <c r="H3169" t="s">
        <v>85</v>
      </c>
      <c r="I3169" t="s">
        <v>43</v>
      </c>
      <c r="J3169" t="s">
        <v>86</v>
      </c>
      <c r="K3169" t="s">
        <v>44</v>
      </c>
      <c r="L3169">
        <v>156000</v>
      </c>
      <c r="M3169" s="1">
        <v>43469</v>
      </c>
      <c r="N3169" t="s">
        <v>45</v>
      </c>
      <c r="O3169" t="s">
        <v>106</v>
      </c>
      <c r="P3169" t="s">
        <v>47</v>
      </c>
      <c r="Q3169" s="1">
        <v>43852</v>
      </c>
      <c r="R3169" t="s">
        <v>48</v>
      </c>
      <c r="S3169" t="s">
        <v>99</v>
      </c>
      <c r="T3169" t="s">
        <v>100</v>
      </c>
      <c r="U3169" t="s">
        <v>85</v>
      </c>
      <c r="V3169">
        <v>210000</v>
      </c>
      <c r="W3169">
        <v>35000</v>
      </c>
      <c r="X3169" s="1">
        <v>43799</v>
      </c>
      <c r="Y3169" t="s">
        <v>51</v>
      </c>
      <c r="Z3169" t="s">
        <v>43</v>
      </c>
      <c r="AA3169" t="s">
        <v>98</v>
      </c>
      <c r="AB3169" t="s">
        <v>89</v>
      </c>
      <c r="AC3169" t="s">
        <v>101</v>
      </c>
      <c r="AF3169" t="s">
        <v>91</v>
      </c>
      <c r="AG3169" s="1">
        <v>43852</v>
      </c>
      <c r="AH3169" t="s">
        <v>85</v>
      </c>
      <c r="AI3169" t="s">
        <v>92</v>
      </c>
      <c r="AJ3169">
        <v>19888</v>
      </c>
      <c r="AK3169">
        <v>128777</v>
      </c>
      <c r="AL3169">
        <v>198882</v>
      </c>
    </row>
    <row r="3170" spans="1:38" x14ac:dyDescent="0.25">
      <c r="A3170" t="s">
        <v>171</v>
      </c>
      <c r="B3170" t="s">
        <v>668</v>
      </c>
      <c r="C3170" t="s">
        <v>40</v>
      </c>
      <c r="D3170" s="1">
        <v>43469</v>
      </c>
      <c r="E3170" s="1">
        <v>43833</v>
      </c>
      <c r="F3170" t="s">
        <v>84</v>
      </c>
      <c r="G3170">
        <v>10</v>
      </c>
      <c r="H3170" t="s">
        <v>85</v>
      </c>
      <c r="I3170" t="s">
        <v>43</v>
      </c>
      <c r="J3170" t="s">
        <v>86</v>
      </c>
      <c r="K3170" t="s">
        <v>44</v>
      </c>
      <c r="L3170">
        <v>156000</v>
      </c>
      <c r="M3170" s="1">
        <v>43469</v>
      </c>
      <c r="N3170" t="s">
        <v>45</v>
      </c>
      <c r="O3170" t="s">
        <v>106</v>
      </c>
      <c r="P3170" t="s">
        <v>47</v>
      </c>
      <c r="Q3170" s="1">
        <v>43852</v>
      </c>
      <c r="R3170" t="s">
        <v>48</v>
      </c>
      <c r="S3170" t="s">
        <v>99</v>
      </c>
      <c r="T3170" t="s">
        <v>100</v>
      </c>
      <c r="U3170" t="s">
        <v>85</v>
      </c>
      <c r="V3170">
        <v>210000</v>
      </c>
      <c r="W3170">
        <v>35000</v>
      </c>
      <c r="X3170" s="1">
        <v>43799</v>
      </c>
      <c r="Y3170" t="s">
        <v>51</v>
      </c>
      <c r="Z3170" t="s">
        <v>43</v>
      </c>
      <c r="AA3170" t="s">
        <v>98</v>
      </c>
      <c r="AB3170" t="s">
        <v>89</v>
      </c>
      <c r="AC3170" t="s">
        <v>101</v>
      </c>
      <c r="AF3170" t="s">
        <v>93</v>
      </c>
      <c r="AG3170" s="1">
        <v>43843</v>
      </c>
      <c r="AH3170" t="s">
        <v>85</v>
      </c>
      <c r="AI3170" t="s">
        <v>92</v>
      </c>
      <c r="AJ3170">
        <v>19888</v>
      </c>
      <c r="AK3170">
        <v>128777</v>
      </c>
      <c r="AL3170">
        <v>198882</v>
      </c>
    </row>
    <row r="3171" spans="1:38" x14ac:dyDescent="0.25">
      <c r="A3171" t="s">
        <v>171</v>
      </c>
      <c r="B3171" t="s">
        <v>668</v>
      </c>
      <c r="C3171" t="s">
        <v>40</v>
      </c>
      <c r="D3171" s="1">
        <v>43469</v>
      </c>
      <c r="E3171" s="1">
        <v>43833</v>
      </c>
      <c r="F3171" t="s">
        <v>84</v>
      </c>
      <c r="G3171">
        <v>10</v>
      </c>
      <c r="H3171" t="s">
        <v>85</v>
      </c>
      <c r="I3171" t="s">
        <v>43</v>
      </c>
      <c r="J3171" t="s">
        <v>86</v>
      </c>
      <c r="K3171" t="s">
        <v>44</v>
      </c>
      <c r="L3171">
        <v>156000</v>
      </c>
      <c r="M3171" s="1">
        <v>43469</v>
      </c>
      <c r="N3171" t="s">
        <v>45</v>
      </c>
      <c r="O3171" t="s">
        <v>106</v>
      </c>
      <c r="P3171" t="s">
        <v>47</v>
      </c>
      <c r="Q3171" s="1">
        <v>43852</v>
      </c>
      <c r="R3171" t="s">
        <v>48</v>
      </c>
      <c r="S3171" t="s">
        <v>102</v>
      </c>
      <c r="T3171" t="s">
        <v>103</v>
      </c>
      <c r="U3171" t="s">
        <v>85</v>
      </c>
      <c r="V3171">
        <v>5000000</v>
      </c>
      <c r="W3171">
        <v>250000</v>
      </c>
      <c r="X3171" s="1">
        <v>43799</v>
      </c>
      <c r="Y3171" t="s">
        <v>51</v>
      </c>
      <c r="Z3171" t="s">
        <v>43</v>
      </c>
      <c r="AA3171" t="s">
        <v>86</v>
      </c>
      <c r="AB3171" t="s">
        <v>89</v>
      </c>
      <c r="AC3171" t="s">
        <v>90</v>
      </c>
      <c r="AF3171" t="s">
        <v>91</v>
      </c>
      <c r="AG3171" s="1">
        <v>43852</v>
      </c>
      <c r="AH3171" t="s">
        <v>85</v>
      </c>
      <c r="AI3171" t="s">
        <v>92</v>
      </c>
      <c r="AJ3171">
        <v>19888</v>
      </c>
      <c r="AK3171">
        <v>128777</v>
      </c>
      <c r="AL3171">
        <v>198882</v>
      </c>
    </row>
    <row r="3172" spans="1:38" x14ac:dyDescent="0.25">
      <c r="A3172" t="s">
        <v>171</v>
      </c>
      <c r="B3172" t="s">
        <v>668</v>
      </c>
      <c r="C3172" t="s">
        <v>40</v>
      </c>
      <c r="D3172" s="1">
        <v>43469</v>
      </c>
      <c r="E3172" s="1">
        <v>43833</v>
      </c>
      <c r="F3172" t="s">
        <v>84</v>
      </c>
      <c r="G3172">
        <v>10</v>
      </c>
      <c r="H3172" t="s">
        <v>85</v>
      </c>
      <c r="I3172" t="s">
        <v>43</v>
      </c>
      <c r="J3172" t="s">
        <v>86</v>
      </c>
      <c r="K3172" t="s">
        <v>44</v>
      </c>
      <c r="L3172">
        <v>156000</v>
      </c>
      <c r="M3172" s="1">
        <v>43469</v>
      </c>
      <c r="N3172" t="s">
        <v>45</v>
      </c>
      <c r="O3172" t="s">
        <v>106</v>
      </c>
      <c r="P3172" t="s">
        <v>47</v>
      </c>
      <c r="Q3172" s="1">
        <v>43852</v>
      </c>
      <c r="R3172" t="s">
        <v>48</v>
      </c>
      <c r="S3172" t="s">
        <v>102</v>
      </c>
      <c r="T3172" t="s">
        <v>103</v>
      </c>
      <c r="U3172" t="s">
        <v>85</v>
      </c>
      <c r="V3172">
        <v>5000000</v>
      </c>
      <c r="W3172">
        <v>250000</v>
      </c>
      <c r="X3172" s="1">
        <v>43799</v>
      </c>
      <c r="Y3172" t="s">
        <v>51</v>
      </c>
      <c r="Z3172" t="s">
        <v>43</v>
      </c>
      <c r="AA3172" t="s">
        <v>86</v>
      </c>
      <c r="AB3172" t="s">
        <v>89</v>
      </c>
      <c r="AC3172" t="s">
        <v>90</v>
      </c>
      <c r="AF3172" t="s">
        <v>93</v>
      </c>
      <c r="AG3172" s="1">
        <v>43843</v>
      </c>
      <c r="AH3172" t="s">
        <v>85</v>
      </c>
      <c r="AI3172" t="s">
        <v>92</v>
      </c>
      <c r="AJ3172">
        <v>19888</v>
      </c>
      <c r="AK3172">
        <v>128777</v>
      </c>
      <c r="AL3172">
        <v>198882</v>
      </c>
    </row>
    <row r="3173" spans="1:38" x14ac:dyDescent="0.25">
      <c r="A3173" t="s">
        <v>173</v>
      </c>
      <c r="B3173" t="s">
        <v>668</v>
      </c>
      <c r="C3173" t="s">
        <v>40</v>
      </c>
      <c r="D3173" s="1">
        <v>43469</v>
      </c>
      <c r="E3173" s="1">
        <v>43833</v>
      </c>
      <c r="F3173" t="s">
        <v>84</v>
      </c>
      <c r="G3173">
        <v>10</v>
      </c>
      <c r="H3173" t="s">
        <v>85</v>
      </c>
      <c r="I3173" t="s">
        <v>43</v>
      </c>
      <c r="J3173" t="s">
        <v>86</v>
      </c>
      <c r="K3173" t="s">
        <v>44</v>
      </c>
      <c r="L3173">
        <v>5253.23</v>
      </c>
      <c r="M3173" s="1">
        <v>43514</v>
      </c>
      <c r="N3173" t="s">
        <v>108</v>
      </c>
      <c r="O3173" t="s">
        <v>106</v>
      </c>
      <c r="P3173" t="s">
        <v>47</v>
      </c>
      <c r="Q3173" s="1">
        <v>43852</v>
      </c>
      <c r="R3173" t="s">
        <v>48</v>
      </c>
      <c r="S3173" t="s">
        <v>87</v>
      </c>
      <c r="T3173" t="s">
        <v>88</v>
      </c>
      <c r="U3173" t="s">
        <v>85</v>
      </c>
      <c r="V3173">
        <v>1400000</v>
      </c>
      <c r="W3173">
        <v>100000</v>
      </c>
      <c r="X3173" s="1">
        <v>43808</v>
      </c>
      <c r="Y3173" t="s">
        <v>51</v>
      </c>
      <c r="Z3173" t="s">
        <v>43</v>
      </c>
      <c r="AA3173" t="s">
        <v>86</v>
      </c>
      <c r="AB3173" t="s">
        <v>89</v>
      </c>
      <c r="AC3173" t="s">
        <v>90</v>
      </c>
      <c r="AF3173" t="s">
        <v>91</v>
      </c>
      <c r="AG3173" s="1">
        <v>43852</v>
      </c>
      <c r="AH3173" t="s">
        <v>85</v>
      </c>
      <c r="AI3173" t="s">
        <v>92</v>
      </c>
      <c r="AJ3173">
        <v>19888</v>
      </c>
      <c r="AK3173">
        <v>128777</v>
      </c>
      <c r="AL3173">
        <v>198882</v>
      </c>
    </row>
    <row r="3174" spans="1:38" x14ac:dyDescent="0.25">
      <c r="A3174" t="s">
        <v>173</v>
      </c>
      <c r="B3174" t="s">
        <v>668</v>
      </c>
      <c r="C3174" t="s">
        <v>40</v>
      </c>
      <c r="D3174" s="1">
        <v>43469</v>
      </c>
      <c r="E3174" s="1">
        <v>43833</v>
      </c>
      <c r="F3174" t="s">
        <v>84</v>
      </c>
      <c r="G3174">
        <v>10</v>
      </c>
      <c r="H3174" t="s">
        <v>85</v>
      </c>
      <c r="I3174" t="s">
        <v>43</v>
      </c>
      <c r="J3174" t="s">
        <v>86</v>
      </c>
      <c r="K3174" t="s">
        <v>44</v>
      </c>
      <c r="L3174">
        <v>5253.23</v>
      </c>
      <c r="M3174" s="1">
        <v>43514</v>
      </c>
      <c r="N3174" t="s">
        <v>108</v>
      </c>
      <c r="O3174" t="s">
        <v>106</v>
      </c>
      <c r="P3174" t="s">
        <v>47</v>
      </c>
      <c r="Q3174" s="1">
        <v>43852</v>
      </c>
      <c r="R3174" t="s">
        <v>48</v>
      </c>
      <c r="S3174" t="s">
        <v>87</v>
      </c>
      <c r="T3174" t="s">
        <v>88</v>
      </c>
      <c r="U3174" t="s">
        <v>85</v>
      </c>
      <c r="V3174">
        <v>1400000</v>
      </c>
      <c r="W3174">
        <v>100000</v>
      </c>
      <c r="X3174" s="1">
        <v>43808</v>
      </c>
      <c r="Y3174" t="s">
        <v>51</v>
      </c>
      <c r="Z3174" t="s">
        <v>43</v>
      </c>
      <c r="AA3174" t="s">
        <v>86</v>
      </c>
      <c r="AB3174" t="s">
        <v>89</v>
      </c>
      <c r="AC3174" t="s">
        <v>90</v>
      </c>
      <c r="AF3174" t="s">
        <v>93</v>
      </c>
      <c r="AG3174" s="1">
        <v>43843</v>
      </c>
      <c r="AH3174" t="s">
        <v>85</v>
      </c>
      <c r="AI3174" t="s">
        <v>92</v>
      </c>
      <c r="AJ3174">
        <v>19888</v>
      </c>
      <c r="AK3174">
        <v>128777</v>
      </c>
      <c r="AL3174">
        <v>198882</v>
      </c>
    </row>
    <row r="3175" spans="1:38" x14ac:dyDescent="0.25">
      <c r="A3175" t="s">
        <v>173</v>
      </c>
      <c r="B3175" t="s">
        <v>668</v>
      </c>
      <c r="C3175" t="s">
        <v>40</v>
      </c>
      <c r="D3175" s="1">
        <v>43469</v>
      </c>
      <c r="E3175" s="1">
        <v>43833</v>
      </c>
      <c r="F3175" t="s">
        <v>84</v>
      </c>
      <c r="G3175">
        <v>10</v>
      </c>
      <c r="H3175" t="s">
        <v>85</v>
      </c>
      <c r="I3175" t="s">
        <v>43</v>
      </c>
      <c r="J3175" t="s">
        <v>86</v>
      </c>
      <c r="K3175" t="s">
        <v>44</v>
      </c>
      <c r="L3175">
        <v>5253.23</v>
      </c>
      <c r="M3175" s="1">
        <v>43514</v>
      </c>
      <c r="N3175" t="s">
        <v>108</v>
      </c>
      <c r="O3175" t="s">
        <v>106</v>
      </c>
      <c r="P3175" t="s">
        <v>47</v>
      </c>
      <c r="Q3175" s="1">
        <v>43852</v>
      </c>
      <c r="R3175" t="s">
        <v>48</v>
      </c>
      <c r="S3175" t="s">
        <v>94</v>
      </c>
      <c r="T3175" t="s">
        <v>95</v>
      </c>
      <c r="U3175" t="s">
        <v>85</v>
      </c>
      <c r="V3175">
        <v>4500000</v>
      </c>
      <c r="W3175">
        <v>300000</v>
      </c>
      <c r="X3175" s="1">
        <v>43767</v>
      </c>
      <c r="Y3175" t="s">
        <v>51</v>
      </c>
      <c r="Z3175" t="s">
        <v>43</v>
      </c>
      <c r="AA3175" t="s">
        <v>86</v>
      </c>
      <c r="AB3175" t="s">
        <v>89</v>
      </c>
      <c r="AC3175" t="s">
        <v>90</v>
      </c>
      <c r="AF3175" t="s">
        <v>91</v>
      </c>
      <c r="AG3175" s="1">
        <v>43852</v>
      </c>
      <c r="AH3175" t="s">
        <v>85</v>
      </c>
      <c r="AI3175" t="s">
        <v>92</v>
      </c>
      <c r="AJ3175">
        <v>19888</v>
      </c>
      <c r="AK3175">
        <v>128777</v>
      </c>
      <c r="AL3175">
        <v>198882</v>
      </c>
    </row>
    <row r="3176" spans="1:38" x14ac:dyDescent="0.25">
      <c r="A3176" t="s">
        <v>173</v>
      </c>
      <c r="B3176" t="s">
        <v>668</v>
      </c>
      <c r="C3176" t="s">
        <v>40</v>
      </c>
      <c r="D3176" s="1">
        <v>43469</v>
      </c>
      <c r="E3176" s="1">
        <v>43833</v>
      </c>
      <c r="F3176" t="s">
        <v>84</v>
      </c>
      <c r="G3176">
        <v>10</v>
      </c>
      <c r="H3176" t="s">
        <v>85</v>
      </c>
      <c r="I3176" t="s">
        <v>43</v>
      </c>
      <c r="J3176" t="s">
        <v>86</v>
      </c>
      <c r="K3176" t="s">
        <v>44</v>
      </c>
      <c r="L3176">
        <v>5253.23</v>
      </c>
      <c r="M3176" s="1">
        <v>43514</v>
      </c>
      <c r="N3176" t="s">
        <v>108</v>
      </c>
      <c r="O3176" t="s">
        <v>106</v>
      </c>
      <c r="P3176" t="s">
        <v>47</v>
      </c>
      <c r="Q3176" s="1">
        <v>43852</v>
      </c>
      <c r="R3176" t="s">
        <v>48</v>
      </c>
      <c r="S3176" t="s">
        <v>94</v>
      </c>
      <c r="T3176" t="s">
        <v>95</v>
      </c>
      <c r="U3176" t="s">
        <v>85</v>
      </c>
      <c r="V3176">
        <v>4500000</v>
      </c>
      <c r="W3176">
        <v>300000</v>
      </c>
      <c r="X3176" s="1">
        <v>43767</v>
      </c>
      <c r="Y3176" t="s">
        <v>51</v>
      </c>
      <c r="Z3176" t="s">
        <v>43</v>
      </c>
      <c r="AA3176" t="s">
        <v>86</v>
      </c>
      <c r="AB3176" t="s">
        <v>89</v>
      </c>
      <c r="AC3176" t="s">
        <v>90</v>
      </c>
      <c r="AF3176" t="s">
        <v>93</v>
      </c>
      <c r="AG3176" s="1">
        <v>43843</v>
      </c>
      <c r="AH3176" t="s">
        <v>85</v>
      </c>
      <c r="AI3176" t="s">
        <v>92</v>
      </c>
      <c r="AJ3176">
        <v>19888</v>
      </c>
      <c r="AK3176">
        <v>128777</v>
      </c>
      <c r="AL3176">
        <v>198882</v>
      </c>
    </row>
    <row r="3177" spans="1:38" x14ac:dyDescent="0.25">
      <c r="A3177" t="s">
        <v>173</v>
      </c>
      <c r="B3177" t="s">
        <v>668</v>
      </c>
      <c r="C3177" t="s">
        <v>40</v>
      </c>
      <c r="D3177" s="1">
        <v>43469</v>
      </c>
      <c r="E3177" s="1">
        <v>43833</v>
      </c>
      <c r="F3177" t="s">
        <v>84</v>
      </c>
      <c r="G3177">
        <v>10</v>
      </c>
      <c r="H3177" t="s">
        <v>85</v>
      </c>
      <c r="I3177" t="s">
        <v>43</v>
      </c>
      <c r="J3177" t="s">
        <v>86</v>
      </c>
      <c r="K3177" t="s">
        <v>44</v>
      </c>
      <c r="L3177">
        <v>5253.23</v>
      </c>
      <c r="M3177" s="1">
        <v>43514</v>
      </c>
      <c r="N3177" t="s">
        <v>108</v>
      </c>
      <c r="O3177" t="s">
        <v>106</v>
      </c>
      <c r="P3177" t="s">
        <v>47</v>
      </c>
      <c r="Q3177" s="1">
        <v>43852</v>
      </c>
      <c r="R3177" t="s">
        <v>48</v>
      </c>
      <c r="S3177" t="s">
        <v>96</v>
      </c>
      <c r="T3177" t="s">
        <v>97</v>
      </c>
      <c r="U3177" t="s">
        <v>85</v>
      </c>
      <c r="V3177">
        <v>600000</v>
      </c>
      <c r="W3177">
        <v>100000</v>
      </c>
      <c r="X3177" s="1">
        <v>43799</v>
      </c>
      <c r="Y3177" t="s">
        <v>51</v>
      </c>
      <c r="Z3177" t="s">
        <v>43</v>
      </c>
      <c r="AA3177" t="s">
        <v>98</v>
      </c>
      <c r="AB3177" t="s">
        <v>89</v>
      </c>
      <c r="AC3177" t="s">
        <v>90</v>
      </c>
      <c r="AF3177" t="s">
        <v>91</v>
      </c>
      <c r="AG3177" s="1">
        <v>43852</v>
      </c>
      <c r="AH3177" t="s">
        <v>85</v>
      </c>
      <c r="AI3177" t="s">
        <v>92</v>
      </c>
      <c r="AJ3177">
        <v>19888</v>
      </c>
      <c r="AK3177">
        <v>128777</v>
      </c>
      <c r="AL3177">
        <v>198882</v>
      </c>
    </row>
    <row r="3178" spans="1:38" x14ac:dyDescent="0.25">
      <c r="A3178" t="s">
        <v>173</v>
      </c>
      <c r="B3178" t="s">
        <v>668</v>
      </c>
      <c r="C3178" t="s">
        <v>40</v>
      </c>
      <c r="D3178" s="1">
        <v>43469</v>
      </c>
      <c r="E3178" s="1">
        <v>43833</v>
      </c>
      <c r="F3178" t="s">
        <v>84</v>
      </c>
      <c r="G3178">
        <v>10</v>
      </c>
      <c r="H3178" t="s">
        <v>85</v>
      </c>
      <c r="I3178" t="s">
        <v>43</v>
      </c>
      <c r="J3178" t="s">
        <v>86</v>
      </c>
      <c r="K3178" t="s">
        <v>44</v>
      </c>
      <c r="L3178">
        <v>5253.23</v>
      </c>
      <c r="M3178" s="1">
        <v>43514</v>
      </c>
      <c r="N3178" t="s">
        <v>108</v>
      </c>
      <c r="O3178" t="s">
        <v>106</v>
      </c>
      <c r="P3178" t="s">
        <v>47</v>
      </c>
      <c r="Q3178" s="1">
        <v>43852</v>
      </c>
      <c r="R3178" t="s">
        <v>48</v>
      </c>
      <c r="S3178" t="s">
        <v>96</v>
      </c>
      <c r="T3178" t="s">
        <v>97</v>
      </c>
      <c r="U3178" t="s">
        <v>85</v>
      </c>
      <c r="V3178">
        <v>600000</v>
      </c>
      <c r="W3178">
        <v>100000</v>
      </c>
      <c r="X3178" s="1">
        <v>43799</v>
      </c>
      <c r="Y3178" t="s">
        <v>51</v>
      </c>
      <c r="Z3178" t="s">
        <v>43</v>
      </c>
      <c r="AA3178" t="s">
        <v>98</v>
      </c>
      <c r="AB3178" t="s">
        <v>89</v>
      </c>
      <c r="AC3178" t="s">
        <v>90</v>
      </c>
      <c r="AF3178" t="s">
        <v>93</v>
      </c>
      <c r="AG3178" s="1">
        <v>43843</v>
      </c>
      <c r="AH3178" t="s">
        <v>85</v>
      </c>
      <c r="AI3178" t="s">
        <v>92</v>
      </c>
      <c r="AJ3178">
        <v>19888</v>
      </c>
      <c r="AK3178">
        <v>128777</v>
      </c>
      <c r="AL3178">
        <v>198882</v>
      </c>
    </row>
    <row r="3179" spans="1:38" x14ac:dyDescent="0.25">
      <c r="A3179" t="s">
        <v>173</v>
      </c>
      <c r="B3179" t="s">
        <v>668</v>
      </c>
      <c r="C3179" t="s">
        <v>40</v>
      </c>
      <c r="D3179" s="1">
        <v>43469</v>
      </c>
      <c r="E3179" s="1">
        <v>43833</v>
      </c>
      <c r="F3179" t="s">
        <v>84</v>
      </c>
      <c r="G3179">
        <v>10</v>
      </c>
      <c r="H3179" t="s">
        <v>85</v>
      </c>
      <c r="I3179" t="s">
        <v>43</v>
      </c>
      <c r="J3179" t="s">
        <v>86</v>
      </c>
      <c r="K3179" t="s">
        <v>44</v>
      </c>
      <c r="L3179">
        <v>5253.23</v>
      </c>
      <c r="M3179" s="1">
        <v>43514</v>
      </c>
      <c r="N3179" t="s">
        <v>108</v>
      </c>
      <c r="O3179" t="s">
        <v>106</v>
      </c>
      <c r="P3179" t="s">
        <v>47</v>
      </c>
      <c r="Q3179" s="1">
        <v>43852</v>
      </c>
      <c r="R3179" t="s">
        <v>48</v>
      </c>
      <c r="S3179" t="s">
        <v>99</v>
      </c>
      <c r="T3179" t="s">
        <v>100</v>
      </c>
      <c r="U3179" t="s">
        <v>85</v>
      </c>
      <c r="V3179">
        <v>210000</v>
      </c>
      <c r="W3179">
        <v>35000</v>
      </c>
      <c r="X3179" s="1">
        <v>43799</v>
      </c>
      <c r="Y3179" t="s">
        <v>51</v>
      </c>
      <c r="Z3179" t="s">
        <v>43</v>
      </c>
      <c r="AA3179" t="s">
        <v>98</v>
      </c>
      <c r="AB3179" t="s">
        <v>89</v>
      </c>
      <c r="AC3179" t="s">
        <v>101</v>
      </c>
      <c r="AF3179" t="s">
        <v>91</v>
      </c>
      <c r="AG3179" s="1">
        <v>43852</v>
      </c>
      <c r="AH3179" t="s">
        <v>85</v>
      </c>
      <c r="AI3179" t="s">
        <v>92</v>
      </c>
      <c r="AJ3179">
        <v>19888</v>
      </c>
      <c r="AK3179">
        <v>128777</v>
      </c>
      <c r="AL3179">
        <v>198882</v>
      </c>
    </row>
    <row r="3180" spans="1:38" x14ac:dyDescent="0.25">
      <c r="A3180" t="s">
        <v>173</v>
      </c>
      <c r="B3180" t="s">
        <v>668</v>
      </c>
      <c r="C3180" t="s">
        <v>40</v>
      </c>
      <c r="D3180" s="1">
        <v>43469</v>
      </c>
      <c r="E3180" s="1">
        <v>43833</v>
      </c>
      <c r="F3180" t="s">
        <v>84</v>
      </c>
      <c r="G3180">
        <v>10</v>
      </c>
      <c r="H3180" t="s">
        <v>85</v>
      </c>
      <c r="I3180" t="s">
        <v>43</v>
      </c>
      <c r="J3180" t="s">
        <v>86</v>
      </c>
      <c r="K3180" t="s">
        <v>44</v>
      </c>
      <c r="L3180">
        <v>5253.23</v>
      </c>
      <c r="M3180" s="1">
        <v>43514</v>
      </c>
      <c r="N3180" t="s">
        <v>108</v>
      </c>
      <c r="O3180" t="s">
        <v>106</v>
      </c>
      <c r="P3180" t="s">
        <v>47</v>
      </c>
      <c r="Q3180" s="1">
        <v>43852</v>
      </c>
      <c r="R3180" t="s">
        <v>48</v>
      </c>
      <c r="S3180" t="s">
        <v>99</v>
      </c>
      <c r="T3180" t="s">
        <v>100</v>
      </c>
      <c r="U3180" t="s">
        <v>85</v>
      </c>
      <c r="V3180">
        <v>210000</v>
      </c>
      <c r="W3180">
        <v>35000</v>
      </c>
      <c r="X3180" s="1">
        <v>43799</v>
      </c>
      <c r="Y3180" t="s">
        <v>51</v>
      </c>
      <c r="Z3180" t="s">
        <v>43</v>
      </c>
      <c r="AA3180" t="s">
        <v>98</v>
      </c>
      <c r="AB3180" t="s">
        <v>89</v>
      </c>
      <c r="AC3180" t="s">
        <v>101</v>
      </c>
      <c r="AF3180" t="s">
        <v>93</v>
      </c>
      <c r="AG3180" s="1">
        <v>43843</v>
      </c>
      <c r="AH3180" t="s">
        <v>85</v>
      </c>
      <c r="AI3180" t="s">
        <v>92</v>
      </c>
      <c r="AJ3180">
        <v>19888</v>
      </c>
      <c r="AK3180">
        <v>128777</v>
      </c>
      <c r="AL3180">
        <v>198882</v>
      </c>
    </row>
    <row r="3181" spans="1:38" x14ac:dyDescent="0.25">
      <c r="A3181" t="s">
        <v>173</v>
      </c>
      <c r="B3181" t="s">
        <v>668</v>
      </c>
      <c r="C3181" t="s">
        <v>40</v>
      </c>
      <c r="D3181" s="1">
        <v>43469</v>
      </c>
      <c r="E3181" s="1">
        <v>43833</v>
      </c>
      <c r="F3181" t="s">
        <v>84</v>
      </c>
      <c r="G3181">
        <v>10</v>
      </c>
      <c r="H3181" t="s">
        <v>85</v>
      </c>
      <c r="I3181" t="s">
        <v>43</v>
      </c>
      <c r="J3181" t="s">
        <v>86</v>
      </c>
      <c r="K3181" t="s">
        <v>44</v>
      </c>
      <c r="L3181">
        <v>5253.23</v>
      </c>
      <c r="M3181" s="1">
        <v>43514</v>
      </c>
      <c r="N3181" t="s">
        <v>108</v>
      </c>
      <c r="O3181" t="s">
        <v>106</v>
      </c>
      <c r="P3181" t="s">
        <v>47</v>
      </c>
      <c r="Q3181" s="1">
        <v>43852</v>
      </c>
      <c r="R3181" t="s">
        <v>48</v>
      </c>
      <c r="S3181" t="s">
        <v>102</v>
      </c>
      <c r="T3181" t="s">
        <v>103</v>
      </c>
      <c r="U3181" t="s">
        <v>85</v>
      </c>
      <c r="V3181">
        <v>5000000</v>
      </c>
      <c r="W3181">
        <v>250000</v>
      </c>
      <c r="X3181" s="1">
        <v>43799</v>
      </c>
      <c r="Y3181" t="s">
        <v>51</v>
      </c>
      <c r="Z3181" t="s">
        <v>43</v>
      </c>
      <c r="AA3181" t="s">
        <v>86</v>
      </c>
      <c r="AB3181" t="s">
        <v>89</v>
      </c>
      <c r="AC3181" t="s">
        <v>90</v>
      </c>
      <c r="AF3181" t="s">
        <v>91</v>
      </c>
      <c r="AG3181" s="1">
        <v>43852</v>
      </c>
      <c r="AH3181" t="s">
        <v>85</v>
      </c>
      <c r="AI3181" t="s">
        <v>92</v>
      </c>
      <c r="AJ3181">
        <v>19888</v>
      </c>
      <c r="AK3181">
        <v>128777</v>
      </c>
      <c r="AL3181">
        <v>198882</v>
      </c>
    </row>
    <row r="3182" spans="1:38" x14ac:dyDescent="0.25">
      <c r="A3182" t="s">
        <v>173</v>
      </c>
      <c r="B3182" t="s">
        <v>668</v>
      </c>
      <c r="C3182" t="s">
        <v>40</v>
      </c>
      <c r="D3182" s="1">
        <v>43469</v>
      </c>
      <c r="E3182" s="1">
        <v>43833</v>
      </c>
      <c r="F3182" t="s">
        <v>84</v>
      </c>
      <c r="G3182">
        <v>10</v>
      </c>
      <c r="H3182" t="s">
        <v>85</v>
      </c>
      <c r="I3182" t="s">
        <v>43</v>
      </c>
      <c r="J3182" t="s">
        <v>86</v>
      </c>
      <c r="K3182" t="s">
        <v>44</v>
      </c>
      <c r="L3182">
        <v>5253.23</v>
      </c>
      <c r="M3182" s="1">
        <v>43514</v>
      </c>
      <c r="N3182" t="s">
        <v>108</v>
      </c>
      <c r="O3182" t="s">
        <v>106</v>
      </c>
      <c r="P3182" t="s">
        <v>47</v>
      </c>
      <c r="Q3182" s="1">
        <v>43852</v>
      </c>
      <c r="R3182" t="s">
        <v>48</v>
      </c>
      <c r="S3182" t="s">
        <v>102</v>
      </c>
      <c r="T3182" t="s">
        <v>103</v>
      </c>
      <c r="U3182" t="s">
        <v>85</v>
      </c>
      <c r="V3182">
        <v>5000000</v>
      </c>
      <c r="W3182">
        <v>250000</v>
      </c>
      <c r="X3182" s="1">
        <v>43799</v>
      </c>
      <c r="Y3182" t="s">
        <v>51</v>
      </c>
      <c r="Z3182" t="s">
        <v>43</v>
      </c>
      <c r="AA3182" t="s">
        <v>86</v>
      </c>
      <c r="AB3182" t="s">
        <v>89</v>
      </c>
      <c r="AC3182" t="s">
        <v>90</v>
      </c>
      <c r="AF3182" t="s">
        <v>93</v>
      </c>
      <c r="AG3182" s="1">
        <v>43843</v>
      </c>
      <c r="AH3182" t="s">
        <v>85</v>
      </c>
      <c r="AI3182" t="s">
        <v>92</v>
      </c>
      <c r="AJ3182">
        <v>19888</v>
      </c>
      <c r="AK3182">
        <v>128777</v>
      </c>
      <c r="AL3182">
        <v>198882</v>
      </c>
    </row>
    <row r="3183" spans="1:38" x14ac:dyDescent="0.25">
      <c r="A3183" t="s">
        <v>175</v>
      </c>
      <c r="B3183" t="s">
        <v>668</v>
      </c>
      <c r="C3183" t="s">
        <v>40</v>
      </c>
      <c r="D3183" s="1">
        <v>43469</v>
      </c>
      <c r="E3183" s="1">
        <v>43833</v>
      </c>
      <c r="F3183" t="s">
        <v>84</v>
      </c>
      <c r="G3183">
        <v>10</v>
      </c>
      <c r="H3183" t="s">
        <v>85</v>
      </c>
      <c r="I3183" t="s">
        <v>43</v>
      </c>
      <c r="J3183" t="s">
        <v>86</v>
      </c>
      <c r="K3183" t="s">
        <v>44</v>
      </c>
      <c r="L3183">
        <v>6769.65</v>
      </c>
      <c r="M3183" s="1">
        <v>43631</v>
      </c>
      <c r="N3183" t="s">
        <v>108</v>
      </c>
      <c r="O3183" t="s">
        <v>106</v>
      </c>
      <c r="P3183" t="s">
        <v>47</v>
      </c>
      <c r="Q3183" s="1">
        <v>43852</v>
      </c>
      <c r="R3183" t="s">
        <v>48</v>
      </c>
      <c r="S3183" t="s">
        <v>87</v>
      </c>
      <c r="T3183" t="s">
        <v>88</v>
      </c>
      <c r="U3183" t="s">
        <v>85</v>
      </c>
      <c r="V3183">
        <v>1400000</v>
      </c>
      <c r="W3183">
        <v>100000</v>
      </c>
      <c r="X3183" s="1">
        <v>43808</v>
      </c>
      <c r="Y3183" t="s">
        <v>51</v>
      </c>
      <c r="Z3183" t="s">
        <v>43</v>
      </c>
      <c r="AA3183" t="s">
        <v>86</v>
      </c>
      <c r="AB3183" t="s">
        <v>89</v>
      </c>
      <c r="AC3183" t="s">
        <v>90</v>
      </c>
      <c r="AF3183" t="s">
        <v>91</v>
      </c>
      <c r="AG3183" s="1">
        <v>43852</v>
      </c>
      <c r="AH3183" t="s">
        <v>85</v>
      </c>
      <c r="AI3183" t="s">
        <v>92</v>
      </c>
      <c r="AJ3183">
        <v>19888</v>
      </c>
      <c r="AK3183">
        <v>128777</v>
      </c>
      <c r="AL3183">
        <v>198882</v>
      </c>
    </row>
    <row r="3184" spans="1:38" x14ac:dyDescent="0.25">
      <c r="A3184" t="s">
        <v>175</v>
      </c>
      <c r="B3184" t="s">
        <v>668</v>
      </c>
      <c r="C3184" t="s">
        <v>40</v>
      </c>
      <c r="D3184" s="1">
        <v>43469</v>
      </c>
      <c r="E3184" s="1">
        <v>43833</v>
      </c>
      <c r="F3184" t="s">
        <v>84</v>
      </c>
      <c r="G3184">
        <v>10</v>
      </c>
      <c r="H3184" t="s">
        <v>85</v>
      </c>
      <c r="I3184" t="s">
        <v>43</v>
      </c>
      <c r="J3184" t="s">
        <v>86</v>
      </c>
      <c r="K3184" t="s">
        <v>44</v>
      </c>
      <c r="L3184">
        <v>6769.65</v>
      </c>
      <c r="M3184" s="1">
        <v>43631</v>
      </c>
      <c r="N3184" t="s">
        <v>108</v>
      </c>
      <c r="O3184" t="s">
        <v>106</v>
      </c>
      <c r="P3184" t="s">
        <v>47</v>
      </c>
      <c r="Q3184" s="1">
        <v>43852</v>
      </c>
      <c r="R3184" t="s">
        <v>48</v>
      </c>
      <c r="S3184" t="s">
        <v>87</v>
      </c>
      <c r="T3184" t="s">
        <v>88</v>
      </c>
      <c r="U3184" t="s">
        <v>85</v>
      </c>
      <c r="V3184">
        <v>1400000</v>
      </c>
      <c r="W3184">
        <v>100000</v>
      </c>
      <c r="X3184" s="1">
        <v>43808</v>
      </c>
      <c r="Y3184" t="s">
        <v>51</v>
      </c>
      <c r="Z3184" t="s">
        <v>43</v>
      </c>
      <c r="AA3184" t="s">
        <v>86</v>
      </c>
      <c r="AB3184" t="s">
        <v>89</v>
      </c>
      <c r="AC3184" t="s">
        <v>90</v>
      </c>
      <c r="AF3184" t="s">
        <v>93</v>
      </c>
      <c r="AG3184" s="1">
        <v>43843</v>
      </c>
      <c r="AH3184" t="s">
        <v>85</v>
      </c>
      <c r="AI3184" t="s">
        <v>92</v>
      </c>
      <c r="AJ3184">
        <v>19888</v>
      </c>
      <c r="AK3184">
        <v>128777</v>
      </c>
      <c r="AL3184">
        <v>198882</v>
      </c>
    </row>
    <row r="3185" spans="1:38" x14ac:dyDescent="0.25">
      <c r="A3185" t="s">
        <v>175</v>
      </c>
      <c r="B3185" t="s">
        <v>668</v>
      </c>
      <c r="C3185" t="s">
        <v>40</v>
      </c>
      <c r="D3185" s="1">
        <v>43469</v>
      </c>
      <c r="E3185" s="1">
        <v>43833</v>
      </c>
      <c r="F3185" t="s">
        <v>84</v>
      </c>
      <c r="G3185">
        <v>10</v>
      </c>
      <c r="H3185" t="s">
        <v>85</v>
      </c>
      <c r="I3185" t="s">
        <v>43</v>
      </c>
      <c r="J3185" t="s">
        <v>86</v>
      </c>
      <c r="K3185" t="s">
        <v>44</v>
      </c>
      <c r="L3185">
        <v>6769.65</v>
      </c>
      <c r="M3185" s="1">
        <v>43631</v>
      </c>
      <c r="N3185" t="s">
        <v>108</v>
      </c>
      <c r="O3185" t="s">
        <v>106</v>
      </c>
      <c r="P3185" t="s">
        <v>47</v>
      </c>
      <c r="Q3185" s="1">
        <v>43852</v>
      </c>
      <c r="R3185" t="s">
        <v>48</v>
      </c>
      <c r="S3185" t="s">
        <v>94</v>
      </c>
      <c r="T3185" t="s">
        <v>95</v>
      </c>
      <c r="U3185" t="s">
        <v>85</v>
      </c>
      <c r="V3185">
        <v>4500000</v>
      </c>
      <c r="W3185">
        <v>300000</v>
      </c>
      <c r="X3185" s="1">
        <v>43767</v>
      </c>
      <c r="Y3185" t="s">
        <v>51</v>
      </c>
      <c r="Z3185" t="s">
        <v>43</v>
      </c>
      <c r="AA3185" t="s">
        <v>86</v>
      </c>
      <c r="AB3185" t="s">
        <v>89</v>
      </c>
      <c r="AC3185" t="s">
        <v>90</v>
      </c>
      <c r="AF3185" t="s">
        <v>91</v>
      </c>
      <c r="AG3185" s="1">
        <v>43852</v>
      </c>
      <c r="AH3185" t="s">
        <v>85</v>
      </c>
      <c r="AI3185" t="s">
        <v>92</v>
      </c>
      <c r="AJ3185">
        <v>19888</v>
      </c>
      <c r="AK3185">
        <v>128777</v>
      </c>
      <c r="AL3185">
        <v>198882</v>
      </c>
    </row>
    <row r="3186" spans="1:38" x14ac:dyDescent="0.25">
      <c r="A3186" t="s">
        <v>175</v>
      </c>
      <c r="B3186" t="s">
        <v>668</v>
      </c>
      <c r="C3186" t="s">
        <v>40</v>
      </c>
      <c r="D3186" s="1">
        <v>43469</v>
      </c>
      <c r="E3186" s="1">
        <v>43833</v>
      </c>
      <c r="F3186" t="s">
        <v>84</v>
      </c>
      <c r="G3186">
        <v>10</v>
      </c>
      <c r="H3186" t="s">
        <v>85</v>
      </c>
      <c r="I3186" t="s">
        <v>43</v>
      </c>
      <c r="J3186" t="s">
        <v>86</v>
      </c>
      <c r="K3186" t="s">
        <v>44</v>
      </c>
      <c r="L3186">
        <v>6769.65</v>
      </c>
      <c r="M3186" s="1">
        <v>43631</v>
      </c>
      <c r="N3186" t="s">
        <v>108</v>
      </c>
      <c r="O3186" t="s">
        <v>106</v>
      </c>
      <c r="P3186" t="s">
        <v>47</v>
      </c>
      <c r="Q3186" s="1">
        <v>43852</v>
      </c>
      <c r="R3186" t="s">
        <v>48</v>
      </c>
      <c r="S3186" t="s">
        <v>94</v>
      </c>
      <c r="T3186" t="s">
        <v>95</v>
      </c>
      <c r="U3186" t="s">
        <v>85</v>
      </c>
      <c r="V3186">
        <v>4500000</v>
      </c>
      <c r="W3186">
        <v>300000</v>
      </c>
      <c r="X3186" s="1">
        <v>43767</v>
      </c>
      <c r="Y3186" t="s">
        <v>51</v>
      </c>
      <c r="Z3186" t="s">
        <v>43</v>
      </c>
      <c r="AA3186" t="s">
        <v>86</v>
      </c>
      <c r="AB3186" t="s">
        <v>89</v>
      </c>
      <c r="AC3186" t="s">
        <v>90</v>
      </c>
      <c r="AF3186" t="s">
        <v>93</v>
      </c>
      <c r="AG3186" s="1">
        <v>43843</v>
      </c>
      <c r="AH3186" t="s">
        <v>85</v>
      </c>
      <c r="AI3186" t="s">
        <v>92</v>
      </c>
      <c r="AJ3186">
        <v>19888</v>
      </c>
      <c r="AK3186">
        <v>128777</v>
      </c>
      <c r="AL3186">
        <v>198882</v>
      </c>
    </row>
    <row r="3187" spans="1:38" x14ac:dyDescent="0.25">
      <c r="A3187" t="s">
        <v>175</v>
      </c>
      <c r="B3187" t="s">
        <v>668</v>
      </c>
      <c r="C3187" t="s">
        <v>40</v>
      </c>
      <c r="D3187" s="1">
        <v>43469</v>
      </c>
      <c r="E3187" s="1">
        <v>43833</v>
      </c>
      <c r="F3187" t="s">
        <v>84</v>
      </c>
      <c r="G3187">
        <v>10</v>
      </c>
      <c r="H3187" t="s">
        <v>85</v>
      </c>
      <c r="I3187" t="s">
        <v>43</v>
      </c>
      <c r="J3187" t="s">
        <v>86</v>
      </c>
      <c r="K3187" t="s">
        <v>44</v>
      </c>
      <c r="L3187">
        <v>6769.65</v>
      </c>
      <c r="M3187" s="1">
        <v>43631</v>
      </c>
      <c r="N3187" t="s">
        <v>108</v>
      </c>
      <c r="O3187" t="s">
        <v>106</v>
      </c>
      <c r="P3187" t="s">
        <v>47</v>
      </c>
      <c r="Q3187" s="1">
        <v>43852</v>
      </c>
      <c r="R3187" t="s">
        <v>48</v>
      </c>
      <c r="S3187" t="s">
        <v>96</v>
      </c>
      <c r="T3187" t="s">
        <v>97</v>
      </c>
      <c r="U3187" t="s">
        <v>85</v>
      </c>
      <c r="V3187">
        <v>600000</v>
      </c>
      <c r="W3187">
        <v>100000</v>
      </c>
      <c r="X3187" s="1">
        <v>43799</v>
      </c>
      <c r="Y3187" t="s">
        <v>51</v>
      </c>
      <c r="Z3187" t="s">
        <v>43</v>
      </c>
      <c r="AA3187" t="s">
        <v>98</v>
      </c>
      <c r="AB3187" t="s">
        <v>89</v>
      </c>
      <c r="AC3187" t="s">
        <v>90</v>
      </c>
      <c r="AF3187" t="s">
        <v>91</v>
      </c>
      <c r="AG3187" s="1">
        <v>43852</v>
      </c>
      <c r="AH3187" t="s">
        <v>85</v>
      </c>
      <c r="AI3187" t="s">
        <v>92</v>
      </c>
      <c r="AJ3187">
        <v>19888</v>
      </c>
      <c r="AK3187">
        <v>128777</v>
      </c>
      <c r="AL3187">
        <v>198882</v>
      </c>
    </row>
    <row r="3188" spans="1:38" x14ac:dyDescent="0.25">
      <c r="A3188" t="s">
        <v>175</v>
      </c>
      <c r="B3188" t="s">
        <v>668</v>
      </c>
      <c r="C3188" t="s">
        <v>40</v>
      </c>
      <c r="D3188" s="1">
        <v>43469</v>
      </c>
      <c r="E3188" s="1">
        <v>43833</v>
      </c>
      <c r="F3188" t="s">
        <v>84</v>
      </c>
      <c r="G3188">
        <v>10</v>
      </c>
      <c r="H3188" t="s">
        <v>85</v>
      </c>
      <c r="I3188" t="s">
        <v>43</v>
      </c>
      <c r="J3188" t="s">
        <v>86</v>
      </c>
      <c r="K3188" t="s">
        <v>44</v>
      </c>
      <c r="L3188">
        <v>6769.65</v>
      </c>
      <c r="M3188" s="1">
        <v>43631</v>
      </c>
      <c r="N3188" t="s">
        <v>108</v>
      </c>
      <c r="O3188" t="s">
        <v>106</v>
      </c>
      <c r="P3188" t="s">
        <v>47</v>
      </c>
      <c r="Q3188" s="1">
        <v>43852</v>
      </c>
      <c r="R3188" t="s">
        <v>48</v>
      </c>
      <c r="S3188" t="s">
        <v>96</v>
      </c>
      <c r="T3188" t="s">
        <v>97</v>
      </c>
      <c r="U3188" t="s">
        <v>85</v>
      </c>
      <c r="V3188">
        <v>600000</v>
      </c>
      <c r="W3188">
        <v>100000</v>
      </c>
      <c r="X3188" s="1">
        <v>43799</v>
      </c>
      <c r="Y3188" t="s">
        <v>51</v>
      </c>
      <c r="Z3188" t="s">
        <v>43</v>
      </c>
      <c r="AA3188" t="s">
        <v>98</v>
      </c>
      <c r="AB3188" t="s">
        <v>89</v>
      </c>
      <c r="AC3188" t="s">
        <v>90</v>
      </c>
      <c r="AF3188" t="s">
        <v>93</v>
      </c>
      <c r="AG3188" s="1">
        <v>43843</v>
      </c>
      <c r="AH3188" t="s">
        <v>85</v>
      </c>
      <c r="AI3188" t="s">
        <v>92</v>
      </c>
      <c r="AJ3188">
        <v>19888</v>
      </c>
      <c r="AK3188">
        <v>128777</v>
      </c>
      <c r="AL3188">
        <v>198882</v>
      </c>
    </row>
    <row r="3189" spans="1:38" x14ac:dyDescent="0.25">
      <c r="A3189" t="s">
        <v>175</v>
      </c>
      <c r="B3189" t="s">
        <v>668</v>
      </c>
      <c r="C3189" t="s">
        <v>40</v>
      </c>
      <c r="D3189" s="1">
        <v>43469</v>
      </c>
      <c r="E3189" s="1">
        <v>43833</v>
      </c>
      <c r="F3189" t="s">
        <v>84</v>
      </c>
      <c r="G3189">
        <v>10</v>
      </c>
      <c r="H3189" t="s">
        <v>85</v>
      </c>
      <c r="I3189" t="s">
        <v>43</v>
      </c>
      <c r="J3189" t="s">
        <v>86</v>
      </c>
      <c r="K3189" t="s">
        <v>44</v>
      </c>
      <c r="L3189">
        <v>6769.65</v>
      </c>
      <c r="M3189" s="1">
        <v>43631</v>
      </c>
      <c r="N3189" t="s">
        <v>108</v>
      </c>
      <c r="O3189" t="s">
        <v>106</v>
      </c>
      <c r="P3189" t="s">
        <v>47</v>
      </c>
      <c r="Q3189" s="1">
        <v>43852</v>
      </c>
      <c r="R3189" t="s">
        <v>48</v>
      </c>
      <c r="S3189" t="s">
        <v>99</v>
      </c>
      <c r="T3189" t="s">
        <v>100</v>
      </c>
      <c r="U3189" t="s">
        <v>85</v>
      </c>
      <c r="V3189">
        <v>210000</v>
      </c>
      <c r="W3189">
        <v>35000</v>
      </c>
      <c r="X3189" s="1">
        <v>43799</v>
      </c>
      <c r="Y3189" t="s">
        <v>51</v>
      </c>
      <c r="Z3189" t="s">
        <v>43</v>
      </c>
      <c r="AA3189" t="s">
        <v>98</v>
      </c>
      <c r="AB3189" t="s">
        <v>89</v>
      </c>
      <c r="AC3189" t="s">
        <v>101</v>
      </c>
      <c r="AF3189" t="s">
        <v>91</v>
      </c>
      <c r="AG3189" s="1">
        <v>43852</v>
      </c>
      <c r="AH3189" t="s">
        <v>85</v>
      </c>
      <c r="AI3189" t="s">
        <v>92</v>
      </c>
      <c r="AJ3189">
        <v>19888</v>
      </c>
      <c r="AK3189">
        <v>128777</v>
      </c>
      <c r="AL3189">
        <v>198882</v>
      </c>
    </row>
    <row r="3190" spans="1:38" x14ac:dyDescent="0.25">
      <c r="A3190" t="s">
        <v>175</v>
      </c>
      <c r="B3190" t="s">
        <v>668</v>
      </c>
      <c r="C3190" t="s">
        <v>40</v>
      </c>
      <c r="D3190" s="1">
        <v>43469</v>
      </c>
      <c r="E3190" s="1">
        <v>43833</v>
      </c>
      <c r="F3190" t="s">
        <v>84</v>
      </c>
      <c r="G3190">
        <v>10</v>
      </c>
      <c r="H3190" t="s">
        <v>85</v>
      </c>
      <c r="I3190" t="s">
        <v>43</v>
      </c>
      <c r="J3190" t="s">
        <v>86</v>
      </c>
      <c r="K3190" t="s">
        <v>44</v>
      </c>
      <c r="L3190">
        <v>6769.65</v>
      </c>
      <c r="M3190" s="1">
        <v>43631</v>
      </c>
      <c r="N3190" t="s">
        <v>108</v>
      </c>
      <c r="O3190" t="s">
        <v>106</v>
      </c>
      <c r="P3190" t="s">
        <v>47</v>
      </c>
      <c r="Q3190" s="1">
        <v>43852</v>
      </c>
      <c r="R3190" t="s">
        <v>48</v>
      </c>
      <c r="S3190" t="s">
        <v>99</v>
      </c>
      <c r="T3190" t="s">
        <v>100</v>
      </c>
      <c r="U3190" t="s">
        <v>85</v>
      </c>
      <c r="V3190">
        <v>210000</v>
      </c>
      <c r="W3190">
        <v>35000</v>
      </c>
      <c r="X3190" s="1">
        <v>43799</v>
      </c>
      <c r="Y3190" t="s">
        <v>51</v>
      </c>
      <c r="Z3190" t="s">
        <v>43</v>
      </c>
      <c r="AA3190" t="s">
        <v>98</v>
      </c>
      <c r="AB3190" t="s">
        <v>89</v>
      </c>
      <c r="AC3190" t="s">
        <v>101</v>
      </c>
      <c r="AF3190" t="s">
        <v>93</v>
      </c>
      <c r="AG3190" s="1">
        <v>43843</v>
      </c>
      <c r="AH3190" t="s">
        <v>85</v>
      </c>
      <c r="AI3190" t="s">
        <v>92</v>
      </c>
      <c r="AJ3190">
        <v>19888</v>
      </c>
      <c r="AK3190">
        <v>128777</v>
      </c>
      <c r="AL3190">
        <v>198882</v>
      </c>
    </row>
    <row r="3191" spans="1:38" x14ac:dyDescent="0.25">
      <c r="A3191" t="s">
        <v>175</v>
      </c>
      <c r="B3191" t="s">
        <v>668</v>
      </c>
      <c r="C3191" t="s">
        <v>40</v>
      </c>
      <c r="D3191" s="1">
        <v>43469</v>
      </c>
      <c r="E3191" s="1">
        <v>43833</v>
      </c>
      <c r="F3191" t="s">
        <v>84</v>
      </c>
      <c r="G3191">
        <v>10</v>
      </c>
      <c r="H3191" t="s">
        <v>85</v>
      </c>
      <c r="I3191" t="s">
        <v>43</v>
      </c>
      <c r="J3191" t="s">
        <v>86</v>
      </c>
      <c r="K3191" t="s">
        <v>44</v>
      </c>
      <c r="L3191">
        <v>6769.65</v>
      </c>
      <c r="M3191" s="1">
        <v>43631</v>
      </c>
      <c r="N3191" t="s">
        <v>108</v>
      </c>
      <c r="O3191" t="s">
        <v>106</v>
      </c>
      <c r="P3191" t="s">
        <v>47</v>
      </c>
      <c r="Q3191" s="1">
        <v>43852</v>
      </c>
      <c r="R3191" t="s">
        <v>48</v>
      </c>
      <c r="S3191" t="s">
        <v>102</v>
      </c>
      <c r="T3191" t="s">
        <v>103</v>
      </c>
      <c r="U3191" t="s">
        <v>85</v>
      </c>
      <c r="V3191">
        <v>5000000</v>
      </c>
      <c r="W3191">
        <v>250000</v>
      </c>
      <c r="X3191" s="1">
        <v>43799</v>
      </c>
      <c r="Y3191" t="s">
        <v>51</v>
      </c>
      <c r="Z3191" t="s">
        <v>43</v>
      </c>
      <c r="AA3191" t="s">
        <v>86</v>
      </c>
      <c r="AB3191" t="s">
        <v>89</v>
      </c>
      <c r="AC3191" t="s">
        <v>90</v>
      </c>
      <c r="AF3191" t="s">
        <v>91</v>
      </c>
      <c r="AG3191" s="1">
        <v>43852</v>
      </c>
      <c r="AH3191" t="s">
        <v>85</v>
      </c>
      <c r="AI3191" t="s">
        <v>92</v>
      </c>
      <c r="AJ3191">
        <v>19888</v>
      </c>
      <c r="AK3191">
        <v>128777</v>
      </c>
      <c r="AL3191">
        <v>198882</v>
      </c>
    </row>
    <row r="3192" spans="1:38" x14ac:dyDescent="0.25">
      <c r="A3192" t="s">
        <v>175</v>
      </c>
      <c r="B3192" t="s">
        <v>668</v>
      </c>
      <c r="C3192" t="s">
        <v>40</v>
      </c>
      <c r="D3192" s="1">
        <v>43469</v>
      </c>
      <c r="E3192" s="1">
        <v>43833</v>
      </c>
      <c r="F3192" t="s">
        <v>84</v>
      </c>
      <c r="G3192">
        <v>10</v>
      </c>
      <c r="H3192" t="s">
        <v>85</v>
      </c>
      <c r="I3192" t="s">
        <v>43</v>
      </c>
      <c r="J3192" t="s">
        <v>86</v>
      </c>
      <c r="K3192" t="s">
        <v>44</v>
      </c>
      <c r="L3192">
        <v>6769.65</v>
      </c>
      <c r="M3192" s="1">
        <v>43631</v>
      </c>
      <c r="N3192" t="s">
        <v>108</v>
      </c>
      <c r="O3192" t="s">
        <v>106</v>
      </c>
      <c r="P3192" t="s">
        <v>47</v>
      </c>
      <c r="Q3192" s="1">
        <v>43852</v>
      </c>
      <c r="R3192" t="s">
        <v>48</v>
      </c>
      <c r="S3192" t="s">
        <v>102</v>
      </c>
      <c r="T3192" t="s">
        <v>103</v>
      </c>
      <c r="U3192" t="s">
        <v>85</v>
      </c>
      <c r="V3192">
        <v>5000000</v>
      </c>
      <c r="W3192">
        <v>250000</v>
      </c>
      <c r="X3192" s="1">
        <v>43799</v>
      </c>
      <c r="Y3192" t="s">
        <v>51</v>
      </c>
      <c r="Z3192" t="s">
        <v>43</v>
      </c>
      <c r="AA3192" t="s">
        <v>86</v>
      </c>
      <c r="AB3192" t="s">
        <v>89</v>
      </c>
      <c r="AC3192" t="s">
        <v>90</v>
      </c>
      <c r="AF3192" t="s">
        <v>93</v>
      </c>
      <c r="AG3192" s="1">
        <v>43843</v>
      </c>
      <c r="AH3192" t="s">
        <v>85</v>
      </c>
      <c r="AI3192" t="s">
        <v>92</v>
      </c>
      <c r="AJ3192">
        <v>19888</v>
      </c>
      <c r="AK3192">
        <v>128777</v>
      </c>
      <c r="AL3192">
        <v>198882</v>
      </c>
    </row>
    <row r="3193" spans="1:38" x14ac:dyDescent="0.25">
      <c r="A3193" t="s">
        <v>177</v>
      </c>
      <c r="B3193" t="s">
        <v>668</v>
      </c>
      <c r="C3193" t="s">
        <v>40</v>
      </c>
      <c r="D3193" s="1">
        <v>43469</v>
      </c>
      <c r="E3193" s="1">
        <v>43833</v>
      </c>
      <c r="F3193" t="s">
        <v>84</v>
      </c>
      <c r="G3193">
        <v>10</v>
      </c>
      <c r="H3193" t="s">
        <v>85</v>
      </c>
      <c r="I3193" t="s">
        <v>43</v>
      </c>
      <c r="J3193" t="s">
        <v>86</v>
      </c>
      <c r="K3193" t="s">
        <v>44</v>
      </c>
      <c r="L3193">
        <v>8961.98</v>
      </c>
      <c r="M3193" s="1">
        <v>43641</v>
      </c>
      <c r="N3193" t="s">
        <v>108</v>
      </c>
      <c r="O3193" t="s">
        <v>106</v>
      </c>
      <c r="P3193" t="s">
        <v>47</v>
      </c>
      <c r="Q3193" s="1">
        <v>43852</v>
      </c>
      <c r="R3193" t="s">
        <v>48</v>
      </c>
      <c r="S3193" t="s">
        <v>87</v>
      </c>
      <c r="T3193" t="s">
        <v>88</v>
      </c>
      <c r="U3193" t="s">
        <v>85</v>
      </c>
      <c r="V3193">
        <v>1400000</v>
      </c>
      <c r="W3193">
        <v>100000</v>
      </c>
      <c r="X3193" s="1">
        <v>43808</v>
      </c>
      <c r="Y3193" t="s">
        <v>51</v>
      </c>
      <c r="Z3193" t="s">
        <v>43</v>
      </c>
      <c r="AA3193" t="s">
        <v>86</v>
      </c>
      <c r="AB3193" t="s">
        <v>89</v>
      </c>
      <c r="AC3193" t="s">
        <v>90</v>
      </c>
      <c r="AF3193" t="s">
        <v>91</v>
      </c>
      <c r="AG3193" s="1">
        <v>43852</v>
      </c>
      <c r="AH3193" t="s">
        <v>85</v>
      </c>
      <c r="AI3193" t="s">
        <v>92</v>
      </c>
      <c r="AJ3193">
        <v>19888</v>
      </c>
      <c r="AK3193">
        <v>128777</v>
      </c>
      <c r="AL3193">
        <v>198882</v>
      </c>
    </row>
    <row r="3194" spans="1:38" x14ac:dyDescent="0.25">
      <c r="A3194" t="s">
        <v>177</v>
      </c>
      <c r="B3194" t="s">
        <v>668</v>
      </c>
      <c r="C3194" t="s">
        <v>40</v>
      </c>
      <c r="D3194" s="1">
        <v>43469</v>
      </c>
      <c r="E3194" s="1">
        <v>43833</v>
      </c>
      <c r="F3194" t="s">
        <v>84</v>
      </c>
      <c r="G3194">
        <v>10</v>
      </c>
      <c r="H3194" t="s">
        <v>85</v>
      </c>
      <c r="I3194" t="s">
        <v>43</v>
      </c>
      <c r="J3194" t="s">
        <v>86</v>
      </c>
      <c r="K3194" t="s">
        <v>44</v>
      </c>
      <c r="L3194">
        <v>8961.98</v>
      </c>
      <c r="M3194" s="1">
        <v>43641</v>
      </c>
      <c r="N3194" t="s">
        <v>108</v>
      </c>
      <c r="O3194" t="s">
        <v>106</v>
      </c>
      <c r="P3194" t="s">
        <v>47</v>
      </c>
      <c r="Q3194" s="1">
        <v>43852</v>
      </c>
      <c r="R3194" t="s">
        <v>48</v>
      </c>
      <c r="S3194" t="s">
        <v>87</v>
      </c>
      <c r="T3194" t="s">
        <v>88</v>
      </c>
      <c r="U3194" t="s">
        <v>85</v>
      </c>
      <c r="V3194">
        <v>1400000</v>
      </c>
      <c r="W3194">
        <v>100000</v>
      </c>
      <c r="X3194" s="1">
        <v>43808</v>
      </c>
      <c r="Y3194" t="s">
        <v>51</v>
      </c>
      <c r="Z3194" t="s">
        <v>43</v>
      </c>
      <c r="AA3194" t="s">
        <v>86</v>
      </c>
      <c r="AB3194" t="s">
        <v>89</v>
      </c>
      <c r="AC3194" t="s">
        <v>90</v>
      </c>
      <c r="AF3194" t="s">
        <v>93</v>
      </c>
      <c r="AG3194" s="1">
        <v>43843</v>
      </c>
      <c r="AH3194" t="s">
        <v>85</v>
      </c>
      <c r="AI3194" t="s">
        <v>92</v>
      </c>
      <c r="AJ3194">
        <v>19888</v>
      </c>
      <c r="AK3194">
        <v>128777</v>
      </c>
      <c r="AL3194">
        <v>198882</v>
      </c>
    </row>
    <row r="3195" spans="1:38" x14ac:dyDescent="0.25">
      <c r="A3195" t="s">
        <v>177</v>
      </c>
      <c r="B3195" t="s">
        <v>668</v>
      </c>
      <c r="C3195" t="s">
        <v>40</v>
      </c>
      <c r="D3195" s="1">
        <v>43469</v>
      </c>
      <c r="E3195" s="1">
        <v>43833</v>
      </c>
      <c r="F3195" t="s">
        <v>84</v>
      </c>
      <c r="G3195">
        <v>10</v>
      </c>
      <c r="H3195" t="s">
        <v>85</v>
      </c>
      <c r="I3195" t="s">
        <v>43</v>
      </c>
      <c r="J3195" t="s">
        <v>86</v>
      </c>
      <c r="K3195" t="s">
        <v>44</v>
      </c>
      <c r="L3195">
        <v>8961.98</v>
      </c>
      <c r="M3195" s="1">
        <v>43641</v>
      </c>
      <c r="N3195" t="s">
        <v>108</v>
      </c>
      <c r="O3195" t="s">
        <v>106</v>
      </c>
      <c r="P3195" t="s">
        <v>47</v>
      </c>
      <c r="Q3195" s="1">
        <v>43852</v>
      </c>
      <c r="R3195" t="s">
        <v>48</v>
      </c>
      <c r="S3195" t="s">
        <v>94</v>
      </c>
      <c r="T3195" t="s">
        <v>95</v>
      </c>
      <c r="U3195" t="s">
        <v>85</v>
      </c>
      <c r="V3195">
        <v>4500000</v>
      </c>
      <c r="W3195">
        <v>300000</v>
      </c>
      <c r="X3195" s="1">
        <v>43767</v>
      </c>
      <c r="Y3195" t="s">
        <v>51</v>
      </c>
      <c r="Z3195" t="s">
        <v>43</v>
      </c>
      <c r="AA3195" t="s">
        <v>86</v>
      </c>
      <c r="AB3195" t="s">
        <v>89</v>
      </c>
      <c r="AC3195" t="s">
        <v>90</v>
      </c>
      <c r="AF3195" t="s">
        <v>91</v>
      </c>
      <c r="AG3195" s="1">
        <v>43852</v>
      </c>
      <c r="AH3195" t="s">
        <v>85</v>
      </c>
      <c r="AI3195" t="s">
        <v>92</v>
      </c>
      <c r="AJ3195">
        <v>19888</v>
      </c>
      <c r="AK3195">
        <v>128777</v>
      </c>
      <c r="AL3195">
        <v>198882</v>
      </c>
    </row>
    <row r="3196" spans="1:38" x14ac:dyDescent="0.25">
      <c r="A3196" t="s">
        <v>177</v>
      </c>
      <c r="B3196" t="s">
        <v>668</v>
      </c>
      <c r="C3196" t="s">
        <v>40</v>
      </c>
      <c r="D3196" s="1">
        <v>43469</v>
      </c>
      <c r="E3196" s="1">
        <v>43833</v>
      </c>
      <c r="F3196" t="s">
        <v>84</v>
      </c>
      <c r="G3196">
        <v>10</v>
      </c>
      <c r="H3196" t="s">
        <v>85</v>
      </c>
      <c r="I3196" t="s">
        <v>43</v>
      </c>
      <c r="J3196" t="s">
        <v>86</v>
      </c>
      <c r="K3196" t="s">
        <v>44</v>
      </c>
      <c r="L3196">
        <v>8961.98</v>
      </c>
      <c r="M3196" s="1">
        <v>43641</v>
      </c>
      <c r="N3196" t="s">
        <v>108</v>
      </c>
      <c r="O3196" t="s">
        <v>106</v>
      </c>
      <c r="P3196" t="s">
        <v>47</v>
      </c>
      <c r="Q3196" s="1">
        <v>43852</v>
      </c>
      <c r="R3196" t="s">
        <v>48</v>
      </c>
      <c r="S3196" t="s">
        <v>94</v>
      </c>
      <c r="T3196" t="s">
        <v>95</v>
      </c>
      <c r="U3196" t="s">
        <v>85</v>
      </c>
      <c r="V3196">
        <v>4500000</v>
      </c>
      <c r="W3196">
        <v>300000</v>
      </c>
      <c r="X3196" s="1">
        <v>43767</v>
      </c>
      <c r="Y3196" t="s">
        <v>51</v>
      </c>
      <c r="Z3196" t="s">
        <v>43</v>
      </c>
      <c r="AA3196" t="s">
        <v>86</v>
      </c>
      <c r="AB3196" t="s">
        <v>89</v>
      </c>
      <c r="AC3196" t="s">
        <v>90</v>
      </c>
      <c r="AF3196" t="s">
        <v>93</v>
      </c>
      <c r="AG3196" s="1">
        <v>43843</v>
      </c>
      <c r="AH3196" t="s">
        <v>85</v>
      </c>
      <c r="AI3196" t="s">
        <v>92</v>
      </c>
      <c r="AJ3196">
        <v>19888</v>
      </c>
      <c r="AK3196">
        <v>128777</v>
      </c>
      <c r="AL3196">
        <v>198882</v>
      </c>
    </row>
    <row r="3197" spans="1:38" x14ac:dyDescent="0.25">
      <c r="A3197" t="s">
        <v>177</v>
      </c>
      <c r="B3197" t="s">
        <v>668</v>
      </c>
      <c r="C3197" t="s">
        <v>40</v>
      </c>
      <c r="D3197" s="1">
        <v>43469</v>
      </c>
      <c r="E3197" s="1">
        <v>43833</v>
      </c>
      <c r="F3197" t="s">
        <v>84</v>
      </c>
      <c r="G3197">
        <v>10</v>
      </c>
      <c r="H3197" t="s">
        <v>85</v>
      </c>
      <c r="I3197" t="s">
        <v>43</v>
      </c>
      <c r="J3197" t="s">
        <v>86</v>
      </c>
      <c r="K3197" t="s">
        <v>44</v>
      </c>
      <c r="L3197">
        <v>8961.98</v>
      </c>
      <c r="M3197" s="1">
        <v>43641</v>
      </c>
      <c r="N3197" t="s">
        <v>108</v>
      </c>
      <c r="O3197" t="s">
        <v>106</v>
      </c>
      <c r="P3197" t="s">
        <v>47</v>
      </c>
      <c r="Q3197" s="1">
        <v>43852</v>
      </c>
      <c r="R3197" t="s">
        <v>48</v>
      </c>
      <c r="S3197" t="s">
        <v>96</v>
      </c>
      <c r="T3197" t="s">
        <v>97</v>
      </c>
      <c r="U3197" t="s">
        <v>85</v>
      </c>
      <c r="V3197">
        <v>600000</v>
      </c>
      <c r="W3197">
        <v>100000</v>
      </c>
      <c r="X3197" s="1">
        <v>43799</v>
      </c>
      <c r="Y3197" t="s">
        <v>51</v>
      </c>
      <c r="Z3197" t="s">
        <v>43</v>
      </c>
      <c r="AA3197" t="s">
        <v>98</v>
      </c>
      <c r="AB3197" t="s">
        <v>89</v>
      </c>
      <c r="AC3197" t="s">
        <v>90</v>
      </c>
      <c r="AF3197" t="s">
        <v>91</v>
      </c>
      <c r="AG3197" s="1">
        <v>43852</v>
      </c>
      <c r="AH3197" t="s">
        <v>85</v>
      </c>
      <c r="AI3197" t="s">
        <v>92</v>
      </c>
      <c r="AJ3197">
        <v>19888</v>
      </c>
      <c r="AK3197">
        <v>128777</v>
      </c>
      <c r="AL3197">
        <v>198882</v>
      </c>
    </row>
    <row r="3198" spans="1:38" x14ac:dyDescent="0.25">
      <c r="A3198" t="s">
        <v>177</v>
      </c>
      <c r="B3198" t="s">
        <v>668</v>
      </c>
      <c r="C3198" t="s">
        <v>40</v>
      </c>
      <c r="D3198" s="1">
        <v>43469</v>
      </c>
      <c r="E3198" s="1">
        <v>43833</v>
      </c>
      <c r="F3198" t="s">
        <v>84</v>
      </c>
      <c r="G3198">
        <v>10</v>
      </c>
      <c r="H3198" t="s">
        <v>85</v>
      </c>
      <c r="I3198" t="s">
        <v>43</v>
      </c>
      <c r="J3198" t="s">
        <v>86</v>
      </c>
      <c r="K3198" t="s">
        <v>44</v>
      </c>
      <c r="L3198">
        <v>8961.98</v>
      </c>
      <c r="M3198" s="1">
        <v>43641</v>
      </c>
      <c r="N3198" t="s">
        <v>108</v>
      </c>
      <c r="O3198" t="s">
        <v>106</v>
      </c>
      <c r="P3198" t="s">
        <v>47</v>
      </c>
      <c r="Q3198" s="1">
        <v>43852</v>
      </c>
      <c r="R3198" t="s">
        <v>48</v>
      </c>
      <c r="S3198" t="s">
        <v>96</v>
      </c>
      <c r="T3198" t="s">
        <v>97</v>
      </c>
      <c r="U3198" t="s">
        <v>85</v>
      </c>
      <c r="V3198">
        <v>600000</v>
      </c>
      <c r="W3198">
        <v>100000</v>
      </c>
      <c r="X3198" s="1">
        <v>43799</v>
      </c>
      <c r="Y3198" t="s">
        <v>51</v>
      </c>
      <c r="Z3198" t="s">
        <v>43</v>
      </c>
      <c r="AA3198" t="s">
        <v>98</v>
      </c>
      <c r="AB3198" t="s">
        <v>89</v>
      </c>
      <c r="AC3198" t="s">
        <v>90</v>
      </c>
      <c r="AF3198" t="s">
        <v>93</v>
      </c>
      <c r="AG3198" s="1">
        <v>43843</v>
      </c>
      <c r="AH3198" t="s">
        <v>85</v>
      </c>
      <c r="AI3198" t="s">
        <v>92</v>
      </c>
      <c r="AJ3198">
        <v>19888</v>
      </c>
      <c r="AK3198">
        <v>128777</v>
      </c>
      <c r="AL3198">
        <v>198882</v>
      </c>
    </row>
    <row r="3199" spans="1:38" x14ac:dyDescent="0.25">
      <c r="A3199" t="s">
        <v>177</v>
      </c>
      <c r="B3199" t="s">
        <v>668</v>
      </c>
      <c r="C3199" t="s">
        <v>40</v>
      </c>
      <c r="D3199" s="1">
        <v>43469</v>
      </c>
      <c r="E3199" s="1">
        <v>43833</v>
      </c>
      <c r="F3199" t="s">
        <v>84</v>
      </c>
      <c r="G3199">
        <v>10</v>
      </c>
      <c r="H3199" t="s">
        <v>85</v>
      </c>
      <c r="I3199" t="s">
        <v>43</v>
      </c>
      <c r="J3199" t="s">
        <v>86</v>
      </c>
      <c r="K3199" t="s">
        <v>44</v>
      </c>
      <c r="L3199">
        <v>8961.98</v>
      </c>
      <c r="M3199" s="1">
        <v>43641</v>
      </c>
      <c r="N3199" t="s">
        <v>108</v>
      </c>
      <c r="O3199" t="s">
        <v>106</v>
      </c>
      <c r="P3199" t="s">
        <v>47</v>
      </c>
      <c r="Q3199" s="1">
        <v>43852</v>
      </c>
      <c r="R3199" t="s">
        <v>48</v>
      </c>
      <c r="S3199" t="s">
        <v>99</v>
      </c>
      <c r="T3199" t="s">
        <v>100</v>
      </c>
      <c r="U3199" t="s">
        <v>85</v>
      </c>
      <c r="V3199">
        <v>210000</v>
      </c>
      <c r="W3199">
        <v>35000</v>
      </c>
      <c r="X3199" s="1">
        <v>43799</v>
      </c>
      <c r="Y3199" t="s">
        <v>51</v>
      </c>
      <c r="Z3199" t="s">
        <v>43</v>
      </c>
      <c r="AA3199" t="s">
        <v>98</v>
      </c>
      <c r="AB3199" t="s">
        <v>89</v>
      </c>
      <c r="AC3199" t="s">
        <v>101</v>
      </c>
      <c r="AF3199" t="s">
        <v>91</v>
      </c>
      <c r="AG3199" s="1">
        <v>43852</v>
      </c>
      <c r="AH3199" t="s">
        <v>85</v>
      </c>
      <c r="AI3199" t="s">
        <v>92</v>
      </c>
      <c r="AJ3199">
        <v>19888</v>
      </c>
      <c r="AK3199">
        <v>128777</v>
      </c>
      <c r="AL3199">
        <v>198882</v>
      </c>
    </row>
    <row r="3200" spans="1:38" x14ac:dyDescent="0.25">
      <c r="A3200" t="s">
        <v>177</v>
      </c>
      <c r="B3200" t="s">
        <v>668</v>
      </c>
      <c r="C3200" t="s">
        <v>40</v>
      </c>
      <c r="D3200" s="1">
        <v>43469</v>
      </c>
      <c r="E3200" s="1">
        <v>43833</v>
      </c>
      <c r="F3200" t="s">
        <v>84</v>
      </c>
      <c r="G3200">
        <v>10</v>
      </c>
      <c r="H3200" t="s">
        <v>85</v>
      </c>
      <c r="I3200" t="s">
        <v>43</v>
      </c>
      <c r="J3200" t="s">
        <v>86</v>
      </c>
      <c r="K3200" t="s">
        <v>44</v>
      </c>
      <c r="L3200">
        <v>8961.98</v>
      </c>
      <c r="M3200" s="1">
        <v>43641</v>
      </c>
      <c r="N3200" t="s">
        <v>108</v>
      </c>
      <c r="O3200" t="s">
        <v>106</v>
      </c>
      <c r="P3200" t="s">
        <v>47</v>
      </c>
      <c r="Q3200" s="1">
        <v>43852</v>
      </c>
      <c r="R3200" t="s">
        <v>48</v>
      </c>
      <c r="S3200" t="s">
        <v>99</v>
      </c>
      <c r="T3200" t="s">
        <v>100</v>
      </c>
      <c r="U3200" t="s">
        <v>85</v>
      </c>
      <c r="V3200">
        <v>210000</v>
      </c>
      <c r="W3200">
        <v>35000</v>
      </c>
      <c r="X3200" s="1">
        <v>43799</v>
      </c>
      <c r="Y3200" t="s">
        <v>51</v>
      </c>
      <c r="Z3200" t="s">
        <v>43</v>
      </c>
      <c r="AA3200" t="s">
        <v>98</v>
      </c>
      <c r="AB3200" t="s">
        <v>89</v>
      </c>
      <c r="AC3200" t="s">
        <v>101</v>
      </c>
      <c r="AF3200" t="s">
        <v>93</v>
      </c>
      <c r="AG3200" s="1">
        <v>43843</v>
      </c>
      <c r="AH3200" t="s">
        <v>85</v>
      </c>
      <c r="AI3200" t="s">
        <v>92</v>
      </c>
      <c r="AJ3200">
        <v>19888</v>
      </c>
      <c r="AK3200">
        <v>128777</v>
      </c>
      <c r="AL3200">
        <v>198882</v>
      </c>
    </row>
    <row r="3201" spans="1:38" x14ac:dyDescent="0.25">
      <c r="A3201" t="s">
        <v>177</v>
      </c>
      <c r="B3201" t="s">
        <v>668</v>
      </c>
      <c r="C3201" t="s">
        <v>40</v>
      </c>
      <c r="D3201" s="1">
        <v>43469</v>
      </c>
      <c r="E3201" s="1">
        <v>43833</v>
      </c>
      <c r="F3201" t="s">
        <v>84</v>
      </c>
      <c r="G3201">
        <v>10</v>
      </c>
      <c r="H3201" t="s">
        <v>85</v>
      </c>
      <c r="I3201" t="s">
        <v>43</v>
      </c>
      <c r="J3201" t="s">
        <v>86</v>
      </c>
      <c r="K3201" t="s">
        <v>44</v>
      </c>
      <c r="L3201">
        <v>8961.98</v>
      </c>
      <c r="M3201" s="1">
        <v>43641</v>
      </c>
      <c r="N3201" t="s">
        <v>108</v>
      </c>
      <c r="O3201" t="s">
        <v>106</v>
      </c>
      <c r="P3201" t="s">
        <v>47</v>
      </c>
      <c r="Q3201" s="1">
        <v>43852</v>
      </c>
      <c r="R3201" t="s">
        <v>48</v>
      </c>
      <c r="S3201" t="s">
        <v>102</v>
      </c>
      <c r="T3201" t="s">
        <v>103</v>
      </c>
      <c r="U3201" t="s">
        <v>85</v>
      </c>
      <c r="V3201">
        <v>5000000</v>
      </c>
      <c r="W3201">
        <v>250000</v>
      </c>
      <c r="X3201" s="1">
        <v>43799</v>
      </c>
      <c r="Y3201" t="s">
        <v>51</v>
      </c>
      <c r="Z3201" t="s">
        <v>43</v>
      </c>
      <c r="AA3201" t="s">
        <v>86</v>
      </c>
      <c r="AB3201" t="s">
        <v>89</v>
      </c>
      <c r="AC3201" t="s">
        <v>90</v>
      </c>
      <c r="AF3201" t="s">
        <v>91</v>
      </c>
      <c r="AG3201" s="1">
        <v>43852</v>
      </c>
      <c r="AH3201" t="s">
        <v>85</v>
      </c>
      <c r="AI3201" t="s">
        <v>92</v>
      </c>
      <c r="AJ3201">
        <v>19888</v>
      </c>
      <c r="AK3201">
        <v>128777</v>
      </c>
      <c r="AL3201">
        <v>198882</v>
      </c>
    </row>
    <row r="3202" spans="1:38" x14ac:dyDescent="0.25">
      <c r="A3202" t="s">
        <v>177</v>
      </c>
      <c r="B3202" t="s">
        <v>668</v>
      </c>
      <c r="C3202" t="s">
        <v>40</v>
      </c>
      <c r="D3202" s="1">
        <v>43469</v>
      </c>
      <c r="E3202" s="1">
        <v>43833</v>
      </c>
      <c r="F3202" t="s">
        <v>84</v>
      </c>
      <c r="G3202">
        <v>10</v>
      </c>
      <c r="H3202" t="s">
        <v>85</v>
      </c>
      <c r="I3202" t="s">
        <v>43</v>
      </c>
      <c r="J3202" t="s">
        <v>86</v>
      </c>
      <c r="K3202" t="s">
        <v>44</v>
      </c>
      <c r="L3202">
        <v>8961.98</v>
      </c>
      <c r="M3202" s="1">
        <v>43641</v>
      </c>
      <c r="N3202" t="s">
        <v>108</v>
      </c>
      <c r="O3202" t="s">
        <v>106</v>
      </c>
      <c r="P3202" t="s">
        <v>47</v>
      </c>
      <c r="Q3202" s="1">
        <v>43852</v>
      </c>
      <c r="R3202" t="s">
        <v>48</v>
      </c>
      <c r="S3202" t="s">
        <v>102</v>
      </c>
      <c r="T3202" t="s">
        <v>103</v>
      </c>
      <c r="U3202" t="s">
        <v>85</v>
      </c>
      <c r="V3202">
        <v>5000000</v>
      </c>
      <c r="W3202">
        <v>250000</v>
      </c>
      <c r="X3202" s="1">
        <v>43799</v>
      </c>
      <c r="Y3202" t="s">
        <v>51</v>
      </c>
      <c r="Z3202" t="s">
        <v>43</v>
      </c>
      <c r="AA3202" t="s">
        <v>86</v>
      </c>
      <c r="AB3202" t="s">
        <v>89</v>
      </c>
      <c r="AC3202" t="s">
        <v>90</v>
      </c>
      <c r="AF3202" t="s">
        <v>93</v>
      </c>
      <c r="AG3202" s="1">
        <v>43843</v>
      </c>
      <c r="AH3202" t="s">
        <v>85</v>
      </c>
      <c r="AI3202" t="s">
        <v>92</v>
      </c>
      <c r="AJ3202">
        <v>19888</v>
      </c>
      <c r="AK3202">
        <v>128777</v>
      </c>
      <c r="AL3202">
        <v>198882</v>
      </c>
    </row>
    <row r="3203" spans="1:38" x14ac:dyDescent="0.25">
      <c r="A3203" t="s">
        <v>179</v>
      </c>
      <c r="B3203" t="s">
        <v>669</v>
      </c>
      <c r="C3203" t="s">
        <v>71</v>
      </c>
      <c r="D3203" s="1">
        <v>43102</v>
      </c>
      <c r="E3203" s="1">
        <v>43466</v>
      </c>
      <c r="F3203" t="s">
        <v>84</v>
      </c>
      <c r="G3203">
        <v>10</v>
      </c>
      <c r="H3203" t="s">
        <v>85</v>
      </c>
      <c r="I3203" t="s">
        <v>43</v>
      </c>
      <c r="J3203" t="s">
        <v>86</v>
      </c>
      <c r="K3203" t="s">
        <v>44</v>
      </c>
      <c r="L3203">
        <v>64155.3</v>
      </c>
      <c r="M3203" s="1">
        <v>43102</v>
      </c>
      <c r="N3203" t="s">
        <v>45</v>
      </c>
      <c r="O3203" t="s">
        <v>361</v>
      </c>
      <c r="P3203" t="s">
        <v>47</v>
      </c>
      <c r="Q3203" s="1">
        <v>43852</v>
      </c>
      <c r="R3203" t="s">
        <v>48</v>
      </c>
      <c r="S3203" t="s">
        <v>87</v>
      </c>
      <c r="T3203" t="s">
        <v>88</v>
      </c>
      <c r="U3203" t="s">
        <v>85</v>
      </c>
      <c r="V3203">
        <v>1400000</v>
      </c>
      <c r="W3203">
        <v>100000</v>
      </c>
      <c r="X3203" s="1">
        <v>43808</v>
      </c>
      <c r="Y3203" t="s">
        <v>51</v>
      </c>
      <c r="Z3203" t="s">
        <v>43</v>
      </c>
      <c r="AA3203" t="s">
        <v>86</v>
      </c>
      <c r="AB3203" t="s">
        <v>89</v>
      </c>
      <c r="AC3203" t="s">
        <v>90</v>
      </c>
      <c r="AF3203" t="s">
        <v>91</v>
      </c>
      <c r="AG3203" s="1">
        <v>43852</v>
      </c>
      <c r="AH3203" t="s">
        <v>85</v>
      </c>
      <c r="AI3203" t="s">
        <v>92</v>
      </c>
      <c r="AJ3203">
        <v>19888</v>
      </c>
      <c r="AK3203">
        <v>128777</v>
      </c>
      <c r="AL3203">
        <v>198882</v>
      </c>
    </row>
    <row r="3204" spans="1:38" x14ac:dyDescent="0.25">
      <c r="A3204" t="s">
        <v>179</v>
      </c>
      <c r="B3204" t="s">
        <v>669</v>
      </c>
      <c r="C3204" t="s">
        <v>71</v>
      </c>
      <c r="D3204" s="1">
        <v>43102</v>
      </c>
      <c r="E3204" s="1">
        <v>43466</v>
      </c>
      <c r="F3204" t="s">
        <v>84</v>
      </c>
      <c r="G3204">
        <v>10</v>
      </c>
      <c r="H3204" t="s">
        <v>85</v>
      </c>
      <c r="I3204" t="s">
        <v>43</v>
      </c>
      <c r="J3204" t="s">
        <v>86</v>
      </c>
      <c r="K3204" t="s">
        <v>44</v>
      </c>
      <c r="L3204">
        <v>64155.3</v>
      </c>
      <c r="M3204" s="1">
        <v>43102</v>
      </c>
      <c r="N3204" t="s">
        <v>45</v>
      </c>
      <c r="O3204" t="s">
        <v>361</v>
      </c>
      <c r="P3204" t="s">
        <v>47</v>
      </c>
      <c r="Q3204" s="1">
        <v>43852</v>
      </c>
      <c r="R3204" t="s">
        <v>48</v>
      </c>
      <c r="S3204" t="s">
        <v>87</v>
      </c>
      <c r="T3204" t="s">
        <v>88</v>
      </c>
      <c r="U3204" t="s">
        <v>85</v>
      </c>
      <c r="V3204">
        <v>1400000</v>
      </c>
      <c r="W3204">
        <v>100000</v>
      </c>
      <c r="X3204" s="1">
        <v>43808</v>
      </c>
      <c r="Y3204" t="s">
        <v>51</v>
      </c>
      <c r="Z3204" t="s">
        <v>43</v>
      </c>
      <c r="AA3204" t="s">
        <v>86</v>
      </c>
      <c r="AB3204" t="s">
        <v>89</v>
      </c>
      <c r="AC3204" t="s">
        <v>90</v>
      </c>
      <c r="AF3204" t="s">
        <v>93</v>
      </c>
      <c r="AG3204" s="1">
        <v>43843</v>
      </c>
      <c r="AH3204" t="s">
        <v>85</v>
      </c>
      <c r="AI3204" t="s">
        <v>92</v>
      </c>
      <c r="AJ3204">
        <v>19888</v>
      </c>
      <c r="AK3204">
        <v>128777</v>
      </c>
      <c r="AL3204">
        <v>198882</v>
      </c>
    </row>
    <row r="3205" spans="1:38" x14ac:dyDescent="0.25">
      <c r="A3205" t="s">
        <v>179</v>
      </c>
      <c r="B3205" t="s">
        <v>669</v>
      </c>
      <c r="C3205" t="s">
        <v>71</v>
      </c>
      <c r="D3205" s="1">
        <v>43102</v>
      </c>
      <c r="E3205" s="1">
        <v>43466</v>
      </c>
      <c r="F3205" t="s">
        <v>84</v>
      </c>
      <c r="G3205">
        <v>10</v>
      </c>
      <c r="H3205" t="s">
        <v>85</v>
      </c>
      <c r="I3205" t="s">
        <v>43</v>
      </c>
      <c r="J3205" t="s">
        <v>86</v>
      </c>
      <c r="K3205" t="s">
        <v>44</v>
      </c>
      <c r="L3205">
        <v>64155.3</v>
      </c>
      <c r="M3205" s="1">
        <v>43102</v>
      </c>
      <c r="N3205" t="s">
        <v>45</v>
      </c>
      <c r="O3205" t="s">
        <v>361</v>
      </c>
      <c r="P3205" t="s">
        <v>47</v>
      </c>
      <c r="Q3205" s="1">
        <v>43852</v>
      </c>
      <c r="R3205" t="s">
        <v>48</v>
      </c>
      <c r="S3205" t="s">
        <v>94</v>
      </c>
      <c r="T3205" t="s">
        <v>95</v>
      </c>
      <c r="U3205" t="s">
        <v>85</v>
      </c>
      <c r="V3205">
        <v>4500000</v>
      </c>
      <c r="W3205">
        <v>300000</v>
      </c>
      <c r="X3205" s="1">
        <v>43767</v>
      </c>
      <c r="Y3205" t="s">
        <v>51</v>
      </c>
      <c r="Z3205" t="s">
        <v>43</v>
      </c>
      <c r="AA3205" t="s">
        <v>86</v>
      </c>
      <c r="AB3205" t="s">
        <v>89</v>
      </c>
      <c r="AC3205" t="s">
        <v>90</v>
      </c>
      <c r="AF3205" t="s">
        <v>91</v>
      </c>
      <c r="AG3205" s="1">
        <v>43852</v>
      </c>
      <c r="AH3205" t="s">
        <v>85</v>
      </c>
      <c r="AI3205" t="s">
        <v>92</v>
      </c>
      <c r="AJ3205">
        <v>19888</v>
      </c>
      <c r="AK3205">
        <v>128777</v>
      </c>
      <c r="AL3205">
        <v>198882</v>
      </c>
    </row>
    <row r="3206" spans="1:38" x14ac:dyDescent="0.25">
      <c r="A3206" t="s">
        <v>179</v>
      </c>
      <c r="B3206" t="s">
        <v>669</v>
      </c>
      <c r="C3206" t="s">
        <v>71</v>
      </c>
      <c r="D3206" s="1">
        <v>43102</v>
      </c>
      <c r="E3206" s="1">
        <v>43466</v>
      </c>
      <c r="F3206" t="s">
        <v>84</v>
      </c>
      <c r="G3206">
        <v>10</v>
      </c>
      <c r="H3206" t="s">
        <v>85</v>
      </c>
      <c r="I3206" t="s">
        <v>43</v>
      </c>
      <c r="J3206" t="s">
        <v>86</v>
      </c>
      <c r="K3206" t="s">
        <v>44</v>
      </c>
      <c r="L3206">
        <v>64155.3</v>
      </c>
      <c r="M3206" s="1">
        <v>43102</v>
      </c>
      <c r="N3206" t="s">
        <v>45</v>
      </c>
      <c r="O3206" t="s">
        <v>361</v>
      </c>
      <c r="P3206" t="s">
        <v>47</v>
      </c>
      <c r="Q3206" s="1">
        <v>43852</v>
      </c>
      <c r="R3206" t="s">
        <v>48</v>
      </c>
      <c r="S3206" t="s">
        <v>94</v>
      </c>
      <c r="T3206" t="s">
        <v>95</v>
      </c>
      <c r="U3206" t="s">
        <v>85</v>
      </c>
      <c r="V3206">
        <v>4500000</v>
      </c>
      <c r="W3206">
        <v>300000</v>
      </c>
      <c r="X3206" s="1">
        <v>43767</v>
      </c>
      <c r="Y3206" t="s">
        <v>51</v>
      </c>
      <c r="Z3206" t="s">
        <v>43</v>
      </c>
      <c r="AA3206" t="s">
        <v>86</v>
      </c>
      <c r="AB3206" t="s">
        <v>89</v>
      </c>
      <c r="AC3206" t="s">
        <v>90</v>
      </c>
      <c r="AF3206" t="s">
        <v>93</v>
      </c>
      <c r="AG3206" s="1">
        <v>43843</v>
      </c>
      <c r="AH3206" t="s">
        <v>85</v>
      </c>
      <c r="AI3206" t="s">
        <v>92</v>
      </c>
      <c r="AJ3206">
        <v>19888</v>
      </c>
      <c r="AK3206">
        <v>128777</v>
      </c>
      <c r="AL3206">
        <v>198882</v>
      </c>
    </row>
    <row r="3207" spans="1:38" x14ac:dyDescent="0.25">
      <c r="A3207" t="s">
        <v>179</v>
      </c>
      <c r="B3207" t="s">
        <v>669</v>
      </c>
      <c r="C3207" t="s">
        <v>71</v>
      </c>
      <c r="D3207" s="1">
        <v>43102</v>
      </c>
      <c r="E3207" s="1">
        <v>43466</v>
      </c>
      <c r="F3207" t="s">
        <v>84</v>
      </c>
      <c r="G3207">
        <v>10</v>
      </c>
      <c r="H3207" t="s">
        <v>85</v>
      </c>
      <c r="I3207" t="s">
        <v>43</v>
      </c>
      <c r="J3207" t="s">
        <v>86</v>
      </c>
      <c r="K3207" t="s">
        <v>44</v>
      </c>
      <c r="L3207">
        <v>64155.3</v>
      </c>
      <c r="M3207" s="1">
        <v>43102</v>
      </c>
      <c r="N3207" t="s">
        <v>45</v>
      </c>
      <c r="O3207" t="s">
        <v>361</v>
      </c>
      <c r="P3207" t="s">
        <v>47</v>
      </c>
      <c r="Q3207" s="1">
        <v>43852</v>
      </c>
      <c r="R3207" t="s">
        <v>48</v>
      </c>
      <c r="S3207" t="s">
        <v>96</v>
      </c>
      <c r="T3207" t="s">
        <v>97</v>
      </c>
      <c r="U3207" t="s">
        <v>85</v>
      </c>
      <c r="V3207">
        <v>600000</v>
      </c>
      <c r="W3207">
        <v>100000</v>
      </c>
      <c r="X3207" s="1">
        <v>43799</v>
      </c>
      <c r="Y3207" t="s">
        <v>51</v>
      </c>
      <c r="Z3207" t="s">
        <v>43</v>
      </c>
      <c r="AA3207" t="s">
        <v>98</v>
      </c>
      <c r="AB3207" t="s">
        <v>89</v>
      </c>
      <c r="AC3207" t="s">
        <v>90</v>
      </c>
      <c r="AF3207" t="s">
        <v>91</v>
      </c>
      <c r="AG3207" s="1">
        <v>43852</v>
      </c>
      <c r="AH3207" t="s">
        <v>85</v>
      </c>
      <c r="AI3207" t="s">
        <v>92</v>
      </c>
      <c r="AJ3207">
        <v>19888</v>
      </c>
      <c r="AK3207">
        <v>128777</v>
      </c>
      <c r="AL3207">
        <v>198882</v>
      </c>
    </row>
    <row r="3208" spans="1:38" x14ac:dyDescent="0.25">
      <c r="A3208" t="s">
        <v>179</v>
      </c>
      <c r="B3208" t="s">
        <v>669</v>
      </c>
      <c r="C3208" t="s">
        <v>71</v>
      </c>
      <c r="D3208" s="1">
        <v>43102</v>
      </c>
      <c r="E3208" s="1">
        <v>43466</v>
      </c>
      <c r="F3208" t="s">
        <v>84</v>
      </c>
      <c r="G3208">
        <v>10</v>
      </c>
      <c r="H3208" t="s">
        <v>85</v>
      </c>
      <c r="I3208" t="s">
        <v>43</v>
      </c>
      <c r="J3208" t="s">
        <v>86</v>
      </c>
      <c r="K3208" t="s">
        <v>44</v>
      </c>
      <c r="L3208">
        <v>64155.3</v>
      </c>
      <c r="M3208" s="1">
        <v>43102</v>
      </c>
      <c r="N3208" t="s">
        <v>45</v>
      </c>
      <c r="O3208" t="s">
        <v>361</v>
      </c>
      <c r="P3208" t="s">
        <v>47</v>
      </c>
      <c r="Q3208" s="1">
        <v>43852</v>
      </c>
      <c r="R3208" t="s">
        <v>48</v>
      </c>
      <c r="S3208" t="s">
        <v>96</v>
      </c>
      <c r="T3208" t="s">
        <v>97</v>
      </c>
      <c r="U3208" t="s">
        <v>85</v>
      </c>
      <c r="V3208">
        <v>600000</v>
      </c>
      <c r="W3208">
        <v>100000</v>
      </c>
      <c r="X3208" s="1">
        <v>43799</v>
      </c>
      <c r="Y3208" t="s">
        <v>51</v>
      </c>
      <c r="Z3208" t="s">
        <v>43</v>
      </c>
      <c r="AA3208" t="s">
        <v>98</v>
      </c>
      <c r="AB3208" t="s">
        <v>89</v>
      </c>
      <c r="AC3208" t="s">
        <v>90</v>
      </c>
      <c r="AF3208" t="s">
        <v>93</v>
      </c>
      <c r="AG3208" s="1">
        <v>43843</v>
      </c>
      <c r="AH3208" t="s">
        <v>85</v>
      </c>
      <c r="AI3208" t="s">
        <v>92</v>
      </c>
      <c r="AJ3208">
        <v>19888</v>
      </c>
      <c r="AK3208">
        <v>128777</v>
      </c>
      <c r="AL3208">
        <v>198882</v>
      </c>
    </row>
    <row r="3209" spans="1:38" x14ac:dyDescent="0.25">
      <c r="A3209" t="s">
        <v>179</v>
      </c>
      <c r="B3209" t="s">
        <v>669</v>
      </c>
      <c r="C3209" t="s">
        <v>71</v>
      </c>
      <c r="D3209" s="1">
        <v>43102</v>
      </c>
      <c r="E3209" s="1">
        <v>43466</v>
      </c>
      <c r="F3209" t="s">
        <v>84</v>
      </c>
      <c r="G3209">
        <v>10</v>
      </c>
      <c r="H3209" t="s">
        <v>85</v>
      </c>
      <c r="I3209" t="s">
        <v>43</v>
      </c>
      <c r="J3209" t="s">
        <v>86</v>
      </c>
      <c r="K3209" t="s">
        <v>44</v>
      </c>
      <c r="L3209">
        <v>64155.3</v>
      </c>
      <c r="M3209" s="1">
        <v>43102</v>
      </c>
      <c r="N3209" t="s">
        <v>45</v>
      </c>
      <c r="O3209" t="s">
        <v>361</v>
      </c>
      <c r="P3209" t="s">
        <v>47</v>
      </c>
      <c r="Q3209" s="1">
        <v>43852</v>
      </c>
      <c r="R3209" t="s">
        <v>48</v>
      </c>
      <c r="S3209" t="s">
        <v>99</v>
      </c>
      <c r="T3209" t="s">
        <v>100</v>
      </c>
      <c r="U3209" t="s">
        <v>85</v>
      </c>
      <c r="V3209">
        <v>210000</v>
      </c>
      <c r="W3209">
        <v>35000</v>
      </c>
      <c r="X3209" s="1">
        <v>43799</v>
      </c>
      <c r="Y3209" t="s">
        <v>51</v>
      </c>
      <c r="Z3209" t="s">
        <v>43</v>
      </c>
      <c r="AA3209" t="s">
        <v>98</v>
      </c>
      <c r="AB3209" t="s">
        <v>89</v>
      </c>
      <c r="AC3209" t="s">
        <v>101</v>
      </c>
      <c r="AF3209" t="s">
        <v>91</v>
      </c>
      <c r="AG3209" s="1">
        <v>43852</v>
      </c>
      <c r="AH3209" t="s">
        <v>85</v>
      </c>
      <c r="AI3209" t="s">
        <v>92</v>
      </c>
      <c r="AJ3209">
        <v>19888</v>
      </c>
      <c r="AK3209">
        <v>128777</v>
      </c>
      <c r="AL3209">
        <v>198882</v>
      </c>
    </row>
    <row r="3210" spans="1:38" x14ac:dyDescent="0.25">
      <c r="A3210" t="s">
        <v>179</v>
      </c>
      <c r="B3210" t="s">
        <v>669</v>
      </c>
      <c r="C3210" t="s">
        <v>71</v>
      </c>
      <c r="D3210" s="1">
        <v>43102</v>
      </c>
      <c r="E3210" s="1">
        <v>43466</v>
      </c>
      <c r="F3210" t="s">
        <v>84</v>
      </c>
      <c r="G3210">
        <v>10</v>
      </c>
      <c r="H3210" t="s">
        <v>85</v>
      </c>
      <c r="I3210" t="s">
        <v>43</v>
      </c>
      <c r="J3210" t="s">
        <v>86</v>
      </c>
      <c r="K3210" t="s">
        <v>44</v>
      </c>
      <c r="L3210">
        <v>64155.3</v>
      </c>
      <c r="M3210" s="1">
        <v>43102</v>
      </c>
      <c r="N3210" t="s">
        <v>45</v>
      </c>
      <c r="O3210" t="s">
        <v>361</v>
      </c>
      <c r="P3210" t="s">
        <v>47</v>
      </c>
      <c r="Q3210" s="1">
        <v>43852</v>
      </c>
      <c r="R3210" t="s">
        <v>48</v>
      </c>
      <c r="S3210" t="s">
        <v>99</v>
      </c>
      <c r="T3210" t="s">
        <v>100</v>
      </c>
      <c r="U3210" t="s">
        <v>85</v>
      </c>
      <c r="V3210">
        <v>210000</v>
      </c>
      <c r="W3210">
        <v>35000</v>
      </c>
      <c r="X3210" s="1">
        <v>43799</v>
      </c>
      <c r="Y3210" t="s">
        <v>51</v>
      </c>
      <c r="Z3210" t="s">
        <v>43</v>
      </c>
      <c r="AA3210" t="s">
        <v>98</v>
      </c>
      <c r="AB3210" t="s">
        <v>89</v>
      </c>
      <c r="AC3210" t="s">
        <v>101</v>
      </c>
      <c r="AF3210" t="s">
        <v>93</v>
      </c>
      <c r="AG3210" s="1">
        <v>43843</v>
      </c>
      <c r="AH3210" t="s">
        <v>85</v>
      </c>
      <c r="AI3210" t="s">
        <v>92</v>
      </c>
      <c r="AJ3210">
        <v>19888</v>
      </c>
      <c r="AK3210">
        <v>128777</v>
      </c>
      <c r="AL3210">
        <v>198882</v>
      </c>
    </row>
    <row r="3211" spans="1:38" x14ac:dyDescent="0.25">
      <c r="A3211" t="s">
        <v>179</v>
      </c>
      <c r="B3211" t="s">
        <v>669</v>
      </c>
      <c r="C3211" t="s">
        <v>71</v>
      </c>
      <c r="D3211" s="1">
        <v>43102</v>
      </c>
      <c r="E3211" s="1">
        <v>43466</v>
      </c>
      <c r="F3211" t="s">
        <v>84</v>
      </c>
      <c r="G3211">
        <v>10</v>
      </c>
      <c r="H3211" t="s">
        <v>85</v>
      </c>
      <c r="I3211" t="s">
        <v>43</v>
      </c>
      <c r="J3211" t="s">
        <v>86</v>
      </c>
      <c r="K3211" t="s">
        <v>44</v>
      </c>
      <c r="L3211">
        <v>64155.3</v>
      </c>
      <c r="M3211" s="1">
        <v>43102</v>
      </c>
      <c r="N3211" t="s">
        <v>45</v>
      </c>
      <c r="O3211" t="s">
        <v>361</v>
      </c>
      <c r="P3211" t="s">
        <v>47</v>
      </c>
      <c r="Q3211" s="1">
        <v>43852</v>
      </c>
      <c r="R3211" t="s">
        <v>48</v>
      </c>
      <c r="S3211" t="s">
        <v>102</v>
      </c>
      <c r="T3211" t="s">
        <v>103</v>
      </c>
      <c r="U3211" t="s">
        <v>85</v>
      </c>
      <c r="V3211">
        <v>5000000</v>
      </c>
      <c r="W3211">
        <v>250000</v>
      </c>
      <c r="X3211" s="1">
        <v>43799</v>
      </c>
      <c r="Y3211" t="s">
        <v>51</v>
      </c>
      <c r="Z3211" t="s">
        <v>43</v>
      </c>
      <c r="AA3211" t="s">
        <v>86</v>
      </c>
      <c r="AB3211" t="s">
        <v>89</v>
      </c>
      <c r="AC3211" t="s">
        <v>90</v>
      </c>
      <c r="AF3211" t="s">
        <v>91</v>
      </c>
      <c r="AG3211" s="1">
        <v>43852</v>
      </c>
      <c r="AH3211" t="s">
        <v>85</v>
      </c>
      <c r="AI3211" t="s">
        <v>92</v>
      </c>
      <c r="AJ3211">
        <v>19888</v>
      </c>
      <c r="AK3211">
        <v>128777</v>
      </c>
      <c r="AL3211">
        <v>198882</v>
      </c>
    </row>
    <row r="3212" spans="1:38" x14ac:dyDescent="0.25">
      <c r="A3212" t="s">
        <v>179</v>
      </c>
      <c r="B3212" t="s">
        <v>669</v>
      </c>
      <c r="C3212" t="s">
        <v>71</v>
      </c>
      <c r="D3212" s="1">
        <v>43102</v>
      </c>
      <c r="E3212" s="1">
        <v>43466</v>
      </c>
      <c r="F3212" t="s">
        <v>84</v>
      </c>
      <c r="G3212">
        <v>10</v>
      </c>
      <c r="H3212" t="s">
        <v>85</v>
      </c>
      <c r="I3212" t="s">
        <v>43</v>
      </c>
      <c r="J3212" t="s">
        <v>86</v>
      </c>
      <c r="K3212" t="s">
        <v>44</v>
      </c>
      <c r="L3212">
        <v>64155.3</v>
      </c>
      <c r="M3212" s="1">
        <v>43102</v>
      </c>
      <c r="N3212" t="s">
        <v>45</v>
      </c>
      <c r="O3212" t="s">
        <v>361</v>
      </c>
      <c r="P3212" t="s">
        <v>47</v>
      </c>
      <c r="Q3212" s="1">
        <v>43852</v>
      </c>
      <c r="R3212" t="s">
        <v>48</v>
      </c>
      <c r="S3212" t="s">
        <v>102</v>
      </c>
      <c r="T3212" t="s">
        <v>103</v>
      </c>
      <c r="U3212" t="s">
        <v>85</v>
      </c>
      <c r="V3212">
        <v>5000000</v>
      </c>
      <c r="W3212">
        <v>250000</v>
      </c>
      <c r="X3212" s="1">
        <v>43799</v>
      </c>
      <c r="Y3212" t="s">
        <v>51</v>
      </c>
      <c r="Z3212" t="s">
        <v>43</v>
      </c>
      <c r="AA3212" t="s">
        <v>86</v>
      </c>
      <c r="AB3212" t="s">
        <v>89</v>
      </c>
      <c r="AC3212" t="s">
        <v>90</v>
      </c>
      <c r="AF3212" t="s">
        <v>93</v>
      </c>
      <c r="AG3212" s="1">
        <v>43843</v>
      </c>
      <c r="AH3212" t="s">
        <v>85</v>
      </c>
      <c r="AI3212" t="s">
        <v>92</v>
      </c>
      <c r="AJ3212">
        <v>19888</v>
      </c>
      <c r="AK3212">
        <v>128777</v>
      </c>
      <c r="AL3212">
        <v>198882</v>
      </c>
    </row>
    <row r="3213" spans="1:38" x14ac:dyDescent="0.25">
      <c r="A3213" t="s">
        <v>180</v>
      </c>
      <c r="B3213" t="s">
        <v>670</v>
      </c>
      <c r="C3213" t="s">
        <v>71</v>
      </c>
      <c r="D3213" s="1">
        <v>43102</v>
      </c>
      <c r="E3213" s="1">
        <v>43466</v>
      </c>
      <c r="F3213" t="s">
        <v>84</v>
      </c>
      <c r="G3213">
        <v>10</v>
      </c>
      <c r="H3213" t="s">
        <v>85</v>
      </c>
      <c r="I3213" t="s">
        <v>43</v>
      </c>
      <c r="J3213" t="s">
        <v>86</v>
      </c>
      <c r="K3213" t="s">
        <v>44</v>
      </c>
      <c r="L3213">
        <v>5404.95</v>
      </c>
      <c r="M3213" s="1">
        <v>43102</v>
      </c>
      <c r="N3213" t="s">
        <v>45</v>
      </c>
      <c r="O3213" t="s">
        <v>361</v>
      </c>
      <c r="P3213" t="s">
        <v>47</v>
      </c>
      <c r="Q3213" s="1">
        <v>43852</v>
      </c>
      <c r="R3213" t="s">
        <v>48</v>
      </c>
      <c r="S3213" t="s">
        <v>87</v>
      </c>
      <c r="T3213" t="s">
        <v>88</v>
      </c>
      <c r="U3213" t="s">
        <v>85</v>
      </c>
      <c r="V3213">
        <v>1400000</v>
      </c>
      <c r="W3213">
        <v>100000</v>
      </c>
      <c r="X3213" s="1">
        <v>43808</v>
      </c>
      <c r="Y3213" t="s">
        <v>51</v>
      </c>
      <c r="Z3213" t="s">
        <v>43</v>
      </c>
      <c r="AA3213" t="s">
        <v>86</v>
      </c>
      <c r="AB3213" t="s">
        <v>89</v>
      </c>
      <c r="AC3213" t="s">
        <v>90</v>
      </c>
      <c r="AF3213" t="s">
        <v>91</v>
      </c>
      <c r="AG3213" s="1">
        <v>43852</v>
      </c>
      <c r="AH3213" t="s">
        <v>85</v>
      </c>
      <c r="AI3213" t="s">
        <v>92</v>
      </c>
      <c r="AJ3213">
        <v>19888</v>
      </c>
      <c r="AK3213">
        <v>128777</v>
      </c>
      <c r="AL3213">
        <v>198882</v>
      </c>
    </row>
    <row r="3214" spans="1:38" x14ac:dyDescent="0.25">
      <c r="A3214" t="s">
        <v>180</v>
      </c>
      <c r="B3214" t="s">
        <v>670</v>
      </c>
      <c r="C3214" t="s">
        <v>71</v>
      </c>
      <c r="D3214" s="1">
        <v>43102</v>
      </c>
      <c r="E3214" s="1">
        <v>43466</v>
      </c>
      <c r="F3214" t="s">
        <v>84</v>
      </c>
      <c r="G3214">
        <v>10</v>
      </c>
      <c r="H3214" t="s">
        <v>85</v>
      </c>
      <c r="I3214" t="s">
        <v>43</v>
      </c>
      <c r="J3214" t="s">
        <v>86</v>
      </c>
      <c r="K3214" t="s">
        <v>44</v>
      </c>
      <c r="L3214">
        <v>5404.95</v>
      </c>
      <c r="M3214" s="1">
        <v>43102</v>
      </c>
      <c r="N3214" t="s">
        <v>45</v>
      </c>
      <c r="O3214" t="s">
        <v>361</v>
      </c>
      <c r="P3214" t="s">
        <v>47</v>
      </c>
      <c r="Q3214" s="1">
        <v>43852</v>
      </c>
      <c r="R3214" t="s">
        <v>48</v>
      </c>
      <c r="S3214" t="s">
        <v>87</v>
      </c>
      <c r="T3214" t="s">
        <v>88</v>
      </c>
      <c r="U3214" t="s">
        <v>85</v>
      </c>
      <c r="V3214">
        <v>1400000</v>
      </c>
      <c r="W3214">
        <v>100000</v>
      </c>
      <c r="X3214" s="1">
        <v>43808</v>
      </c>
      <c r="Y3214" t="s">
        <v>51</v>
      </c>
      <c r="Z3214" t="s">
        <v>43</v>
      </c>
      <c r="AA3214" t="s">
        <v>86</v>
      </c>
      <c r="AB3214" t="s">
        <v>89</v>
      </c>
      <c r="AC3214" t="s">
        <v>90</v>
      </c>
      <c r="AF3214" t="s">
        <v>93</v>
      </c>
      <c r="AG3214" s="1">
        <v>43843</v>
      </c>
      <c r="AH3214" t="s">
        <v>85</v>
      </c>
      <c r="AI3214" t="s">
        <v>92</v>
      </c>
      <c r="AJ3214">
        <v>19888</v>
      </c>
      <c r="AK3214">
        <v>128777</v>
      </c>
      <c r="AL3214">
        <v>198882</v>
      </c>
    </row>
    <row r="3215" spans="1:38" x14ac:dyDescent="0.25">
      <c r="A3215" t="s">
        <v>180</v>
      </c>
      <c r="B3215" t="s">
        <v>670</v>
      </c>
      <c r="C3215" t="s">
        <v>71</v>
      </c>
      <c r="D3215" s="1">
        <v>43102</v>
      </c>
      <c r="E3215" s="1">
        <v>43466</v>
      </c>
      <c r="F3215" t="s">
        <v>84</v>
      </c>
      <c r="G3215">
        <v>10</v>
      </c>
      <c r="H3215" t="s">
        <v>85</v>
      </c>
      <c r="I3215" t="s">
        <v>43</v>
      </c>
      <c r="J3215" t="s">
        <v>86</v>
      </c>
      <c r="K3215" t="s">
        <v>44</v>
      </c>
      <c r="L3215">
        <v>5404.95</v>
      </c>
      <c r="M3215" s="1">
        <v>43102</v>
      </c>
      <c r="N3215" t="s">
        <v>45</v>
      </c>
      <c r="O3215" t="s">
        <v>361</v>
      </c>
      <c r="P3215" t="s">
        <v>47</v>
      </c>
      <c r="Q3215" s="1">
        <v>43852</v>
      </c>
      <c r="R3215" t="s">
        <v>48</v>
      </c>
      <c r="S3215" t="s">
        <v>94</v>
      </c>
      <c r="T3215" t="s">
        <v>95</v>
      </c>
      <c r="U3215" t="s">
        <v>85</v>
      </c>
      <c r="V3215">
        <v>4500000</v>
      </c>
      <c r="W3215">
        <v>300000</v>
      </c>
      <c r="X3215" s="1">
        <v>43767</v>
      </c>
      <c r="Y3215" t="s">
        <v>51</v>
      </c>
      <c r="Z3215" t="s">
        <v>43</v>
      </c>
      <c r="AA3215" t="s">
        <v>86</v>
      </c>
      <c r="AB3215" t="s">
        <v>89</v>
      </c>
      <c r="AC3215" t="s">
        <v>90</v>
      </c>
      <c r="AF3215" t="s">
        <v>91</v>
      </c>
      <c r="AG3215" s="1">
        <v>43852</v>
      </c>
      <c r="AH3215" t="s">
        <v>85</v>
      </c>
      <c r="AI3215" t="s">
        <v>92</v>
      </c>
      <c r="AJ3215">
        <v>19888</v>
      </c>
      <c r="AK3215">
        <v>128777</v>
      </c>
      <c r="AL3215">
        <v>198882</v>
      </c>
    </row>
    <row r="3216" spans="1:38" x14ac:dyDescent="0.25">
      <c r="A3216" t="s">
        <v>180</v>
      </c>
      <c r="B3216" t="s">
        <v>670</v>
      </c>
      <c r="C3216" t="s">
        <v>71</v>
      </c>
      <c r="D3216" s="1">
        <v>43102</v>
      </c>
      <c r="E3216" s="1">
        <v>43466</v>
      </c>
      <c r="F3216" t="s">
        <v>84</v>
      </c>
      <c r="G3216">
        <v>10</v>
      </c>
      <c r="H3216" t="s">
        <v>85</v>
      </c>
      <c r="I3216" t="s">
        <v>43</v>
      </c>
      <c r="J3216" t="s">
        <v>86</v>
      </c>
      <c r="K3216" t="s">
        <v>44</v>
      </c>
      <c r="L3216">
        <v>5404.95</v>
      </c>
      <c r="M3216" s="1">
        <v>43102</v>
      </c>
      <c r="N3216" t="s">
        <v>45</v>
      </c>
      <c r="O3216" t="s">
        <v>361</v>
      </c>
      <c r="P3216" t="s">
        <v>47</v>
      </c>
      <c r="Q3216" s="1">
        <v>43852</v>
      </c>
      <c r="R3216" t="s">
        <v>48</v>
      </c>
      <c r="S3216" t="s">
        <v>94</v>
      </c>
      <c r="T3216" t="s">
        <v>95</v>
      </c>
      <c r="U3216" t="s">
        <v>85</v>
      </c>
      <c r="V3216">
        <v>4500000</v>
      </c>
      <c r="W3216">
        <v>300000</v>
      </c>
      <c r="X3216" s="1">
        <v>43767</v>
      </c>
      <c r="Y3216" t="s">
        <v>51</v>
      </c>
      <c r="Z3216" t="s">
        <v>43</v>
      </c>
      <c r="AA3216" t="s">
        <v>86</v>
      </c>
      <c r="AB3216" t="s">
        <v>89</v>
      </c>
      <c r="AC3216" t="s">
        <v>90</v>
      </c>
      <c r="AF3216" t="s">
        <v>93</v>
      </c>
      <c r="AG3216" s="1">
        <v>43843</v>
      </c>
      <c r="AH3216" t="s">
        <v>85</v>
      </c>
      <c r="AI3216" t="s">
        <v>92</v>
      </c>
      <c r="AJ3216">
        <v>19888</v>
      </c>
      <c r="AK3216">
        <v>128777</v>
      </c>
      <c r="AL3216">
        <v>198882</v>
      </c>
    </row>
    <row r="3217" spans="1:38" x14ac:dyDescent="0.25">
      <c r="A3217" t="s">
        <v>180</v>
      </c>
      <c r="B3217" t="s">
        <v>670</v>
      </c>
      <c r="C3217" t="s">
        <v>71</v>
      </c>
      <c r="D3217" s="1">
        <v>43102</v>
      </c>
      <c r="E3217" s="1">
        <v>43466</v>
      </c>
      <c r="F3217" t="s">
        <v>84</v>
      </c>
      <c r="G3217">
        <v>10</v>
      </c>
      <c r="H3217" t="s">
        <v>85</v>
      </c>
      <c r="I3217" t="s">
        <v>43</v>
      </c>
      <c r="J3217" t="s">
        <v>86</v>
      </c>
      <c r="K3217" t="s">
        <v>44</v>
      </c>
      <c r="L3217">
        <v>5404.95</v>
      </c>
      <c r="M3217" s="1">
        <v>43102</v>
      </c>
      <c r="N3217" t="s">
        <v>45</v>
      </c>
      <c r="O3217" t="s">
        <v>361</v>
      </c>
      <c r="P3217" t="s">
        <v>47</v>
      </c>
      <c r="Q3217" s="1">
        <v>43852</v>
      </c>
      <c r="R3217" t="s">
        <v>48</v>
      </c>
      <c r="S3217" t="s">
        <v>96</v>
      </c>
      <c r="T3217" t="s">
        <v>97</v>
      </c>
      <c r="U3217" t="s">
        <v>85</v>
      </c>
      <c r="V3217">
        <v>600000</v>
      </c>
      <c r="W3217">
        <v>100000</v>
      </c>
      <c r="X3217" s="1">
        <v>43799</v>
      </c>
      <c r="Y3217" t="s">
        <v>51</v>
      </c>
      <c r="Z3217" t="s">
        <v>43</v>
      </c>
      <c r="AA3217" t="s">
        <v>98</v>
      </c>
      <c r="AB3217" t="s">
        <v>89</v>
      </c>
      <c r="AC3217" t="s">
        <v>90</v>
      </c>
      <c r="AF3217" t="s">
        <v>91</v>
      </c>
      <c r="AG3217" s="1">
        <v>43852</v>
      </c>
      <c r="AH3217" t="s">
        <v>85</v>
      </c>
      <c r="AI3217" t="s">
        <v>92</v>
      </c>
      <c r="AJ3217">
        <v>19888</v>
      </c>
      <c r="AK3217">
        <v>128777</v>
      </c>
      <c r="AL3217">
        <v>198882</v>
      </c>
    </row>
    <row r="3218" spans="1:38" x14ac:dyDescent="0.25">
      <c r="A3218" t="s">
        <v>180</v>
      </c>
      <c r="B3218" t="s">
        <v>670</v>
      </c>
      <c r="C3218" t="s">
        <v>71</v>
      </c>
      <c r="D3218" s="1">
        <v>43102</v>
      </c>
      <c r="E3218" s="1">
        <v>43466</v>
      </c>
      <c r="F3218" t="s">
        <v>84</v>
      </c>
      <c r="G3218">
        <v>10</v>
      </c>
      <c r="H3218" t="s">
        <v>85</v>
      </c>
      <c r="I3218" t="s">
        <v>43</v>
      </c>
      <c r="J3218" t="s">
        <v>86</v>
      </c>
      <c r="K3218" t="s">
        <v>44</v>
      </c>
      <c r="L3218">
        <v>5404.95</v>
      </c>
      <c r="M3218" s="1">
        <v>43102</v>
      </c>
      <c r="N3218" t="s">
        <v>45</v>
      </c>
      <c r="O3218" t="s">
        <v>361</v>
      </c>
      <c r="P3218" t="s">
        <v>47</v>
      </c>
      <c r="Q3218" s="1">
        <v>43852</v>
      </c>
      <c r="R3218" t="s">
        <v>48</v>
      </c>
      <c r="S3218" t="s">
        <v>96</v>
      </c>
      <c r="T3218" t="s">
        <v>97</v>
      </c>
      <c r="U3218" t="s">
        <v>85</v>
      </c>
      <c r="V3218">
        <v>600000</v>
      </c>
      <c r="W3218">
        <v>100000</v>
      </c>
      <c r="X3218" s="1">
        <v>43799</v>
      </c>
      <c r="Y3218" t="s">
        <v>51</v>
      </c>
      <c r="Z3218" t="s">
        <v>43</v>
      </c>
      <c r="AA3218" t="s">
        <v>98</v>
      </c>
      <c r="AB3218" t="s">
        <v>89</v>
      </c>
      <c r="AC3218" t="s">
        <v>90</v>
      </c>
      <c r="AF3218" t="s">
        <v>93</v>
      </c>
      <c r="AG3218" s="1">
        <v>43843</v>
      </c>
      <c r="AH3218" t="s">
        <v>85</v>
      </c>
      <c r="AI3218" t="s">
        <v>92</v>
      </c>
      <c r="AJ3218">
        <v>19888</v>
      </c>
      <c r="AK3218">
        <v>128777</v>
      </c>
      <c r="AL3218">
        <v>198882</v>
      </c>
    </row>
    <row r="3219" spans="1:38" x14ac:dyDescent="0.25">
      <c r="A3219" t="s">
        <v>180</v>
      </c>
      <c r="B3219" t="s">
        <v>670</v>
      </c>
      <c r="C3219" t="s">
        <v>71</v>
      </c>
      <c r="D3219" s="1">
        <v>43102</v>
      </c>
      <c r="E3219" s="1">
        <v>43466</v>
      </c>
      <c r="F3219" t="s">
        <v>84</v>
      </c>
      <c r="G3219">
        <v>10</v>
      </c>
      <c r="H3219" t="s">
        <v>85</v>
      </c>
      <c r="I3219" t="s">
        <v>43</v>
      </c>
      <c r="J3219" t="s">
        <v>86</v>
      </c>
      <c r="K3219" t="s">
        <v>44</v>
      </c>
      <c r="L3219">
        <v>5404.95</v>
      </c>
      <c r="M3219" s="1">
        <v>43102</v>
      </c>
      <c r="N3219" t="s">
        <v>45</v>
      </c>
      <c r="O3219" t="s">
        <v>361</v>
      </c>
      <c r="P3219" t="s">
        <v>47</v>
      </c>
      <c r="Q3219" s="1">
        <v>43852</v>
      </c>
      <c r="R3219" t="s">
        <v>48</v>
      </c>
      <c r="S3219" t="s">
        <v>99</v>
      </c>
      <c r="T3219" t="s">
        <v>100</v>
      </c>
      <c r="U3219" t="s">
        <v>85</v>
      </c>
      <c r="V3219">
        <v>210000</v>
      </c>
      <c r="W3219">
        <v>35000</v>
      </c>
      <c r="X3219" s="1">
        <v>43799</v>
      </c>
      <c r="Y3219" t="s">
        <v>51</v>
      </c>
      <c r="Z3219" t="s">
        <v>43</v>
      </c>
      <c r="AA3219" t="s">
        <v>98</v>
      </c>
      <c r="AB3219" t="s">
        <v>89</v>
      </c>
      <c r="AC3219" t="s">
        <v>101</v>
      </c>
      <c r="AF3219" t="s">
        <v>91</v>
      </c>
      <c r="AG3219" s="1">
        <v>43852</v>
      </c>
      <c r="AH3219" t="s">
        <v>85</v>
      </c>
      <c r="AI3219" t="s">
        <v>92</v>
      </c>
      <c r="AJ3219">
        <v>19888</v>
      </c>
      <c r="AK3219">
        <v>128777</v>
      </c>
      <c r="AL3219">
        <v>198882</v>
      </c>
    </row>
    <row r="3220" spans="1:38" x14ac:dyDescent="0.25">
      <c r="A3220" t="s">
        <v>180</v>
      </c>
      <c r="B3220" t="s">
        <v>670</v>
      </c>
      <c r="C3220" t="s">
        <v>71</v>
      </c>
      <c r="D3220" s="1">
        <v>43102</v>
      </c>
      <c r="E3220" s="1">
        <v>43466</v>
      </c>
      <c r="F3220" t="s">
        <v>84</v>
      </c>
      <c r="G3220">
        <v>10</v>
      </c>
      <c r="H3220" t="s">
        <v>85</v>
      </c>
      <c r="I3220" t="s">
        <v>43</v>
      </c>
      <c r="J3220" t="s">
        <v>86</v>
      </c>
      <c r="K3220" t="s">
        <v>44</v>
      </c>
      <c r="L3220">
        <v>5404.95</v>
      </c>
      <c r="M3220" s="1">
        <v>43102</v>
      </c>
      <c r="N3220" t="s">
        <v>45</v>
      </c>
      <c r="O3220" t="s">
        <v>361</v>
      </c>
      <c r="P3220" t="s">
        <v>47</v>
      </c>
      <c r="Q3220" s="1">
        <v>43852</v>
      </c>
      <c r="R3220" t="s">
        <v>48</v>
      </c>
      <c r="S3220" t="s">
        <v>99</v>
      </c>
      <c r="T3220" t="s">
        <v>100</v>
      </c>
      <c r="U3220" t="s">
        <v>85</v>
      </c>
      <c r="V3220">
        <v>210000</v>
      </c>
      <c r="W3220">
        <v>35000</v>
      </c>
      <c r="X3220" s="1">
        <v>43799</v>
      </c>
      <c r="Y3220" t="s">
        <v>51</v>
      </c>
      <c r="Z3220" t="s">
        <v>43</v>
      </c>
      <c r="AA3220" t="s">
        <v>98</v>
      </c>
      <c r="AB3220" t="s">
        <v>89</v>
      </c>
      <c r="AC3220" t="s">
        <v>101</v>
      </c>
      <c r="AF3220" t="s">
        <v>93</v>
      </c>
      <c r="AG3220" s="1">
        <v>43843</v>
      </c>
      <c r="AH3220" t="s">
        <v>85</v>
      </c>
      <c r="AI3220" t="s">
        <v>92</v>
      </c>
      <c r="AJ3220">
        <v>19888</v>
      </c>
      <c r="AK3220">
        <v>128777</v>
      </c>
      <c r="AL3220">
        <v>198882</v>
      </c>
    </row>
    <row r="3221" spans="1:38" x14ac:dyDescent="0.25">
      <c r="A3221" t="s">
        <v>180</v>
      </c>
      <c r="B3221" t="s">
        <v>670</v>
      </c>
      <c r="C3221" t="s">
        <v>71</v>
      </c>
      <c r="D3221" s="1">
        <v>43102</v>
      </c>
      <c r="E3221" s="1">
        <v>43466</v>
      </c>
      <c r="F3221" t="s">
        <v>84</v>
      </c>
      <c r="G3221">
        <v>10</v>
      </c>
      <c r="H3221" t="s">
        <v>85</v>
      </c>
      <c r="I3221" t="s">
        <v>43</v>
      </c>
      <c r="J3221" t="s">
        <v>86</v>
      </c>
      <c r="K3221" t="s">
        <v>44</v>
      </c>
      <c r="L3221">
        <v>5404.95</v>
      </c>
      <c r="M3221" s="1">
        <v>43102</v>
      </c>
      <c r="N3221" t="s">
        <v>45</v>
      </c>
      <c r="O3221" t="s">
        <v>361</v>
      </c>
      <c r="P3221" t="s">
        <v>47</v>
      </c>
      <c r="Q3221" s="1">
        <v>43852</v>
      </c>
      <c r="R3221" t="s">
        <v>48</v>
      </c>
      <c r="S3221" t="s">
        <v>102</v>
      </c>
      <c r="T3221" t="s">
        <v>103</v>
      </c>
      <c r="U3221" t="s">
        <v>85</v>
      </c>
      <c r="V3221">
        <v>5000000</v>
      </c>
      <c r="W3221">
        <v>250000</v>
      </c>
      <c r="X3221" s="1">
        <v>43799</v>
      </c>
      <c r="Y3221" t="s">
        <v>51</v>
      </c>
      <c r="Z3221" t="s">
        <v>43</v>
      </c>
      <c r="AA3221" t="s">
        <v>86</v>
      </c>
      <c r="AB3221" t="s">
        <v>89</v>
      </c>
      <c r="AC3221" t="s">
        <v>90</v>
      </c>
      <c r="AF3221" t="s">
        <v>91</v>
      </c>
      <c r="AG3221" s="1">
        <v>43852</v>
      </c>
      <c r="AH3221" t="s">
        <v>85</v>
      </c>
      <c r="AI3221" t="s">
        <v>92</v>
      </c>
      <c r="AJ3221">
        <v>19888</v>
      </c>
      <c r="AK3221">
        <v>128777</v>
      </c>
      <c r="AL3221">
        <v>198882</v>
      </c>
    </row>
    <row r="3222" spans="1:38" x14ac:dyDescent="0.25">
      <c r="A3222" t="s">
        <v>180</v>
      </c>
      <c r="B3222" t="s">
        <v>670</v>
      </c>
      <c r="C3222" t="s">
        <v>71</v>
      </c>
      <c r="D3222" s="1">
        <v>43102</v>
      </c>
      <c r="E3222" s="1">
        <v>43466</v>
      </c>
      <c r="F3222" t="s">
        <v>84</v>
      </c>
      <c r="G3222">
        <v>10</v>
      </c>
      <c r="H3222" t="s">
        <v>85</v>
      </c>
      <c r="I3222" t="s">
        <v>43</v>
      </c>
      <c r="J3222" t="s">
        <v>86</v>
      </c>
      <c r="K3222" t="s">
        <v>44</v>
      </c>
      <c r="L3222">
        <v>5404.95</v>
      </c>
      <c r="M3222" s="1">
        <v>43102</v>
      </c>
      <c r="N3222" t="s">
        <v>45</v>
      </c>
      <c r="O3222" t="s">
        <v>361</v>
      </c>
      <c r="P3222" t="s">
        <v>47</v>
      </c>
      <c r="Q3222" s="1">
        <v>43852</v>
      </c>
      <c r="R3222" t="s">
        <v>48</v>
      </c>
      <c r="S3222" t="s">
        <v>102</v>
      </c>
      <c r="T3222" t="s">
        <v>103</v>
      </c>
      <c r="U3222" t="s">
        <v>85</v>
      </c>
      <c r="V3222">
        <v>5000000</v>
      </c>
      <c r="W3222">
        <v>250000</v>
      </c>
      <c r="X3222" s="1">
        <v>43799</v>
      </c>
      <c r="Y3222" t="s">
        <v>51</v>
      </c>
      <c r="Z3222" t="s">
        <v>43</v>
      </c>
      <c r="AA3222" t="s">
        <v>86</v>
      </c>
      <c r="AB3222" t="s">
        <v>89</v>
      </c>
      <c r="AC3222" t="s">
        <v>90</v>
      </c>
      <c r="AF3222" t="s">
        <v>93</v>
      </c>
      <c r="AG3222" s="1">
        <v>43843</v>
      </c>
      <c r="AH3222" t="s">
        <v>85</v>
      </c>
      <c r="AI3222" t="s">
        <v>92</v>
      </c>
      <c r="AJ3222">
        <v>19888</v>
      </c>
      <c r="AK3222">
        <v>128777</v>
      </c>
      <c r="AL3222">
        <v>198882</v>
      </c>
    </row>
    <row r="3223" spans="1:38" x14ac:dyDescent="0.25">
      <c r="A3223" t="s">
        <v>181</v>
      </c>
      <c r="B3223" t="s">
        <v>671</v>
      </c>
      <c r="C3223" t="s">
        <v>40</v>
      </c>
      <c r="D3223" s="1">
        <v>43469</v>
      </c>
      <c r="E3223" s="1">
        <v>43833</v>
      </c>
      <c r="F3223" t="s">
        <v>84</v>
      </c>
      <c r="G3223">
        <v>10</v>
      </c>
      <c r="H3223" t="s">
        <v>85</v>
      </c>
      <c r="I3223" t="s">
        <v>43</v>
      </c>
      <c r="J3223" t="s">
        <v>86</v>
      </c>
      <c r="K3223" t="s">
        <v>44</v>
      </c>
      <c r="L3223">
        <v>5550</v>
      </c>
      <c r="M3223" s="1">
        <v>43469</v>
      </c>
      <c r="N3223" t="s">
        <v>45</v>
      </c>
      <c r="O3223" t="s">
        <v>46</v>
      </c>
      <c r="P3223" t="s">
        <v>47</v>
      </c>
      <c r="Q3223" s="1">
        <v>43852</v>
      </c>
      <c r="R3223" t="s">
        <v>48</v>
      </c>
      <c r="S3223" t="s">
        <v>87</v>
      </c>
      <c r="T3223" t="s">
        <v>88</v>
      </c>
      <c r="U3223" t="s">
        <v>85</v>
      </c>
      <c r="V3223">
        <v>1400000</v>
      </c>
      <c r="W3223">
        <v>100000</v>
      </c>
      <c r="X3223" s="1">
        <v>43808</v>
      </c>
      <c r="Y3223" t="s">
        <v>51</v>
      </c>
      <c r="Z3223" t="s">
        <v>43</v>
      </c>
      <c r="AA3223" t="s">
        <v>86</v>
      </c>
      <c r="AB3223" t="s">
        <v>89</v>
      </c>
      <c r="AC3223" t="s">
        <v>90</v>
      </c>
      <c r="AF3223" t="s">
        <v>91</v>
      </c>
      <c r="AG3223" s="1">
        <v>43852</v>
      </c>
      <c r="AH3223" t="s">
        <v>85</v>
      </c>
      <c r="AI3223" t="s">
        <v>92</v>
      </c>
      <c r="AJ3223">
        <v>19888</v>
      </c>
      <c r="AK3223">
        <v>128777</v>
      </c>
      <c r="AL3223">
        <v>198882</v>
      </c>
    </row>
    <row r="3224" spans="1:38" x14ac:dyDescent="0.25">
      <c r="A3224" t="s">
        <v>181</v>
      </c>
      <c r="B3224" t="s">
        <v>671</v>
      </c>
      <c r="C3224" t="s">
        <v>40</v>
      </c>
      <c r="D3224" s="1">
        <v>43469</v>
      </c>
      <c r="E3224" s="1">
        <v>43833</v>
      </c>
      <c r="F3224" t="s">
        <v>84</v>
      </c>
      <c r="G3224">
        <v>10</v>
      </c>
      <c r="H3224" t="s">
        <v>85</v>
      </c>
      <c r="I3224" t="s">
        <v>43</v>
      </c>
      <c r="J3224" t="s">
        <v>86</v>
      </c>
      <c r="K3224" t="s">
        <v>44</v>
      </c>
      <c r="L3224">
        <v>5550</v>
      </c>
      <c r="M3224" s="1">
        <v>43469</v>
      </c>
      <c r="N3224" t="s">
        <v>45</v>
      </c>
      <c r="O3224" t="s">
        <v>46</v>
      </c>
      <c r="P3224" t="s">
        <v>47</v>
      </c>
      <c r="Q3224" s="1">
        <v>43852</v>
      </c>
      <c r="R3224" t="s">
        <v>48</v>
      </c>
      <c r="S3224" t="s">
        <v>87</v>
      </c>
      <c r="T3224" t="s">
        <v>88</v>
      </c>
      <c r="U3224" t="s">
        <v>85</v>
      </c>
      <c r="V3224">
        <v>1400000</v>
      </c>
      <c r="W3224">
        <v>100000</v>
      </c>
      <c r="X3224" s="1">
        <v>43808</v>
      </c>
      <c r="Y3224" t="s">
        <v>51</v>
      </c>
      <c r="Z3224" t="s">
        <v>43</v>
      </c>
      <c r="AA3224" t="s">
        <v>86</v>
      </c>
      <c r="AB3224" t="s">
        <v>89</v>
      </c>
      <c r="AC3224" t="s">
        <v>90</v>
      </c>
      <c r="AF3224" t="s">
        <v>93</v>
      </c>
      <c r="AG3224" s="1">
        <v>43843</v>
      </c>
      <c r="AH3224" t="s">
        <v>85</v>
      </c>
      <c r="AI3224" t="s">
        <v>92</v>
      </c>
      <c r="AJ3224">
        <v>19888</v>
      </c>
      <c r="AK3224">
        <v>128777</v>
      </c>
      <c r="AL3224">
        <v>198882</v>
      </c>
    </row>
    <row r="3225" spans="1:38" x14ac:dyDescent="0.25">
      <c r="A3225" t="s">
        <v>181</v>
      </c>
      <c r="B3225" t="s">
        <v>671</v>
      </c>
      <c r="C3225" t="s">
        <v>40</v>
      </c>
      <c r="D3225" s="1">
        <v>43469</v>
      </c>
      <c r="E3225" s="1">
        <v>43833</v>
      </c>
      <c r="F3225" t="s">
        <v>84</v>
      </c>
      <c r="G3225">
        <v>10</v>
      </c>
      <c r="H3225" t="s">
        <v>85</v>
      </c>
      <c r="I3225" t="s">
        <v>43</v>
      </c>
      <c r="J3225" t="s">
        <v>86</v>
      </c>
      <c r="K3225" t="s">
        <v>44</v>
      </c>
      <c r="L3225">
        <v>5550</v>
      </c>
      <c r="M3225" s="1">
        <v>43469</v>
      </c>
      <c r="N3225" t="s">
        <v>45</v>
      </c>
      <c r="O3225" t="s">
        <v>46</v>
      </c>
      <c r="P3225" t="s">
        <v>47</v>
      </c>
      <c r="Q3225" s="1">
        <v>43852</v>
      </c>
      <c r="R3225" t="s">
        <v>48</v>
      </c>
      <c r="S3225" t="s">
        <v>94</v>
      </c>
      <c r="T3225" t="s">
        <v>95</v>
      </c>
      <c r="U3225" t="s">
        <v>85</v>
      </c>
      <c r="V3225">
        <v>4500000</v>
      </c>
      <c r="W3225">
        <v>300000</v>
      </c>
      <c r="X3225" s="1">
        <v>43767</v>
      </c>
      <c r="Y3225" t="s">
        <v>51</v>
      </c>
      <c r="Z3225" t="s">
        <v>43</v>
      </c>
      <c r="AA3225" t="s">
        <v>86</v>
      </c>
      <c r="AB3225" t="s">
        <v>89</v>
      </c>
      <c r="AC3225" t="s">
        <v>90</v>
      </c>
      <c r="AF3225" t="s">
        <v>91</v>
      </c>
      <c r="AG3225" s="1">
        <v>43852</v>
      </c>
      <c r="AH3225" t="s">
        <v>85</v>
      </c>
      <c r="AI3225" t="s">
        <v>92</v>
      </c>
      <c r="AJ3225">
        <v>19888</v>
      </c>
      <c r="AK3225">
        <v>128777</v>
      </c>
      <c r="AL3225">
        <v>198882</v>
      </c>
    </row>
    <row r="3226" spans="1:38" x14ac:dyDescent="0.25">
      <c r="A3226" t="s">
        <v>181</v>
      </c>
      <c r="B3226" t="s">
        <v>671</v>
      </c>
      <c r="C3226" t="s">
        <v>40</v>
      </c>
      <c r="D3226" s="1">
        <v>43469</v>
      </c>
      <c r="E3226" s="1">
        <v>43833</v>
      </c>
      <c r="F3226" t="s">
        <v>84</v>
      </c>
      <c r="G3226">
        <v>10</v>
      </c>
      <c r="H3226" t="s">
        <v>85</v>
      </c>
      <c r="I3226" t="s">
        <v>43</v>
      </c>
      <c r="J3226" t="s">
        <v>86</v>
      </c>
      <c r="K3226" t="s">
        <v>44</v>
      </c>
      <c r="L3226">
        <v>5550</v>
      </c>
      <c r="M3226" s="1">
        <v>43469</v>
      </c>
      <c r="N3226" t="s">
        <v>45</v>
      </c>
      <c r="O3226" t="s">
        <v>46</v>
      </c>
      <c r="P3226" t="s">
        <v>47</v>
      </c>
      <c r="Q3226" s="1">
        <v>43852</v>
      </c>
      <c r="R3226" t="s">
        <v>48</v>
      </c>
      <c r="S3226" t="s">
        <v>94</v>
      </c>
      <c r="T3226" t="s">
        <v>95</v>
      </c>
      <c r="U3226" t="s">
        <v>85</v>
      </c>
      <c r="V3226">
        <v>4500000</v>
      </c>
      <c r="W3226">
        <v>300000</v>
      </c>
      <c r="X3226" s="1">
        <v>43767</v>
      </c>
      <c r="Y3226" t="s">
        <v>51</v>
      </c>
      <c r="Z3226" t="s">
        <v>43</v>
      </c>
      <c r="AA3226" t="s">
        <v>86</v>
      </c>
      <c r="AB3226" t="s">
        <v>89</v>
      </c>
      <c r="AC3226" t="s">
        <v>90</v>
      </c>
      <c r="AF3226" t="s">
        <v>93</v>
      </c>
      <c r="AG3226" s="1">
        <v>43843</v>
      </c>
      <c r="AH3226" t="s">
        <v>85</v>
      </c>
      <c r="AI3226" t="s">
        <v>92</v>
      </c>
      <c r="AJ3226">
        <v>19888</v>
      </c>
      <c r="AK3226">
        <v>128777</v>
      </c>
      <c r="AL3226">
        <v>198882</v>
      </c>
    </row>
    <row r="3227" spans="1:38" x14ac:dyDescent="0.25">
      <c r="A3227" t="s">
        <v>181</v>
      </c>
      <c r="B3227" t="s">
        <v>671</v>
      </c>
      <c r="C3227" t="s">
        <v>40</v>
      </c>
      <c r="D3227" s="1">
        <v>43469</v>
      </c>
      <c r="E3227" s="1">
        <v>43833</v>
      </c>
      <c r="F3227" t="s">
        <v>84</v>
      </c>
      <c r="G3227">
        <v>10</v>
      </c>
      <c r="H3227" t="s">
        <v>85</v>
      </c>
      <c r="I3227" t="s">
        <v>43</v>
      </c>
      <c r="J3227" t="s">
        <v>86</v>
      </c>
      <c r="K3227" t="s">
        <v>44</v>
      </c>
      <c r="L3227">
        <v>5550</v>
      </c>
      <c r="M3227" s="1">
        <v>43469</v>
      </c>
      <c r="N3227" t="s">
        <v>45</v>
      </c>
      <c r="O3227" t="s">
        <v>46</v>
      </c>
      <c r="P3227" t="s">
        <v>47</v>
      </c>
      <c r="Q3227" s="1">
        <v>43852</v>
      </c>
      <c r="R3227" t="s">
        <v>48</v>
      </c>
      <c r="S3227" t="s">
        <v>96</v>
      </c>
      <c r="T3227" t="s">
        <v>97</v>
      </c>
      <c r="U3227" t="s">
        <v>85</v>
      </c>
      <c r="V3227">
        <v>600000</v>
      </c>
      <c r="W3227">
        <v>100000</v>
      </c>
      <c r="X3227" s="1">
        <v>43799</v>
      </c>
      <c r="Y3227" t="s">
        <v>51</v>
      </c>
      <c r="Z3227" t="s">
        <v>43</v>
      </c>
      <c r="AA3227" t="s">
        <v>98</v>
      </c>
      <c r="AB3227" t="s">
        <v>89</v>
      </c>
      <c r="AC3227" t="s">
        <v>90</v>
      </c>
      <c r="AF3227" t="s">
        <v>91</v>
      </c>
      <c r="AG3227" s="1">
        <v>43852</v>
      </c>
      <c r="AH3227" t="s">
        <v>85</v>
      </c>
      <c r="AI3227" t="s">
        <v>92</v>
      </c>
      <c r="AJ3227">
        <v>19888</v>
      </c>
      <c r="AK3227">
        <v>128777</v>
      </c>
      <c r="AL3227">
        <v>198882</v>
      </c>
    </row>
    <row r="3228" spans="1:38" x14ac:dyDescent="0.25">
      <c r="A3228" t="s">
        <v>181</v>
      </c>
      <c r="B3228" t="s">
        <v>671</v>
      </c>
      <c r="C3228" t="s">
        <v>40</v>
      </c>
      <c r="D3228" s="1">
        <v>43469</v>
      </c>
      <c r="E3228" s="1">
        <v>43833</v>
      </c>
      <c r="F3228" t="s">
        <v>84</v>
      </c>
      <c r="G3228">
        <v>10</v>
      </c>
      <c r="H3228" t="s">
        <v>85</v>
      </c>
      <c r="I3228" t="s">
        <v>43</v>
      </c>
      <c r="J3228" t="s">
        <v>86</v>
      </c>
      <c r="K3228" t="s">
        <v>44</v>
      </c>
      <c r="L3228">
        <v>5550</v>
      </c>
      <c r="M3228" s="1">
        <v>43469</v>
      </c>
      <c r="N3228" t="s">
        <v>45</v>
      </c>
      <c r="O3228" t="s">
        <v>46</v>
      </c>
      <c r="P3228" t="s">
        <v>47</v>
      </c>
      <c r="Q3228" s="1">
        <v>43852</v>
      </c>
      <c r="R3228" t="s">
        <v>48</v>
      </c>
      <c r="S3228" t="s">
        <v>96</v>
      </c>
      <c r="T3228" t="s">
        <v>97</v>
      </c>
      <c r="U3228" t="s">
        <v>85</v>
      </c>
      <c r="V3228">
        <v>600000</v>
      </c>
      <c r="W3228">
        <v>100000</v>
      </c>
      <c r="X3228" s="1">
        <v>43799</v>
      </c>
      <c r="Y3228" t="s">
        <v>51</v>
      </c>
      <c r="Z3228" t="s">
        <v>43</v>
      </c>
      <c r="AA3228" t="s">
        <v>98</v>
      </c>
      <c r="AB3228" t="s">
        <v>89</v>
      </c>
      <c r="AC3228" t="s">
        <v>90</v>
      </c>
      <c r="AF3228" t="s">
        <v>93</v>
      </c>
      <c r="AG3228" s="1">
        <v>43843</v>
      </c>
      <c r="AH3228" t="s">
        <v>85</v>
      </c>
      <c r="AI3228" t="s">
        <v>92</v>
      </c>
      <c r="AJ3228">
        <v>19888</v>
      </c>
      <c r="AK3228">
        <v>128777</v>
      </c>
      <c r="AL3228">
        <v>198882</v>
      </c>
    </row>
    <row r="3229" spans="1:38" x14ac:dyDescent="0.25">
      <c r="A3229" t="s">
        <v>181</v>
      </c>
      <c r="B3229" t="s">
        <v>671</v>
      </c>
      <c r="C3229" t="s">
        <v>40</v>
      </c>
      <c r="D3229" s="1">
        <v>43469</v>
      </c>
      <c r="E3229" s="1">
        <v>43833</v>
      </c>
      <c r="F3229" t="s">
        <v>84</v>
      </c>
      <c r="G3229">
        <v>10</v>
      </c>
      <c r="H3229" t="s">
        <v>85</v>
      </c>
      <c r="I3229" t="s">
        <v>43</v>
      </c>
      <c r="J3229" t="s">
        <v>86</v>
      </c>
      <c r="K3229" t="s">
        <v>44</v>
      </c>
      <c r="L3229">
        <v>5550</v>
      </c>
      <c r="M3229" s="1">
        <v>43469</v>
      </c>
      <c r="N3229" t="s">
        <v>45</v>
      </c>
      <c r="O3229" t="s">
        <v>46</v>
      </c>
      <c r="P3229" t="s">
        <v>47</v>
      </c>
      <c r="Q3229" s="1">
        <v>43852</v>
      </c>
      <c r="R3229" t="s">
        <v>48</v>
      </c>
      <c r="S3229" t="s">
        <v>99</v>
      </c>
      <c r="T3229" t="s">
        <v>100</v>
      </c>
      <c r="U3229" t="s">
        <v>85</v>
      </c>
      <c r="V3229">
        <v>210000</v>
      </c>
      <c r="W3229">
        <v>35000</v>
      </c>
      <c r="X3229" s="1">
        <v>43799</v>
      </c>
      <c r="Y3229" t="s">
        <v>51</v>
      </c>
      <c r="Z3229" t="s">
        <v>43</v>
      </c>
      <c r="AA3229" t="s">
        <v>98</v>
      </c>
      <c r="AB3229" t="s">
        <v>89</v>
      </c>
      <c r="AC3229" t="s">
        <v>101</v>
      </c>
      <c r="AF3229" t="s">
        <v>91</v>
      </c>
      <c r="AG3229" s="1">
        <v>43852</v>
      </c>
      <c r="AH3229" t="s">
        <v>85</v>
      </c>
      <c r="AI3229" t="s">
        <v>92</v>
      </c>
      <c r="AJ3229">
        <v>19888</v>
      </c>
      <c r="AK3229">
        <v>128777</v>
      </c>
      <c r="AL3229">
        <v>198882</v>
      </c>
    </row>
    <row r="3230" spans="1:38" x14ac:dyDescent="0.25">
      <c r="A3230" t="s">
        <v>181</v>
      </c>
      <c r="B3230" t="s">
        <v>671</v>
      </c>
      <c r="C3230" t="s">
        <v>40</v>
      </c>
      <c r="D3230" s="1">
        <v>43469</v>
      </c>
      <c r="E3230" s="1">
        <v>43833</v>
      </c>
      <c r="F3230" t="s">
        <v>84</v>
      </c>
      <c r="G3230">
        <v>10</v>
      </c>
      <c r="H3230" t="s">
        <v>85</v>
      </c>
      <c r="I3230" t="s">
        <v>43</v>
      </c>
      <c r="J3230" t="s">
        <v>86</v>
      </c>
      <c r="K3230" t="s">
        <v>44</v>
      </c>
      <c r="L3230">
        <v>5550</v>
      </c>
      <c r="M3230" s="1">
        <v>43469</v>
      </c>
      <c r="N3230" t="s">
        <v>45</v>
      </c>
      <c r="O3230" t="s">
        <v>46</v>
      </c>
      <c r="P3230" t="s">
        <v>47</v>
      </c>
      <c r="Q3230" s="1">
        <v>43852</v>
      </c>
      <c r="R3230" t="s">
        <v>48</v>
      </c>
      <c r="S3230" t="s">
        <v>99</v>
      </c>
      <c r="T3230" t="s">
        <v>100</v>
      </c>
      <c r="U3230" t="s">
        <v>85</v>
      </c>
      <c r="V3230">
        <v>210000</v>
      </c>
      <c r="W3230">
        <v>35000</v>
      </c>
      <c r="X3230" s="1">
        <v>43799</v>
      </c>
      <c r="Y3230" t="s">
        <v>51</v>
      </c>
      <c r="Z3230" t="s">
        <v>43</v>
      </c>
      <c r="AA3230" t="s">
        <v>98</v>
      </c>
      <c r="AB3230" t="s">
        <v>89</v>
      </c>
      <c r="AC3230" t="s">
        <v>101</v>
      </c>
      <c r="AF3230" t="s">
        <v>93</v>
      </c>
      <c r="AG3230" s="1">
        <v>43843</v>
      </c>
      <c r="AH3230" t="s">
        <v>85</v>
      </c>
      <c r="AI3230" t="s">
        <v>92</v>
      </c>
      <c r="AJ3230">
        <v>19888</v>
      </c>
      <c r="AK3230">
        <v>128777</v>
      </c>
      <c r="AL3230">
        <v>198882</v>
      </c>
    </row>
    <row r="3231" spans="1:38" x14ac:dyDescent="0.25">
      <c r="A3231" t="s">
        <v>181</v>
      </c>
      <c r="B3231" t="s">
        <v>671</v>
      </c>
      <c r="C3231" t="s">
        <v>40</v>
      </c>
      <c r="D3231" s="1">
        <v>43469</v>
      </c>
      <c r="E3231" s="1">
        <v>43833</v>
      </c>
      <c r="F3231" t="s">
        <v>84</v>
      </c>
      <c r="G3231">
        <v>10</v>
      </c>
      <c r="H3231" t="s">
        <v>85</v>
      </c>
      <c r="I3231" t="s">
        <v>43</v>
      </c>
      <c r="J3231" t="s">
        <v>86</v>
      </c>
      <c r="K3231" t="s">
        <v>44</v>
      </c>
      <c r="L3231">
        <v>5550</v>
      </c>
      <c r="M3231" s="1">
        <v>43469</v>
      </c>
      <c r="N3231" t="s">
        <v>45</v>
      </c>
      <c r="O3231" t="s">
        <v>46</v>
      </c>
      <c r="P3231" t="s">
        <v>47</v>
      </c>
      <c r="Q3231" s="1">
        <v>43852</v>
      </c>
      <c r="R3231" t="s">
        <v>48</v>
      </c>
      <c r="S3231" t="s">
        <v>102</v>
      </c>
      <c r="T3231" t="s">
        <v>103</v>
      </c>
      <c r="U3231" t="s">
        <v>85</v>
      </c>
      <c r="V3231">
        <v>5000000</v>
      </c>
      <c r="W3231">
        <v>250000</v>
      </c>
      <c r="X3231" s="1">
        <v>43799</v>
      </c>
      <c r="Y3231" t="s">
        <v>51</v>
      </c>
      <c r="Z3231" t="s">
        <v>43</v>
      </c>
      <c r="AA3231" t="s">
        <v>86</v>
      </c>
      <c r="AB3231" t="s">
        <v>89</v>
      </c>
      <c r="AC3231" t="s">
        <v>90</v>
      </c>
      <c r="AF3231" t="s">
        <v>91</v>
      </c>
      <c r="AG3231" s="1">
        <v>43852</v>
      </c>
      <c r="AH3231" t="s">
        <v>85</v>
      </c>
      <c r="AI3231" t="s">
        <v>92</v>
      </c>
      <c r="AJ3231">
        <v>19888</v>
      </c>
      <c r="AK3231">
        <v>128777</v>
      </c>
      <c r="AL3231">
        <v>198882</v>
      </c>
    </row>
    <row r="3232" spans="1:38" x14ac:dyDescent="0.25">
      <c r="A3232" t="s">
        <v>181</v>
      </c>
      <c r="B3232" t="s">
        <v>671</v>
      </c>
      <c r="C3232" t="s">
        <v>40</v>
      </c>
      <c r="D3232" s="1">
        <v>43469</v>
      </c>
      <c r="E3232" s="1">
        <v>43833</v>
      </c>
      <c r="F3232" t="s">
        <v>84</v>
      </c>
      <c r="G3232">
        <v>10</v>
      </c>
      <c r="H3232" t="s">
        <v>85</v>
      </c>
      <c r="I3232" t="s">
        <v>43</v>
      </c>
      <c r="J3232" t="s">
        <v>86</v>
      </c>
      <c r="K3232" t="s">
        <v>44</v>
      </c>
      <c r="L3232">
        <v>5550</v>
      </c>
      <c r="M3232" s="1">
        <v>43469</v>
      </c>
      <c r="N3232" t="s">
        <v>45</v>
      </c>
      <c r="O3232" t="s">
        <v>46</v>
      </c>
      <c r="P3232" t="s">
        <v>47</v>
      </c>
      <c r="Q3232" s="1">
        <v>43852</v>
      </c>
      <c r="R3232" t="s">
        <v>48</v>
      </c>
      <c r="S3232" t="s">
        <v>102</v>
      </c>
      <c r="T3232" t="s">
        <v>103</v>
      </c>
      <c r="U3232" t="s">
        <v>85</v>
      </c>
      <c r="V3232">
        <v>5000000</v>
      </c>
      <c r="W3232">
        <v>250000</v>
      </c>
      <c r="X3232" s="1">
        <v>43799</v>
      </c>
      <c r="Y3232" t="s">
        <v>51</v>
      </c>
      <c r="Z3232" t="s">
        <v>43</v>
      </c>
      <c r="AA3232" t="s">
        <v>86</v>
      </c>
      <c r="AB3232" t="s">
        <v>89</v>
      </c>
      <c r="AC3232" t="s">
        <v>90</v>
      </c>
      <c r="AF3232" t="s">
        <v>93</v>
      </c>
      <c r="AG3232" s="1">
        <v>43843</v>
      </c>
      <c r="AH3232" t="s">
        <v>85</v>
      </c>
      <c r="AI3232" t="s">
        <v>92</v>
      </c>
      <c r="AJ3232">
        <v>19888</v>
      </c>
      <c r="AK3232">
        <v>128777</v>
      </c>
      <c r="AL3232">
        <v>198882</v>
      </c>
    </row>
    <row r="3233" spans="1:38" x14ac:dyDescent="0.25">
      <c r="A3233" t="s">
        <v>183</v>
      </c>
      <c r="B3233" t="s">
        <v>672</v>
      </c>
      <c r="C3233" t="s">
        <v>40</v>
      </c>
      <c r="D3233" s="1">
        <v>43716</v>
      </c>
      <c r="E3233" s="1">
        <v>44081</v>
      </c>
      <c r="F3233" t="s">
        <v>77</v>
      </c>
      <c r="G3233">
        <v>13</v>
      </c>
      <c r="H3233" t="s">
        <v>316</v>
      </c>
      <c r="I3233" t="s">
        <v>43</v>
      </c>
      <c r="J3233" t="s">
        <v>77</v>
      </c>
      <c r="K3233" t="s">
        <v>44</v>
      </c>
      <c r="L3233">
        <v>18750</v>
      </c>
      <c r="M3233" s="1">
        <v>43716</v>
      </c>
      <c r="N3233" t="s">
        <v>45</v>
      </c>
      <c r="O3233" t="s">
        <v>46</v>
      </c>
      <c r="P3233" t="s">
        <v>47</v>
      </c>
      <c r="Q3233" s="1">
        <v>43852</v>
      </c>
      <c r="R3233" t="s">
        <v>48</v>
      </c>
    </row>
    <row r="3234" spans="1:38" x14ac:dyDescent="0.25">
      <c r="A3234" t="s">
        <v>185</v>
      </c>
      <c r="B3234">
        <v>41045707</v>
      </c>
      <c r="C3234" t="s">
        <v>40</v>
      </c>
      <c r="D3234" s="1">
        <v>43556</v>
      </c>
      <c r="E3234" s="1">
        <v>43921</v>
      </c>
      <c r="F3234" t="s">
        <v>77</v>
      </c>
      <c r="G3234">
        <v>13</v>
      </c>
      <c r="H3234" t="s">
        <v>316</v>
      </c>
      <c r="I3234" t="s">
        <v>43</v>
      </c>
      <c r="J3234" t="s">
        <v>77</v>
      </c>
      <c r="K3234" t="s">
        <v>127</v>
      </c>
      <c r="L3234">
        <v>74250</v>
      </c>
      <c r="M3234" s="1">
        <v>43556</v>
      </c>
      <c r="N3234" t="s">
        <v>45</v>
      </c>
      <c r="O3234" t="s">
        <v>46</v>
      </c>
      <c r="P3234" t="s">
        <v>47</v>
      </c>
      <c r="Q3234" s="1">
        <v>43852</v>
      </c>
      <c r="R3234" t="s">
        <v>48</v>
      </c>
    </row>
    <row r="3235" spans="1:38" x14ac:dyDescent="0.25">
      <c r="A3235" t="s">
        <v>186</v>
      </c>
      <c r="B3235">
        <v>3000001017</v>
      </c>
      <c r="C3235" t="s">
        <v>40</v>
      </c>
      <c r="D3235" s="1">
        <v>43191</v>
      </c>
      <c r="E3235" s="1">
        <v>43555</v>
      </c>
      <c r="F3235" t="s">
        <v>77</v>
      </c>
      <c r="G3235">
        <v>12</v>
      </c>
      <c r="H3235" t="s">
        <v>155</v>
      </c>
      <c r="I3235" t="s">
        <v>43</v>
      </c>
      <c r="J3235" t="s">
        <v>126</v>
      </c>
      <c r="K3235" t="s">
        <v>44</v>
      </c>
      <c r="L3235">
        <v>48652.25</v>
      </c>
      <c r="M3235" s="1">
        <v>43191</v>
      </c>
      <c r="N3235" t="s">
        <v>45</v>
      </c>
      <c r="O3235" t="s">
        <v>46</v>
      </c>
      <c r="P3235" t="s">
        <v>47</v>
      </c>
      <c r="Q3235" s="1">
        <v>43852</v>
      </c>
      <c r="R3235" t="s">
        <v>48</v>
      </c>
      <c r="S3235" t="s">
        <v>156</v>
      </c>
      <c r="T3235" t="s">
        <v>157</v>
      </c>
      <c r="U3235" t="s">
        <v>155</v>
      </c>
      <c r="V3235">
        <v>500000</v>
      </c>
      <c r="W3235">
        <v>75000</v>
      </c>
      <c r="X3235" s="1">
        <v>43982</v>
      </c>
      <c r="Y3235" t="s">
        <v>51</v>
      </c>
      <c r="Z3235" t="s">
        <v>43</v>
      </c>
      <c r="AA3235" t="s">
        <v>77</v>
      </c>
      <c r="AB3235" t="s">
        <v>158</v>
      </c>
      <c r="AC3235" t="s">
        <v>159</v>
      </c>
      <c r="AF3235" t="s">
        <v>160</v>
      </c>
      <c r="AG3235" s="1">
        <v>43851</v>
      </c>
    </row>
    <row r="3236" spans="1:38" x14ac:dyDescent="0.25">
      <c r="A3236" t="s">
        <v>186</v>
      </c>
      <c r="B3236">
        <v>3000001017</v>
      </c>
      <c r="C3236" t="s">
        <v>40</v>
      </c>
      <c r="D3236" s="1">
        <v>43191</v>
      </c>
      <c r="E3236" s="1">
        <v>43555</v>
      </c>
      <c r="F3236" t="s">
        <v>77</v>
      </c>
      <c r="G3236">
        <v>12</v>
      </c>
      <c r="H3236" t="s">
        <v>155</v>
      </c>
      <c r="I3236" t="s">
        <v>43</v>
      </c>
      <c r="J3236" t="s">
        <v>126</v>
      </c>
      <c r="K3236" t="s">
        <v>44</v>
      </c>
      <c r="L3236">
        <v>48652.25</v>
      </c>
      <c r="M3236" s="1">
        <v>43191</v>
      </c>
      <c r="N3236" t="s">
        <v>45</v>
      </c>
      <c r="O3236" t="s">
        <v>46</v>
      </c>
      <c r="P3236" t="s">
        <v>47</v>
      </c>
      <c r="Q3236" s="1">
        <v>43852</v>
      </c>
      <c r="R3236" t="s">
        <v>48</v>
      </c>
      <c r="S3236" t="s">
        <v>156</v>
      </c>
      <c r="T3236" t="s">
        <v>157</v>
      </c>
      <c r="U3236" t="s">
        <v>155</v>
      </c>
      <c r="V3236">
        <v>500000</v>
      </c>
      <c r="W3236">
        <v>75000</v>
      </c>
      <c r="X3236" s="1">
        <v>43982</v>
      </c>
      <c r="Y3236" t="s">
        <v>51</v>
      </c>
      <c r="Z3236" t="s">
        <v>43</v>
      </c>
      <c r="AA3236" t="s">
        <v>77</v>
      </c>
      <c r="AB3236" t="s">
        <v>158</v>
      </c>
      <c r="AC3236" t="s">
        <v>159</v>
      </c>
      <c r="AF3236" t="s">
        <v>161</v>
      </c>
      <c r="AG3236" s="1">
        <v>43851</v>
      </c>
    </row>
    <row r="3237" spans="1:38" x14ac:dyDescent="0.25">
      <c r="A3237" t="s">
        <v>186</v>
      </c>
      <c r="B3237">
        <v>3000001017</v>
      </c>
      <c r="C3237" t="s">
        <v>40</v>
      </c>
      <c r="D3237" s="1">
        <v>43191</v>
      </c>
      <c r="E3237" s="1">
        <v>43555</v>
      </c>
      <c r="F3237" t="s">
        <v>77</v>
      </c>
      <c r="G3237">
        <v>12</v>
      </c>
      <c r="H3237" t="s">
        <v>155</v>
      </c>
      <c r="I3237" t="s">
        <v>43</v>
      </c>
      <c r="J3237" t="s">
        <v>126</v>
      </c>
      <c r="K3237" t="s">
        <v>44</v>
      </c>
      <c r="L3237">
        <v>48652.25</v>
      </c>
      <c r="M3237" s="1">
        <v>43191</v>
      </c>
      <c r="N3237" t="s">
        <v>45</v>
      </c>
      <c r="O3237" t="s">
        <v>46</v>
      </c>
      <c r="P3237" t="s">
        <v>47</v>
      </c>
      <c r="Q3237" s="1">
        <v>43852</v>
      </c>
      <c r="R3237" t="s">
        <v>48</v>
      </c>
      <c r="S3237" t="s">
        <v>156</v>
      </c>
      <c r="T3237" t="s">
        <v>157</v>
      </c>
      <c r="U3237" t="s">
        <v>155</v>
      </c>
      <c r="V3237">
        <v>500000</v>
      </c>
      <c r="W3237">
        <v>75000</v>
      </c>
      <c r="X3237" s="1">
        <v>43982</v>
      </c>
      <c r="Y3237" t="s">
        <v>51</v>
      </c>
      <c r="Z3237" t="s">
        <v>43</v>
      </c>
      <c r="AA3237" t="s">
        <v>77</v>
      </c>
      <c r="AB3237" t="s">
        <v>158</v>
      </c>
      <c r="AC3237" t="s">
        <v>159</v>
      </c>
      <c r="AF3237" t="s">
        <v>162</v>
      </c>
      <c r="AG3237" s="1">
        <v>43851</v>
      </c>
    </row>
    <row r="3238" spans="1:38" x14ac:dyDescent="0.25">
      <c r="A3238" t="s">
        <v>186</v>
      </c>
      <c r="B3238">
        <v>3000001017</v>
      </c>
      <c r="C3238" t="s">
        <v>40</v>
      </c>
      <c r="D3238" s="1">
        <v>43191</v>
      </c>
      <c r="E3238" s="1">
        <v>43555</v>
      </c>
      <c r="F3238" t="s">
        <v>77</v>
      </c>
      <c r="G3238">
        <v>12</v>
      </c>
      <c r="H3238" t="s">
        <v>155</v>
      </c>
      <c r="I3238" t="s">
        <v>43</v>
      </c>
      <c r="J3238" t="s">
        <v>126</v>
      </c>
      <c r="K3238" t="s">
        <v>44</v>
      </c>
      <c r="L3238">
        <v>48652.25</v>
      </c>
      <c r="M3238" s="1">
        <v>43191</v>
      </c>
      <c r="N3238" t="s">
        <v>45</v>
      </c>
      <c r="O3238" t="s">
        <v>46</v>
      </c>
      <c r="P3238" t="s">
        <v>47</v>
      </c>
      <c r="Q3238" s="1">
        <v>43852</v>
      </c>
      <c r="R3238" t="s">
        <v>48</v>
      </c>
      <c r="S3238" t="s">
        <v>156</v>
      </c>
      <c r="T3238" t="s">
        <v>157</v>
      </c>
      <c r="U3238" t="s">
        <v>155</v>
      </c>
      <c r="V3238">
        <v>500000</v>
      </c>
      <c r="W3238">
        <v>75000</v>
      </c>
      <c r="X3238" s="1">
        <v>43982</v>
      </c>
      <c r="Y3238" t="s">
        <v>51</v>
      </c>
      <c r="Z3238" t="s">
        <v>43</v>
      </c>
      <c r="AA3238" t="s">
        <v>77</v>
      </c>
      <c r="AB3238" t="s">
        <v>158</v>
      </c>
      <c r="AC3238" t="s">
        <v>159</v>
      </c>
      <c r="AF3238" t="s">
        <v>163</v>
      </c>
      <c r="AG3238" s="1">
        <v>43852</v>
      </c>
    </row>
    <row r="3239" spans="1:38" x14ac:dyDescent="0.25">
      <c r="A3239" t="s">
        <v>186</v>
      </c>
      <c r="B3239">
        <v>3000001017</v>
      </c>
      <c r="C3239" t="s">
        <v>40</v>
      </c>
      <c r="D3239" s="1">
        <v>43191</v>
      </c>
      <c r="E3239" s="1">
        <v>43555</v>
      </c>
      <c r="F3239" t="s">
        <v>77</v>
      </c>
      <c r="G3239">
        <v>12</v>
      </c>
      <c r="H3239" t="s">
        <v>155</v>
      </c>
      <c r="I3239" t="s">
        <v>43</v>
      </c>
      <c r="J3239" t="s">
        <v>126</v>
      </c>
      <c r="K3239" t="s">
        <v>44</v>
      </c>
      <c r="L3239">
        <v>48652.25</v>
      </c>
      <c r="M3239" s="1">
        <v>43191</v>
      </c>
      <c r="N3239" t="s">
        <v>45</v>
      </c>
      <c r="O3239" t="s">
        <v>46</v>
      </c>
      <c r="P3239" t="s">
        <v>47</v>
      </c>
      <c r="Q3239" s="1">
        <v>43852</v>
      </c>
      <c r="R3239" t="s">
        <v>48</v>
      </c>
      <c r="S3239" t="s">
        <v>164</v>
      </c>
      <c r="T3239" t="s">
        <v>165</v>
      </c>
      <c r="U3239" t="s">
        <v>155</v>
      </c>
      <c r="V3239">
        <v>0</v>
      </c>
      <c r="W3239">
        <v>50000</v>
      </c>
      <c r="X3239" s="1">
        <v>43921</v>
      </c>
      <c r="Y3239" t="s">
        <v>51</v>
      </c>
      <c r="Z3239" t="s">
        <v>43</v>
      </c>
      <c r="AA3239" t="s">
        <v>77</v>
      </c>
      <c r="AB3239" t="s">
        <v>158</v>
      </c>
      <c r="AC3239" t="s">
        <v>166</v>
      </c>
      <c r="AF3239" t="s">
        <v>160</v>
      </c>
      <c r="AG3239" s="1">
        <v>43851</v>
      </c>
    </row>
    <row r="3240" spans="1:38" x14ac:dyDescent="0.25">
      <c r="A3240" t="s">
        <v>186</v>
      </c>
      <c r="B3240">
        <v>3000001017</v>
      </c>
      <c r="C3240" t="s">
        <v>40</v>
      </c>
      <c r="D3240" s="1">
        <v>43191</v>
      </c>
      <c r="E3240" s="1">
        <v>43555</v>
      </c>
      <c r="F3240" t="s">
        <v>77</v>
      </c>
      <c r="G3240">
        <v>12</v>
      </c>
      <c r="H3240" t="s">
        <v>155</v>
      </c>
      <c r="I3240" t="s">
        <v>43</v>
      </c>
      <c r="J3240" t="s">
        <v>126</v>
      </c>
      <c r="K3240" t="s">
        <v>44</v>
      </c>
      <c r="L3240">
        <v>48652.25</v>
      </c>
      <c r="M3240" s="1">
        <v>43191</v>
      </c>
      <c r="N3240" t="s">
        <v>45</v>
      </c>
      <c r="O3240" t="s">
        <v>46</v>
      </c>
      <c r="P3240" t="s">
        <v>47</v>
      </c>
      <c r="Q3240" s="1">
        <v>43852</v>
      </c>
      <c r="R3240" t="s">
        <v>48</v>
      </c>
      <c r="S3240" t="s">
        <v>164</v>
      </c>
      <c r="T3240" t="s">
        <v>165</v>
      </c>
      <c r="U3240" t="s">
        <v>155</v>
      </c>
      <c r="V3240">
        <v>0</v>
      </c>
      <c r="W3240">
        <v>50000</v>
      </c>
      <c r="X3240" s="1">
        <v>43921</v>
      </c>
      <c r="Y3240" t="s">
        <v>51</v>
      </c>
      <c r="Z3240" t="s">
        <v>43</v>
      </c>
      <c r="AA3240" t="s">
        <v>77</v>
      </c>
      <c r="AB3240" t="s">
        <v>158</v>
      </c>
      <c r="AC3240" t="s">
        <v>166</v>
      </c>
      <c r="AF3240" t="s">
        <v>161</v>
      </c>
      <c r="AG3240" s="1">
        <v>43851</v>
      </c>
    </row>
    <row r="3241" spans="1:38" x14ac:dyDescent="0.25">
      <c r="A3241" t="s">
        <v>186</v>
      </c>
      <c r="B3241">
        <v>3000001017</v>
      </c>
      <c r="C3241" t="s">
        <v>40</v>
      </c>
      <c r="D3241" s="1">
        <v>43191</v>
      </c>
      <c r="E3241" s="1">
        <v>43555</v>
      </c>
      <c r="F3241" t="s">
        <v>77</v>
      </c>
      <c r="G3241">
        <v>12</v>
      </c>
      <c r="H3241" t="s">
        <v>155</v>
      </c>
      <c r="I3241" t="s">
        <v>43</v>
      </c>
      <c r="J3241" t="s">
        <v>126</v>
      </c>
      <c r="K3241" t="s">
        <v>44</v>
      </c>
      <c r="L3241">
        <v>48652.25</v>
      </c>
      <c r="M3241" s="1">
        <v>43191</v>
      </c>
      <c r="N3241" t="s">
        <v>45</v>
      </c>
      <c r="O3241" t="s">
        <v>46</v>
      </c>
      <c r="P3241" t="s">
        <v>47</v>
      </c>
      <c r="Q3241" s="1">
        <v>43852</v>
      </c>
      <c r="R3241" t="s">
        <v>48</v>
      </c>
      <c r="S3241" t="s">
        <v>164</v>
      </c>
      <c r="T3241" t="s">
        <v>165</v>
      </c>
      <c r="U3241" t="s">
        <v>155</v>
      </c>
      <c r="V3241">
        <v>0</v>
      </c>
      <c r="W3241">
        <v>50000</v>
      </c>
      <c r="X3241" s="1">
        <v>43921</v>
      </c>
      <c r="Y3241" t="s">
        <v>51</v>
      </c>
      <c r="Z3241" t="s">
        <v>43</v>
      </c>
      <c r="AA3241" t="s">
        <v>77</v>
      </c>
      <c r="AB3241" t="s">
        <v>158</v>
      </c>
      <c r="AC3241" t="s">
        <v>166</v>
      </c>
      <c r="AF3241" t="s">
        <v>162</v>
      </c>
      <c r="AG3241" s="1">
        <v>43851</v>
      </c>
    </row>
    <row r="3242" spans="1:38" x14ac:dyDescent="0.25">
      <c r="A3242" t="s">
        <v>186</v>
      </c>
      <c r="B3242">
        <v>3000001017</v>
      </c>
      <c r="C3242" t="s">
        <v>40</v>
      </c>
      <c r="D3242" s="1">
        <v>43191</v>
      </c>
      <c r="E3242" s="1">
        <v>43555</v>
      </c>
      <c r="F3242" t="s">
        <v>77</v>
      </c>
      <c r="G3242">
        <v>12</v>
      </c>
      <c r="H3242" t="s">
        <v>155</v>
      </c>
      <c r="I3242" t="s">
        <v>43</v>
      </c>
      <c r="J3242" t="s">
        <v>126</v>
      </c>
      <c r="K3242" t="s">
        <v>44</v>
      </c>
      <c r="L3242">
        <v>48652.25</v>
      </c>
      <c r="M3242" s="1">
        <v>43191</v>
      </c>
      <c r="N3242" t="s">
        <v>45</v>
      </c>
      <c r="O3242" t="s">
        <v>46</v>
      </c>
      <c r="P3242" t="s">
        <v>47</v>
      </c>
      <c r="Q3242" s="1">
        <v>43852</v>
      </c>
      <c r="R3242" t="s">
        <v>48</v>
      </c>
      <c r="S3242" t="s">
        <v>164</v>
      </c>
      <c r="T3242" t="s">
        <v>165</v>
      </c>
      <c r="U3242" t="s">
        <v>155</v>
      </c>
      <c r="V3242">
        <v>0</v>
      </c>
      <c r="W3242">
        <v>50000</v>
      </c>
      <c r="X3242" s="1">
        <v>43921</v>
      </c>
      <c r="Y3242" t="s">
        <v>51</v>
      </c>
      <c r="Z3242" t="s">
        <v>43</v>
      </c>
      <c r="AA3242" t="s">
        <v>77</v>
      </c>
      <c r="AB3242" t="s">
        <v>158</v>
      </c>
      <c r="AC3242" t="s">
        <v>166</v>
      </c>
      <c r="AF3242" t="s">
        <v>163</v>
      </c>
      <c r="AG3242" s="1">
        <v>43852</v>
      </c>
    </row>
    <row r="3243" spans="1:38" x14ac:dyDescent="0.25">
      <c r="A3243" t="s">
        <v>188</v>
      </c>
      <c r="B3243" s="2">
        <v>3.1142E+18</v>
      </c>
      <c r="C3243" t="s">
        <v>40</v>
      </c>
      <c r="D3243" s="1">
        <v>43703</v>
      </c>
      <c r="E3243" s="1">
        <v>44068</v>
      </c>
      <c r="F3243" t="s">
        <v>76</v>
      </c>
      <c r="G3243">
        <v>3</v>
      </c>
      <c r="H3243" t="s">
        <v>125</v>
      </c>
      <c r="I3243" t="s">
        <v>43</v>
      </c>
      <c r="J3243" t="s">
        <v>126</v>
      </c>
      <c r="K3243" t="s">
        <v>127</v>
      </c>
      <c r="L3243">
        <v>1501.88</v>
      </c>
      <c r="M3243" s="1">
        <v>43703</v>
      </c>
      <c r="N3243" t="s">
        <v>45</v>
      </c>
      <c r="O3243" t="s">
        <v>46</v>
      </c>
      <c r="P3243" t="s">
        <v>47</v>
      </c>
      <c r="Q3243" s="1">
        <v>43852</v>
      </c>
      <c r="R3243" t="s">
        <v>48</v>
      </c>
    </row>
    <row r="3244" spans="1:38" x14ac:dyDescent="0.25">
      <c r="A3244" t="s">
        <v>189</v>
      </c>
      <c r="B3244" t="s">
        <v>673</v>
      </c>
      <c r="C3244" t="s">
        <v>40</v>
      </c>
      <c r="D3244" s="1">
        <v>43466</v>
      </c>
      <c r="E3244" s="1">
        <v>43830</v>
      </c>
      <c r="F3244" t="s">
        <v>41</v>
      </c>
      <c r="G3244">
        <v>3</v>
      </c>
      <c r="H3244" t="s">
        <v>125</v>
      </c>
      <c r="I3244" t="s">
        <v>43</v>
      </c>
      <c r="J3244" t="s">
        <v>126</v>
      </c>
      <c r="K3244" t="s">
        <v>127</v>
      </c>
      <c r="L3244">
        <v>21157.34</v>
      </c>
      <c r="M3244" s="1">
        <v>43466</v>
      </c>
      <c r="N3244" t="s">
        <v>45</v>
      </c>
      <c r="O3244" t="s">
        <v>46</v>
      </c>
      <c r="P3244" t="s">
        <v>47</v>
      </c>
      <c r="Q3244" s="1">
        <v>43852</v>
      </c>
      <c r="R3244" t="s">
        <v>48</v>
      </c>
      <c r="S3244" t="s">
        <v>41</v>
      </c>
      <c r="T3244" t="s">
        <v>130</v>
      </c>
      <c r="U3244" t="s">
        <v>125</v>
      </c>
      <c r="V3244">
        <v>0</v>
      </c>
      <c r="W3244">
        <v>100000</v>
      </c>
      <c r="X3244" s="1">
        <v>43769</v>
      </c>
      <c r="Y3244" t="s">
        <v>131</v>
      </c>
      <c r="Z3244" t="s">
        <v>43</v>
      </c>
      <c r="AA3244" t="s">
        <v>41</v>
      </c>
      <c r="AB3244" t="s">
        <v>132</v>
      </c>
      <c r="AC3244" t="s">
        <v>133</v>
      </c>
      <c r="AF3244" t="s">
        <v>134</v>
      </c>
      <c r="AG3244" s="1">
        <v>43843</v>
      </c>
      <c r="AH3244" t="s">
        <v>125</v>
      </c>
      <c r="AI3244" t="s">
        <v>92</v>
      </c>
      <c r="AJ3244">
        <v>1278023</v>
      </c>
      <c r="AK3244">
        <v>12365300</v>
      </c>
      <c r="AL3244">
        <v>12900</v>
      </c>
    </row>
    <row r="3245" spans="1:38" x14ac:dyDescent="0.25">
      <c r="A3245" t="s">
        <v>189</v>
      </c>
      <c r="B3245" t="s">
        <v>673</v>
      </c>
      <c r="C3245" t="s">
        <v>40</v>
      </c>
      <c r="D3245" s="1">
        <v>43466</v>
      </c>
      <c r="E3245" s="1">
        <v>43830</v>
      </c>
      <c r="F3245" t="s">
        <v>41</v>
      </c>
      <c r="G3245">
        <v>3</v>
      </c>
      <c r="H3245" t="s">
        <v>125</v>
      </c>
      <c r="I3245" t="s">
        <v>43</v>
      </c>
      <c r="J3245" t="s">
        <v>126</v>
      </c>
      <c r="K3245" t="s">
        <v>127</v>
      </c>
      <c r="L3245">
        <v>21157.34</v>
      </c>
      <c r="M3245" s="1">
        <v>43466</v>
      </c>
      <c r="N3245" t="s">
        <v>45</v>
      </c>
      <c r="O3245" t="s">
        <v>46</v>
      </c>
      <c r="P3245" t="s">
        <v>47</v>
      </c>
      <c r="Q3245" s="1">
        <v>43852</v>
      </c>
      <c r="R3245" t="s">
        <v>48</v>
      </c>
      <c r="S3245" t="s">
        <v>41</v>
      </c>
      <c r="T3245" t="s">
        <v>130</v>
      </c>
      <c r="U3245" t="s">
        <v>125</v>
      </c>
      <c r="V3245">
        <v>0</v>
      </c>
      <c r="W3245">
        <v>100000</v>
      </c>
      <c r="X3245" s="1">
        <v>43769</v>
      </c>
      <c r="Y3245" t="s">
        <v>131</v>
      </c>
      <c r="Z3245" t="s">
        <v>43</v>
      </c>
      <c r="AA3245" t="s">
        <v>41</v>
      </c>
      <c r="AB3245" t="s">
        <v>132</v>
      </c>
      <c r="AC3245" t="s">
        <v>133</v>
      </c>
      <c r="AF3245" t="s">
        <v>135</v>
      </c>
      <c r="AG3245" s="1">
        <v>43843</v>
      </c>
      <c r="AH3245" t="s">
        <v>125</v>
      </c>
      <c r="AI3245" t="s">
        <v>92</v>
      </c>
      <c r="AJ3245">
        <v>1278023</v>
      </c>
      <c r="AK3245">
        <v>12365300</v>
      </c>
      <c r="AL3245">
        <v>12900</v>
      </c>
    </row>
    <row r="3246" spans="1:38" x14ac:dyDescent="0.25">
      <c r="A3246" t="s">
        <v>189</v>
      </c>
      <c r="B3246" t="s">
        <v>673</v>
      </c>
      <c r="C3246" t="s">
        <v>40</v>
      </c>
      <c r="D3246" s="1">
        <v>43466</v>
      </c>
      <c r="E3246" s="1">
        <v>43830</v>
      </c>
      <c r="F3246" t="s">
        <v>41</v>
      </c>
      <c r="G3246">
        <v>3</v>
      </c>
      <c r="H3246" t="s">
        <v>125</v>
      </c>
      <c r="I3246" t="s">
        <v>43</v>
      </c>
      <c r="J3246" t="s">
        <v>126</v>
      </c>
      <c r="K3246" t="s">
        <v>127</v>
      </c>
      <c r="L3246">
        <v>21157.34</v>
      </c>
      <c r="M3246" s="1">
        <v>43466</v>
      </c>
      <c r="N3246" t="s">
        <v>45</v>
      </c>
      <c r="O3246" t="s">
        <v>46</v>
      </c>
      <c r="P3246" t="s">
        <v>47</v>
      </c>
      <c r="Q3246" s="1">
        <v>43852</v>
      </c>
      <c r="R3246" t="s">
        <v>48</v>
      </c>
      <c r="S3246" t="s">
        <v>41</v>
      </c>
      <c r="T3246" t="s">
        <v>130</v>
      </c>
      <c r="U3246" t="s">
        <v>125</v>
      </c>
      <c r="V3246">
        <v>0</v>
      </c>
      <c r="W3246">
        <v>100000</v>
      </c>
      <c r="X3246" s="1">
        <v>43769</v>
      </c>
      <c r="Y3246" t="s">
        <v>131</v>
      </c>
      <c r="Z3246" t="s">
        <v>43</v>
      </c>
      <c r="AA3246" t="s">
        <v>41</v>
      </c>
      <c r="AB3246" t="s">
        <v>132</v>
      </c>
      <c r="AC3246" t="s">
        <v>133</v>
      </c>
      <c r="AF3246" t="s">
        <v>136</v>
      </c>
      <c r="AG3246" s="1">
        <v>43839</v>
      </c>
      <c r="AH3246" t="s">
        <v>125</v>
      </c>
      <c r="AI3246" t="s">
        <v>92</v>
      </c>
      <c r="AJ3246">
        <v>1278023</v>
      </c>
      <c r="AK3246">
        <v>12365300</v>
      </c>
      <c r="AL3246">
        <v>12900</v>
      </c>
    </row>
    <row r="3247" spans="1:38" x14ac:dyDescent="0.25">
      <c r="A3247" t="s">
        <v>189</v>
      </c>
      <c r="B3247" t="s">
        <v>673</v>
      </c>
      <c r="C3247" t="s">
        <v>40</v>
      </c>
      <c r="D3247" s="1">
        <v>43466</v>
      </c>
      <c r="E3247" s="1">
        <v>43830</v>
      </c>
      <c r="F3247" t="s">
        <v>41</v>
      </c>
      <c r="G3247">
        <v>3</v>
      </c>
      <c r="H3247" t="s">
        <v>125</v>
      </c>
      <c r="I3247" t="s">
        <v>43</v>
      </c>
      <c r="J3247" t="s">
        <v>126</v>
      </c>
      <c r="K3247" t="s">
        <v>127</v>
      </c>
      <c r="L3247">
        <v>21157.34</v>
      </c>
      <c r="M3247" s="1">
        <v>43466</v>
      </c>
      <c r="N3247" t="s">
        <v>45</v>
      </c>
      <c r="O3247" t="s">
        <v>46</v>
      </c>
      <c r="P3247" t="s">
        <v>47</v>
      </c>
      <c r="Q3247" s="1">
        <v>43852</v>
      </c>
      <c r="R3247" t="s">
        <v>48</v>
      </c>
      <c r="S3247" t="s">
        <v>41</v>
      </c>
      <c r="T3247" t="s">
        <v>130</v>
      </c>
      <c r="U3247" t="s">
        <v>125</v>
      </c>
      <c r="V3247">
        <v>0</v>
      </c>
      <c r="W3247">
        <v>100000</v>
      </c>
      <c r="X3247" s="1">
        <v>43769</v>
      </c>
      <c r="Y3247" t="s">
        <v>131</v>
      </c>
      <c r="Z3247" t="s">
        <v>43</v>
      </c>
      <c r="AA3247" t="s">
        <v>41</v>
      </c>
      <c r="AB3247" t="s">
        <v>132</v>
      </c>
      <c r="AC3247" t="s">
        <v>133</v>
      </c>
      <c r="AF3247" t="s">
        <v>137</v>
      </c>
      <c r="AG3247" s="1">
        <v>43840</v>
      </c>
      <c r="AH3247" t="s">
        <v>125</v>
      </c>
      <c r="AI3247" t="s">
        <v>92</v>
      </c>
      <c r="AJ3247">
        <v>1278023</v>
      </c>
      <c r="AK3247">
        <v>12365300</v>
      </c>
      <c r="AL3247">
        <v>12900</v>
      </c>
    </row>
    <row r="3248" spans="1:38" x14ac:dyDescent="0.25">
      <c r="A3248" t="s">
        <v>189</v>
      </c>
      <c r="B3248" t="s">
        <v>673</v>
      </c>
      <c r="C3248" t="s">
        <v>40</v>
      </c>
      <c r="D3248" s="1">
        <v>43466</v>
      </c>
      <c r="E3248" s="1">
        <v>43830</v>
      </c>
      <c r="F3248" t="s">
        <v>41</v>
      </c>
      <c r="G3248">
        <v>3</v>
      </c>
      <c r="H3248" t="s">
        <v>125</v>
      </c>
      <c r="I3248" t="s">
        <v>43</v>
      </c>
      <c r="J3248" t="s">
        <v>126</v>
      </c>
      <c r="K3248" t="s">
        <v>127</v>
      </c>
      <c r="L3248">
        <v>21157.34</v>
      </c>
      <c r="M3248" s="1">
        <v>43466</v>
      </c>
      <c r="N3248" t="s">
        <v>45</v>
      </c>
      <c r="O3248" t="s">
        <v>46</v>
      </c>
      <c r="P3248" t="s">
        <v>47</v>
      </c>
      <c r="Q3248" s="1">
        <v>43852</v>
      </c>
      <c r="R3248" t="s">
        <v>48</v>
      </c>
      <c r="S3248" t="s">
        <v>138</v>
      </c>
      <c r="T3248" t="s">
        <v>139</v>
      </c>
      <c r="U3248" t="s">
        <v>125</v>
      </c>
      <c r="V3248">
        <v>0</v>
      </c>
      <c r="W3248">
        <v>10000</v>
      </c>
      <c r="X3248" s="1">
        <v>43738</v>
      </c>
      <c r="Y3248" t="s">
        <v>140</v>
      </c>
      <c r="Z3248" t="s">
        <v>43</v>
      </c>
      <c r="AA3248" t="s">
        <v>41</v>
      </c>
      <c r="AB3248" t="s">
        <v>132</v>
      </c>
      <c r="AC3248" t="s">
        <v>132</v>
      </c>
      <c r="AF3248" t="s">
        <v>134</v>
      </c>
      <c r="AG3248" s="1">
        <v>43843</v>
      </c>
      <c r="AH3248" t="s">
        <v>125</v>
      </c>
      <c r="AI3248" t="s">
        <v>92</v>
      </c>
      <c r="AJ3248">
        <v>1278023</v>
      </c>
      <c r="AK3248">
        <v>12365300</v>
      </c>
      <c r="AL3248">
        <v>12900</v>
      </c>
    </row>
    <row r="3249" spans="1:38" x14ac:dyDescent="0.25">
      <c r="A3249" t="s">
        <v>189</v>
      </c>
      <c r="B3249" t="s">
        <v>673</v>
      </c>
      <c r="C3249" t="s">
        <v>40</v>
      </c>
      <c r="D3249" s="1">
        <v>43466</v>
      </c>
      <c r="E3249" s="1">
        <v>43830</v>
      </c>
      <c r="F3249" t="s">
        <v>41</v>
      </c>
      <c r="G3249">
        <v>3</v>
      </c>
      <c r="H3249" t="s">
        <v>125</v>
      </c>
      <c r="I3249" t="s">
        <v>43</v>
      </c>
      <c r="J3249" t="s">
        <v>126</v>
      </c>
      <c r="K3249" t="s">
        <v>127</v>
      </c>
      <c r="L3249">
        <v>21157.34</v>
      </c>
      <c r="M3249" s="1">
        <v>43466</v>
      </c>
      <c r="N3249" t="s">
        <v>45</v>
      </c>
      <c r="O3249" t="s">
        <v>46</v>
      </c>
      <c r="P3249" t="s">
        <v>47</v>
      </c>
      <c r="Q3249" s="1">
        <v>43852</v>
      </c>
      <c r="R3249" t="s">
        <v>48</v>
      </c>
      <c r="S3249" t="s">
        <v>138</v>
      </c>
      <c r="T3249" t="s">
        <v>139</v>
      </c>
      <c r="U3249" t="s">
        <v>125</v>
      </c>
      <c r="V3249">
        <v>0</v>
      </c>
      <c r="W3249">
        <v>10000</v>
      </c>
      <c r="X3249" s="1">
        <v>43738</v>
      </c>
      <c r="Y3249" t="s">
        <v>140</v>
      </c>
      <c r="Z3249" t="s">
        <v>43</v>
      </c>
      <c r="AA3249" t="s">
        <v>41</v>
      </c>
      <c r="AB3249" t="s">
        <v>132</v>
      </c>
      <c r="AC3249" t="s">
        <v>132</v>
      </c>
      <c r="AF3249" t="s">
        <v>135</v>
      </c>
      <c r="AG3249" s="1">
        <v>43843</v>
      </c>
      <c r="AH3249" t="s">
        <v>125</v>
      </c>
      <c r="AI3249" t="s">
        <v>92</v>
      </c>
      <c r="AJ3249">
        <v>1278023</v>
      </c>
      <c r="AK3249">
        <v>12365300</v>
      </c>
      <c r="AL3249">
        <v>12900</v>
      </c>
    </row>
    <row r="3250" spans="1:38" x14ac:dyDescent="0.25">
      <c r="A3250" t="s">
        <v>189</v>
      </c>
      <c r="B3250" t="s">
        <v>673</v>
      </c>
      <c r="C3250" t="s">
        <v>40</v>
      </c>
      <c r="D3250" s="1">
        <v>43466</v>
      </c>
      <c r="E3250" s="1">
        <v>43830</v>
      </c>
      <c r="F3250" t="s">
        <v>41</v>
      </c>
      <c r="G3250">
        <v>3</v>
      </c>
      <c r="H3250" t="s">
        <v>125</v>
      </c>
      <c r="I3250" t="s">
        <v>43</v>
      </c>
      <c r="J3250" t="s">
        <v>126</v>
      </c>
      <c r="K3250" t="s">
        <v>127</v>
      </c>
      <c r="L3250">
        <v>21157.34</v>
      </c>
      <c r="M3250" s="1">
        <v>43466</v>
      </c>
      <c r="N3250" t="s">
        <v>45</v>
      </c>
      <c r="O3250" t="s">
        <v>46</v>
      </c>
      <c r="P3250" t="s">
        <v>47</v>
      </c>
      <c r="Q3250" s="1">
        <v>43852</v>
      </c>
      <c r="R3250" t="s">
        <v>48</v>
      </c>
      <c r="S3250" t="s">
        <v>138</v>
      </c>
      <c r="T3250" t="s">
        <v>139</v>
      </c>
      <c r="U3250" t="s">
        <v>125</v>
      </c>
      <c r="V3250">
        <v>0</v>
      </c>
      <c r="W3250">
        <v>10000</v>
      </c>
      <c r="X3250" s="1">
        <v>43738</v>
      </c>
      <c r="Y3250" t="s">
        <v>140</v>
      </c>
      <c r="Z3250" t="s">
        <v>43</v>
      </c>
      <c r="AA3250" t="s">
        <v>41</v>
      </c>
      <c r="AB3250" t="s">
        <v>132</v>
      </c>
      <c r="AC3250" t="s">
        <v>132</v>
      </c>
      <c r="AF3250" t="s">
        <v>136</v>
      </c>
      <c r="AG3250" s="1">
        <v>43839</v>
      </c>
      <c r="AH3250" t="s">
        <v>125</v>
      </c>
      <c r="AI3250" t="s">
        <v>92</v>
      </c>
      <c r="AJ3250">
        <v>1278023</v>
      </c>
      <c r="AK3250">
        <v>12365300</v>
      </c>
      <c r="AL3250">
        <v>12900</v>
      </c>
    </row>
    <row r="3251" spans="1:38" x14ac:dyDescent="0.25">
      <c r="A3251" t="s">
        <v>189</v>
      </c>
      <c r="B3251" t="s">
        <v>673</v>
      </c>
      <c r="C3251" t="s">
        <v>40</v>
      </c>
      <c r="D3251" s="1">
        <v>43466</v>
      </c>
      <c r="E3251" s="1">
        <v>43830</v>
      </c>
      <c r="F3251" t="s">
        <v>41</v>
      </c>
      <c r="G3251">
        <v>3</v>
      </c>
      <c r="H3251" t="s">
        <v>125</v>
      </c>
      <c r="I3251" t="s">
        <v>43</v>
      </c>
      <c r="J3251" t="s">
        <v>126</v>
      </c>
      <c r="K3251" t="s">
        <v>127</v>
      </c>
      <c r="L3251">
        <v>21157.34</v>
      </c>
      <c r="M3251" s="1">
        <v>43466</v>
      </c>
      <c r="N3251" t="s">
        <v>45</v>
      </c>
      <c r="O3251" t="s">
        <v>46</v>
      </c>
      <c r="P3251" t="s">
        <v>47</v>
      </c>
      <c r="Q3251" s="1">
        <v>43852</v>
      </c>
      <c r="R3251" t="s">
        <v>48</v>
      </c>
      <c r="S3251" t="s">
        <v>138</v>
      </c>
      <c r="T3251" t="s">
        <v>139</v>
      </c>
      <c r="U3251" t="s">
        <v>125</v>
      </c>
      <c r="V3251">
        <v>0</v>
      </c>
      <c r="W3251">
        <v>10000</v>
      </c>
      <c r="X3251" s="1">
        <v>43738</v>
      </c>
      <c r="Y3251" t="s">
        <v>140</v>
      </c>
      <c r="Z3251" t="s">
        <v>43</v>
      </c>
      <c r="AA3251" t="s">
        <v>41</v>
      </c>
      <c r="AB3251" t="s">
        <v>132</v>
      </c>
      <c r="AC3251" t="s">
        <v>132</v>
      </c>
      <c r="AF3251" t="s">
        <v>137</v>
      </c>
      <c r="AG3251" s="1">
        <v>43840</v>
      </c>
      <c r="AH3251" t="s">
        <v>125</v>
      </c>
      <c r="AI3251" t="s">
        <v>92</v>
      </c>
      <c r="AJ3251">
        <v>1278023</v>
      </c>
      <c r="AK3251">
        <v>12365300</v>
      </c>
      <c r="AL3251">
        <v>12900</v>
      </c>
    </row>
    <row r="3252" spans="1:38" x14ac:dyDescent="0.25">
      <c r="A3252" t="s">
        <v>191</v>
      </c>
      <c r="B3252" t="s">
        <v>674</v>
      </c>
      <c r="C3252" t="s">
        <v>40</v>
      </c>
      <c r="D3252" s="1">
        <v>43466</v>
      </c>
      <c r="E3252" s="1">
        <v>43830</v>
      </c>
      <c r="F3252" t="s">
        <v>77</v>
      </c>
      <c r="G3252">
        <v>3</v>
      </c>
      <c r="H3252" t="s">
        <v>125</v>
      </c>
      <c r="I3252" t="s">
        <v>43</v>
      </c>
      <c r="J3252" t="s">
        <v>126</v>
      </c>
      <c r="K3252" t="s">
        <v>127</v>
      </c>
      <c r="L3252">
        <v>12019.2</v>
      </c>
      <c r="M3252" s="1">
        <v>43466</v>
      </c>
      <c r="N3252" t="s">
        <v>45</v>
      </c>
      <c r="O3252" t="s">
        <v>46</v>
      </c>
      <c r="P3252" t="s">
        <v>47</v>
      </c>
      <c r="Q3252" s="1">
        <v>43852</v>
      </c>
      <c r="R3252" t="s">
        <v>48</v>
      </c>
    </row>
    <row r="3253" spans="1:38" x14ac:dyDescent="0.25">
      <c r="A3253" t="s">
        <v>193</v>
      </c>
      <c r="B3253" t="s">
        <v>675</v>
      </c>
      <c r="C3253" t="s">
        <v>40</v>
      </c>
      <c r="D3253" s="1">
        <v>43334</v>
      </c>
      <c r="E3253" s="1">
        <v>43698</v>
      </c>
      <c r="F3253" t="s">
        <v>72</v>
      </c>
      <c r="G3253">
        <v>3</v>
      </c>
      <c r="H3253" t="s">
        <v>125</v>
      </c>
      <c r="I3253" t="s">
        <v>43</v>
      </c>
      <c r="J3253" t="s">
        <v>126</v>
      </c>
      <c r="K3253" t="s">
        <v>44</v>
      </c>
      <c r="L3253">
        <v>7324.12</v>
      </c>
      <c r="M3253" s="1">
        <v>43334</v>
      </c>
      <c r="N3253" t="s">
        <v>45</v>
      </c>
      <c r="O3253" t="s">
        <v>46</v>
      </c>
      <c r="P3253" t="s">
        <v>47</v>
      </c>
      <c r="Q3253" s="1">
        <v>43852</v>
      </c>
      <c r="R3253" t="s">
        <v>48</v>
      </c>
      <c r="S3253" t="s">
        <v>266</v>
      </c>
      <c r="T3253" t="s">
        <v>267</v>
      </c>
      <c r="U3253" t="s">
        <v>125</v>
      </c>
      <c r="V3253">
        <v>700000</v>
      </c>
      <c r="W3253">
        <v>100000</v>
      </c>
      <c r="X3253" s="1">
        <v>43830</v>
      </c>
      <c r="Y3253" t="s">
        <v>51</v>
      </c>
      <c r="Z3253" t="s">
        <v>43</v>
      </c>
      <c r="AA3253" t="s">
        <v>115</v>
      </c>
      <c r="AB3253" t="s">
        <v>268</v>
      </c>
      <c r="AC3253" t="s">
        <v>269</v>
      </c>
      <c r="AF3253" t="s">
        <v>134</v>
      </c>
      <c r="AG3253" s="1">
        <v>43843</v>
      </c>
      <c r="AH3253" t="s">
        <v>125</v>
      </c>
      <c r="AI3253" t="s">
        <v>92</v>
      </c>
      <c r="AJ3253">
        <v>1278023</v>
      </c>
      <c r="AK3253">
        <v>12365300</v>
      </c>
      <c r="AL3253">
        <v>12900</v>
      </c>
    </row>
    <row r="3254" spans="1:38" x14ac:dyDescent="0.25">
      <c r="A3254" t="s">
        <v>193</v>
      </c>
      <c r="B3254" t="s">
        <v>675</v>
      </c>
      <c r="C3254" t="s">
        <v>40</v>
      </c>
      <c r="D3254" s="1">
        <v>43334</v>
      </c>
      <c r="E3254" s="1">
        <v>43698</v>
      </c>
      <c r="F3254" t="s">
        <v>72</v>
      </c>
      <c r="G3254">
        <v>3</v>
      </c>
      <c r="H3254" t="s">
        <v>125</v>
      </c>
      <c r="I3254" t="s">
        <v>43</v>
      </c>
      <c r="J3254" t="s">
        <v>126</v>
      </c>
      <c r="K3254" t="s">
        <v>44</v>
      </c>
      <c r="L3254">
        <v>7324.12</v>
      </c>
      <c r="M3254" s="1">
        <v>43334</v>
      </c>
      <c r="N3254" t="s">
        <v>45</v>
      </c>
      <c r="O3254" t="s">
        <v>46</v>
      </c>
      <c r="P3254" t="s">
        <v>47</v>
      </c>
      <c r="Q3254" s="1">
        <v>43852</v>
      </c>
      <c r="R3254" t="s">
        <v>48</v>
      </c>
      <c r="S3254" t="s">
        <v>266</v>
      </c>
      <c r="T3254" t="s">
        <v>267</v>
      </c>
      <c r="U3254" t="s">
        <v>125</v>
      </c>
      <c r="V3254">
        <v>700000</v>
      </c>
      <c r="W3254">
        <v>100000</v>
      </c>
      <c r="X3254" s="1">
        <v>43830</v>
      </c>
      <c r="Y3254" t="s">
        <v>51</v>
      </c>
      <c r="Z3254" t="s">
        <v>43</v>
      </c>
      <c r="AA3254" t="s">
        <v>115</v>
      </c>
      <c r="AB3254" t="s">
        <v>268</v>
      </c>
      <c r="AC3254" t="s">
        <v>269</v>
      </c>
      <c r="AF3254" t="s">
        <v>135</v>
      </c>
      <c r="AG3254" s="1">
        <v>43843</v>
      </c>
      <c r="AH3254" t="s">
        <v>125</v>
      </c>
      <c r="AI3254" t="s">
        <v>92</v>
      </c>
      <c r="AJ3254">
        <v>1278023</v>
      </c>
      <c r="AK3254">
        <v>12365300</v>
      </c>
      <c r="AL3254">
        <v>12900</v>
      </c>
    </row>
    <row r="3255" spans="1:38" x14ac:dyDescent="0.25">
      <c r="A3255" t="s">
        <v>193</v>
      </c>
      <c r="B3255" t="s">
        <v>675</v>
      </c>
      <c r="C3255" t="s">
        <v>40</v>
      </c>
      <c r="D3255" s="1">
        <v>43334</v>
      </c>
      <c r="E3255" s="1">
        <v>43698</v>
      </c>
      <c r="F3255" t="s">
        <v>72</v>
      </c>
      <c r="G3255">
        <v>3</v>
      </c>
      <c r="H3255" t="s">
        <v>125</v>
      </c>
      <c r="I3255" t="s">
        <v>43</v>
      </c>
      <c r="J3255" t="s">
        <v>126</v>
      </c>
      <c r="K3255" t="s">
        <v>44</v>
      </c>
      <c r="L3255">
        <v>7324.12</v>
      </c>
      <c r="M3255" s="1">
        <v>43334</v>
      </c>
      <c r="N3255" t="s">
        <v>45</v>
      </c>
      <c r="O3255" t="s">
        <v>46</v>
      </c>
      <c r="P3255" t="s">
        <v>47</v>
      </c>
      <c r="Q3255" s="1">
        <v>43852</v>
      </c>
      <c r="R3255" t="s">
        <v>48</v>
      </c>
      <c r="S3255" t="s">
        <v>266</v>
      </c>
      <c r="T3255" t="s">
        <v>267</v>
      </c>
      <c r="U3255" t="s">
        <v>125</v>
      </c>
      <c r="V3255">
        <v>700000</v>
      </c>
      <c r="W3255">
        <v>100000</v>
      </c>
      <c r="X3255" s="1">
        <v>43830</v>
      </c>
      <c r="Y3255" t="s">
        <v>51</v>
      </c>
      <c r="Z3255" t="s">
        <v>43</v>
      </c>
      <c r="AA3255" t="s">
        <v>115</v>
      </c>
      <c r="AB3255" t="s">
        <v>268</v>
      </c>
      <c r="AC3255" t="s">
        <v>269</v>
      </c>
      <c r="AF3255" t="s">
        <v>136</v>
      </c>
      <c r="AG3255" s="1">
        <v>43839</v>
      </c>
      <c r="AH3255" t="s">
        <v>125</v>
      </c>
      <c r="AI3255" t="s">
        <v>92</v>
      </c>
      <c r="AJ3255">
        <v>1278023</v>
      </c>
      <c r="AK3255">
        <v>12365300</v>
      </c>
      <c r="AL3255">
        <v>12900</v>
      </c>
    </row>
    <row r="3256" spans="1:38" x14ac:dyDescent="0.25">
      <c r="A3256" t="s">
        <v>193</v>
      </c>
      <c r="B3256" t="s">
        <v>675</v>
      </c>
      <c r="C3256" t="s">
        <v>40</v>
      </c>
      <c r="D3256" s="1">
        <v>43334</v>
      </c>
      <c r="E3256" s="1">
        <v>43698</v>
      </c>
      <c r="F3256" t="s">
        <v>72</v>
      </c>
      <c r="G3256">
        <v>3</v>
      </c>
      <c r="H3256" t="s">
        <v>125</v>
      </c>
      <c r="I3256" t="s">
        <v>43</v>
      </c>
      <c r="J3256" t="s">
        <v>126</v>
      </c>
      <c r="K3256" t="s">
        <v>44</v>
      </c>
      <c r="L3256">
        <v>7324.12</v>
      </c>
      <c r="M3256" s="1">
        <v>43334</v>
      </c>
      <c r="N3256" t="s">
        <v>45</v>
      </c>
      <c r="O3256" t="s">
        <v>46</v>
      </c>
      <c r="P3256" t="s">
        <v>47</v>
      </c>
      <c r="Q3256" s="1">
        <v>43852</v>
      </c>
      <c r="R3256" t="s">
        <v>48</v>
      </c>
      <c r="S3256" t="s">
        <v>266</v>
      </c>
      <c r="T3256" t="s">
        <v>267</v>
      </c>
      <c r="U3256" t="s">
        <v>125</v>
      </c>
      <c r="V3256">
        <v>700000</v>
      </c>
      <c r="W3256">
        <v>100000</v>
      </c>
      <c r="X3256" s="1">
        <v>43830</v>
      </c>
      <c r="Y3256" t="s">
        <v>51</v>
      </c>
      <c r="Z3256" t="s">
        <v>43</v>
      </c>
      <c r="AA3256" t="s">
        <v>115</v>
      </c>
      <c r="AB3256" t="s">
        <v>268</v>
      </c>
      <c r="AC3256" t="s">
        <v>269</v>
      </c>
      <c r="AF3256" t="s">
        <v>137</v>
      </c>
      <c r="AG3256" s="1">
        <v>43840</v>
      </c>
      <c r="AH3256" t="s">
        <v>125</v>
      </c>
      <c r="AI3256" t="s">
        <v>92</v>
      </c>
      <c r="AJ3256">
        <v>1278023</v>
      </c>
      <c r="AK3256">
        <v>12365300</v>
      </c>
      <c r="AL3256">
        <v>12900</v>
      </c>
    </row>
    <row r="3257" spans="1:38" x14ac:dyDescent="0.25">
      <c r="A3257" t="s">
        <v>193</v>
      </c>
      <c r="B3257" t="s">
        <v>675</v>
      </c>
      <c r="C3257" t="s">
        <v>40</v>
      </c>
      <c r="D3257" s="1">
        <v>43334</v>
      </c>
      <c r="E3257" s="1">
        <v>43698</v>
      </c>
      <c r="F3257" t="s">
        <v>72</v>
      </c>
      <c r="G3257">
        <v>3</v>
      </c>
      <c r="H3257" t="s">
        <v>125</v>
      </c>
      <c r="I3257" t="s">
        <v>43</v>
      </c>
      <c r="J3257" t="s">
        <v>126</v>
      </c>
      <c r="K3257" t="s">
        <v>44</v>
      </c>
      <c r="L3257">
        <v>7324.12</v>
      </c>
      <c r="M3257" s="1">
        <v>43334</v>
      </c>
      <c r="N3257" t="s">
        <v>45</v>
      </c>
      <c r="O3257" t="s">
        <v>46</v>
      </c>
      <c r="P3257" t="s">
        <v>47</v>
      </c>
      <c r="Q3257" s="1">
        <v>43852</v>
      </c>
      <c r="R3257" t="s">
        <v>48</v>
      </c>
      <c r="S3257" t="s">
        <v>72</v>
      </c>
      <c r="T3257" t="s">
        <v>270</v>
      </c>
      <c r="U3257" t="s">
        <v>125</v>
      </c>
      <c r="V3257">
        <v>0</v>
      </c>
      <c r="W3257">
        <v>500000</v>
      </c>
      <c r="X3257" s="1">
        <v>43739</v>
      </c>
      <c r="Y3257" t="s">
        <v>131</v>
      </c>
      <c r="Z3257" t="s">
        <v>43</v>
      </c>
      <c r="AA3257" t="s">
        <v>115</v>
      </c>
      <c r="AB3257" t="s">
        <v>268</v>
      </c>
      <c r="AC3257" t="s">
        <v>269</v>
      </c>
      <c r="AF3257" t="s">
        <v>134</v>
      </c>
      <c r="AG3257" s="1">
        <v>43843</v>
      </c>
      <c r="AH3257" t="s">
        <v>125</v>
      </c>
      <c r="AI3257" t="s">
        <v>92</v>
      </c>
      <c r="AJ3257">
        <v>1278023</v>
      </c>
      <c r="AK3257">
        <v>12365300</v>
      </c>
      <c r="AL3257">
        <v>12900</v>
      </c>
    </row>
    <row r="3258" spans="1:38" x14ac:dyDescent="0.25">
      <c r="A3258" t="s">
        <v>193</v>
      </c>
      <c r="B3258" t="s">
        <v>675</v>
      </c>
      <c r="C3258" t="s">
        <v>40</v>
      </c>
      <c r="D3258" s="1">
        <v>43334</v>
      </c>
      <c r="E3258" s="1">
        <v>43698</v>
      </c>
      <c r="F3258" t="s">
        <v>72</v>
      </c>
      <c r="G3258">
        <v>3</v>
      </c>
      <c r="H3258" t="s">
        <v>125</v>
      </c>
      <c r="I3258" t="s">
        <v>43</v>
      </c>
      <c r="J3258" t="s">
        <v>126</v>
      </c>
      <c r="K3258" t="s">
        <v>44</v>
      </c>
      <c r="L3258">
        <v>7324.12</v>
      </c>
      <c r="M3258" s="1">
        <v>43334</v>
      </c>
      <c r="N3258" t="s">
        <v>45</v>
      </c>
      <c r="O3258" t="s">
        <v>46</v>
      </c>
      <c r="P3258" t="s">
        <v>47</v>
      </c>
      <c r="Q3258" s="1">
        <v>43852</v>
      </c>
      <c r="R3258" t="s">
        <v>48</v>
      </c>
      <c r="S3258" t="s">
        <v>72</v>
      </c>
      <c r="T3258" t="s">
        <v>270</v>
      </c>
      <c r="U3258" t="s">
        <v>125</v>
      </c>
      <c r="V3258">
        <v>0</v>
      </c>
      <c r="W3258">
        <v>500000</v>
      </c>
      <c r="X3258" s="1">
        <v>43739</v>
      </c>
      <c r="Y3258" t="s">
        <v>131</v>
      </c>
      <c r="Z3258" t="s">
        <v>43</v>
      </c>
      <c r="AA3258" t="s">
        <v>115</v>
      </c>
      <c r="AB3258" t="s">
        <v>268</v>
      </c>
      <c r="AC3258" t="s">
        <v>269</v>
      </c>
      <c r="AF3258" t="s">
        <v>135</v>
      </c>
      <c r="AG3258" s="1">
        <v>43843</v>
      </c>
      <c r="AH3258" t="s">
        <v>125</v>
      </c>
      <c r="AI3258" t="s">
        <v>92</v>
      </c>
      <c r="AJ3258">
        <v>1278023</v>
      </c>
      <c r="AK3258">
        <v>12365300</v>
      </c>
      <c r="AL3258">
        <v>12900</v>
      </c>
    </row>
    <row r="3259" spans="1:38" x14ac:dyDescent="0.25">
      <c r="A3259" t="s">
        <v>193</v>
      </c>
      <c r="B3259" t="s">
        <v>675</v>
      </c>
      <c r="C3259" t="s">
        <v>40</v>
      </c>
      <c r="D3259" s="1">
        <v>43334</v>
      </c>
      <c r="E3259" s="1">
        <v>43698</v>
      </c>
      <c r="F3259" t="s">
        <v>72</v>
      </c>
      <c r="G3259">
        <v>3</v>
      </c>
      <c r="H3259" t="s">
        <v>125</v>
      </c>
      <c r="I3259" t="s">
        <v>43</v>
      </c>
      <c r="J3259" t="s">
        <v>126</v>
      </c>
      <c r="K3259" t="s">
        <v>44</v>
      </c>
      <c r="L3259">
        <v>7324.12</v>
      </c>
      <c r="M3259" s="1">
        <v>43334</v>
      </c>
      <c r="N3259" t="s">
        <v>45</v>
      </c>
      <c r="O3259" t="s">
        <v>46</v>
      </c>
      <c r="P3259" t="s">
        <v>47</v>
      </c>
      <c r="Q3259" s="1">
        <v>43852</v>
      </c>
      <c r="R3259" t="s">
        <v>48</v>
      </c>
      <c r="S3259" t="s">
        <v>72</v>
      </c>
      <c r="T3259" t="s">
        <v>270</v>
      </c>
      <c r="U3259" t="s">
        <v>125</v>
      </c>
      <c r="V3259">
        <v>0</v>
      </c>
      <c r="W3259">
        <v>500000</v>
      </c>
      <c r="X3259" s="1">
        <v>43739</v>
      </c>
      <c r="Y3259" t="s">
        <v>131</v>
      </c>
      <c r="Z3259" t="s">
        <v>43</v>
      </c>
      <c r="AA3259" t="s">
        <v>115</v>
      </c>
      <c r="AB3259" t="s">
        <v>268</v>
      </c>
      <c r="AC3259" t="s">
        <v>269</v>
      </c>
      <c r="AF3259" t="s">
        <v>136</v>
      </c>
      <c r="AG3259" s="1">
        <v>43839</v>
      </c>
      <c r="AH3259" t="s">
        <v>125</v>
      </c>
      <c r="AI3259" t="s">
        <v>92</v>
      </c>
      <c r="AJ3259">
        <v>1278023</v>
      </c>
      <c r="AK3259">
        <v>12365300</v>
      </c>
      <c r="AL3259">
        <v>12900</v>
      </c>
    </row>
    <row r="3260" spans="1:38" x14ac:dyDescent="0.25">
      <c r="A3260" t="s">
        <v>193</v>
      </c>
      <c r="B3260" t="s">
        <v>675</v>
      </c>
      <c r="C3260" t="s">
        <v>40</v>
      </c>
      <c r="D3260" s="1">
        <v>43334</v>
      </c>
      <c r="E3260" s="1">
        <v>43698</v>
      </c>
      <c r="F3260" t="s">
        <v>72</v>
      </c>
      <c r="G3260">
        <v>3</v>
      </c>
      <c r="H3260" t="s">
        <v>125</v>
      </c>
      <c r="I3260" t="s">
        <v>43</v>
      </c>
      <c r="J3260" t="s">
        <v>126</v>
      </c>
      <c r="K3260" t="s">
        <v>44</v>
      </c>
      <c r="L3260">
        <v>7324.12</v>
      </c>
      <c r="M3260" s="1">
        <v>43334</v>
      </c>
      <c r="N3260" t="s">
        <v>45</v>
      </c>
      <c r="O3260" t="s">
        <v>46</v>
      </c>
      <c r="P3260" t="s">
        <v>47</v>
      </c>
      <c r="Q3260" s="1">
        <v>43852</v>
      </c>
      <c r="R3260" t="s">
        <v>48</v>
      </c>
      <c r="S3260" t="s">
        <v>72</v>
      </c>
      <c r="T3260" t="s">
        <v>270</v>
      </c>
      <c r="U3260" t="s">
        <v>125</v>
      </c>
      <c r="V3260">
        <v>0</v>
      </c>
      <c r="W3260">
        <v>500000</v>
      </c>
      <c r="X3260" s="1">
        <v>43739</v>
      </c>
      <c r="Y3260" t="s">
        <v>131</v>
      </c>
      <c r="Z3260" t="s">
        <v>43</v>
      </c>
      <c r="AA3260" t="s">
        <v>115</v>
      </c>
      <c r="AB3260" t="s">
        <v>268</v>
      </c>
      <c r="AC3260" t="s">
        <v>269</v>
      </c>
      <c r="AF3260" t="s">
        <v>137</v>
      </c>
      <c r="AG3260" s="1">
        <v>43840</v>
      </c>
      <c r="AH3260" t="s">
        <v>125</v>
      </c>
      <c r="AI3260" t="s">
        <v>92</v>
      </c>
      <c r="AJ3260">
        <v>1278023</v>
      </c>
      <c r="AK3260">
        <v>12365300</v>
      </c>
      <c r="AL3260">
        <v>12900</v>
      </c>
    </row>
    <row r="3261" spans="1:38" x14ac:dyDescent="0.25">
      <c r="A3261" t="s">
        <v>193</v>
      </c>
      <c r="B3261" t="s">
        <v>675</v>
      </c>
      <c r="C3261" t="s">
        <v>40</v>
      </c>
      <c r="D3261" s="1">
        <v>43334</v>
      </c>
      <c r="E3261" s="1">
        <v>43698</v>
      </c>
      <c r="F3261" t="s">
        <v>72</v>
      </c>
      <c r="G3261">
        <v>3</v>
      </c>
      <c r="H3261" t="s">
        <v>125</v>
      </c>
      <c r="I3261" t="s">
        <v>43</v>
      </c>
      <c r="J3261" t="s">
        <v>126</v>
      </c>
      <c r="K3261" t="s">
        <v>44</v>
      </c>
      <c r="L3261">
        <v>7324.12</v>
      </c>
      <c r="M3261" s="1">
        <v>43334</v>
      </c>
      <c r="N3261" t="s">
        <v>45</v>
      </c>
      <c r="O3261" t="s">
        <v>46</v>
      </c>
      <c r="P3261" t="s">
        <v>47</v>
      </c>
      <c r="Q3261" s="1">
        <v>43852</v>
      </c>
      <c r="R3261" t="s">
        <v>48</v>
      </c>
      <c r="S3261" t="s">
        <v>271</v>
      </c>
      <c r="T3261" t="s">
        <v>272</v>
      </c>
      <c r="U3261" t="s">
        <v>125</v>
      </c>
      <c r="V3261">
        <v>0</v>
      </c>
      <c r="W3261">
        <v>50000</v>
      </c>
      <c r="X3261" s="1">
        <v>43738</v>
      </c>
      <c r="Y3261" t="s">
        <v>140</v>
      </c>
      <c r="Z3261" t="s">
        <v>43</v>
      </c>
      <c r="AA3261" t="s">
        <v>115</v>
      </c>
      <c r="AB3261" t="s">
        <v>268</v>
      </c>
      <c r="AC3261" t="s">
        <v>269</v>
      </c>
      <c r="AF3261" t="s">
        <v>134</v>
      </c>
      <c r="AG3261" s="1">
        <v>43843</v>
      </c>
      <c r="AH3261" t="s">
        <v>125</v>
      </c>
      <c r="AI3261" t="s">
        <v>92</v>
      </c>
      <c r="AJ3261">
        <v>1278023</v>
      </c>
      <c r="AK3261">
        <v>12365300</v>
      </c>
      <c r="AL3261">
        <v>12900</v>
      </c>
    </row>
    <row r="3262" spans="1:38" x14ac:dyDescent="0.25">
      <c r="A3262" t="s">
        <v>193</v>
      </c>
      <c r="B3262" t="s">
        <v>675</v>
      </c>
      <c r="C3262" t="s">
        <v>40</v>
      </c>
      <c r="D3262" s="1">
        <v>43334</v>
      </c>
      <c r="E3262" s="1">
        <v>43698</v>
      </c>
      <c r="F3262" t="s">
        <v>72</v>
      </c>
      <c r="G3262">
        <v>3</v>
      </c>
      <c r="H3262" t="s">
        <v>125</v>
      </c>
      <c r="I3262" t="s">
        <v>43</v>
      </c>
      <c r="J3262" t="s">
        <v>126</v>
      </c>
      <c r="K3262" t="s">
        <v>44</v>
      </c>
      <c r="L3262">
        <v>7324.12</v>
      </c>
      <c r="M3262" s="1">
        <v>43334</v>
      </c>
      <c r="N3262" t="s">
        <v>45</v>
      </c>
      <c r="O3262" t="s">
        <v>46</v>
      </c>
      <c r="P3262" t="s">
        <v>47</v>
      </c>
      <c r="Q3262" s="1">
        <v>43852</v>
      </c>
      <c r="R3262" t="s">
        <v>48</v>
      </c>
      <c r="S3262" t="s">
        <v>271</v>
      </c>
      <c r="T3262" t="s">
        <v>272</v>
      </c>
      <c r="U3262" t="s">
        <v>125</v>
      </c>
      <c r="V3262">
        <v>0</v>
      </c>
      <c r="W3262">
        <v>50000</v>
      </c>
      <c r="X3262" s="1">
        <v>43738</v>
      </c>
      <c r="Y3262" t="s">
        <v>140</v>
      </c>
      <c r="Z3262" t="s">
        <v>43</v>
      </c>
      <c r="AA3262" t="s">
        <v>115</v>
      </c>
      <c r="AB3262" t="s">
        <v>268</v>
      </c>
      <c r="AC3262" t="s">
        <v>269</v>
      </c>
      <c r="AF3262" t="s">
        <v>135</v>
      </c>
      <c r="AG3262" s="1">
        <v>43843</v>
      </c>
      <c r="AH3262" t="s">
        <v>125</v>
      </c>
      <c r="AI3262" t="s">
        <v>92</v>
      </c>
      <c r="AJ3262">
        <v>1278023</v>
      </c>
      <c r="AK3262">
        <v>12365300</v>
      </c>
      <c r="AL3262">
        <v>12900</v>
      </c>
    </row>
    <row r="3263" spans="1:38" x14ac:dyDescent="0.25">
      <c r="A3263" t="s">
        <v>193</v>
      </c>
      <c r="B3263" t="s">
        <v>675</v>
      </c>
      <c r="C3263" t="s">
        <v>40</v>
      </c>
      <c r="D3263" s="1">
        <v>43334</v>
      </c>
      <c r="E3263" s="1">
        <v>43698</v>
      </c>
      <c r="F3263" t="s">
        <v>72</v>
      </c>
      <c r="G3263">
        <v>3</v>
      </c>
      <c r="H3263" t="s">
        <v>125</v>
      </c>
      <c r="I3263" t="s">
        <v>43</v>
      </c>
      <c r="J3263" t="s">
        <v>126</v>
      </c>
      <c r="K3263" t="s">
        <v>44</v>
      </c>
      <c r="L3263">
        <v>7324.12</v>
      </c>
      <c r="M3263" s="1">
        <v>43334</v>
      </c>
      <c r="N3263" t="s">
        <v>45</v>
      </c>
      <c r="O3263" t="s">
        <v>46</v>
      </c>
      <c r="P3263" t="s">
        <v>47</v>
      </c>
      <c r="Q3263" s="1">
        <v>43852</v>
      </c>
      <c r="R3263" t="s">
        <v>48</v>
      </c>
      <c r="S3263" t="s">
        <v>271</v>
      </c>
      <c r="T3263" t="s">
        <v>272</v>
      </c>
      <c r="U3263" t="s">
        <v>125</v>
      </c>
      <c r="V3263">
        <v>0</v>
      </c>
      <c r="W3263">
        <v>50000</v>
      </c>
      <c r="X3263" s="1">
        <v>43738</v>
      </c>
      <c r="Y3263" t="s">
        <v>140</v>
      </c>
      <c r="Z3263" t="s">
        <v>43</v>
      </c>
      <c r="AA3263" t="s">
        <v>115</v>
      </c>
      <c r="AB3263" t="s">
        <v>268</v>
      </c>
      <c r="AC3263" t="s">
        <v>269</v>
      </c>
      <c r="AF3263" t="s">
        <v>136</v>
      </c>
      <c r="AG3263" s="1">
        <v>43839</v>
      </c>
      <c r="AH3263" t="s">
        <v>125</v>
      </c>
      <c r="AI3263" t="s">
        <v>92</v>
      </c>
      <c r="AJ3263">
        <v>1278023</v>
      </c>
      <c r="AK3263">
        <v>12365300</v>
      </c>
      <c r="AL3263">
        <v>12900</v>
      </c>
    </row>
    <row r="3264" spans="1:38" x14ac:dyDescent="0.25">
      <c r="A3264" t="s">
        <v>193</v>
      </c>
      <c r="B3264" t="s">
        <v>675</v>
      </c>
      <c r="C3264" t="s">
        <v>40</v>
      </c>
      <c r="D3264" s="1">
        <v>43334</v>
      </c>
      <c r="E3264" s="1">
        <v>43698</v>
      </c>
      <c r="F3264" t="s">
        <v>72</v>
      </c>
      <c r="G3264">
        <v>3</v>
      </c>
      <c r="H3264" t="s">
        <v>125</v>
      </c>
      <c r="I3264" t="s">
        <v>43</v>
      </c>
      <c r="J3264" t="s">
        <v>126</v>
      </c>
      <c r="K3264" t="s">
        <v>44</v>
      </c>
      <c r="L3264">
        <v>7324.12</v>
      </c>
      <c r="M3264" s="1">
        <v>43334</v>
      </c>
      <c r="N3264" t="s">
        <v>45</v>
      </c>
      <c r="O3264" t="s">
        <v>46</v>
      </c>
      <c r="P3264" t="s">
        <v>47</v>
      </c>
      <c r="Q3264" s="1">
        <v>43852</v>
      </c>
      <c r="R3264" t="s">
        <v>48</v>
      </c>
      <c r="S3264" t="s">
        <v>271</v>
      </c>
      <c r="T3264" t="s">
        <v>272</v>
      </c>
      <c r="U3264" t="s">
        <v>125</v>
      </c>
      <c r="V3264">
        <v>0</v>
      </c>
      <c r="W3264">
        <v>50000</v>
      </c>
      <c r="X3264" s="1">
        <v>43738</v>
      </c>
      <c r="Y3264" t="s">
        <v>140</v>
      </c>
      <c r="Z3264" t="s">
        <v>43</v>
      </c>
      <c r="AA3264" t="s">
        <v>115</v>
      </c>
      <c r="AB3264" t="s">
        <v>268</v>
      </c>
      <c r="AC3264" t="s">
        <v>269</v>
      </c>
      <c r="AF3264" t="s">
        <v>137</v>
      </c>
      <c r="AG3264" s="1">
        <v>43840</v>
      </c>
      <c r="AH3264" t="s">
        <v>125</v>
      </c>
      <c r="AI3264" t="s">
        <v>92</v>
      </c>
      <c r="AJ3264">
        <v>1278023</v>
      </c>
      <c r="AK3264">
        <v>12365300</v>
      </c>
      <c r="AL3264">
        <v>12900</v>
      </c>
    </row>
    <row r="3265" spans="1:38" x14ac:dyDescent="0.25">
      <c r="A3265" t="s">
        <v>195</v>
      </c>
      <c r="B3265" t="s">
        <v>676</v>
      </c>
      <c r="C3265" t="s">
        <v>40</v>
      </c>
      <c r="D3265" s="1">
        <v>43334</v>
      </c>
      <c r="E3265" s="1">
        <v>43698</v>
      </c>
      <c r="F3265" t="s">
        <v>72</v>
      </c>
      <c r="G3265">
        <v>3</v>
      </c>
      <c r="H3265" t="s">
        <v>125</v>
      </c>
      <c r="I3265" t="s">
        <v>43</v>
      </c>
      <c r="J3265" t="s">
        <v>126</v>
      </c>
      <c r="K3265" t="s">
        <v>44</v>
      </c>
      <c r="L3265">
        <v>19316.669999999998</v>
      </c>
      <c r="M3265" s="1">
        <v>43334</v>
      </c>
      <c r="N3265" t="s">
        <v>45</v>
      </c>
      <c r="O3265" t="s">
        <v>46</v>
      </c>
      <c r="P3265" t="s">
        <v>47</v>
      </c>
      <c r="Q3265" s="1">
        <v>43852</v>
      </c>
      <c r="R3265" t="s">
        <v>48</v>
      </c>
      <c r="S3265" t="s">
        <v>266</v>
      </c>
      <c r="T3265" t="s">
        <v>267</v>
      </c>
      <c r="U3265" t="s">
        <v>125</v>
      </c>
      <c r="V3265">
        <v>700000</v>
      </c>
      <c r="W3265">
        <v>100000</v>
      </c>
      <c r="X3265" s="1">
        <v>43830</v>
      </c>
      <c r="Y3265" t="s">
        <v>51</v>
      </c>
      <c r="Z3265" t="s">
        <v>43</v>
      </c>
      <c r="AA3265" t="s">
        <v>115</v>
      </c>
      <c r="AB3265" t="s">
        <v>268</v>
      </c>
      <c r="AC3265" t="s">
        <v>269</v>
      </c>
      <c r="AF3265" t="s">
        <v>134</v>
      </c>
      <c r="AG3265" s="1">
        <v>43843</v>
      </c>
      <c r="AH3265" t="s">
        <v>125</v>
      </c>
      <c r="AI3265" t="s">
        <v>92</v>
      </c>
      <c r="AJ3265">
        <v>1278023</v>
      </c>
      <c r="AK3265">
        <v>12365300</v>
      </c>
      <c r="AL3265">
        <v>12900</v>
      </c>
    </row>
    <row r="3266" spans="1:38" x14ac:dyDescent="0.25">
      <c r="A3266" t="s">
        <v>195</v>
      </c>
      <c r="B3266" t="s">
        <v>676</v>
      </c>
      <c r="C3266" t="s">
        <v>40</v>
      </c>
      <c r="D3266" s="1">
        <v>43334</v>
      </c>
      <c r="E3266" s="1">
        <v>43698</v>
      </c>
      <c r="F3266" t="s">
        <v>72</v>
      </c>
      <c r="G3266">
        <v>3</v>
      </c>
      <c r="H3266" t="s">
        <v>125</v>
      </c>
      <c r="I3266" t="s">
        <v>43</v>
      </c>
      <c r="J3266" t="s">
        <v>126</v>
      </c>
      <c r="K3266" t="s">
        <v>44</v>
      </c>
      <c r="L3266">
        <v>19316.669999999998</v>
      </c>
      <c r="M3266" s="1">
        <v>43334</v>
      </c>
      <c r="N3266" t="s">
        <v>45</v>
      </c>
      <c r="O3266" t="s">
        <v>46</v>
      </c>
      <c r="P3266" t="s">
        <v>47</v>
      </c>
      <c r="Q3266" s="1">
        <v>43852</v>
      </c>
      <c r="R3266" t="s">
        <v>48</v>
      </c>
      <c r="S3266" t="s">
        <v>266</v>
      </c>
      <c r="T3266" t="s">
        <v>267</v>
      </c>
      <c r="U3266" t="s">
        <v>125</v>
      </c>
      <c r="V3266">
        <v>700000</v>
      </c>
      <c r="W3266">
        <v>100000</v>
      </c>
      <c r="X3266" s="1">
        <v>43830</v>
      </c>
      <c r="Y3266" t="s">
        <v>51</v>
      </c>
      <c r="Z3266" t="s">
        <v>43</v>
      </c>
      <c r="AA3266" t="s">
        <v>115</v>
      </c>
      <c r="AB3266" t="s">
        <v>268</v>
      </c>
      <c r="AC3266" t="s">
        <v>269</v>
      </c>
      <c r="AF3266" t="s">
        <v>135</v>
      </c>
      <c r="AG3266" s="1">
        <v>43843</v>
      </c>
      <c r="AH3266" t="s">
        <v>125</v>
      </c>
      <c r="AI3266" t="s">
        <v>92</v>
      </c>
      <c r="AJ3266">
        <v>1278023</v>
      </c>
      <c r="AK3266">
        <v>12365300</v>
      </c>
      <c r="AL3266">
        <v>12900</v>
      </c>
    </row>
    <row r="3267" spans="1:38" x14ac:dyDescent="0.25">
      <c r="A3267" t="s">
        <v>195</v>
      </c>
      <c r="B3267" t="s">
        <v>676</v>
      </c>
      <c r="C3267" t="s">
        <v>40</v>
      </c>
      <c r="D3267" s="1">
        <v>43334</v>
      </c>
      <c r="E3267" s="1">
        <v>43698</v>
      </c>
      <c r="F3267" t="s">
        <v>72</v>
      </c>
      <c r="G3267">
        <v>3</v>
      </c>
      <c r="H3267" t="s">
        <v>125</v>
      </c>
      <c r="I3267" t="s">
        <v>43</v>
      </c>
      <c r="J3267" t="s">
        <v>126</v>
      </c>
      <c r="K3267" t="s">
        <v>44</v>
      </c>
      <c r="L3267">
        <v>19316.669999999998</v>
      </c>
      <c r="M3267" s="1">
        <v>43334</v>
      </c>
      <c r="N3267" t="s">
        <v>45</v>
      </c>
      <c r="O3267" t="s">
        <v>46</v>
      </c>
      <c r="P3267" t="s">
        <v>47</v>
      </c>
      <c r="Q3267" s="1">
        <v>43852</v>
      </c>
      <c r="R3267" t="s">
        <v>48</v>
      </c>
      <c r="S3267" t="s">
        <v>266</v>
      </c>
      <c r="T3267" t="s">
        <v>267</v>
      </c>
      <c r="U3267" t="s">
        <v>125</v>
      </c>
      <c r="V3267">
        <v>700000</v>
      </c>
      <c r="W3267">
        <v>100000</v>
      </c>
      <c r="X3267" s="1">
        <v>43830</v>
      </c>
      <c r="Y3267" t="s">
        <v>51</v>
      </c>
      <c r="Z3267" t="s">
        <v>43</v>
      </c>
      <c r="AA3267" t="s">
        <v>115</v>
      </c>
      <c r="AB3267" t="s">
        <v>268</v>
      </c>
      <c r="AC3267" t="s">
        <v>269</v>
      </c>
      <c r="AF3267" t="s">
        <v>136</v>
      </c>
      <c r="AG3267" s="1">
        <v>43839</v>
      </c>
      <c r="AH3267" t="s">
        <v>125</v>
      </c>
      <c r="AI3267" t="s">
        <v>92</v>
      </c>
      <c r="AJ3267">
        <v>1278023</v>
      </c>
      <c r="AK3267">
        <v>12365300</v>
      </c>
      <c r="AL3267">
        <v>12900</v>
      </c>
    </row>
    <row r="3268" spans="1:38" x14ac:dyDescent="0.25">
      <c r="A3268" t="s">
        <v>195</v>
      </c>
      <c r="B3268" t="s">
        <v>676</v>
      </c>
      <c r="C3268" t="s">
        <v>40</v>
      </c>
      <c r="D3268" s="1">
        <v>43334</v>
      </c>
      <c r="E3268" s="1">
        <v>43698</v>
      </c>
      <c r="F3268" t="s">
        <v>72</v>
      </c>
      <c r="G3268">
        <v>3</v>
      </c>
      <c r="H3268" t="s">
        <v>125</v>
      </c>
      <c r="I3268" t="s">
        <v>43</v>
      </c>
      <c r="J3268" t="s">
        <v>126</v>
      </c>
      <c r="K3268" t="s">
        <v>44</v>
      </c>
      <c r="L3268">
        <v>19316.669999999998</v>
      </c>
      <c r="M3268" s="1">
        <v>43334</v>
      </c>
      <c r="N3268" t="s">
        <v>45</v>
      </c>
      <c r="O3268" t="s">
        <v>46</v>
      </c>
      <c r="P3268" t="s">
        <v>47</v>
      </c>
      <c r="Q3268" s="1">
        <v>43852</v>
      </c>
      <c r="R3268" t="s">
        <v>48</v>
      </c>
      <c r="S3268" t="s">
        <v>266</v>
      </c>
      <c r="T3268" t="s">
        <v>267</v>
      </c>
      <c r="U3268" t="s">
        <v>125</v>
      </c>
      <c r="V3268">
        <v>700000</v>
      </c>
      <c r="W3268">
        <v>100000</v>
      </c>
      <c r="X3268" s="1">
        <v>43830</v>
      </c>
      <c r="Y3268" t="s">
        <v>51</v>
      </c>
      <c r="Z3268" t="s">
        <v>43</v>
      </c>
      <c r="AA3268" t="s">
        <v>115</v>
      </c>
      <c r="AB3268" t="s">
        <v>268</v>
      </c>
      <c r="AC3268" t="s">
        <v>269</v>
      </c>
      <c r="AF3268" t="s">
        <v>137</v>
      </c>
      <c r="AG3268" s="1">
        <v>43840</v>
      </c>
      <c r="AH3268" t="s">
        <v>125</v>
      </c>
      <c r="AI3268" t="s">
        <v>92</v>
      </c>
      <c r="AJ3268">
        <v>1278023</v>
      </c>
      <c r="AK3268">
        <v>12365300</v>
      </c>
      <c r="AL3268">
        <v>12900</v>
      </c>
    </row>
    <row r="3269" spans="1:38" x14ac:dyDescent="0.25">
      <c r="A3269" t="s">
        <v>195</v>
      </c>
      <c r="B3269" t="s">
        <v>676</v>
      </c>
      <c r="C3269" t="s">
        <v>40</v>
      </c>
      <c r="D3269" s="1">
        <v>43334</v>
      </c>
      <c r="E3269" s="1">
        <v>43698</v>
      </c>
      <c r="F3269" t="s">
        <v>72</v>
      </c>
      <c r="G3269">
        <v>3</v>
      </c>
      <c r="H3269" t="s">
        <v>125</v>
      </c>
      <c r="I3269" t="s">
        <v>43</v>
      </c>
      <c r="J3269" t="s">
        <v>126</v>
      </c>
      <c r="K3269" t="s">
        <v>44</v>
      </c>
      <c r="L3269">
        <v>19316.669999999998</v>
      </c>
      <c r="M3269" s="1">
        <v>43334</v>
      </c>
      <c r="N3269" t="s">
        <v>45</v>
      </c>
      <c r="O3269" t="s">
        <v>46</v>
      </c>
      <c r="P3269" t="s">
        <v>47</v>
      </c>
      <c r="Q3269" s="1">
        <v>43852</v>
      </c>
      <c r="R3269" t="s">
        <v>48</v>
      </c>
      <c r="S3269" t="s">
        <v>72</v>
      </c>
      <c r="T3269" t="s">
        <v>270</v>
      </c>
      <c r="U3269" t="s">
        <v>125</v>
      </c>
      <c r="V3269">
        <v>0</v>
      </c>
      <c r="W3269">
        <v>500000</v>
      </c>
      <c r="X3269" s="1">
        <v>43739</v>
      </c>
      <c r="Y3269" t="s">
        <v>131</v>
      </c>
      <c r="Z3269" t="s">
        <v>43</v>
      </c>
      <c r="AA3269" t="s">
        <v>115</v>
      </c>
      <c r="AB3269" t="s">
        <v>268</v>
      </c>
      <c r="AC3269" t="s">
        <v>269</v>
      </c>
      <c r="AF3269" t="s">
        <v>134</v>
      </c>
      <c r="AG3269" s="1">
        <v>43843</v>
      </c>
      <c r="AH3269" t="s">
        <v>125</v>
      </c>
      <c r="AI3269" t="s">
        <v>92</v>
      </c>
      <c r="AJ3269">
        <v>1278023</v>
      </c>
      <c r="AK3269">
        <v>12365300</v>
      </c>
      <c r="AL3269">
        <v>12900</v>
      </c>
    </row>
    <row r="3270" spans="1:38" x14ac:dyDescent="0.25">
      <c r="A3270" t="s">
        <v>195</v>
      </c>
      <c r="B3270" t="s">
        <v>676</v>
      </c>
      <c r="C3270" t="s">
        <v>40</v>
      </c>
      <c r="D3270" s="1">
        <v>43334</v>
      </c>
      <c r="E3270" s="1">
        <v>43698</v>
      </c>
      <c r="F3270" t="s">
        <v>72</v>
      </c>
      <c r="G3270">
        <v>3</v>
      </c>
      <c r="H3270" t="s">
        <v>125</v>
      </c>
      <c r="I3270" t="s">
        <v>43</v>
      </c>
      <c r="J3270" t="s">
        <v>126</v>
      </c>
      <c r="K3270" t="s">
        <v>44</v>
      </c>
      <c r="L3270">
        <v>19316.669999999998</v>
      </c>
      <c r="M3270" s="1">
        <v>43334</v>
      </c>
      <c r="N3270" t="s">
        <v>45</v>
      </c>
      <c r="O3270" t="s">
        <v>46</v>
      </c>
      <c r="P3270" t="s">
        <v>47</v>
      </c>
      <c r="Q3270" s="1">
        <v>43852</v>
      </c>
      <c r="R3270" t="s">
        <v>48</v>
      </c>
      <c r="S3270" t="s">
        <v>72</v>
      </c>
      <c r="T3270" t="s">
        <v>270</v>
      </c>
      <c r="U3270" t="s">
        <v>125</v>
      </c>
      <c r="V3270">
        <v>0</v>
      </c>
      <c r="W3270">
        <v>500000</v>
      </c>
      <c r="X3270" s="1">
        <v>43739</v>
      </c>
      <c r="Y3270" t="s">
        <v>131</v>
      </c>
      <c r="Z3270" t="s">
        <v>43</v>
      </c>
      <c r="AA3270" t="s">
        <v>115</v>
      </c>
      <c r="AB3270" t="s">
        <v>268</v>
      </c>
      <c r="AC3270" t="s">
        <v>269</v>
      </c>
      <c r="AF3270" t="s">
        <v>135</v>
      </c>
      <c r="AG3270" s="1">
        <v>43843</v>
      </c>
      <c r="AH3270" t="s">
        <v>125</v>
      </c>
      <c r="AI3270" t="s">
        <v>92</v>
      </c>
      <c r="AJ3270">
        <v>1278023</v>
      </c>
      <c r="AK3270">
        <v>12365300</v>
      </c>
      <c r="AL3270">
        <v>12900</v>
      </c>
    </row>
    <row r="3271" spans="1:38" x14ac:dyDescent="0.25">
      <c r="A3271" t="s">
        <v>195</v>
      </c>
      <c r="B3271" t="s">
        <v>676</v>
      </c>
      <c r="C3271" t="s">
        <v>40</v>
      </c>
      <c r="D3271" s="1">
        <v>43334</v>
      </c>
      <c r="E3271" s="1">
        <v>43698</v>
      </c>
      <c r="F3271" t="s">
        <v>72</v>
      </c>
      <c r="G3271">
        <v>3</v>
      </c>
      <c r="H3271" t="s">
        <v>125</v>
      </c>
      <c r="I3271" t="s">
        <v>43</v>
      </c>
      <c r="J3271" t="s">
        <v>126</v>
      </c>
      <c r="K3271" t="s">
        <v>44</v>
      </c>
      <c r="L3271">
        <v>19316.669999999998</v>
      </c>
      <c r="M3271" s="1">
        <v>43334</v>
      </c>
      <c r="N3271" t="s">
        <v>45</v>
      </c>
      <c r="O3271" t="s">
        <v>46</v>
      </c>
      <c r="P3271" t="s">
        <v>47</v>
      </c>
      <c r="Q3271" s="1">
        <v>43852</v>
      </c>
      <c r="R3271" t="s">
        <v>48</v>
      </c>
      <c r="S3271" t="s">
        <v>72</v>
      </c>
      <c r="T3271" t="s">
        <v>270</v>
      </c>
      <c r="U3271" t="s">
        <v>125</v>
      </c>
      <c r="V3271">
        <v>0</v>
      </c>
      <c r="W3271">
        <v>500000</v>
      </c>
      <c r="X3271" s="1">
        <v>43739</v>
      </c>
      <c r="Y3271" t="s">
        <v>131</v>
      </c>
      <c r="Z3271" t="s">
        <v>43</v>
      </c>
      <c r="AA3271" t="s">
        <v>115</v>
      </c>
      <c r="AB3271" t="s">
        <v>268</v>
      </c>
      <c r="AC3271" t="s">
        <v>269</v>
      </c>
      <c r="AF3271" t="s">
        <v>136</v>
      </c>
      <c r="AG3271" s="1">
        <v>43839</v>
      </c>
      <c r="AH3271" t="s">
        <v>125</v>
      </c>
      <c r="AI3271" t="s">
        <v>92</v>
      </c>
      <c r="AJ3271">
        <v>1278023</v>
      </c>
      <c r="AK3271">
        <v>12365300</v>
      </c>
      <c r="AL3271">
        <v>12900</v>
      </c>
    </row>
    <row r="3272" spans="1:38" x14ac:dyDescent="0.25">
      <c r="A3272" t="s">
        <v>195</v>
      </c>
      <c r="B3272" t="s">
        <v>676</v>
      </c>
      <c r="C3272" t="s">
        <v>40</v>
      </c>
      <c r="D3272" s="1">
        <v>43334</v>
      </c>
      <c r="E3272" s="1">
        <v>43698</v>
      </c>
      <c r="F3272" t="s">
        <v>72</v>
      </c>
      <c r="G3272">
        <v>3</v>
      </c>
      <c r="H3272" t="s">
        <v>125</v>
      </c>
      <c r="I3272" t="s">
        <v>43</v>
      </c>
      <c r="J3272" t="s">
        <v>126</v>
      </c>
      <c r="K3272" t="s">
        <v>44</v>
      </c>
      <c r="L3272">
        <v>19316.669999999998</v>
      </c>
      <c r="M3272" s="1">
        <v>43334</v>
      </c>
      <c r="N3272" t="s">
        <v>45</v>
      </c>
      <c r="O3272" t="s">
        <v>46</v>
      </c>
      <c r="P3272" t="s">
        <v>47</v>
      </c>
      <c r="Q3272" s="1">
        <v>43852</v>
      </c>
      <c r="R3272" t="s">
        <v>48</v>
      </c>
      <c r="S3272" t="s">
        <v>72</v>
      </c>
      <c r="T3272" t="s">
        <v>270</v>
      </c>
      <c r="U3272" t="s">
        <v>125</v>
      </c>
      <c r="V3272">
        <v>0</v>
      </c>
      <c r="W3272">
        <v>500000</v>
      </c>
      <c r="X3272" s="1">
        <v>43739</v>
      </c>
      <c r="Y3272" t="s">
        <v>131</v>
      </c>
      <c r="Z3272" t="s">
        <v>43</v>
      </c>
      <c r="AA3272" t="s">
        <v>115</v>
      </c>
      <c r="AB3272" t="s">
        <v>268</v>
      </c>
      <c r="AC3272" t="s">
        <v>269</v>
      </c>
      <c r="AF3272" t="s">
        <v>137</v>
      </c>
      <c r="AG3272" s="1">
        <v>43840</v>
      </c>
      <c r="AH3272" t="s">
        <v>125</v>
      </c>
      <c r="AI3272" t="s">
        <v>92</v>
      </c>
      <c r="AJ3272">
        <v>1278023</v>
      </c>
      <c r="AK3272">
        <v>12365300</v>
      </c>
      <c r="AL3272">
        <v>12900</v>
      </c>
    </row>
    <row r="3273" spans="1:38" x14ac:dyDescent="0.25">
      <c r="A3273" t="s">
        <v>195</v>
      </c>
      <c r="B3273" t="s">
        <v>676</v>
      </c>
      <c r="C3273" t="s">
        <v>40</v>
      </c>
      <c r="D3273" s="1">
        <v>43334</v>
      </c>
      <c r="E3273" s="1">
        <v>43698</v>
      </c>
      <c r="F3273" t="s">
        <v>72</v>
      </c>
      <c r="G3273">
        <v>3</v>
      </c>
      <c r="H3273" t="s">
        <v>125</v>
      </c>
      <c r="I3273" t="s">
        <v>43</v>
      </c>
      <c r="J3273" t="s">
        <v>126</v>
      </c>
      <c r="K3273" t="s">
        <v>44</v>
      </c>
      <c r="L3273">
        <v>19316.669999999998</v>
      </c>
      <c r="M3273" s="1">
        <v>43334</v>
      </c>
      <c r="N3273" t="s">
        <v>45</v>
      </c>
      <c r="O3273" t="s">
        <v>46</v>
      </c>
      <c r="P3273" t="s">
        <v>47</v>
      </c>
      <c r="Q3273" s="1">
        <v>43852</v>
      </c>
      <c r="R3273" t="s">
        <v>48</v>
      </c>
      <c r="S3273" t="s">
        <v>271</v>
      </c>
      <c r="T3273" t="s">
        <v>272</v>
      </c>
      <c r="U3273" t="s">
        <v>125</v>
      </c>
      <c r="V3273">
        <v>0</v>
      </c>
      <c r="W3273">
        <v>50000</v>
      </c>
      <c r="X3273" s="1">
        <v>43738</v>
      </c>
      <c r="Y3273" t="s">
        <v>140</v>
      </c>
      <c r="Z3273" t="s">
        <v>43</v>
      </c>
      <c r="AA3273" t="s">
        <v>115</v>
      </c>
      <c r="AB3273" t="s">
        <v>268</v>
      </c>
      <c r="AC3273" t="s">
        <v>269</v>
      </c>
      <c r="AF3273" t="s">
        <v>134</v>
      </c>
      <c r="AG3273" s="1">
        <v>43843</v>
      </c>
      <c r="AH3273" t="s">
        <v>125</v>
      </c>
      <c r="AI3273" t="s">
        <v>92</v>
      </c>
      <c r="AJ3273">
        <v>1278023</v>
      </c>
      <c r="AK3273">
        <v>12365300</v>
      </c>
      <c r="AL3273">
        <v>12900</v>
      </c>
    </row>
    <row r="3274" spans="1:38" x14ac:dyDescent="0.25">
      <c r="A3274" t="s">
        <v>195</v>
      </c>
      <c r="B3274" t="s">
        <v>676</v>
      </c>
      <c r="C3274" t="s">
        <v>40</v>
      </c>
      <c r="D3274" s="1">
        <v>43334</v>
      </c>
      <c r="E3274" s="1">
        <v>43698</v>
      </c>
      <c r="F3274" t="s">
        <v>72</v>
      </c>
      <c r="G3274">
        <v>3</v>
      </c>
      <c r="H3274" t="s">
        <v>125</v>
      </c>
      <c r="I3274" t="s">
        <v>43</v>
      </c>
      <c r="J3274" t="s">
        <v>126</v>
      </c>
      <c r="K3274" t="s">
        <v>44</v>
      </c>
      <c r="L3274">
        <v>19316.669999999998</v>
      </c>
      <c r="M3274" s="1">
        <v>43334</v>
      </c>
      <c r="N3274" t="s">
        <v>45</v>
      </c>
      <c r="O3274" t="s">
        <v>46</v>
      </c>
      <c r="P3274" t="s">
        <v>47</v>
      </c>
      <c r="Q3274" s="1">
        <v>43852</v>
      </c>
      <c r="R3274" t="s">
        <v>48</v>
      </c>
      <c r="S3274" t="s">
        <v>271</v>
      </c>
      <c r="T3274" t="s">
        <v>272</v>
      </c>
      <c r="U3274" t="s">
        <v>125</v>
      </c>
      <c r="V3274">
        <v>0</v>
      </c>
      <c r="W3274">
        <v>50000</v>
      </c>
      <c r="X3274" s="1">
        <v>43738</v>
      </c>
      <c r="Y3274" t="s">
        <v>140</v>
      </c>
      <c r="Z3274" t="s">
        <v>43</v>
      </c>
      <c r="AA3274" t="s">
        <v>115</v>
      </c>
      <c r="AB3274" t="s">
        <v>268</v>
      </c>
      <c r="AC3274" t="s">
        <v>269</v>
      </c>
      <c r="AF3274" t="s">
        <v>135</v>
      </c>
      <c r="AG3274" s="1">
        <v>43843</v>
      </c>
      <c r="AH3274" t="s">
        <v>125</v>
      </c>
      <c r="AI3274" t="s">
        <v>92</v>
      </c>
      <c r="AJ3274">
        <v>1278023</v>
      </c>
      <c r="AK3274">
        <v>12365300</v>
      </c>
      <c r="AL3274">
        <v>12900</v>
      </c>
    </row>
    <row r="3275" spans="1:38" x14ac:dyDescent="0.25">
      <c r="A3275" t="s">
        <v>195</v>
      </c>
      <c r="B3275" t="s">
        <v>676</v>
      </c>
      <c r="C3275" t="s">
        <v>40</v>
      </c>
      <c r="D3275" s="1">
        <v>43334</v>
      </c>
      <c r="E3275" s="1">
        <v>43698</v>
      </c>
      <c r="F3275" t="s">
        <v>72</v>
      </c>
      <c r="G3275">
        <v>3</v>
      </c>
      <c r="H3275" t="s">
        <v>125</v>
      </c>
      <c r="I3275" t="s">
        <v>43</v>
      </c>
      <c r="J3275" t="s">
        <v>126</v>
      </c>
      <c r="K3275" t="s">
        <v>44</v>
      </c>
      <c r="L3275">
        <v>19316.669999999998</v>
      </c>
      <c r="M3275" s="1">
        <v>43334</v>
      </c>
      <c r="N3275" t="s">
        <v>45</v>
      </c>
      <c r="O3275" t="s">
        <v>46</v>
      </c>
      <c r="P3275" t="s">
        <v>47</v>
      </c>
      <c r="Q3275" s="1">
        <v>43852</v>
      </c>
      <c r="R3275" t="s">
        <v>48</v>
      </c>
      <c r="S3275" t="s">
        <v>271</v>
      </c>
      <c r="T3275" t="s">
        <v>272</v>
      </c>
      <c r="U3275" t="s">
        <v>125</v>
      </c>
      <c r="V3275">
        <v>0</v>
      </c>
      <c r="W3275">
        <v>50000</v>
      </c>
      <c r="X3275" s="1">
        <v>43738</v>
      </c>
      <c r="Y3275" t="s">
        <v>140</v>
      </c>
      <c r="Z3275" t="s">
        <v>43</v>
      </c>
      <c r="AA3275" t="s">
        <v>115</v>
      </c>
      <c r="AB3275" t="s">
        <v>268</v>
      </c>
      <c r="AC3275" t="s">
        <v>269</v>
      </c>
      <c r="AF3275" t="s">
        <v>136</v>
      </c>
      <c r="AG3275" s="1">
        <v>43839</v>
      </c>
      <c r="AH3275" t="s">
        <v>125</v>
      </c>
      <c r="AI3275" t="s">
        <v>92</v>
      </c>
      <c r="AJ3275">
        <v>1278023</v>
      </c>
      <c r="AK3275">
        <v>12365300</v>
      </c>
      <c r="AL3275">
        <v>12900</v>
      </c>
    </row>
    <row r="3276" spans="1:38" x14ac:dyDescent="0.25">
      <c r="A3276" t="s">
        <v>195</v>
      </c>
      <c r="B3276" t="s">
        <v>676</v>
      </c>
      <c r="C3276" t="s">
        <v>40</v>
      </c>
      <c r="D3276" s="1">
        <v>43334</v>
      </c>
      <c r="E3276" s="1">
        <v>43698</v>
      </c>
      <c r="F3276" t="s">
        <v>72</v>
      </c>
      <c r="G3276">
        <v>3</v>
      </c>
      <c r="H3276" t="s">
        <v>125</v>
      </c>
      <c r="I3276" t="s">
        <v>43</v>
      </c>
      <c r="J3276" t="s">
        <v>126</v>
      </c>
      <c r="K3276" t="s">
        <v>44</v>
      </c>
      <c r="L3276">
        <v>19316.669999999998</v>
      </c>
      <c r="M3276" s="1">
        <v>43334</v>
      </c>
      <c r="N3276" t="s">
        <v>45</v>
      </c>
      <c r="O3276" t="s">
        <v>46</v>
      </c>
      <c r="P3276" t="s">
        <v>47</v>
      </c>
      <c r="Q3276" s="1">
        <v>43852</v>
      </c>
      <c r="R3276" t="s">
        <v>48</v>
      </c>
      <c r="S3276" t="s">
        <v>271</v>
      </c>
      <c r="T3276" t="s">
        <v>272</v>
      </c>
      <c r="U3276" t="s">
        <v>125</v>
      </c>
      <c r="V3276">
        <v>0</v>
      </c>
      <c r="W3276">
        <v>50000</v>
      </c>
      <c r="X3276" s="1">
        <v>43738</v>
      </c>
      <c r="Y3276" t="s">
        <v>140</v>
      </c>
      <c r="Z3276" t="s">
        <v>43</v>
      </c>
      <c r="AA3276" t="s">
        <v>115</v>
      </c>
      <c r="AB3276" t="s">
        <v>268</v>
      </c>
      <c r="AC3276" t="s">
        <v>269</v>
      </c>
      <c r="AF3276" t="s">
        <v>137</v>
      </c>
      <c r="AG3276" s="1">
        <v>43840</v>
      </c>
      <c r="AH3276" t="s">
        <v>125</v>
      </c>
      <c r="AI3276" t="s">
        <v>92</v>
      </c>
      <c r="AJ3276">
        <v>1278023</v>
      </c>
      <c r="AK3276">
        <v>12365300</v>
      </c>
      <c r="AL3276">
        <v>12900</v>
      </c>
    </row>
    <row r="3277" spans="1:38" x14ac:dyDescent="0.25">
      <c r="A3277" t="s">
        <v>197</v>
      </c>
      <c r="B3277">
        <v>505373</v>
      </c>
      <c r="C3277" t="s">
        <v>71</v>
      </c>
      <c r="D3277" s="1">
        <v>43157</v>
      </c>
      <c r="E3277" s="1">
        <v>43521</v>
      </c>
      <c r="F3277" t="s">
        <v>84</v>
      </c>
      <c r="G3277">
        <v>10</v>
      </c>
      <c r="H3277" t="s">
        <v>85</v>
      </c>
      <c r="I3277" t="s">
        <v>43</v>
      </c>
      <c r="J3277" t="s">
        <v>86</v>
      </c>
      <c r="K3277" t="s">
        <v>44</v>
      </c>
      <c r="L3277">
        <v>23115.200000000001</v>
      </c>
      <c r="M3277" s="1">
        <v>43157</v>
      </c>
      <c r="N3277" t="s">
        <v>45</v>
      </c>
      <c r="O3277" t="s">
        <v>46</v>
      </c>
      <c r="P3277" t="s">
        <v>47</v>
      </c>
      <c r="Q3277" s="1">
        <v>43852</v>
      </c>
      <c r="R3277" t="s">
        <v>48</v>
      </c>
      <c r="S3277" t="s">
        <v>87</v>
      </c>
      <c r="T3277" t="s">
        <v>88</v>
      </c>
      <c r="U3277" t="s">
        <v>85</v>
      </c>
      <c r="V3277">
        <v>1400000</v>
      </c>
      <c r="W3277">
        <v>100000</v>
      </c>
      <c r="X3277" s="1">
        <v>43808</v>
      </c>
      <c r="Y3277" t="s">
        <v>51</v>
      </c>
      <c r="Z3277" t="s">
        <v>43</v>
      </c>
      <c r="AA3277" t="s">
        <v>86</v>
      </c>
      <c r="AB3277" t="s">
        <v>89</v>
      </c>
      <c r="AC3277" t="s">
        <v>90</v>
      </c>
      <c r="AF3277" t="s">
        <v>91</v>
      </c>
      <c r="AG3277" s="1">
        <v>43852</v>
      </c>
      <c r="AH3277" t="s">
        <v>85</v>
      </c>
      <c r="AI3277" t="s">
        <v>92</v>
      </c>
      <c r="AJ3277">
        <v>19888</v>
      </c>
      <c r="AK3277">
        <v>128777</v>
      </c>
      <c r="AL3277">
        <v>198882</v>
      </c>
    </row>
    <row r="3278" spans="1:38" x14ac:dyDescent="0.25">
      <c r="A3278" t="s">
        <v>197</v>
      </c>
      <c r="B3278">
        <v>505373</v>
      </c>
      <c r="C3278" t="s">
        <v>71</v>
      </c>
      <c r="D3278" s="1">
        <v>43157</v>
      </c>
      <c r="E3278" s="1">
        <v>43521</v>
      </c>
      <c r="F3278" t="s">
        <v>84</v>
      </c>
      <c r="G3278">
        <v>10</v>
      </c>
      <c r="H3278" t="s">
        <v>85</v>
      </c>
      <c r="I3278" t="s">
        <v>43</v>
      </c>
      <c r="J3278" t="s">
        <v>86</v>
      </c>
      <c r="K3278" t="s">
        <v>44</v>
      </c>
      <c r="L3278">
        <v>23115.200000000001</v>
      </c>
      <c r="M3278" s="1">
        <v>43157</v>
      </c>
      <c r="N3278" t="s">
        <v>45</v>
      </c>
      <c r="O3278" t="s">
        <v>46</v>
      </c>
      <c r="P3278" t="s">
        <v>47</v>
      </c>
      <c r="Q3278" s="1">
        <v>43852</v>
      </c>
      <c r="R3278" t="s">
        <v>48</v>
      </c>
      <c r="S3278" t="s">
        <v>87</v>
      </c>
      <c r="T3278" t="s">
        <v>88</v>
      </c>
      <c r="U3278" t="s">
        <v>85</v>
      </c>
      <c r="V3278">
        <v>1400000</v>
      </c>
      <c r="W3278">
        <v>100000</v>
      </c>
      <c r="X3278" s="1">
        <v>43808</v>
      </c>
      <c r="Y3278" t="s">
        <v>51</v>
      </c>
      <c r="Z3278" t="s">
        <v>43</v>
      </c>
      <c r="AA3278" t="s">
        <v>86</v>
      </c>
      <c r="AB3278" t="s">
        <v>89</v>
      </c>
      <c r="AC3278" t="s">
        <v>90</v>
      </c>
      <c r="AF3278" t="s">
        <v>93</v>
      </c>
      <c r="AG3278" s="1">
        <v>43843</v>
      </c>
      <c r="AH3278" t="s">
        <v>85</v>
      </c>
      <c r="AI3278" t="s">
        <v>92</v>
      </c>
      <c r="AJ3278">
        <v>19888</v>
      </c>
      <c r="AK3278">
        <v>128777</v>
      </c>
      <c r="AL3278">
        <v>198882</v>
      </c>
    </row>
    <row r="3279" spans="1:38" x14ac:dyDescent="0.25">
      <c r="A3279" t="s">
        <v>197</v>
      </c>
      <c r="B3279">
        <v>505373</v>
      </c>
      <c r="C3279" t="s">
        <v>71</v>
      </c>
      <c r="D3279" s="1">
        <v>43157</v>
      </c>
      <c r="E3279" s="1">
        <v>43521</v>
      </c>
      <c r="F3279" t="s">
        <v>84</v>
      </c>
      <c r="G3279">
        <v>10</v>
      </c>
      <c r="H3279" t="s">
        <v>85</v>
      </c>
      <c r="I3279" t="s">
        <v>43</v>
      </c>
      <c r="J3279" t="s">
        <v>86</v>
      </c>
      <c r="K3279" t="s">
        <v>44</v>
      </c>
      <c r="L3279">
        <v>23115.200000000001</v>
      </c>
      <c r="M3279" s="1">
        <v>43157</v>
      </c>
      <c r="N3279" t="s">
        <v>45</v>
      </c>
      <c r="O3279" t="s">
        <v>46</v>
      </c>
      <c r="P3279" t="s">
        <v>47</v>
      </c>
      <c r="Q3279" s="1">
        <v>43852</v>
      </c>
      <c r="R3279" t="s">
        <v>48</v>
      </c>
      <c r="S3279" t="s">
        <v>94</v>
      </c>
      <c r="T3279" t="s">
        <v>95</v>
      </c>
      <c r="U3279" t="s">
        <v>85</v>
      </c>
      <c r="V3279">
        <v>4500000</v>
      </c>
      <c r="W3279">
        <v>300000</v>
      </c>
      <c r="X3279" s="1">
        <v>43767</v>
      </c>
      <c r="Y3279" t="s">
        <v>51</v>
      </c>
      <c r="Z3279" t="s">
        <v>43</v>
      </c>
      <c r="AA3279" t="s">
        <v>86</v>
      </c>
      <c r="AB3279" t="s">
        <v>89</v>
      </c>
      <c r="AC3279" t="s">
        <v>90</v>
      </c>
      <c r="AF3279" t="s">
        <v>91</v>
      </c>
      <c r="AG3279" s="1">
        <v>43852</v>
      </c>
      <c r="AH3279" t="s">
        <v>85</v>
      </c>
      <c r="AI3279" t="s">
        <v>92</v>
      </c>
      <c r="AJ3279">
        <v>19888</v>
      </c>
      <c r="AK3279">
        <v>128777</v>
      </c>
      <c r="AL3279">
        <v>198882</v>
      </c>
    </row>
    <row r="3280" spans="1:38" x14ac:dyDescent="0.25">
      <c r="A3280" t="s">
        <v>197</v>
      </c>
      <c r="B3280">
        <v>505373</v>
      </c>
      <c r="C3280" t="s">
        <v>71</v>
      </c>
      <c r="D3280" s="1">
        <v>43157</v>
      </c>
      <c r="E3280" s="1">
        <v>43521</v>
      </c>
      <c r="F3280" t="s">
        <v>84</v>
      </c>
      <c r="G3280">
        <v>10</v>
      </c>
      <c r="H3280" t="s">
        <v>85</v>
      </c>
      <c r="I3280" t="s">
        <v>43</v>
      </c>
      <c r="J3280" t="s">
        <v>86</v>
      </c>
      <c r="K3280" t="s">
        <v>44</v>
      </c>
      <c r="L3280">
        <v>23115.200000000001</v>
      </c>
      <c r="M3280" s="1">
        <v>43157</v>
      </c>
      <c r="N3280" t="s">
        <v>45</v>
      </c>
      <c r="O3280" t="s">
        <v>46</v>
      </c>
      <c r="P3280" t="s">
        <v>47</v>
      </c>
      <c r="Q3280" s="1">
        <v>43852</v>
      </c>
      <c r="R3280" t="s">
        <v>48</v>
      </c>
      <c r="S3280" t="s">
        <v>94</v>
      </c>
      <c r="T3280" t="s">
        <v>95</v>
      </c>
      <c r="U3280" t="s">
        <v>85</v>
      </c>
      <c r="V3280">
        <v>4500000</v>
      </c>
      <c r="W3280">
        <v>300000</v>
      </c>
      <c r="X3280" s="1">
        <v>43767</v>
      </c>
      <c r="Y3280" t="s">
        <v>51</v>
      </c>
      <c r="Z3280" t="s">
        <v>43</v>
      </c>
      <c r="AA3280" t="s">
        <v>86</v>
      </c>
      <c r="AB3280" t="s">
        <v>89</v>
      </c>
      <c r="AC3280" t="s">
        <v>90</v>
      </c>
      <c r="AF3280" t="s">
        <v>93</v>
      </c>
      <c r="AG3280" s="1">
        <v>43843</v>
      </c>
      <c r="AH3280" t="s">
        <v>85</v>
      </c>
      <c r="AI3280" t="s">
        <v>92</v>
      </c>
      <c r="AJ3280">
        <v>19888</v>
      </c>
      <c r="AK3280">
        <v>128777</v>
      </c>
      <c r="AL3280">
        <v>198882</v>
      </c>
    </row>
    <row r="3281" spans="1:38" x14ac:dyDescent="0.25">
      <c r="A3281" t="s">
        <v>197</v>
      </c>
      <c r="B3281">
        <v>505373</v>
      </c>
      <c r="C3281" t="s">
        <v>71</v>
      </c>
      <c r="D3281" s="1">
        <v>43157</v>
      </c>
      <c r="E3281" s="1">
        <v>43521</v>
      </c>
      <c r="F3281" t="s">
        <v>84</v>
      </c>
      <c r="G3281">
        <v>10</v>
      </c>
      <c r="H3281" t="s">
        <v>85</v>
      </c>
      <c r="I3281" t="s">
        <v>43</v>
      </c>
      <c r="J3281" t="s">
        <v>86</v>
      </c>
      <c r="K3281" t="s">
        <v>44</v>
      </c>
      <c r="L3281">
        <v>23115.200000000001</v>
      </c>
      <c r="M3281" s="1">
        <v>43157</v>
      </c>
      <c r="N3281" t="s">
        <v>45</v>
      </c>
      <c r="O3281" t="s">
        <v>46</v>
      </c>
      <c r="P3281" t="s">
        <v>47</v>
      </c>
      <c r="Q3281" s="1">
        <v>43852</v>
      </c>
      <c r="R3281" t="s">
        <v>48</v>
      </c>
      <c r="S3281" t="s">
        <v>96</v>
      </c>
      <c r="T3281" t="s">
        <v>97</v>
      </c>
      <c r="U3281" t="s">
        <v>85</v>
      </c>
      <c r="V3281">
        <v>600000</v>
      </c>
      <c r="W3281">
        <v>100000</v>
      </c>
      <c r="X3281" s="1">
        <v>43799</v>
      </c>
      <c r="Y3281" t="s">
        <v>51</v>
      </c>
      <c r="Z3281" t="s">
        <v>43</v>
      </c>
      <c r="AA3281" t="s">
        <v>98</v>
      </c>
      <c r="AB3281" t="s">
        <v>89</v>
      </c>
      <c r="AC3281" t="s">
        <v>90</v>
      </c>
      <c r="AF3281" t="s">
        <v>91</v>
      </c>
      <c r="AG3281" s="1">
        <v>43852</v>
      </c>
      <c r="AH3281" t="s">
        <v>85</v>
      </c>
      <c r="AI3281" t="s">
        <v>92</v>
      </c>
      <c r="AJ3281">
        <v>19888</v>
      </c>
      <c r="AK3281">
        <v>128777</v>
      </c>
      <c r="AL3281">
        <v>198882</v>
      </c>
    </row>
    <row r="3282" spans="1:38" x14ac:dyDescent="0.25">
      <c r="A3282" t="s">
        <v>197</v>
      </c>
      <c r="B3282">
        <v>505373</v>
      </c>
      <c r="C3282" t="s">
        <v>71</v>
      </c>
      <c r="D3282" s="1">
        <v>43157</v>
      </c>
      <c r="E3282" s="1">
        <v>43521</v>
      </c>
      <c r="F3282" t="s">
        <v>84</v>
      </c>
      <c r="G3282">
        <v>10</v>
      </c>
      <c r="H3282" t="s">
        <v>85</v>
      </c>
      <c r="I3282" t="s">
        <v>43</v>
      </c>
      <c r="J3282" t="s">
        <v>86</v>
      </c>
      <c r="K3282" t="s">
        <v>44</v>
      </c>
      <c r="L3282">
        <v>23115.200000000001</v>
      </c>
      <c r="M3282" s="1">
        <v>43157</v>
      </c>
      <c r="N3282" t="s">
        <v>45</v>
      </c>
      <c r="O3282" t="s">
        <v>46</v>
      </c>
      <c r="P3282" t="s">
        <v>47</v>
      </c>
      <c r="Q3282" s="1">
        <v>43852</v>
      </c>
      <c r="R3282" t="s">
        <v>48</v>
      </c>
      <c r="S3282" t="s">
        <v>96</v>
      </c>
      <c r="T3282" t="s">
        <v>97</v>
      </c>
      <c r="U3282" t="s">
        <v>85</v>
      </c>
      <c r="V3282">
        <v>600000</v>
      </c>
      <c r="W3282">
        <v>100000</v>
      </c>
      <c r="X3282" s="1">
        <v>43799</v>
      </c>
      <c r="Y3282" t="s">
        <v>51</v>
      </c>
      <c r="Z3282" t="s">
        <v>43</v>
      </c>
      <c r="AA3282" t="s">
        <v>98</v>
      </c>
      <c r="AB3282" t="s">
        <v>89</v>
      </c>
      <c r="AC3282" t="s">
        <v>90</v>
      </c>
      <c r="AF3282" t="s">
        <v>93</v>
      </c>
      <c r="AG3282" s="1">
        <v>43843</v>
      </c>
      <c r="AH3282" t="s">
        <v>85</v>
      </c>
      <c r="AI3282" t="s">
        <v>92</v>
      </c>
      <c r="AJ3282">
        <v>19888</v>
      </c>
      <c r="AK3282">
        <v>128777</v>
      </c>
      <c r="AL3282">
        <v>198882</v>
      </c>
    </row>
    <row r="3283" spans="1:38" x14ac:dyDescent="0.25">
      <c r="A3283" t="s">
        <v>197</v>
      </c>
      <c r="B3283">
        <v>505373</v>
      </c>
      <c r="C3283" t="s">
        <v>71</v>
      </c>
      <c r="D3283" s="1">
        <v>43157</v>
      </c>
      <c r="E3283" s="1">
        <v>43521</v>
      </c>
      <c r="F3283" t="s">
        <v>84</v>
      </c>
      <c r="G3283">
        <v>10</v>
      </c>
      <c r="H3283" t="s">
        <v>85</v>
      </c>
      <c r="I3283" t="s">
        <v>43</v>
      </c>
      <c r="J3283" t="s">
        <v>86</v>
      </c>
      <c r="K3283" t="s">
        <v>44</v>
      </c>
      <c r="L3283">
        <v>23115.200000000001</v>
      </c>
      <c r="M3283" s="1">
        <v>43157</v>
      </c>
      <c r="N3283" t="s">
        <v>45</v>
      </c>
      <c r="O3283" t="s">
        <v>46</v>
      </c>
      <c r="P3283" t="s">
        <v>47</v>
      </c>
      <c r="Q3283" s="1">
        <v>43852</v>
      </c>
      <c r="R3283" t="s">
        <v>48</v>
      </c>
      <c r="S3283" t="s">
        <v>99</v>
      </c>
      <c r="T3283" t="s">
        <v>100</v>
      </c>
      <c r="U3283" t="s">
        <v>85</v>
      </c>
      <c r="V3283">
        <v>210000</v>
      </c>
      <c r="W3283">
        <v>35000</v>
      </c>
      <c r="X3283" s="1">
        <v>43799</v>
      </c>
      <c r="Y3283" t="s">
        <v>51</v>
      </c>
      <c r="Z3283" t="s">
        <v>43</v>
      </c>
      <c r="AA3283" t="s">
        <v>98</v>
      </c>
      <c r="AB3283" t="s">
        <v>89</v>
      </c>
      <c r="AC3283" t="s">
        <v>101</v>
      </c>
      <c r="AF3283" t="s">
        <v>91</v>
      </c>
      <c r="AG3283" s="1">
        <v>43852</v>
      </c>
      <c r="AH3283" t="s">
        <v>85</v>
      </c>
      <c r="AI3283" t="s">
        <v>92</v>
      </c>
      <c r="AJ3283">
        <v>19888</v>
      </c>
      <c r="AK3283">
        <v>128777</v>
      </c>
      <c r="AL3283">
        <v>198882</v>
      </c>
    </row>
    <row r="3284" spans="1:38" x14ac:dyDescent="0.25">
      <c r="A3284" t="s">
        <v>197</v>
      </c>
      <c r="B3284">
        <v>505373</v>
      </c>
      <c r="C3284" t="s">
        <v>71</v>
      </c>
      <c r="D3284" s="1">
        <v>43157</v>
      </c>
      <c r="E3284" s="1">
        <v>43521</v>
      </c>
      <c r="F3284" t="s">
        <v>84</v>
      </c>
      <c r="G3284">
        <v>10</v>
      </c>
      <c r="H3284" t="s">
        <v>85</v>
      </c>
      <c r="I3284" t="s">
        <v>43</v>
      </c>
      <c r="J3284" t="s">
        <v>86</v>
      </c>
      <c r="K3284" t="s">
        <v>44</v>
      </c>
      <c r="L3284">
        <v>23115.200000000001</v>
      </c>
      <c r="M3284" s="1">
        <v>43157</v>
      </c>
      <c r="N3284" t="s">
        <v>45</v>
      </c>
      <c r="O3284" t="s">
        <v>46</v>
      </c>
      <c r="P3284" t="s">
        <v>47</v>
      </c>
      <c r="Q3284" s="1">
        <v>43852</v>
      </c>
      <c r="R3284" t="s">
        <v>48</v>
      </c>
      <c r="S3284" t="s">
        <v>99</v>
      </c>
      <c r="T3284" t="s">
        <v>100</v>
      </c>
      <c r="U3284" t="s">
        <v>85</v>
      </c>
      <c r="V3284">
        <v>210000</v>
      </c>
      <c r="W3284">
        <v>35000</v>
      </c>
      <c r="X3284" s="1">
        <v>43799</v>
      </c>
      <c r="Y3284" t="s">
        <v>51</v>
      </c>
      <c r="Z3284" t="s">
        <v>43</v>
      </c>
      <c r="AA3284" t="s">
        <v>98</v>
      </c>
      <c r="AB3284" t="s">
        <v>89</v>
      </c>
      <c r="AC3284" t="s">
        <v>101</v>
      </c>
      <c r="AF3284" t="s">
        <v>93</v>
      </c>
      <c r="AG3284" s="1">
        <v>43843</v>
      </c>
      <c r="AH3284" t="s">
        <v>85</v>
      </c>
      <c r="AI3284" t="s">
        <v>92</v>
      </c>
      <c r="AJ3284">
        <v>19888</v>
      </c>
      <c r="AK3284">
        <v>128777</v>
      </c>
      <c r="AL3284">
        <v>198882</v>
      </c>
    </row>
    <row r="3285" spans="1:38" x14ac:dyDescent="0.25">
      <c r="A3285" t="s">
        <v>197</v>
      </c>
      <c r="B3285">
        <v>505373</v>
      </c>
      <c r="C3285" t="s">
        <v>71</v>
      </c>
      <c r="D3285" s="1">
        <v>43157</v>
      </c>
      <c r="E3285" s="1">
        <v>43521</v>
      </c>
      <c r="F3285" t="s">
        <v>84</v>
      </c>
      <c r="G3285">
        <v>10</v>
      </c>
      <c r="H3285" t="s">
        <v>85</v>
      </c>
      <c r="I3285" t="s">
        <v>43</v>
      </c>
      <c r="J3285" t="s">
        <v>86</v>
      </c>
      <c r="K3285" t="s">
        <v>44</v>
      </c>
      <c r="L3285">
        <v>23115.200000000001</v>
      </c>
      <c r="M3285" s="1">
        <v>43157</v>
      </c>
      <c r="N3285" t="s">
        <v>45</v>
      </c>
      <c r="O3285" t="s">
        <v>46</v>
      </c>
      <c r="P3285" t="s">
        <v>47</v>
      </c>
      <c r="Q3285" s="1">
        <v>43852</v>
      </c>
      <c r="R3285" t="s">
        <v>48</v>
      </c>
      <c r="S3285" t="s">
        <v>102</v>
      </c>
      <c r="T3285" t="s">
        <v>103</v>
      </c>
      <c r="U3285" t="s">
        <v>85</v>
      </c>
      <c r="V3285">
        <v>5000000</v>
      </c>
      <c r="W3285">
        <v>250000</v>
      </c>
      <c r="X3285" s="1">
        <v>43799</v>
      </c>
      <c r="Y3285" t="s">
        <v>51</v>
      </c>
      <c r="Z3285" t="s">
        <v>43</v>
      </c>
      <c r="AA3285" t="s">
        <v>86</v>
      </c>
      <c r="AB3285" t="s">
        <v>89</v>
      </c>
      <c r="AC3285" t="s">
        <v>90</v>
      </c>
      <c r="AF3285" t="s">
        <v>91</v>
      </c>
      <c r="AG3285" s="1">
        <v>43852</v>
      </c>
      <c r="AH3285" t="s">
        <v>85</v>
      </c>
      <c r="AI3285" t="s">
        <v>92</v>
      </c>
      <c r="AJ3285">
        <v>19888</v>
      </c>
      <c r="AK3285">
        <v>128777</v>
      </c>
      <c r="AL3285">
        <v>198882</v>
      </c>
    </row>
    <row r="3286" spans="1:38" x14ac:dyDescent="0.25">
      <c r="A3286" t="s">
        <v>197</v>
      </c>
      <c r="B3286">
        <v>505373</v>
      </c>
      <c r="C3286" t="s">
        <v>71</v>
      </c>
      <c r="D3286" s="1">
        <v>43157</v>
      </c>
      <c r="E3286" s="1">
        <v>43521</v>
      </c>
      <c r="F3286" t="s">
        <v>84</v>
      </c>
      <c r="G3286">
        <v>10</v>
      </c>
      <c r="H3286" t="s">
        <v>85</v>
      </c>
      <c r="I3286" t="s">
        <v>43</v>
      </c>
      <c r="J3286" t="s">
        <v>86</v>
      </c>
      <c r="K3286" t="s">
        <v>44</v>
      </c>
      <c r="L3286">
        <v>23115.200000000001</v>
      </c>
      <c r="M3286" s="1">
        <v>43157</v>
      </c>
      <c r="N3286" t="s">
        <v>45</v>
      </c>
      <c r="O3286" t="s">
        <v>46</v>
      </c>
      <c r="P3286" t="s">
        <v>47</v>
      </c>
      <c r="Q3286" s="1">
        <v>43852</v>
      </c>
      <c r="R3286" t="s">
        <v>48</v>
      </c>
      <c r="S3286" t="s">
        <v>102</v>
      </c>
      <c r="T3286" t="s">
        <v>103</v>
      </c>
      <c r="U3286" t="s">
        <v>85</v>
      </c>
      <c r="V3286">
        <v>5000000</v>
      </c>
      <c r="W3286">
        <v>250000</v>
      </c>
      <c r="X3286" s="1">
        <v>43799</v>
      </c>
      <c r="Y3286" t="s">
        <v>51</v>
      </c>
      <c r="Z3286" t="s">
        <v>43</v>
      </c>
      <c r="AA3286" t="s">
        <v>86</v>
      </c>
      <c r="AB3286" t="s">
        <v>89</v>
      </c>
      <c r="AC3286" t="s">
        <v>90</v>
      </c>
      <c r="AF3286" t="s">
        <v>93</v>
      </c>
      <c r="AG3286" s="1">
        <v>43843</v>
      </c>
      <c r="AH3286" t="s">
        <v>85</v>
      </c>
      <c r="AI3286" t="s">
        <v>92</v>
      </c>
      <c r="AJ3286">
        <v>19888</v>
      </c>
      <c r="AK3286">
        <v>128777</v>
      </c>
      <c r="AL3286">
        <v>198882</v>
      </c>
    </row>
    <row r="3287" spans="1:38" x14ac:dyDescent="0.25">
      <c r="A3287" t="s">
        <v>198</v>
      </c>
      <c r="B3287" t="s">
        <v>677</v>
      </c>
      <c r="C3287" t="s">
        <v>40</v>
      </c>
      <c r="D3287" s="1">
        <v>43522</v>
      </c>
      <c r="E3287" s="1">
        <v>43886</v>
      </c>
      <c r="F3287" t="s">
        <v>84</v>
      </c>
      <c r="G3287">
        <v>10</v>
      </c>
      <c r="H3287" t="s">
        <v>85</v>
      </c>
      <c r="I3287" t="s">
        <v>43</v>
      </c>
      <c r="J3287" t="s">
        <v>86</v>
      </c>
      <c r="K3287" t="s">
        <v>44</v>
      </c>
      <c r="L3287">
        <v>25336.44</v>
      </c>
      <c r="M3287" s="1">
        <v>43522</v>
      </c>
      <c r="N3287" t="s">
        <v>45</v>
      </c>
      <c r="O3287" t="s">
        <v>44</v>
      </c>
      <c r="P3287" t="s">
        <v>47</v>
      </c>
      <c r="Q3287" s="1">
        <v>43852</v>
      </c>
      <c r="R3287" t="s">
        <v>48</v>
      </c>
      <c r="S3287" t="s">
        <v>87</v>
      </c>
      <c r="T3287" t="s">
        <v>88</v>
      </c>
      <c r="U3287" t="s">
        <v>85</v>
      </c>
      <c r="V3287">
        <v>1400000</v>
      </c>
      <c r="W3287">
        <v>100000</v>
      </c>
      <c r="X3287" s="1">
        <v>43808</v>
      </c>
      <c r="Y3287" t="s">
        <v>51</v>
      </c>
      <c r="Z3287" t="s">
        <v>43</v>
      </c>
      <c r="AA3287" t="s">
        <v>86</v>
      </c>
      <c r="AB3287" t="s">
        <v>89</v>
      </c>
      <c r="AC3287" t="s">
        <v>90</v>
      </c>
      <c r="AF3287" t="s">
        <v>91</v>
      </c>
      <c r="AG3287" s="1">
        <v>43852</v>
      </c>
      <c r="AH3287" t="s">
        <v>85</v>
      </c>
      <c r="AI3287" t="s">
        <v>92</v>
      </c>
      <c r="AJ3287">
        <v>19888</v>
      </c>
      <c r="AK3287">
        <v>128777</v>
      </c>
      <c r="AL3287">
        <v>198882</v>
      </c>
    </row>
    <row r="3288" spans="1:38" x14ac:dyDescent="0.25">
      <c r="A3288" t="s">
        <v>198</v>
      </c>
      <c r="B3288" t="s">
        <v>677</v>
      </c>
      <c r="C3288" t="s">
        <v>40</v>
      </c>
      <c r="D3288" s="1">
        <v>43522</v>
      </c>
      <c r="E3288" s="1">
        <v>43886</v>
      </c>
      <c r="F3288" t="s">
        <v>84</v>
      </c>
      <c r="G3288">
        <v>10</v>
      </c>
      <c r="H3288" t="s">
        <v>85</v>
      </c>
      <c r="I3288" t="s">
        <v>43</v>
      </c>
      <c r="J3288" t="s">
        <v>86</v>
      </c>
      <c r="K3288" t="s">
        <v>44</v>
      </c>
      <c r="L3288">
        <v>25336.44</v>
      </c>
      <c r="M3288" s="1">
        <v>43522</v>
      </c>
      <c r="N3288" t="s">
        <v>45</v>
      </c>
      <c r="O3288" t="s">
        <v>44</v>
      </c>
      <c r="P3288" t="s">
        <v>47</v>
      </c>
      <c r="Q3288" s="1">
        <v>43852</v>
      </c>
      <c r="R3288" t="s">
        <v>48</v>
      </c>
      <c r="S3288" t="s">
        <v>87</v>
      </c>
      <c r="T3288" t="s">
        <v>88</v>
      </c>
      <c r="U3288" t="s">
        <v>85</v>
      </c>
      <c r="V3288">
        <v>1400000</v>
      </c>
      <c r="W3288">
        <v>100000</v>
      </c>
      <c r="X3288" s="1">
        <v>43808</v>
      </c>
      <c r="Y3288" t="s">
        <v>51</v>
      </c>
      <c r="Z3288" t="s">
        <v>43</v>
      </c>
      <c r="AA3288" t="s">
        <v>86</v>
      </c>
      <c r="AB3288" t="s">
        <v>89</v>
      </c>
      <c r="AC3288" t="s">
        <v>90</v>
      </c>
      <c r="AF3288" t="s">
        <v>93</v>
      </c>
      <c r="AG3288" s="1">
        <v>43843</v>
      </c>
      <c r="AH3288" t="s">
        <v>85</v>
      </c>
      <c r="AI3288" t="s">
        <v>92</v>
      </c>
      <c r="AJ3288">
        <v>19888</v>
      </c>
      <c r="AK3288">
        <v>128777</v>
      </c>
      <c r="AL3288">
        <v>198882</v>
      </c>
    </row>
    <row r="3289" spans="1:38" x14ac:dyDescent="0.25">
      <c r="A3289" t="s">
        <v>198</v>
      </c>
      <c r="B3289" t="s">
        <v>677</v>
      </c>
      <c r="C3289" t="s">
        <v>40</v>
      </c>
      <c r="D3289" s="1">
        <v>43522</v>
      </c>
      <c r="E3289" s="1">
        <v>43886</v>
      </c>
      <c r="F3289" t="s">
        <v>84</v>
      </c>
      <c r="G3289">
        <v>10</v>
      </c>
      <c r="H3289" t="s">
        <v>85</v>
      </c>
      <c r="I3289" t="s">
        <v>43</v>
      </c>
      <c r="J3289" t="s">
        <v>86</v>
      </c>
      <c r="K3289" t="s">
        <v>44</v>
      </c>
      <c r="L3289">
        <v>25336.44</v>
      </c>
      <c r="M3289" s="1">
        <v>43522</v>
      </c>
      <c r="N3289" t="s">
        <v>45</v>
      </c>
      <c r="O3289" t="s">
        <v>44</v>
      </c>
      <c r="P3289" t="s">
        <v>47</v>
      </c>
      <c r="Q3289" s="1">
        <v>43852</v>
      </c>
      <c r="R3289" t="s">
        <v>48</v>
      </c>
      <c r="S3289" t="s">
        <v>94</v>
      </c>
      <c r="T3289" t="s">
        <v>95</v>
      </c>
      <c r="U3289" t="s">
        <v>85</v>
      </c>
      <c r="V3289">
        <v>4500000</v>
      </c>
      <c r="W3289">
        <v>300000</v>
      </c>
      <c r="X3289" s="1">
        <v>43767</v>
      </c>
      <c r="Y3289" t="s">
        <v>51</v>
      </c>
      <c r="Z3289" t="s">
        <v>43</v>
      </c>
      <c r="AA3289" t="s">
        <v>86</v>
      </c>
      <c r="AB3289" t="s">
        <v>89</v>
      </c>
      <c r="AC3289" t="s">
        <v>90</v>
      </c>
      <c r="AF3289" t="s">
        <v>91</v>
      </c>
      <c r="AG3289" s="1">
        <v>43852</v>
      </c>
      <c r="AH3289" t="s">
        <v>85</v>
      </c>
      <c r="AI3289" t="s">
        <v>92</v>
      </c>
      <c r="AJ3289">
        <v>19888</v>
      </c>
      <c r="AK3289">
        <v>128777</v>
      </c>
      <c r="AL3289">
        <v>198882</v>
      </c>
    </row>
    <row r="3290" spans="1:38" x14ac:dyDescent="0.25">
      <c r="A3290" t="s">
        <v>198</v>
      </c>
      <c r="B3290" t="s">
        <v>677</v>
      </c>
      <c r="C3290" t="s">
        <v>40</v>
      </c>
      <c r="D3290" s="1">
        <v>43522</v>
      </c>
      <c r="E3290" s="1">
        <v>43886</v>
      </c>
      <c r="F3290" t="s">
        <v>84</v>
      </c>
      <c r="G3290">
        <v>10</v>
      </c>
      <c r="H3290" t="s">
        <v>85</v>
      </c>
      <c r="I3290" t="s">
        <v>43</v>
      </c>
      <c r="J3290" t="s">
        <v>86</v>
      </c>
      <c r="K3290" t="s">
        <v>44</v>
      </c>
      <c r="L3290">
        <v>25336.44</v>
      </c>
      <c r="M3290" s="1">
        <v>43522</v>
      </c>
      <c r="N3290" t="s">
        <v>45</v>
      </c>
      <c r="O3290" t="s">
        <v>44</v>
      </c>
      <c r="P3290" t="s">
        <v>47</v>
      </c>
      <c r="Q3290" s="1">
        <v>43852</v>
      </c>
      <c r="R3290" t="s">
        <v>48</v>
      </c>
      <c r="S3290" t="s">
        <v>94</v>
      </c>
      <c r="T3290" t="s">
        <v>95</v>
      </c>
      <c r="U3290" t="s">
        <v>85</v>
      </c>
      <c r="V3290">
        <v>4500000</v>
      </c>
      <c r="W3290">
        <v>300000</v>
      </c>
      <c r="X3290" s="1">
        <v>43767</v>
      </c>
      <c r="Y3290" t="s">
        <v>51</v>
      </c>
      <c r="Z3290" t="s">
        <v>43</v>
      </c>
      <c r="AA3290" t="s">
        <v>86</v>
      </c>
      <c r="AB3290" t="s">
        <v>89</v>
      </c>
      <c r="AC3290" t="s">
        <v>90</v>
      </c>
      <c r="AF3290" t="s">
        <v>93</v>
      </c>
      <c r="AG3290" s="1">
        <v>43843</v>
      </c>
      <c r="AH3290" t="s">
        <v>85</v>
      </c>
      <c r="AI3290" t="s">
        <v>92</v>
      </c>
      <c r="AJ3290">
        <v>19888</v>
      </c>
      <c r="AK3290">
        <v>128777</v>
      </c>
      <c r="AL3290">
        <v>198882</v>
      </c>
    </row>
    <row r="3291" spans="1:38" x14ac:dyDescent="0.25">
      <c r="A3291" t="s">
        <v>198</v>
      </c>
      <c r="B3291" t="s">
        <v>677</v>
      </c>
      <c r="C3291" t="s">
        <v>40</v>
      </c>
      <c r="D3291" s="1">
        <v>43522</v>
      </c>
      <c r="E3291" s="1">
        <v>43886</v>
      </c>
      <c r="F3291" t="s">
        <v>84</v>
      </c>
      <c r="G3291">
        <v>10</v>
      </c>
      <c r="H3291" t="s">
        <v>85</v>
      </c>
      <c r="I3291" t="s">
        <v>43</v>
      </c>
      <c r="J3291" t="s">
        <v>86</v>
      </c>
      <c r="K3291" t="s">
        <v>44</v>
      </c>
      <c r="L3291">
        <v>25336.44</v>
      </c>
      <c r="M3291" s="1">
        <v>43522</v>
      </c>
      <c r="N3291" t="s">
        <v>45</v>
      </c>
      <c r="O3291" t="s">
        <v>44</v>
      </c>
      <c r="P3291" t="s">
        <v>47</v>
      </c>
      <c r="Q3291" s="1">
        <v>43852</v>
      </c>
      <c r="R3291" t="s">
        <v>48</v>
      </c>
      <c r="S3291" t="s">
        <v>96</v>
      </c>
      <c r="T3291" t="s">
        <v>97</v>
      </c>
      <c r="U3291" t="s">
        <v>85</v>
      </c>
      <c r="V3291">
        <v>600000</v>
      </c>
      <c r="W3291">
        <v>100000</v>
      </c>
      <c r="X3291" s="1">
        <v>43799</v>
      </c>
      <c r="Y3291" t="s">
        <v>51</v>
      </c>
      <c r="Z3291" t="s">
        <v>43</v>
      </c>
      <c r="AA3291" t="s">
        <v>98</v>
      </c>
      <c r="AB3291" t="s">
        <v>89</v>
      </c>
      <c r="AC3291" t="s">
        <v>90</v>
      </c>
      <c r="AF3291" t="s">
        <v>91</v>
      </c>
      <c r="AG3291" s="1">
        <v>43852</v>
      </c>
      <c r="AH3291" t="s">
        <v>85</v>
      </c>
      <c r="AI3291" t="s">
        <v>92</v>
      </c>
      <c r="AJ3291">
        <v>19888</v>
      </c>
      <c r="AK3291">
        <v>128777</v>
      </c>
      <c r="AL3291">
        <v>198882</v>
      </c>
    </row>
    <row r="3292" spans="1:38" x14ac:dyDescent="0.25">
      <c r="A3292" t="s">
        <v>198</v>
      </c>
      <c r="B3292" t="s">
        <v>677</v>
      </c>
      <c r="C3292" t="s">
        <v>40</v>
      </c>
      <c r="D3292" s="1">
        <v>43522</v>
      </c>
      <c r="E3292" s="1">
        <v>43886</v>
      </c>
      <c r="F3292" t="s">
        <v>84</v>
      </c>
      <c r="G3292">
        <v>10</v>
      </c>
      <c r="H3292" t="s">
        <v>85</v>
      </c>
      <c r="I3292" t="s">
        <v>43</v>
      </c>
      <c r="J3292" t="s">
        <v>86</v>
      </c>
      <c r="K3292" t="s">
        <v>44</v>
      </c>
      <c r="L3292">
        <v>25336.44</v>
      </c>
      <c r="M3292" s="1">
        <v>43522</v>
      </c>
      <c r="N3292" t="s">
        <v>45</v>
      </c>
      <c r="O3292" t="s">
        <v>44</v>
      </c>
      <c r="P3292" t="s">
        <v>47</v>
      </c>
      <c r="Q3292" s="1">
        <v>43852</v>
      </c>
      <c r="R3292" t="s">
        <v>48</v>
      </c>
      <c r="S3292" t="s">
        <v>96</v>
      </c>
      <c r="T3292" t="s">
        <v>97</v>
      </c>
      <c r="U3292" t="s">
        <v>85</v>
      </c>
      <c r="V3292">
        <v>600000</v>
      </c>
      <c r="W3292">
        <v>100000</v>
      </c>
      <c r="X3292" s="1">
        <v>43799</v>
      </c>
      <c r="Y3292" t="s">
        <v>51</v>
      </c>
      <c r="Z3292" t="s">
        <v>43</v>
      </c>
      <c r="AA3292" t="s">
        <v>98</v>
      </c>
      <c r="AB3292" t="s">
        <v>89</v>
      </c>
      <c r="AC3292" t="s">
        <v>90</v>
      </c>
      <c r="AF3292" t="s">
        <v>93</v>
      </c>
      <c r="AG3292" s="1">
        <v>43843</v>
      </c>
      <c r="AH3292" t="s">
        <v>85</v>
      </c>
      <c r="AI3292" t="s">
        <v>92</v>
      </c>
      <c r="AJ3292">
        <v>19888</v>
      </c>
      <c r="AK3292">
        <v>128777</v>
      </c>
      <c r="AL3292">
        <v>198882</v>
      </c>
    </row>
    <row r="3293" spans="1:38" x14ac:dyDescent="0.25">
      <c r="A3293" t="s">
        <v>198</v>
      </c>
      <c r="B3293" t="s">
        <v>677</v>
      </c>
      <c r="C3293" t="s">
        <v>40</v>
      </c>
      <c r="D3293" s="1">
        <v>43522</v>
      </c>
      <c r="E3293" s="1">
        <v>43886</v>
      </c>
      <c r="F3293" t="s">
        <v>84</v>
      </c>
      <c r="G3293">
        <v>10</v>
      </c>
      <c r="H3293" t="s">
        <v>85</v>
      </c>
      <c r="I3293" t="s">
        <v>43</v>
      </c>
      <c r="J3293" t="s">
        <v>86</v>
      </c>
      <c r="K3293" t="s">
        <v>44</v>
      </c>
      <c r="L3293">
        <v>25336.44</v>
      </c>
      <c r="M3293" s="1">
        <v>43522</v>
      </c>
      <c r="N3293" t="s">
        <v>45</v>
      </c>
      <c r="O3293" t="s">
        <v>44</v>
      </c>
      <c r="P3293" t="s">
        <v>47</v>
      </c>
      <c r="Q3293" s="1">
        <v>43852</v>
      </c>
      <c r="R3293" t="s">
        <v>48</v>
      </c>
      <c r="S3293" t="s">
        <v>99</v>
      </c>
      <c r="T3293" t="s">
        <v>100</v>
      </c>
      <c r="U3293" t="s">
        <v>85</v>
      </c>
      <c r="V3293">
        <v>210000</v>
      </c>
      <c r="W3293">
        <v>35000</v>
      </c>
      <c r="X3293" s="1">
        <v>43799</v>
      </c>
      <c r="Y3293" t="s">
        <v>51</v>
      </c>
      <c r="Z3293" t="s">
        <v>43</v>
      </c>
      <c r="AA3293" t="s">
        <v>98</v>
      </c>
      <c r="AB3293" t="s">
        <v>89</v>
      </c>
      <c r="AC3293" t="s">
        <v>101</v>
      </c>
      <c r="AF3293" t="s">
        <v>91</v>
      </c>
      <c r="AG3293" s="1">
        <v>43852</v>
      </c>
      <c r="AH3293" t="s">
        <v>85</v>
      </c>
      <c r="AI3293" t="s">
        <v>92</v>
      </c>
      <c r="AJ3293">
        <v>19888</v>
      </c>
      <c r="AK3293">
        <v>128777</v>
      </c>
      <c r="AL3293">
        <v>198882</v>
      </c>
    </row>
    <row r="3294" spans="1:38" x14ac:dyDescent="0.25">
      <c r="A3294" t="s">
        <v>198</v>
      </c>
      <c r="B3294" t="s">
        <v>677</v>
      </c>
      <c r="C3294" t="s">
        <v>40</v>
      </c>
      <c r="D3294" s="1">
        <v>43522</v>
      </c>
      <c r="E3294" s="1">
        <v>43886</v>
      </c>
      <c r="F3294" t="s">
        <v>84</v>
      </c>
      <c r="G3294">
        <v>10</v>
      </c>
      <c r="H3294" t="s">
        <v>85</v>
      </c>
      <c r="I3294" t="s">
        <v>43</v>
      </c>
      <c r="J3294" t="s">
        <v>86</v>
      </c>
      <c r="K3294" t="s">
        <v>44</v>
      </c>
      <c r="L3294">
        <v>25336.44</v>
      </c>
      <c r="M3294" s="1">
        <v>43522</v>
      </c>
      <c r="N3294" t="s">
        <v>45</v>
      </c>
      <c r="O3294" t="s">
        <v>44</v>
      </c>
      <c r="P3294" t="s">
        <v>47</v>
      </c>
      <c r="Q3294" s="1">
        <v>43852</v>
      </c>
      <c r="R3294" t="s">
        <v>48</v>
      </c>
      <c r="S3294" t="s">
        <v>99</v>
      </c>
      <c r="T3294" t="s">
        <v>100</v>
      </c>
      <c r="U3294" t="s">
        <v>85</v>
      </c>
      <c r="V3294">
        <v>210000</v>
      </c>
      <c r="W3294">
        <v>35000</v>
      </c>
      <c r="X3294" s="1">
        <v>43799</v>
      </c>
      <c r="Y3294" t="s">
        <v>51</v>
      </c>
      <c r="Z3294" t="s">
        <v>43</v>
      </c>
      <c r="AA3294" t="s">
        <v>98</v>
      </c>
      <c r="AB3294" t="s">
        <v>89</v>
      </c>
      <c r="AC3294" t="s">
        <v>101</v>
      </c>
      <c r="AF3294" t="s">
        <v>93</v>
      </c>
      <c r="AG3294" s="1">
        <v>43843</v>
      </c>
      <c r="AH3294" t="s">
        <v>85</v>
      </c>
      <c r="AI3294" t="s">
        <v>92</v>
      </c>
      <c r="AJ3294">
        <v>19888</v>
      </c>
      <c r="AK3294">
        <v>128777</v>
      </c>
      <c r="AL3294">
        <v>198882</v>
      </c>
    </row>
    <row r="3295" spans="1:38" x14ac:dyDescent="0.25">
      <c r="A3295" t="s">
        <v>198</v>
      </c>
      <c r="B3295" t="s">
        <v>677</v>
      </c>
      <c r="C3295" t="s">
        <v>40</v>
      </c>
      <c r="D3295" s="1">
        <v>43522</v>
      </c>
      <c r="E3295" s="1">
        <v>43886</v>
      </c>
      <c r="F3295" t="s">
        <v>84</v>
      </c>
      <c r="G3295">
        <v>10</v>
      </c>
      <c r="H3295" t="s">
        <v>85</v>
      </c>
      <c r="I3295" t="s">
        <v>43</v>
      </c>
      <c r="J3295" t="s">
        <v>86</v>
      </c>
      <c r="K3295" t="s">
        <v>44</v>
      </c>
      <c r="L3295">
        <v>25336.44</v>
      </c>
      <c r="M3295" s="1">
        <v>43522</v>
      </c>
      <c r="N3295" t="s">
        <v>45</v>
      </c>
      <c r="O3295" t="s">
        <v>44</v>
      </c>
      <c r="P3295" t="s">
        <v>47</v>
      </c>
      <c r="Q3295" s="1">
        <v>43852</v>
      </c>
      <c r="R3295" t="s">
        <v>48</v>
      </c>
      <c r="S3295" t="s">
        <v>102</v>
      </c>
      <c r="T3295" t="s">
        <v>103</v>
      </c>
      <c r="U3295" t="s">
        <v>85</v>
      </c>
      <c r="V3295">
        <v>5000000</v>
      </c>
      <c r="W3295">
        <v>250000</v>
      </c>
      <c r="X3295" s="1">
        <v>43799</v>
      </c>
      <c r="Y3295" t="s">
        <v>51</v>
      </c>
      <c r="Z3295" t="s">
        <v>43</v>
      </c>
      <c r="AA3295" t="s">
        <v>86</v>
      </c>
      <c r="AB3295" t="s">
        <v>89</v>
      </c>
      <c r="AC3295" t="s">
        <v>90</v>
      </c>
      <c r="AF3295" t="s">
        <v>91</v>
      </c>
      <c r="AG3295" s="1">
        <v>43852</v>
      </c>
      <c r="AH3295" t="s">
        <v>85</v>
      </c>
      <c r="AI3295" t="s">
        <v>92</v>
      </c>
      <c r="AJ3295">
        <v>19888</v>
      </c>
      <c r="AK3295">
        <v>128777</v>
      </c>
      <c r="AL3295">
        <v>198882</v>
      </c>
    </row>
    <row r="3296" spans="1:38" x14ac:dyDescent="0.25">
      <c r="A3296" t="s">
        <v>198</v>
      </c>
      <c r="B3296" t="s">
        <v>677</v>
      </c>
      <c r="C3296" t="s">
        <v>40</v>
      </c>
      <c r="D3296" s="1">
        <v>43522</v>
      </c>
      <c r="E3296" s="1">
        <v>43886</v>
      </c>
      <c r="F3296" t="s">
        <v>84</v>
      </c>
      <c r="G3296">
        <v>10</v>
      </c>
      <c r="H3296" t="s">
        <v>85</v>
      </c>
      <c r="I3296" t="s">
        <v>43</v>
      </c>
      <c r="J3296" t="s">
        <v>86</v>
      </c>
      <c r="K3296" t="s">
        <v>44</v>
      </c>
      <c r="L3296">
        <v>25336.44</v>
      </c>
      <c r="M3296" s="1">
        <v>43522</v>
      </c>
      <c r="N3296" t="s">
        <v>45</v>
      </c>
      <c r="O3296" t="s">
        <v>44</v>
      </c>
      <c r="P3296" t="s">
        <v>47</v>
      </c>
      <c r="Q3296" s="1">
        <v>43852</v>
      </c>
      <c r="R3296" t="s">
        <v>48</v>
      </c>
      <c r="S3296" t="s">
        <v>102</v>
      </c>
      <c r="T3296" t="s">
        <v>103</v>
      </c>
      <c r="U3296" t="s">
        <v>85</v>
      </c>
      <c r="V3296">
        <v>5000000</v>
      </c>
      <c r="W3296">
        <v>250000</v>
      </c>
      <c r="X3296" s="1">
        <v>43799</v>
      </c>
      <c r="Y3296" t="s">
        <v>51</v>
      </c>
      <c r="Z3296" t="s">
        <v>43</v>
      </c>
      <c r="AA3296" t="s">
        <v>86</v>
      </c>
      <c r="AB3296" t="s">
        <v>89</v>
      </c>
      <c r="AC3296" t="s">
        <v>90</v>
      </c>
      <c r="AF3296" t="s">
        <v>93</v>
      </c>
      <c r="AG3296" s="1">
        <v>43843</v>
      </c>
      <c r="AH3296" t="s">
        <v>85</v>
      </c>
      <c r="AI3296" t="s">
        <v>92</v>
      </c>
      <c r="AJ3296">
        <v>19888</v>
      </c>
      <c r="AK3296">
        <v>128777</v>
      </c>
      <c r="AL3296">
        <v>198882</v>
      </c>
    </row>
    <row r="3297" spans="1:38" x14ac:dyDescent="0.25">
      <c r="A3297" t="s">
        <v>200</v>
      </c>
      <c r="B3297">
        <v>51995029</v>
      </c>
      <c r="C3297" t="s">
        <v>71</v>
      </c>
      <c r="D3297" s="1">
        <v>43159</v>
      </c>
      <c r="E3297" s="1">
        <v>43523</v>
      </c>
      <c r="F3297" t="s">
        <v>84</v>
      </c>
      <c r="G3297">
        <v>10</v>
      </c>
      <c r="H3297" t="s">
        <v>85</v>
      </c>
      <c r="I3297" t="s">
        <v>43</v>
      </c>
      <c r="J3297" t="s">
        <v>86</v>
      </c>
      <c r="K3297" t="s">
        <v>44</v>
      </c>
      <c r="L3297">
        <v>12699.7</v>
      </c>
      <c r="M3297" s="1">
        <v>43159</v>
      </c>
      <c r="N3297" t="s">
        <v>45</v>
      </c>
      <c r="O3297" t="s">
        <v>106</v>
      </c>
      <c r="P3297" t="s">
        <v>47</v>
      </c>
      <c r="Q3297" s="1">
        <v>43852</v>
      </c>
      <c r="R3297" t="s">
        <v>48</v>
      </c>
      <c r="S3297" t="s">
        <v>87</v>
      </c>
      <c r="T3297" t="s">
        <v>88</v>
      </c>
      <c r="U3297" t="s">
        <v>85</v>
      </c>
      <c r="V3297">
        <v>1400000</v>
      </c>
      <c r="W3297">
        <v>100000</v>
      </c>
      <c r="X3297" s="1">
        <v>43808</v>
      </c>
      <c r="Y3297" t="s">
        <v>51</v>
      </c>
      <c r="Z3297" t="s">
        <v>43</v>
      </c>
      <c r="AA3297" t="s">
        <v>86</v>
      </c>
      <c r="AB3297" t="s">
        <v>89</v>
      </c>
      <c r="AC3297" t="s">
        <v>90</v>
      </c>
      <c r="AF3297" t="s">
        <v>91</v>
      </c>
      <c r="AG3297" s="1">
        <v>43852</v>
      </c>
      <c r="AH3297" t="s">
        <v>85</v>
      </c>
      <c r="AI3297" t="s">
        <v>92</v>
      </c>
      <c r="AJ3297">
        <v>19888</v>
      </c>
      <c r="AK3297">
        <v>128777</v>
      </c>
      <c r="AL3297">
        <v>198882</v>
      </c>
    </row>
    <row r="3298" spans="1:38" x14ac:dyDescent="0.25">
      <c r="A3298" t="s">
        <v>200</v>
      </c>
      <c r="B3298">
        <v>51995029</v>
      </c>
      <c r="C3298" t="s">
        <v>71</v>
      </c>
      <c r="D3298" s="1">
        <v>43159</v>
      </c>
      <c r="E3298" s="1">
        <v>43523</v>
      </c>
      <c r="F3298" t="s">
        <v>84</v>
      </c>
      <c r="G3298">
        <v>10</v>
      </c>
      <c r="H3298" t="s">
        <v>85</v>
      </c>
      <c r="I3298" t="s">
        <v>43</v>
      </c>
      <c r="J3298" t="s">
        <v>86</v>
      </c>
      <c r="K3298" t="s">
        <v>44</v>
      </c>
      <c r="L3298">
        <v>12699.7</v>
      </c>
      <c r="M3298" s="1">
        <v>43159</v>
      </c>
      <c r="N3298" t="s">
        <v>45</v>
      </c>
      <c r="O3298" t="s">
        <v>106</v>
      </c>
      <c r="P3298" t="s">
        <v>47</v>
      </c>
      <c r="Q3298" s="1">
        <v>43852</v>
      </c>
      <c r="R3298" t="s">
        <v>48</v>
      </c>
      <c r="S3298" t="s">
        <v>87</v>
      </c>
      <c r="T3298" t="s">
        <v>88</v>
      </c>
      <c r="U3298" t="s">
        <v>85</v>
      </c>
      <c r="V3298">
        <v>1400000</v>
      </c>
      <c r="W3298">
        <v>100000</v>
      </c>
      <c r="X3298" s="1">
        <v>43808</v>
      </c>
      <c r="Y3298" t="s">
        <v>51</v>
      </c>
      <c r="Z3298" t="s">
        <v>43</v>
      </c>
      <c r="AA3298" t="s">
        <v>86</v>
      </c>
      <c r="AB3298" t="s">
        <v>89</v>
      </c>
      <c r="AC3298" t="s">
        <v>90</v>
      </c>
      <c r="AF3298" t="s">
        <v>93</v>
      </c>
      <c r="AG3298" s="1">
        <v>43843</v>
      </c>
      <c r="AH3298" t="s">
        <v>85</v>
      </c>
      <c r="AI3298" t="s">
        <v>92</v>
      </c>
      <c r="AJ3298">
        <v>19888</v>
      </c>
      <c r="AK3298">
        <v>128777</v>
      </c>
      <c r="AL3298">
        <v>198882</v>
      </c>
    </row>
    <row r="3299" spans="1:38" x14ac:dyDescent="0.25">
      <c r="A3299" t="s">
        <v>200</v>
      </c>
      <c r="B3299">
        <v>51995029</v>
      </c>
      <c r="C3299" t="s">
        <v>71</v>
      </c>
      <c r="D3299" s="1">
        <v>43159</v>
      </c>
      <c r="E3299" s="1">
        <v>43523</v>
      </c>
      <c r="F3299" t="s">
        <v>84</v>
      </c>
      <c r="G3299">
        <v>10</v>
      </c>
      <c r="H3299" t="s">
        <v>85</v>
      </c>
      <c r="I3299" t="s">
        <v>43</v>
      </c>
      <c r="J3299" t="s">
        <v>86</v>
      </c>
      <c r="K3299" t="s">
        <v>44</v>
      </c>
      <c r="L3299">
        <v>12699.7</v>
      </c>
      <c r="M3299" s="1">
        <v>43159</v>
      </c>
      <c r="N3299" t="s">
        <v>45</v>
      </c>
      <c r="O3299" t="s">
        <v>106</v>
      </c>
      <c r="P3299" t="s">
        <v>47</v>
      </c>
      <c r="Q3299" s="1">
        <v>43852</v>
      </c>
      <c r="R3299" t="s">
        <v>48</v>
      </c>
      <c r="S3299" t="s">
        <v>94</v>
      </c>
      <c r="T3299" t="s">
        <v>95</v>
      </c>
      <c r="U3299" t="s">
        <v>85</v>
      </c>
      <c r="V3299">
        <v>4500000</v>
      </c>
      <c r="W3299">
        <v>300000</v>
      </c>
      <c r="X3299" s="1">
        <v>43767</v>
      </c>
      <c r="Y3299" t="s">
        <v>51</v>
      </c>
      <c r="Z3299" t="s">
        <v>43</v>
      </c>
      <c r="AA3299" t="s">
        <v>86</v>
      </c>
      <c r="AB3299" t="s">
        <v>89</v>
      </c>
      <c r="AC3299" t="s">
        <v>90</v>
      </c>
      <c r="AF3299" t="s">
        <v>91</v>
      </c>
      <c r="AG3299" s="1">
        <v>43852</v>
      </c>
      <c r="AH3299" t="s">
        <v>85</v>
      </c>
      <c r="AI3299" t="s">
        <v>92</v>
      </c>
      <c r="AJ3299">
        <v>19888</v>
      </c>
      <c r="AK3299">
        <v>128777</v>
      </c>
      <c r="AL3299">
        <v>198882</v>
      </c>
    </row>
    <row r="3300" spans="1:38" x14ac:dyDescent="0.25">
      <c r="A3300" t="s">
        <v>200</v>
      </c>
      <c r="B3300">
        <v>51995029</v>
      </c>
      <c r="C3300" t="s">
        <v>71</v>
      </c>
      <c r="D3300" s="1">
        <v>43159</v>
      </c>
      <c r="E3300" s="1">
        <v>43523</v>
      </c>
      <c r="F3300" t="s">
        <v>84</v>
      </c>
      <c r="G3300">
        <v>10</v>
      </c>
      <c r="H3300" t="s">
        <v>85</v>
      </c>
      <c r="I3300" t="s">
        <v>43</v>
      </c>
      <c r="J3300" t="s">
        <v>86</v>
      </c>
      <c r="K3300" t="s">
        <v>44</v>
      </c>
      <c r="L3300">
        <v>12699.7</v>
      </c>
      <c r="M3300" s="1">
        <v>43159</v>
      </c>
      <c r="N3300" t="s">
        <v>45</v>
      </c>
      <c r="O3300" t="s">
        <v>106</v>
      </c>
      <c r="P3300" t="s">
        <v>47</v>
      </c>
      <c r="Q3300" s="1">
        <v>43852</v>
      </c>
      <c r="R3300" t="s">
        <v>48</v>
      </c>
      <c r="S3300" t="s">
        <v>94</v>
      </c>
      <c r="T3300" t="s">
        <v>95</v>
      </c>
      <c r="U3300" t="s">
        <v>85</v>
      </c>
      <c r="V3300">
        <v>4500000</v>
      </c>
      <c r="W3300">
        <v>300000</v>
      </c>
      <c r="X3300" s="1">
        <v>43767</v>
      </c>
      <c r="Y3300" t="s">
        <v>51</v>
      </c>
      <c r="Z3300" t="s">
        <v>43</v>
      </c>
      <c r="AA3300" t="s">
        <v>86</v>
      </c>
      <c r="AB3300" t="s">
        <v>89</v>
      </c>
      <c r="AC3300" t="s">
        <v>90</v>
      </c>
      <c r="AF3300" t="s">
        <v>93</v>
      </c>
      <c r="AG3300" s="1">
        <v>43843</v>
      </c>
      <c r="AH3300" t="s">
        <v>85</v>
      </c>
      <c r="AI3300" t="s">
        <v>92</v>
      </c>
      <c r="AJ3300">
        <v>19888</v>
      </c>
      <c r="AK3300">
        <v>128777</v>
      </c>
      <c r="AL3300">
        <v>198882</v>
      </c>
    </row>
    <row r="3301" spans="1:38" x14ac:dyDescent="0.25">
      <c r="A3301" t="s">
        <v>200</v>
      </c>
      <c r="B3301">
        <v>51995029</v>
      </c>
      <c r="C3301" t="s">
        <v>71</v>
      </c>
      <c r="D3301" s="1">
        <v>43159</v>
      </c>
      <c r="E3301" s="1">
        <v>43523</v>
      </c>
      <c r="F3301" t="s">
        <v>84</v>
      </c>
      <c r="G3301">
        <v>10</v>
      </c>
      <c r="H3301" t="s">
        <v>85</v>
      </c>
      <c r="I3301" t="s">
        <v>43</v>
      </c>
      <c r="J3301" t="s">
        <v>86</v>
      </c>
      <c r="K3301" t="s">
        <v>44</v>
      </c>
      <c r="L3301">
        <v>12699.7</v>
      </c>
      <c r="M3301" s="1">
        <v>43159</v>
      </c>
      <c r="N3301" t="s">
        <v>45</v>
      </c>
      <c r="O3301" t="s">
        <v>106</v>
      </c>
      <c r="P3301" t="s">
        <v>47</v>
      </c>
      <c r="Q3301" s="1">
        <v>43852</v>
      </c>
      <c r="R3301" t="s">
        <v>48</v>
      </c>
      <c r="S3301" t="s">
        <v>96</v>
      </c>
      <c r="T3301" t="s">
        <v>97</v>
      </c>
      <c r="U3301" t="s">
        <v>85</v>
      </c>
      <c r="V3301">
        <v>600000</v>
      </c>
      <c r="W3301">
        <v>100000</v>
      </c>
      <c r="X3301" s="1">
        <v>43799</v>
      </c>
      <c r="Y3301" t="s">
        <v>51</v>
      </c>
      <c r="Z3301" t="s">
        <v>43</v>
      </c>
      <c r="AA3301" t="s">
        <v>98</v>
      </c>
      <c r="AB3301" t="s">
        <v>89</v>
      </c>
      <c r="AC3301" t="s">
        <v>90</v>
      </c>
      <c r="AF3301" t="s">
        <v>91</v>
      </c>
      <c r="AG3301" s="1">
        <v>43852</v>
      </c>
      <c r="AH3301" t="s">
        <v>85</v>
      </c>
      <c r="AI3301" t="s">
        <v>92</v>
      </c>
      <c r="AJ3301">
        <v>19888</v>
      </c>
      <c r="AK3301">
        <v>128777</v>
      </c>
      <c r="AL3301">
        <v>198882</v>
      </c>
    </row>
    <row r="3302" spans="1:38" x14ac:dyDescent="0.25">
      <c r="A3302" t="s">
        <v>200</v>
      </c>
      <c r="B3302">
        <v>51995029</v>
      </c>
      <c r="C3302" t="s">
        <v>71</v>
      </c>
      <c r="D3302" s="1">
        <v>43159</v>
      </c>
      <c r="E3302" s="1">
        <v>43523</v>
      </c>
      <c r="F3302" t="s">
        <v>84</v>
      </c>
      <c r="G3302">
        <v>10</v>
      </c>
      <c r="H3302" t="s">
        <v>85</v>
      </c>
      <c r="I3302" t="s">
        <v>43</v>
      </c>
      <c r="J3302" t="s">
        <v>86</v>
      </c>
      <c r="K3302" t="s">
        <v>44</v>
      </c>
      <c r="L3302">
        <v>12699.7</v>
      </c>
      <c r="M3302" s="1">
        <v>43159</v>
      </c>
      <c r="N3302" t="s">
        <v>45</v>
      </c>
      <c r="O3302" t="s">
        <v>106</v>
      </c>
      <c r="P3302" t="s">
        <v>47</v>
      </c>
      <c r="Q3302" s="1">
        <v>43852</v>
      </c>
      <c r="R3302" t="s">
        <v>48</v>
      </c>
      <c r="S3302" t="s">
        <v>96</v>
      </c>
      <c r="T3302" t="s">
        <v>97</v>
      </c>
      <c r="U3302" t="s">
        <v>85</v>
      </c>
      <c r="V3302">
        <v>600000</v>
      </c>
      <c r="W3302">
        <v>100000</v>
      </c>
      <c r="X3302" s="1">
        <v>43799</v>
      </c>
      <c r="Y3302" t="s">
        <v>51</v>
      </c>
      <c r="Z3302" t="s">
        <v>43</v>
      </c>
      <c r="AA3302" t="s">
        <v>98</v>
      </c>
      <c r="AB3302" t="s">
        <v>89</v>
      </c>
      <c r="AC3302" t="s">
        <v>90</v>
      </c>
      <c r="AF3302" t="s">
        <v>93</v>
      </c>
      <c r="AG3302" s="1">
        <v>43843</v>
      </c>
      <c r="AH3302" t="s">
        <v>85</v>
      </c>
      <c r="AI3302" t="s">
        <v>92</v>
      </c>
      <c r="AJ3302">
        <v>19888</v>
      </c>
      <c r="AK3302">
        <v>128777</v>
      </c>
      <c r="AL3302">
        <v>198882</v>
      </c>
    </row>
    <row r="3303" spans="1:38" x14ac:dyDescent="0.25">
      <c r="A3303" t="s">
        <v>200</v>
      </c>
      <c r="B3303">
        <v>51995029</v>
      </c>
      <c r="C3303" t="s">
        <v>71</v>
      </c>
      <c r="D3303" s="1">
        <v>43159</v>
      </c>
      <c r="E3303" s="1">
        <v>43523</v>
      </c>
      <c r="F3303" t="s">
        <v>84</v>
      </c>
      <c r="G3303">
        <v>10</v>
      </c>
      <c r="H3303" t="s">
        <v>85</v>
      </c>
      <c r="I3303" t="s">
        <v>43</v>
      </c>
      <c r="J3303" t="s">
        <v>86</v>
      </c>
      <c r="K3303" t="s">
        <v>44</v>
      </c>
      <c r="L3303">
        <v>12699.7</v>
      </c>
      <c r="M3303" s="1">
        <v>43159</v>
      </c>
      <c r="N3303" t="s">
        <v>45</v>
      </c>
      <c r="O3303" t="s">
        <v>106</v>
      </c>
      <c r="P3303" t="s">
        <v>47</v>
      </c>
      <c r="Q3303" s="1">
        <v>43852</v>
      </c>
      <c r="R3303" t="s">
        <v>48</v>
      </c>
      <c r="S3303" t="s">
        <v>99</v>
      </c>
      <c r="T3303" t="s">
        <v>100</v>
      </c>
      <c r="U3303" t="s">
        <v>85</v>
      </c>
      <c r="V3303">
        <v>210000</v>
      </c>
      <c r="W3303">
        <v>35000</v>
      </c>
      <c r="X3303" s="1">
        <v>43799</v>
      </c>
      <c r="Y3303" t="s">
        <v>51</v>
      </c>
      <c r="Z3303" t="s">
        <v>43</v>
      </c>
      <c r="AA3303" t="s">
        <v>98</v>
      </c>
      <c r="AB3303" t="s">
        <v>89</v>
      </c>
      <c r="AC3303" t="s">
        <v>101</v>
      </c>
      <c r="AF3303" t="s">
        <v>91</v>
      </c>
      <c r="AG3303" s="1">
        <v>43852</v>
      </c>
      <c r="AH3303" t="s">
        <v>85</v>
      </c>
      <c r="AI3303" t="s">
        <v>92</v>
      </c>
      <c r="AJ3303">
        <v>19888</v>
      </c>
      <c r="AK3303">
        <v>128777</v>
      </c>
      <c r="AL3303">
        <v>198882</v>
      </c>
    </row>
    <row r="3304" spans="1:38" x14ac:dyDescent="0.25">
      <c r="A3304" t="s">
        <v>200</v>
      </c>
      <c r="B3304">
        <v>51995029</v>
      </c>
      <c r="C3304" t="s">
        <v>71</v>
      </c>
      <c r="D3304" s="1">
        <v>43159</v>
      </c>
      <c r="E3304" s="1">
        <v>43523</v>
      </c>
      <c r="F3304" t="s">
        <v>84</v>
      </c>
      <c r="G3304">
        <v>10</v>
      </c>
      <c r="H3304" t="s">
        <v>85</v>
      </c>
      <c r="I3304" t="s">
        <v>43</v>
      </c>
      <c r="J3304" t="s">
        <v>86</v>
      </c>
      <c r="K3304" t="s">
        <v>44</v>
      </c>
      <c r="L3304">
        <v>12699.7</v>
      </c>
      <c r="M3304" s="1">
        <v>43159</v>
      </c>
      <c r="N3304" t="s">
        <v>45</v>
      </c>
      <c r="O3304" t="s">
        <v>106</v>
      </c>
      <c r="P3304" t="s">
        <v>47</v>
      </c>
      <c r="Q3304" s="1">
        <v>43852</v>
      </c>
      <c r="R3304" t="s">
        <v>48</v>
      </c>
      <c r="S3304" t="s">
        <v>99</v>
      </c>
      <c r="T3304" t="s">
        <v>100</v>
      </c>
      <c r="U3304" t="s">
        <v>85</v>
      </c>
      <c r="V3304">
        <v>210000</v>
      </c>
      <c r="W3304">
        <v>35000</v>
      </c>
      <c r="X3304" s="1">
        <v>43799</v>
      </c>
      <c r="Y3304" t="s">
        <v>51</v>
      </c>
      <c r="Z3304" t="s">
        <v>43</v>
      </c>
      <c r="AA3304" t="s">
        <v>98</v>
      </c>
      <c r="AB3304" t="s">
        <v>89</v>
      </c>
      <c r="AC3304" t="s">
        <v>101</v>
      </c>
      <c r="AF3304" t="s">
        <v>93</v>
      </c>
      <c r="AG3304" s="1">
        <v>43843</v>
      </c>
      <c r="AH3304" t="s">
        <v>85</v>
      </c>
      <c r="AI3304" t="s">
        <v>92</v>
      </c>
      <c r="AJ3304">
        <v>19888</v>
      </c>
      <c r="AK3304">
        <v>128777</v>
      </c>
      <c r="AL3304">
        <v>198882</v>
      </c>
    </row>
    <row r="3305" spans="1:38" x14ac:dyDescent="0.25">
      <c r="A3305" t="s">
        <v>200</v>
      </c>
      <c r="B3305">
        <v>51995029</v>
      </c>
      <c r="C3305" t="s">
        <v>71</v>
      </c>
      <c r="D3305" s="1">
        <v>43159</v>
      </c>
      <c r="E3305" s="1">
        <v>43523</v>
      </c>
      <c r="F3305" t="s">
        <v>84</v>
      </c>
      <c r="G3305">
        <v>10</v>
      </c>
      <c r="H3305" t="s">
        <v>85</v>
      </c>
      <c r="I3305" t="s">
        <v>43</v>
      </c>
      <c r="J3305" t="s">
        <v>86</v>
      </c>
      <c r="K3305" t="s">
        <v>44</v>
      </c>
      <c r="L3305">
        <v>12699.7</v>
      </c>
      <c r="M3305" s="1">
        <v>43159</v>
      </c>
      <c r="N3305" t="s">
        <v>45</v>
      </c>
      <c r="O3305" t="s">
        <v>106</v>
      </c>
      <c r="P3305" t="s">
        <v>47</v>
      </c>
      <c r="Q3305" s="1">
        <v>43852</v>
      </c>
      <c r="R3305" t="s">
        <v>48</v>
      </c>
      <c r="S3305" t="s">
        <v>102</v>
      </c>
      <c r="T3305" t="s">
        <v>103</v>
      </c>
      <c r="U3305" t="s">
        <v>85</v>
      </c>
      <c r="V3305">
        <v>5000000</v>
      </c>
      <c r="W3305">
        <v>250000</v>
      </c>
      <c r="X3305" s="1">
        <v>43799</v>
      </c>
      <c r="Y3305" t="s">
        <v>51</v>
      </c>
      <c r="Z3305" t="s">
        <v>43</v>
      </c>
      <c r="AA3305" t="s">
        <v>86</v>
      </c>
      <c r="AB3305" t="s">
        <v>89</v>
      </c>
      <c r="AC3305" t="s">
        <v>90</v>
      </c>
      <c r="AF3305" t="s">
        <v>91</v>
      </c>
      <c r="AG3305" s="1">
        <v>43852</v>
      </c>
      <c r="AH3305" t="s">
        <v>85</v>
      </c>
      <c r="AI3305" t="s">
        <v>92</v>
      </c>
      <c r="AJ3305">
        <v>19888</v>
      </c>
      <c r="AK3305">
        <v>128777</v>
      </c>
      <c r="AL3305">
        <v>198882</v>
      </c>
    </row>
    <row r="3306" spans="1:38" x14ac:dyDescent="0.25">
      <c r="A3306" t="s">
        <v>200</v>
      </c>
      <c r="B3306">
        <v>51995029</v>
      </c>
      <c r="C3306" t="s">
        <v>71</v>
      </c>
      <c r="D3306" s="1">
        <v>43159</v>
      </c>
      <c r="E3306" s="1">
        <v>43523</v>
      </c>
      <c r="F3306" t="s">
        <v>84</v>
      </c>
      <c r="G3306">
        <v>10</v>
      </c>
      <c r="H3306" t="s">
        <v>85</v>
      </c>
      <c r="I3306" t="s">
        <v>43</v>
      </c>
      <c r="J3306" t="s">
        <v>86</v>
      </c>
      <c r="K3306" t="s">
        <v>44</v>
      </c>
      <c r="L3306">
        <v>12699.7</v>
      </c>
      <c r="M3306" s="1">
        <v>43159</v>
      </c>
      <c r="N3306" t="s">
        <v>45</v>
      </c>
      <c r="O3306" t="s">
        <v>106</v>
      </c>
      <c r="P3306" t="s">
        <v>47</v>
      </c>
      <c r="Q3306" s="1">
        <v>43852</v>
      </c>
      <c r="R3306" t="s">
        <v>48</v>
      </c>
      <c r="S3306" t="s">
        <v>102</v>
      </c>
      <c r="T3306" t="s">
        <v>103</v>
      </c>
      <c r="U3306" t="s">
        <v>85</v>
      </c>
      <c r="V3306">
        <v>5000000</v>
      </c>
      <c r="W3306">
        <v>250000</v>
      </c>
      <c r="X3306" s="1">
        <v>43799</v>
      </c>
      <c r="Y3306" t="s">
        <v>51</v>
      </c>
      <c r="Z3306" t="s">
        <v>43</v>
      </c>
      <c r="AA3306" t="s">
        <v>86</v>
      </c>
      <c r="AB3306" t="s">
        <v>89</v>
      </c>
      <c r="AC3306" t="s">
        <v>90</v>
      </c>
      <c r="AF3306" t="s">
        <v>93</v>
      </c>
      <c r="AG3306" s="1">
        <v>43843</v>
      </c>
      <c r="AH3306" t="s">
        <v>85</v>
      </c>
      <c r="AI3306" t="s">
        <v>92</v>
      </c>
      <c r="AJ3306">
        <v>19888</v>
      </c>
      <c r="AK3306">
        <v>128777</v>
      </c>
      <c r="AL3306">
        <v>198882</v>
      </c>
    </row>
    <row r="3307" spans="1:38" x14ac:dyDescent="0.25">
      <c r="A3307" t="s">
        <v>202</v>
      </c>
      <c r="B3307">
        <v>51995029</v>
      </c>
      <c r="C3307" t="s">
        <v>71</v>
      </c>
      <c r="D3307" s="1">
        <v>43159</v>
      </c>
      <c r="E3307" s="1">
        <v>43523</v>
      </c>
      <c r="F3307" t="s">
        <v>84</v>
      </c>
      <c r="G3307">
        <v>10</v>
      </c>
      <c r="H3307" t="s">
        <v>85</v>
      </c>
      <c r="I3307" t="s">
        <v>43</v>
      </c>
      <c r="J3307" t="s">
        <v>86</v>
      </c>
      <c r="K3307" t="s">
        <v>44</v>
      </c>
      <c r="L3307">
        <v>13134.29</v>
      </c>
      <c r="M3307" s="1">
        <v>43206</v>
      </c>
      <c r="N3307" t="s">
        <v>108</v>
      </c>
      <c r="O3307" t="s">
        <v>106</v>
      </c>
      <c r="P3307" t="s">
        <v>47</v>
      </c>
      <c r="Q3307" s="1">
        <v>43852</v>
      </c>
      <c r="R3307" t="s">
        <v>48</v>
      </c>
      <c r="S3307" t="s">
        <v>87</v>
      </c>
      <c r="T3307" t="s">
        <v>88</v>
      </c>
      <c r="U3307" t="s">
        <v>85</v>
      </c>
      <c r="V3307">
        <v>1400000</v>
      </c>
      <c r="W3307">
        <v>100000</v>
      </c>
      <c r="X3307" s="1">
        <v>43808</v>
      </c>
      <c r="Y3307" t="s">
        <v>51</v>
      </c>
      <c r="Z3307" t="s">
        <v>43</v>
      </c>
      <c r="AA3307" t="s">
        <v>86</v>
      </c>
      <c r="AB3307" t="s">
        <v>89</v>
      </c>
      <c r="AC3307" t="s">
        <v>90</v>
      </c>
      <c r="AF3307" t="s">
        <v>91</v>
      </c>
      <c r="AG3307" s="1">
        <v>43852</v>
      </c>
      <c r="AH3307" t="s">
        <v>85</v>
      </c>
      <c r="AI3307" t="s">
        <v>92</v>
      </c>
      <c r="AJ3307">
        <v>19888</v>
      </c>
      <c r="AK3307">
        <v>128777</v>
      </c>
      <c r="AL3307">
        <v>198882</v>
      </c>
    </row>
    <row r="3308" spans="1:38" x14ac:dyDescent="0.25">
      <c r="A3308" t="s">
        <v>202</v>
      </c>
      <c r="B3308">
        <v>51995029</v>
      </c>
      <c r="C3308" t="s">
        <v>71</v>
      </c>
      <c r="D3308" s="1">
        <v>43159</v>
      </c>
      <c r="E3308" s="1">
        <v>43523</v>
      </c>
      <c r="F3308" t="s">
        <v>84</v>
      </c>
      <c r="G3308">
        <v>10</v>
      </c>
      <c r="H3308" t="s">
        <v>85</v>
      </c>
      <c r="I3308" t="s">
        <v>43</v>
      </c>
      <c r="J3308" t="s">
        <v>86</v>
      </c>
      <c r="K3308" t="s">
        <v>44</v>
      </c>
      <c r="L3308">
        <v>13134.29</v>
      </c>
      <c r="M3308" s="1">
        <v>43206</v>
      </c>
      <c r="N3308" t="s">
        <v>108</v>
      </c>
      <c r="O3308" t="s">
        <v>106</v>
      </c>
      <c r="P3308" t="s">
        <v>47</v>
      </c>
      <c r="Q3308" s="1">
        <v>43852</v>
      </c>
      <c r="R3308" t="s">
        <v>48</v>
      </c>
      <c r="S3308" t="s">
        <v>87</v>
      </c>
      <c r="T3308" t="s">
        <v>88</v>
      </c>
      <c r="U3308" t="s">
        <v>85</v>
      </c>
      <c r="V3308">
        <v>1400000</v>
      </c>
      <c r="W3308">
        <v>100000</v>
      </c>
      <c r="X3308" s="1">
        <v>43808</v>
      </c>
      <c r="Y3308" t="s">
        <v>51</v>
      </c>
      <c r="Z3308" t="s">
        <v>43</v>
      </c>
      <c r="AA3308" t="s">
        <v>86</v>
      </c>
      <c r="AB3308" t="s">
        <v>89</v>
      </c>
      <c r="AC3308" t="s">
        <v>90</v>
      </c>
      <c r="AF3308" t="s">
        <v>93</v>
      </c>
      <c r="AG3308" s="1">
        <v>43843</v>
      </c>
      <c r="AH3308" t="s">
        <v>85</v>
      </c>
      <c r="AI3308" t="s">
        <v>92</v>
      </c>
      <c r="AJ3308">
        <v>19888</v>
      </c>
      <c r="AK3308">
        <v>128777</v>
      </c>
      <c r="AL3308">
        <v>198882</v>
      </c>
    </row>
    <row r="3309" spans="1:38" x14ac:dyDescent="0.25">
      <c r="A3309" t="s">
        <v>202</v>
      </c>
      <c r="B3309">
        <v>51995029</v>
      </c>
      <c r="C3309" t="s">
        <v>71</v>
      </c>
      <c r="D3309" s="1">
        <v>43159</v>
      </c>
      <c r="E3309" s="1">
        <v>43523</v>
      </c>
      <c r="F3309" t="s">
        <v>84</v>
      </c>
      <c r="G3309">
        <v>10</v>
      </c>
      <c r="H3309" t="s">
        <v>85</v>
      </c>
      <c r="I3309" t="s">
        <v>43</v>
      </c>
      <c r="J3309" t="s">
        <v>86</v>
      </c>
      <c r="K3309" t="s">
        <v>44</v>
      </c>
      <c r="L3309">
        <v>13134.29</v>
      </c>
      <c r="M3309" s="1">
        <v>43206</v>
      </c>
      <c r="N3309" t="s">
        <v>108</v>
      </c>
      <c r="O3309" t="s">
        <v>106</v>
      </c>
      <c r="P3309" t="s">
        <v>47</v>
      </c>
      <c r="Q3309" s="1">
        <v>43852</v>
      </c>
      <c r="R3309" t="s">
        <v>48</v>
      </c>
      <c r="S3309" t="s">
        <v>94</v>
      </c>
      <c r="T3309" t="s">
        <v>95</v>
      </c>
      <c r="U3309" t="s">
        <v>85</v>
      </c>
      <c r="V3309">
        <v>4500000</v>
      </c>
      <c r="W3309">
        <v>300000</v>
      </c>
      <c r="X3309" s="1">
        <v>43767</v>
      </c>
      <c r="Y3309" t="s">
        <v>51</v>
      </c>
      <c r="Z3309" t="s">
        <v>43</v>
      </c>
      <c r="AA3309" t="s">
        <v>86</v>
      </c>
      <c r="AB3309" t="s">
        <v>89</v>
      </c>
      <c r="AC3309" t="s">
        <v>90</v>
      </c>
      <c r="AF3309" t="s">
        <v>91</v>
      </c>
      <c r="AG3309" s="1">
        <v>43852</v>
      </c>
      <c r="AH3309" t="s">
        <v>85</v>
      </c>
      <c r="AI3309" t="s">
        <v>92</v>
      </c>
      <c r="AJ3309">
        <v>19888</v>
      </c>
      <c r="AK3309">
        <v>128777</v>
      </c>
      <c r="AL3309">
        <v>198882</v>
      </c>
    </row>
    <row r="3310" spans="1:38" x14ac:dyDescent="0.25">
      <c r="A3310" t="s">
        <v>202</v>
      </c>
      <c r="B3310">
        <v>51995029</v>
      </c>
      <c r="C3310" t="s">
        <v>71</v>
      </c>
      <c r="D3310" s="1">
        <v>43159</v>
      </c>
      <c r="E3310" s="1">
        <v>43523</v>
      </c>
      <c r="F3310" t="s">
        <v>84</v>
      </c>
      <c r="G3310">
        <v>10</v>
      </c>
      <c r="H3310" t="s">
        <v>85</v>
      </c>
      <c r="I3310" t="s">
        <v>43</v>
      </c>
      <c r="J3310" t="s">
        <v>86</v>
      </c>
      <c r="K3310" t="s">
        <v>44</v>
      </c>
      <c r="L3310">
        <v>13134.29</v>
      </c>
      <c r="M3310" s="1">
        <v>43206</v>
      </c>
      <c r="N3310" t="s">
        <v>108</v>
      </c>
      <c r="O3310" t="s">
        <v>106</v>
      </c>
      <c r="P3310" t="s">
        <v>47</v>
      </c>
      <c r="Q3310" s="1">
        <v>43852</v>
      </c>
      <c r="R3310" t="s">
        <v>48</v>
      </c>
      <c r="S3310" t="s">
        <v>94</v>
      </c>
      <c r="T3310" t="s">
        <v>95</v>
      </c>
      <c r="U3310" t="s">
        <v>85</v>
      </c>
      <c r="V3310">
        <v>4500000</v>
      </c>
      <c r="W3310">
        <v>300000</v>
      </c>
      <c r="X3310" s="1">
        <v>43767</v>
      </c>
      <c r="Y3310" t="s">
        <v>51</v>
      </c>
      <c r="Z3310" t="s">
        <v>43</v>
      </c>
      <c r="AA3310" t="s">
        <v>86</v>
      </c>
      <c r="AB3310" t="s">
        <v>89</v>
      </c>
      <c r="AC3310" t="s">
        <v>90</v>
      </c>
      <c r="AF3310" t="s">
        <v>93</v>
      </c>
      <c r="AG3310" s="1">
        <v>43843</v>
      </c>
      <c r="AH3310" t="s">
        <v>85</v>
      </c>
      <c r="AI3310" t="s">
        <v>92</v>
      </c>
      <c r="AJ3310">
        <v>19888</v>
      </c>
      <c r="AK3310">
        <v>128777</v>
      </c>
      <c r="AL3310">
        <v>198882</v>
      </c>
    </row>
    <row r="3311" spans="1:38" x14ac:dyDescent="0.25">
      <c r="A3311" t="s">
        <v>202</v>
      </c>
      <c r="B3311">
        <v>51995029</v>
      </c>
      <c r="C3311" t="s">
        <v>71</v>
      </c>
      <c r="D3311" s="1">
        <v>43159</v>
      </c>
      <c r="E3311" s="1">
        <v>43523</v>
      </c>
      <c r="F3311" t="s">
        <v>84</v>
      </c>
      <c r="G3311">
        <v>10</v>
      </c>
      <c r="H3311" t="s">
        <v>85</v>
      </c>
      <c r="I3311" t="s">
        <v>43</v>
      </c>
      <c r="J3311" t="s">
        <v>86</v>
      </c>
      <c r="K3311" t="s">
        <v>44</v>
      </c>
      <c r="L3311">
        <v>13134.29</v>
      </c>
      <c r="M3311" s="1">
        <v>43206</v>
      </c>
      <c r="N3311" t="s">
        <v>108</v>
      </c>
      <c r="O3311" t="s">
        <v>106</v>
      </c>
      <c r="P3311" t="s">
        <v>47</v>
      </c>
      <c r="Q3311" s="1">
        <v>43852</v>
      </c>
      <c r="R3311" t="s">
        <v>48</v>
      </c>
      <c r="S3311" t="s">
        <v>96</v>
      </c>
      <c r="T3311" t="s">
        <v>97</v>
      </c>
      <c r="U3311" t="s">
        <v>85</v>
      </c>
      <c r="V3311">
        <v>600000</v>
      </c>
      <c r="W3311">
        <v>100000</v>
      </c>
      <c r="X3311" s="1">
        <v>43799</v>
      </c>
      <c r="Y3311" t="s">
        <v>51</v>
      </c>
      <c r="Z3311" t="s">
        <v>43</v>
      </c>
      <c r="AA3311" t="s">
        <v>98</v>
      </c>
      <c r="AB3311" t="s">
        <v>89</v>
      </c>
      <c r="AC3311" t="s">
        <v>90</v>
      </c>
      <c r="AF3311" t="s">
        <v>91</v>
      </c>
      <c r="AG3311" s="1">
        <v>43852</v>
      </c>
      <c r="AH3311" t="s">
        <v>85</v>
      </c>
      <c r="AI3311" t="s">
        <v>92</v>
      </c>
      <c r="AJ3311">
        <v>19888</v>
      </c>
      <c r="AK3311">
        <v>128777</v>
      </c>
      <c r="AL3311">
        <v>198882</v>
      </c>
    </row>
    <row r="3312" spans="1:38" x14ac:dyDescent="0.25">
      <c r="A3312" t="s">
        <v>202</v>
      </c>
      <c r="B3312">
        <v>51995029</v>
      </c>
      <c r="C3312" t="s">
        <v>71</v>
      </c>
      <c r="D3312" s="1">
        <v>43159</v>
      </c>
      <c r="E3312" s="1">
        <v>43523</v>
      </c>
      <c r="F3312" t="s">
        <v>84</v>
      </c>
      <c r="G3312">
        <v>10</v>
      </c>
      <c r="H3312" t="s">
        <v>85</v>
      </c>
      <c r="I3312" t="s">
        <v>43</v>
      </c>
      <c r="J3312" t="s">
        <v>86</v>
      </c>
      <c r="K3312" t="s">
        <v>44</v>
      </c>
      <c r="L3312">
        <v>13134.29</v>
      </c>
      <c r="M3312" s="1">
        <v>43206</v>
      </c>
      <c r="N3312" t="s">
        <v>108</v>
      </c>
      <c r="O3312" t="s">
        <v>106</v>
      </c>
      <c r="P3312" t="s">
        <v>47</v>
      </c>
      <c r="Q3312" s="1">
        <v>43852</v>
      </c>
      <c r="R3312" t="s">
        <v>48</v>
      </c>
      <c r="S3312" t="s">
        <v>96</v>
      </c>
      <c r="T3312" t="s">
        <v>97</v>
      </c>
      <c r="U3312" t="s">
        <v>85</v>
      </c>
      <c r="V3312">
        <v>600000</v>
      </c>
      <c r="W3312">
        <v>100000</v>
      </c>
      <c r="X3312" s="1">
        <v>43799</v>
      </c>
      <c r="Y3312" t="s">
        <v>51</v>
      </c>
      <c r="Z3312" t="s">
        <v>43</v>
      </c>
      <c r="AA3312" t="s">
        <v>98</v>
      </c>
      <c r="AB3312" t="s">
        <v>89</v>
      </c>
      <c r="AC3312" t="s">
        <v>90</v>
      </c>
      <c r="AF3312" t="s">
        <v>93</v>
      </c>
      <c r="AG3312" s="1">
        <v>43843</v>
      </c>
      <c r="AH3312" t="s">
        <v>85</v>
      </c>
      <c r="AI3312" t="s">
        <v>92</v>
      </c>
      <c r="AJ3312">
        <v>19888</v>
      </c>
      <c r="AK3312">
        <v>128777</v>
      </c>
      <c r="AL3312">
        <v>198882</v>
      </c>
    </row>
    <row r="3313" spans="1:38" x14ac:dyDescent="0.25">
      <c r="A3313" t="s">
        <v>202</v>
      </c>
      <c r="B3313">
        <v>51995029</v>
      </c>
      <c r="C3313" t="s">
        <v>71</v>
      </c>
      <c r="D3313" s="1">
        <v>43159</v>
      </c>
      <c r="E3313" s="1">
        <v>43523</v>
      </c>
      <c r="F3313" t="s">
        <v>84</v>
      </c>
      <c r="G3313">
        <v>10</v>
      </c>
      <c r="H3313" t="s">
        <v>85</v>
      </c>
      <c r="I3313" t="s">
        <v>43</v>
      </c>
      <c r="J3313" t="s">
        <v>86</v>
      </c>
      <c r="K3313" t="s">
        <v>44</v>
      </c>
      <c r="L3313">
        <v>13134.29</v>
      </c>
      <c r="M3313" s="1">
        <v>43206</v>
      </c>
      <c r="N3313" t="s">
        <v>108</v>
      </c>
      <c r="O3313" t="s">
        <v>106</v>
      </c>
      <c r="P3313" t="s">
        <v>47</v>
      </c>
      <c r="Q3313" s="1">
        <v>43852</v>
      </c>
      <c r="R3313" t="s">
        <v>48</v>
      </c>
      <c r="S3313" t="s">
        <v>99</v>
      </c>
      <c r="T3313" t="s">
        <v>100</v>
      </c>
      <c r="U3313" t="s">
        <v>85</v>
      </c>
      <c r="V3313">
        <v>210000</v>
      </c>
      <c r="W3313">
        <v>35000</v>
      </c>
      <c r="X3313" s="1">
        <v>43799</v>
      </c>
      <c r="Y3313" t="s">
        <v>51</v>
      </c>
      <c r="Z3313" t="s">
        <v>43</v>
      </c>
      <c r="AA3313" t="s">
        <v>98</v>
      </c>
      <c r="AB3313" t="s">
        <v>89</v>
      </c>
      <c r="AC3313" t="s">
        <v>101</v>
      </c>
      <c r="AF3313" t="s">
        <v>91</v>
      </c>
      <c r="AG3313" s="1">
        <v>43852</v>
      </c>
      <c r="AH3313" t="s">
        <v>85</v>
      </c>
      <c r="AI3313" t="s">
        <v>92</v>
      </c>
      <c r="AJ3313">
        <v>19888</v>
      </c>
      <c r="AK3313">
        <v>128777</v>
      </c>
      <c r="AL3313">
        <v>198882</v>
      </c>
    </row>
    <row r="3314" spans="1:38" x14ac:dyDescent="0.25">
      <c r="A3314" t="s">
        <v>202</v>
      </c>
      <c r="B3314">
        <v>51995029</v>
      </c>
      <c r="C3314" t="s">
        <v>71</v>
      </c>
      <c r="D3314" s="1">
        <v>43159</v>
      </c>
      <c r="E3314" s="1">
        <v>43523</v>
      </c>
      <c r="F3314" t="s">
        <v>84</v>
      </c>
      <c r="G3314">
        <v>10</v>
      </c>
      <c r="H3314" t="s">
        <v>85</v>
      </c>
      <c r="I3314" t="s">
        <v>43</v>
      </c>
      <c r="J3314" t="s">
        <v>86</v>
      </c>
      <c r="K3314" t="s">
        <v>44</v>
      </c>
      <c r="L3314">
        <v>13134.29</v>
      </c>
      <c r="M3314" s="1">
        <v>43206</v>
      </c>
      <c r="N3314" t="s">
        <v>108</v>
      </c>
      <c r="O3314" t="s">
        <v>106</v>
      </c>
      <c r="P3314" t="s">
        <v>47</v>
      </c>
      <c r="Q3314" s="1">
        <v>43852</v>
      </c>
      <c r="R3314" t="s">
        <v>48</v>
      </c>
      <c r="S3314" t="s">
        <v>99</v>
      </c>
      <c r="T3314" t="s">
        <v>100</v>
      </c>
      <c r="U3314" t="s">
        <v>85</v>
      </c>
      <c r="V3314">
        <v>210000</v>
      </c>
      <c r="W3314">
        <v>35000</v>
      </c>
      <c r="X3314" s="1">
        <v>43799</v>
      </c>
      <c r="Y3314" t="s">
        <v>51</v>
      </c>
      <c r="Z3314" t="s">
        <v>43</v>
      </c>
      <c r="AA3314" t="s">
        <v>98</v>
      </c>
      <c r="AB3314" t="s">
        <v>89</v>
      </c>
      <c r="AC3314" t="s">
        <v>101</v>
      </c>
      <c r="AF3314" t="s">
        <v>93</v>
      </c>
      <c r="AG3314" s="1">
        <v>43843</v>
      </c>
      <c r="AH3314" t="s">
        <v>85</v>
      </c>
      <c r="AI3314" t="s">
        <v>92</v>
      </c>
      <c r="AJ3314">
        <v>19888</v>
      </c>
      <c r="AK3314">
        <v>128777</v>
      </c>
      <c r="AL3314">
        <v>198882</v>
      </c>
    </row>
    <row r="3315" spans="1:38" x14ac:dyDescent="0.25">
      <c r="A3315" t="s">
        <v>202</v>
      </c>
      <c r="B3315">
        <v>51995029</v>
      </c>
      <c r="C3315" t="s">
        <v>71</v>
      </c>
      <c r="D3315" s="1">
        <v>43159</v>
      </c>
      <c r="E3315" s="1">
        <v>43523</v>
      </c>
      <c r="F3315" t="s">
        <v>84</v>
      </c>
      <c r="G3315">
        <v>10</v>
      </c>
      <c r="H3315" t="s">
        <v>85</v>
      </c>
      <c r="I3315" t="s">
        <v>43</v>
      </c>
      <c r="J3315" t="s">
        <v>86</v>
      </c>
      <c r="K3315" t="s">
        <v>44</v>
      </c>
      <c r="L3315">
        <v>13134.29</v>
      </c>
      <c r="M3315" s="1">
        <v>43206</v>
      </c>
      <c r="N3315" t="s">
        <v>108</v>
      </c>
      <c r="O3315" t="s">
        <v>106</v>
      </c>
      <c r="P3315" t="s">
        <v>47</v>
      </c>
      <c r="Q3315" s="1">
        <v>43852</v>
      </c>
      <c r="R3315" t="s">
        <v>48</v>
      </c>
      <c r="S3315" t="s">
        <v>102</v>
      </c>
      <c r="T3315" t="s">
        <v>103</v>
      </c>
      <c r="U3315" t="s">
        <v>85</v>
      </c>
      <c r="V3315">
        <v>5000000</v>
      </c>
      <c r="W3315">
        <v>250000</v>
      </c>
      <c r="X3315" s="1">
        <v>43799</v>
      </c>
      <c r="Y3315" t="s">
        <v>51</v>
      </c>
      <c r="Z3315" t="s">
        <v>43</v>
      </c>
      <c r="AA3315" t="s">
        <v>86</v>
      </c>
      <c r="AB3315" t="s">
        <v>89</v>
      </c>
      <c r="AC3315" t="s">
        <v>90</v>
      </c>
      <c r="AF3315" t="s">
        <v>91</v>
      </c>
      <c r="AG3315" s="1">
        <v>43852</v>
      </c>
      <c r="AH3315" t="s">
        <v>85</v>
      </c>
      <c r="AI3315" t="s">
        <v>92</v>
      </c>
      <c r="AJ3315">
        <v>19888</v>
      </c>
      <c r="AK3315">
        <v>128777</v>
      </c>
      <c r="AL3315">
        <v>198882</v>
      </c>
    </row>
    <row r="3316" spans="1:38" x14ac:dyDescent="0.25">
      <c r="A3316" t="s">
        <v>202</v>
      </c>
      <c r="B3316">
        <v>51995029</v>
      </c>
      <c r="C3316" t="s">
        <v>71</v>
      </c>
      <c r="D3316" s="1">
        <v>43159</v>
      </c>
      <c r="E3316" s="1">
        <v>43523</v>
      </c>
      <c r="F3316" t="s">
        <v>84</v>
      </c>
      <c r="G3316">
        <v>10</v>
      </c>
      <c r="H3316" t="s">
        <v>85</v>
      </c>
      <c r="I3316" t="s">
        <v>43</v>
      </c>
      <c r="J3316" t="s">
        <v>86</v>
      </c>
      <c r="K3316" t="s">
        <v>44</v>
      </c>
      <c r="L3316">
        <v>13134.29</v>
      </c>
      <c r="M3316" s="1">
        <v>43206</v>
      </c>
      <c r="N3316" t="s">
        <v>108</v>
      </c>
      <c r="O3316" t="s">
        <v>106</v>
      </c>
      <c r="P3316" t="s">
        <v>47</v>
      </c>
      <c r="Q3316" s="1">
        <v>43852</v>
      </c>
      <c r="R3316" t="s">
        <v>48</v>
      </c>
      <c r="S3316" t="s">
        <v>102</v>
      </c>
      <c r="T3316" t="s">
        <v>103</v>
      </c>
      <c r="U3316" t="s">
        <v>85</v>
      </c>
      <c r="V3316">
        <v>5000000</v>
      </c>
      <c r="W3316">
        <v>250000</v>
      </c>
      <c r="X3316" s="1">
        <v>43799</v>
      </c>
      <c r="Y3316" t="s">
        <v>51</v>
      </c>
      <c r="Z3316" t="s">
        <v>43</v>
      </c>
      <c r="AA3316" t="s">
        <v>86</v>
      </c>
      <c r="AB3316" t="s">
        <v>89</v>
      </c>
      <c r="AC3316" t="s">
        <v>90</v>
      </c>
      <c r="AF3316" t="s">
        <v>93</v>
      </c>
      <c r="AG3316" s="1">
        <v>43843</v>
      </c>
      <c r="AH3316" t="s">
        <v>85</v>
      </c>
      <c r="AI3316" t="s">
        <v>92</v>
      </c>
      <c r="AJ3316">
        <v>19888</v>
      </c>
      <c r="AK3316">
        <v>128777</v>
      </c>
      <c r="AL3316">
        <v>198882</v>
      </c>
    </row>
    <row r="3317" spans="1:38" x14ac:dyDescent="0.25">
      <c r="A3317" t="s">
        <v>203</v>
      </c>
      <c r="B3317">
        <v>52916488</v>
      </c>
      <c r="C3317" t="s">
        <v>71</v>
      </c>
      <c r="D3317" s="1">
        <v>43159</v>
      </c>
      <c r="E3317" s="1">
        <v>43523</v>
      </c>
      <c r="F3317" t="s">
        <v>84</v>
      </c>
      <c r="G3317">
        <v>10</v>
      </c>
      <c r="H3317" t="s">
        <v>85</v>
      </c>
      <c r="I3317" t="s">
        <v>43</v>
      </c>
      <c r="J3317" t="s">
        <v>86</v>
      </c>
      <c r="K3317" t="s">
        <v>44</v>
      </c>
      <c r="L3317">
        <v>177405.38</v>
      </c>
      <c r="M3317" s="1">
        <v>43159</v>
      </c>
      <c r="N3317" t="s">
        <v>45</v>
      </c>
      <c r="O3317" t="s">
        <v>106</v>
      </c>
      <c r="P3317" t="s">
        <v>47</v>
      </c>
      <c r="Q3317" s="1">
        <v>43852</v>
      </c>
      <c r="R3317" t="s">
        <v>48</v>
      </c>
      <c r="S3317" t="s">
        <v>87</v>
      </c>
      <c r="T3317" t="s">
        <v>88</v>
      </c>
      <c r="U3317" t="s">
        <v>85</v>
      </c>
      <c r="V3317">
        <v>1400000</v>
      </c>
      <c r="W3317">
        <v>100000</v>
      </c>
      <c r="X3317" s="1">
        <v>43808</v>
      </c>
      <c r="Y3317" t="s">
        <v>51</v>
      </c>
      <c r="Z3317" t="s">
        <v>43</v>
      </c>
      <c r="AA3317" t="s">
        <v>86</v>
      </c>
      <c r="AB3317" t="s">
        <v>89</v>
      </c>
      <c r="AC3317" t="s">
        <v>90</v>
      </c>
      <c r="AF3317" t="s">
        <v>91</v>
      </c>
      <c r="AG3317" s="1">
        <v>43852</v>
      </c>
      <c r="AH3317" t="s">
        <v>85</v>
      </c>
      <c r="AI3317" t="s">
        <v>92</v>
      </c>
      <c r="AJ3317">
        <v>19888</v>
      </c>
      <c r="AK3317">
        <v>128777</v>
      </c>
      <c r="AL3317">
        <v>198882</v>
      </c>
    </row>
    <row r="3318" spans="1:38" x14ac:dyDescent="0.25">
      <c r="A3318" t="s">
        <v>203</v>
      </c>
      <c r="B3318">
        <v>52916488</v>
      </c>
      <c r="C3318" t="s">
        <v>71</v>
      </c>
      <c r="D3318" s="1">
        <v>43159</v>
      </c>
      <c r="E3318" s="1">
        <v>43523</v>
      </c>
      <c r="F3318" t="s">
        <v>84</v>
      </c>
      <c r="G3318">
        <v>10</v>
      </c>
      <c r="H3318" t="s">
        <v>85</v>
      </c>
      <c r="I3318" t="s">
        <v>43</v>
      </c>
      <c r="J3318" t="s">
        <v>86</v>
      </c>
      <c r="K3318" t="s">
        <v>44</v>
      </c>
      <c r="L3318">
        <v>177405.38</v>
      </c>
      <c r="M3318" s="1">
        <v>43159</v>
      </c>
      <c r="N3318" t="s">
        <v>45</v>
      </c>
      <c r="O3318" t="s">
        <v>106</v>
      </c>
      <c r="P3318" t="s">
        <v>47</v>
      </c>
      <c r="Q3318" s="1">
        <v>43852</v>
      </c>
      <c r="R3318" t="s">
        <v>48</v>
      </c>
      <c r="S3318" t="s">
        <v>87</v>
      </c>
      <c r="T3318" t="s">
        <v>88</v>
      </c>
      <c r="U3318" t="s">
        <v>85</v>
      </c>
      <c r="V3318">
        <v>1400000</v>
      </c>
      <c r="W3318">
        <v>100000</v>
      </c>
      <c r="X3318" s="1">
        <v>43808</v>
      </c>
      <c r="Y3318" t="s">
        <v>51</v>
      </c>
      <c r="Z3318" t="s">
        <v>43</v>
      </c>
      <c r="AA3318" t="s">
        <v>86</v>
      </c>
      <c r="AB3318" t="s">
        <v>89</v>
      </c>
      <c r="AC3318" t="s">
        <v>90</v>
      </c>
      <c r="AF3318" t="s">
        <v>93</v>
      </c>
      <c r="AG3318" s="1">
        <v>43843</v>
      </c>
      <c r="AH3318" t="s">
        <v>85</v>
      </c>
      <c r="AI3318" t="s">
        <v>92</v>
      </c>
      <c r="AJ3318">
        <v>19888</v>
      </c>
      <c r="AK3318">
        <v>128777</v>
      </c>
      <c r="AL3318">
        <v>198882</v>
      </c>
    </row>
    <row r="3319" spans="1:38" x14ac:dyDescent="0.25">
      <c r="A3319" t="s">
        <v>203</v>
      </c>
      <c r="B3319">
        <v>52916488</v>
      </c>
      <c r="C3319" t="s">
        <v>71</v>
      </c>
      <c r="D3319" s="1">
        <v>43159</v>
      </c>
      <c r="E3319" s="1">
        <v>43523</v>
      </c>
      <c r="F3319" t="s">
        <v>84</v>
      </c>
      <c r="G3319">
        <v>10</v>
      </c>
      <c r="H3319" t="s">
        <v>85</v>
      </c>
      <c r="I3319" t="s">
        <v>43</v>
      </c>
      <c r="J3319" t="s">
        <v>86</v>
      </c>
      <c r="K3319" t="s">
        <v>44</v>
      </c>
      <c r="L3319">
        <v>177405.38</v>
      </c>
      <c r="M3319" s="1">
        <v>43159</v>
      </c>
      <c r="N3319" t="s">
        <v>45</v>
      </c>
      <c r="O3319" t="s">
        <v>106</v>
      </c>
      <c r="P3319" t="s">
        <v>47</v>
      </c>
      <c r="Q3319" s="1">
        <v>43852</v>
      </c>
      <c r="R3319" t="s">
        <v>48</v>
      </c>
      <c r="S3319" t="s">
        <v>94</v>
      </c>
      <c r="T3319" t="s">
        <v>95</v>
      </c>
      <c r="U3319" t="s">
        <v>85</v>
      </c>
      <c r="V3319">
        <v>4500000</v>
      </c>
      <c r="W3319">
        <v>300000</v>
      </c>
      <c r="X3319" s="1">
        <v>43767</v>
      </c>
      <c r="Y3319" t="s">
        <v>51</v>
      </c>
      <c r="Z3319" t="s">
        <v>43</v>
      </c>
      <c r="AA3319" t="s">
        <v>86</v>
      </c>
      <c r="AB3319" t="s">
        <v>89</v>
      </c>
      <c r="AC3319" t="s">
        <v>90</v>
      </c>
      <c r="AF3319" t="s">
        <v>91</v>
      </c>
      <c r="AG3319" s="1">
        <v>43852</v>
      </c>
      <c r="AH3319" t="s">
        <v>85</v>
      </c>
      <c r="AI3319" t="s">
        <v>92</v>
      </c>
      <c r="AJ3319">
        <v>19888</v>
      </c>
      <c r="AK3319">
        <v>128777</v>
      </c>
      <c r="AL3319">
        <v>198882</v>
      </c>
    </row>
    <row r="3320" spans="1:38" x14ac:dyDescent="0.25">
      <c r="A3320" t="s">
        <v>203</v>
      </c>
      <c r="B3320">
        <v>52916488</v>
      </c>
      <c r="C3320" t="s">
        <v>71</v>
      </c>
      <c r="D3320" s="1">
        <v>43159</v>
      </c>
      <c r="E3320" s="1">
        <v>43523</v>
      </c>
      <c r="F3320" t="s">
        <v>84</v>
      </c>
      <c r="G3320">
        <v>10</v>
      </c>
      <c r="H3320" t="s">
        <v>85</v>
      </c>
      <c r="I3320" t="s">
        <v>43</v>
      </c>
      <c r="J3320" t="s">
        <v>86</v>
      </c>
      <c r="K3320" t="s">
        <v>44</v>
      </c>
      <c r="L3320">
        <v>177405.38</v>
      </c>
      <c r="M3320" s="1">
        <v>43159</v>
      </c>
      <c r="N3320" t="s">
        <v>45</v>
      </c>
      <c r="O3320" t="s">
        <v>106</v>
      </c>
      <c r="P3320" t="s">
        <v>47</v>
      </c>
      <c r="Q3320" s="1">
        <v>43852</v>
      </c>
      <c r="R3320" t="s">
        <v>48</v>
      </c>
      <c r="S3320" t="s">
        <v>94</v>
      </c>
      <c r="T3320" t="s">
        <v>95</v>
      </c>
      <c r="U3320" t="s">
        <v>85</v>
      </c>
      <c r="V3320">
        <v>4500000</v>
      </c>
      <c r="W3320">
        <v>300000</v>
      </c>
      <c r="X3320" s="1">
        <v>43767</v>
      </c>
      <c r="Y3320" t="s">
        <v>51</v>
      </c>
      <c r="Z3320" t="s">
        <v>43</v>
      </c>
      <c r="AA3320" t="s">
        <v>86</v>
      </c>
      <c r="AB3320" t="s">
        <v>89</v>
      </c>
      <c r="AC3320" t="s">
        <v>90</v>
      </c>
      <c r="AF3320" t="s">
        <v>93</v>
      </c>
      <c r="AG3320" s="1">
        <v>43843</v>
      </c>
      <c r="AH3320" t="s">
        <v>85</v>
      </c>
      <c r="AI3320" t="s">
        <v>92</v>
      </c>
      <c r="AJ3320">
        <v>19888</v>
      </c>
      <c r="AK3320">
        <v>128777</v>
      </c>
      <c r="AL3320">
        <v>198882</v>
      </c>
    </row>
    <row r="3321" spans="1:38" x14ac:dyDescent="0.25">
      <c r="A3321" t="s">
        <v>203</v>
      </c>
      <c r="B3321">
        <v>52916488</v>
      </c>
      <c r="C3321" t="s">
        <v>71</v>
      </c>
      <c r="D3321" s="1">
        <v>43159</v>
      </c>
      <c r="E3321" s="1">
        <v>43523</v>
      </c>
      <c r="F3321" t="s">
        <v>84</v>
      </c>
      <c r="G3321">
        <v>10</v>
      </c>
      <c r="H3321" t="s">
        <v>85</v>
      </c>
      <c r="I3321" t="s">
        <v>43</v>
      </c>
      <c r="J3321" t="s">
        <v>86</v>
      </c>
      <c r="K3321" t="s">
        <v>44</v>
      </c>
      <c r="L3321">
        <v>177405.38</v>
      </c>
      <c r="M3321" s="1">
        <v>43159</v>
      </c>
      <c r="N3321" t="s">
        <v>45</v>
      </c>
      <c r="O3321" t="s">
        <v>106</v>
      </c>
      <c r="P3321" t="s">
        <v>47</v>
      </c>
      <c r="Q3321" s="1">
        <v>43852</v>
      </c>
      <c r="R3321" t="s">
        <v>48</v>
      </c>
      <c r="S3321" t="s">
        <v>96</v>
      </c>
      <c r="T3321" t="s">
        <v>97</v>
      </c>
      <c r="U3321" t="s">
        <v>85</v>
      </c>
      <c r="V3321">
        <v>600000</v>
      </c>
      <c r="W3321">
        <v>100000</v>
      </c>
      <c r="X3321" s="1">
        <v>43799</v>
      </c>
      <c r="Y3321" t="s">
        <v>51</v>
      </c>
      <c r="Z3321" t="s">
        <v>43</v>
      </c>
      <c r="AA3321" t="s">
        <v>98</v>
      </c>
      <c r="AB3321" t="s">
        <v>89</v>
      </c>
      <c r="AC3321" t="s">
        <v>90</v>
      </c>
      <c r="AF3321" t="s">
        <v>91</v>
      </c>
      <c r="AG3321" s="1">
        <v>43852</v>
      </c>
      <c r="AH3321" t="s">
        <v>85</v>
      </c>
      <c r="AI3321" t="s">
        <v>92</v>
      </c>
      <c r="AJ3321">
        <v>19888</v>
      </c>
      <c r="AK3321">
        <v>128777</v>
      </c>
      <c r="AL3321">
        <v>198882</v>
      </c>
    </row>
    <row r="3322" spans="1:38" x14ac:dyDescent="0.25">
      <c r="A3322" t="s">
        <v>203</v>
      </c>
      <c r="B3322">
        <v>52916488</v>
      </c>
      <c r="C3322" t="s">
        <v>71</v>
      </c>
      <c r="D3322" s="1">
        <v>43159</v>
      </c>
      <c r="E3322" s="1">
        <v>43523</v>
      </c>
      <c r="F3322" t="s">
        <v>84</v>
      </c>
      <c r="G3322">
        <v>10</v>
      </c>
      <c r="H3322" t="s">
        <v>85</v>
      </c>
      <c r="I3322" t="s">
        <v>43</v>
      </c>
      <c r="J3322" t="s">
        <v>86</v>
      </c>
      <c r="K3322" t="s">
        <v>44</v>
      </c>
      <c r="L3322">
        <v>177405.38</v>
      </c>
      <c r="M3322" s="1">
        <v>43159</v>
      </c>
      <c r="N3322" t="s">
        <v>45</v>
      </c>
      <c r="O3322" t="s">
        <v>106</v>
      </c>
      <c r="P3322" t="s">
        <v>47</v>
      </c>
      <c r="Q3322" s="1">
        <v>43852</v>
      </c>
      <c r="R3322" t="s">
        <v>48</v>
      </c>
      <c r="S3322" t="s">
        <v>96</v>
      </c>
      <c r="T3322" t="s">
        <v>97</v>
      </c>
      <c r="U3322" t="s">
        <v>85</v>
      </c>
      <c r="V3322">
        <v>600000</v>
      </c>
      <c r="W3322">
        <v>100000</v>
      </c>
      <c r="X3322" s="1">
        <v>43799</v>
      </c>
      <c r="Y3322" t="s">
        <v>51</v>
      </c>
      <c r="Z3322" t="s">
        <v>43</v>
      </c>
      <c r="AA3322" t="s">
        <v>98</v>
      </c>
      <c r="AB3322" t="s">
        <v>89</v>
      </c>
      <c r="AC3322" t="s">
        <v>90</v>
      </c>
      <c r="AF3322" t="s">
        <v>93</v>
      </c>
      <c r="AG3322" s="1">
        <v>43843</v>
      </c>
      <c r="AH3322" t="s">
        <v>85</v>
      </c>
      <c r="AI3322" t="s">
        <v>92</v>
      </c>
      <c r="AJ3322">
        <v>19888</v>
      </c>
      <c r="AK3322">
        <v>128777</v>
      </c>
      <c r="AL3322">
        <v>198882</v>
      </c>
    </row>
    <row r="3323" spans="1:38" x14ac:dyDescent="0.25">
      <c r="A3323" t="s">
        <v>203</v>
      </c>
      <c r="B3323">
        <v>52916488</v>
      </c>
      <c r="C3323" t="s">
        <v>71</v>
      </c>
      <c r="D3323" s="1">
        <v>43159</v>
      </c>
      <c r="E3323" s="1">
        <v>43523</v>
      </c>
      <c r="F3323" t="s">
        <v>84</v>
      </c>
      <c r="G3323">
        <v>10</v>
      </c>
      <c r="H3323" t="s">
        <v>85</v>
      </c>
      <c r="I3323" t="s">
        <v>43</v>
      </c>
      <c r="J3323" t="s">
        <v>86</v>
      </c>
      <c r="K3323" t="s">
        <v>44</v>
      </c>
      <c r="L3323">
        <v>177405.38</v>
      </c>
      <c r="M3323" s="1">
        <v>43159</v>
      </c>
      <c r="N3323" t="s">
        <v>45</v>
      </c>
      <c r="O3323" t="s">
        <v>106</v>
      </c>
      <c r="P3323" t="s">
        <v>47</v>
      </c>
      <c r="Q3323" s="1">
        <v>43852</v>
      </c>
      <c r="R3323" t="s">
        <v>48</v>
      </c>
      <c r="S3323" t="s">
        <v>99</v>
      </c>
      <c r="T3323" t="s">
        <v>100</v>
      </c>
      <c r="U3323" t="s">
        <v>85</v>
      </c>
      <c r="V3323">
        <v>210000</v>
      </c>
      <c r="W3323">
        <v>35000</v>
      </c>
      <c r="X3323" s="1">
        <v>43799</v>
      </c>
      <c r="Y3323" t="s">
        <v>51</v>
      </c>
      <c r="Z3323" t="s">
        <v>43</v>
      </c>
      <c r="AA3323" t="s">
        <v>98</v>
      </c>
      <c r="AB3323" t="s">
        <v>89</v>
      </c>
      <c r="AC3323" t="s">
        <v>101</v>
      </c>
      <c r="AF3323" t="s">
        <v>91</v>
      </c>
      <c r="AG3323" s="1">
        <v>43852</v>
      </c>
      <c r="AH3323" t="s">
        <v>85</v>
      </c>
      <c r="AI3323" t="s">
        <v>92</v>
      </c>
      <c r="AJ3323">
        <v>19888</v>
      </c>
      <c r="AK3323">
        <v>128777</v>
      </c>
      <c r="AL3323">
        <v>198882</v>
      </c>
    </row>
    <row r="3324" spans="1:38" x14ac:dyDescent="0.25">
      <c r="A3324" t="s">
        <v>203</v>
      </c>
      <c r="B3324">
        <v>52916488</v>
      </c>
      <c r="C3324" t="s">
        <v>71</v>
      </c>
      <c r="D3324" s="1">
        <v>43159</v>
      </c>
      <c r="E3324" s="1">
        <v>43523</v>
      </c>
      <c r="F3324" t="s">
        <v>84</v>
      </c>
      <c r="G3324">
        <v>10</v>
      </c>
      <c r="H3324" t="s">
        <v>85</v>
      </c>
      <c r="I3324" t="s">
        <v>43</v>
      </c>
      <c r="J3324" t="s">
        <v>86</v>
      </c>
      <c r="K3324" t="s">
        <v>44</v>
      </c>
      <c r="L3324">
        <v>177405.38</v>
      </c>
      <c r="M3324" s="1">
        <v>43159</v>
      </c>
      <c r="N3324" t="s">
        <v>45</v>
      </c>
      <c r="O3324" t="s">
        <v>106</v>
      </c>
      <c r="P3324" t="s">
        <v>47</v>
      </c>
      <c r="Q3324" s="1">
        <v>43852</v>
      </c>
      <c r="R3324" t="s">
        <v>48</v>
      </c>
      <c r="S3324" t="s">
        <v>99</v>
      </c>
      <c r="T3324" t="s">
        <v>100</v>
      </c>
      <c r="U3324" t="s">
        <v>85</v>
      </c>
      <c r="V3324">
        <v>210000</v>
      </c>
      <c r="W3324">
        <v>35000</v>
      </c>
      <c r="X3324" s="1">
        <v>43799</v>
      </c>
      <c r="Y3324" t="s">
        <v>51</v>
      </c>
      <c r="Z3324" t="s">
        <v>43</v>
      </c>
      <c r="AA3324" t="s">
        <v>98</v>
      </c>
      <c r="AB3324" t="s">
        <v>89</v>
      </c>
      <c r="AC3324" t="s">
        <v>101</v>
      </c>
      <c r="AF3324" t="s">
        <v>93</v>
      </c>
      <c r="AG3324" s="1">
        <v>43843</v>
      </c>
      <c r="AH3324" t="s">
        <v>85</v>
      </c>
      <c r="AI3324" t="s">
        <v>92</v>
      </c>
      <c r="AJ3324">
        <v>19888</v>
      </c>
      <c r="AK3324">
        <v>128777</v>
      </c>
      <c r="AL3324">
        <v>198882</v>
      </c>
    </row>
    <row r="3325" spans="1:38" x14ac:dyDescent="0.25">
      <c r="A3325" t="s">
        <v>203</v>
      </c>
      <c r="B3325">
        <v>52916488</v>
      </c>
      <c r="C3325" t="s">
        <v>71</v>
      </c>
      <c r="D3325" s="1">
        <v>43159</v>
      </c>
      <c r="E3325" s="1">
        <v>43523</v>
      </c>
      <c r="F3325" t="s">
        <v>84</v>
      </c>
      <c r="G3325">
        <v>10</v>
      </c>
      <c r="H3325" t="s">
        <v>85</v>
      </c>
      <c r="I3325" t="s">
        <v>43</v>
      </c>
      <c r="J3325" t="s">
        <v>86</v>
      </c>
      <c r="K3325" t="s">
        <v>44</v>
      </c>
      <c r="L3325">
        <v>177405.38</v>
      </c>
      <c r="M3325" s="1">
        <v>43159</v>
      </c>
      <c r="N3325" t="s">
        <v>45</v>
      </c>
      <c r="O3325" t="s">
        <v>106</v>
      </c>
      <c r="P3325" t="s">
        <v>47</v>
      </c>
      <c r="Q3325" s="1">
        <v>43852</v>
      </c>
      <c r="R3325" t="s">
        <v>48</v>
      </c>
      <c r="S3325" t="s">
        <v>102</v>
      </c>
      <c r="T3325" t="s">
        <v>103</v>
      </c>
      <c r="U3325" t="s">
        <v>85</v>
      </c>
      <c r="V3325">
        <v>5000000</v>
      </c>
      <c r="W3325">
        <v>250000</v>
      </c>
      <c r="X3325" s="1">
        <v>43799</v>
      </c>
      <c r="Y3325" t="s">
        <v>51</v>
      </c>
      <c r="Z3325" t="s">
        <v>43</v>
      </c>
      <c r="AA3325" t="s">
        <v>86</v>
      </c>
      <c r="AB3325" t="s">
        <v>89</v>
      </c>
      <c r="AC3325" t="s">
        <v>90</v>
      </c>
      <c r="AF3325" t="s">
        <v>91</v>
      </c>
      <c r="AG3325" s="1">
        <v>43852</v>
      </c>
      <c r="AH3325" t="s">
        <v>85</v>
      </c>
      <c r="AI3325" t="s">
        <v>92</v>
      </c>
      <c r="AJ3325">
        <v>19888</v>
      </c>
      <c r="AK3325">
        <v>128777</v>
      </c>
      <c r="AL3325">
        <v>198882</v>
      </c>
    </row>
    <row r="3326" spans="1:38" x14ac:dyDescent="0.25">
      <c r="A3326" t="s">
        <v>203</v>
      </c>
      <c r="B3326">
        <v>52916488</v>
      </c>
      <c r="C3326" t="s">
        <v>71</v>
      </c>
      <c r="D3326" s="1">
        <v>43159</v>
      </c>
      <c r="E3326" s="1">
        <v>43523</v>
      </c>
      <c r="F3326" t="s">
        <v>84</v>
      </c>
      <c r="G3326">
        <v>10</v>
      </c>
      <c r="H3326" t="s">
        <v>85</v>
      </c>
      <c r="I3326" t="s">
        <v>43</v>
      </c>
      <c r="J3326" t="s">
        <v>86</v>
      </c>
      <c r="K3326" t="s">
        <v>44</v>
      </c>
      <c r="L3326">
        <v>177405.38</v>
      </c>
      <c r="M3326" s="1">
        <v>43159</v>
      </c>
      <c r="N3326" t="s">
        <v>45</v>
      </c>
      <c r="O3326" t="s">
        <v>106</v>
      </c>
      <c r="P3326" t="s">
        <v>47</v>
      </c>
      <c r="Q3326" s="1">
        <v>43852</v>
      </c>
      <c r="R3326" t="s">
        <v>48</v>
      </c>
      <c r="S3326" t="s">
        <v>102</v>
      </c>
      <c r="T3326" t="s">
        <v>103</v>
      </c>
      <c r="U3326" t="s">
        <v>85</v>
      </c>
      <c r="V3326">
        <v>5000000</v>
      </c>
      <c r="W3326">
        <v>250000</v>
      </c>
      <c r="X3326" s="1">
        <v>43799</v>
      </c>
      <c r="Y3326" t="s">
        <v>51</v>
      </c>
      <c r="Z3326" t="s">
        <v>43</v>
      </c>
      <c r="AA3326" t="s">
        <v>86</v>
      </c>
      <c r="AB3326" t="s">
        <v>89</v>
      </c>
      <c r="AC3326" t="s">
        <v>90</v>
      </c>
      <c r="AF3326" t="s">
        <v>93</v>
      </c>
      <c r="AG3326" s="1">
        <v>43843</v>
      </c>
      <c r="AH3326" t="s">
        <v>85</v>
      </c>
      <c r="AI3326" t="s">
        <v>92</v>
      </c>
      <c r="AJ3326">
        <v>19888</v>
      </c>
      <c r="AK3326">
        <v>128777</v>
      </c>
      <c r="AL3326">
        <v>198882</v>
      </c>
    </row>
    <row r="3327" spans="1:38" x14ac:dyDescent="0.25">
      <c r="A3327" t="s">
        <v>205</v>
      </c>
      <c r="B3327">
        <v>52916488</v>
      </c>
      <c r="C3327" t="s">
        <v>71</v>
      </c>
      <c r="D3327" s="1">
        <v>43159</v>
      </c>
      <c r="E3327" s="1">
        <v>43523</v>
      </c>
      <c r="F3327" t="s">
        <v>84</v>
      </c>
      <c r="G3327">
        <v>10</v>
      </c>
      <c r="H3327" t="s">
        <v>85</v>
      </c>
      <c r="I3327" t="s">
        <v>43</v>
      </c>
      <c r="J3327" t="s">
        <v>86</v>
      </c>
      <c r="K3327" t="s">
        <v>44</v>
      </c>
      <c r="L3327">
        <v>13134.29</v>
      </c>
      <c r="M3327" s="1">
        <v>43299</v>
      </c>
      <c r="N3327" t="s">
        <v>108</v>
      </c>
      <c r="O3327" t="s">
        <v>106</v>
      </c>
      <c r="P3327" t="s">
        <v>47</v>
      </c>
      <c r="Q3327" s="1">
        <v>43852</v>
      </c>
      <c r="R3327" t="s">
        <v>48</v>
      </c>
      <c r="S3327" t="s">
        <v>87</v>
      </c>
      <c r="T3327" t="s">
        <v>88</v>
      </c>
      <c r="U3327" t="s">
        <v>85</v>
      </c>
      <c r="V3327">
        <v>1400000</v>
      </c>
      <c r="W3327">
        <v>100000</v>
      </c>
      <c r="X3327" s="1">
        <v>43808</v>
      </c>
      <c r="Y3327" t="s">
        <v>51</v>
      </c>
      <c r="Z3327" t="s">
        <v>43</v>
      </c>
      <c r="AA3327" t="s">
        <v>86</v>
      </c>
      <c r="AB3327" t="s">
        <v>89</v>
      </c>
      <c r="AC3327" t="s">
        <v>90</v>
      </c>
      <c r="AF3327" t="s">
        <v>91</v>
      </c>
      <c r="AG3327" s="1">
        <v>43852</v>
      </c>
      <c r="AH3327" t="s">
        <v>85</v>
      </c>
      <c r="AI3327" t="s">
        <v>92</v>
      </c>
      <c r="AJ3327">
        <v>19888</v>
      </c>
      <c r="AK3327">
        <v>128777</v>
      </c>
      <c r="AL3327">
        <v>198882</v>
      </c>
    </row>
    <row r="3328" spans="1:38" x14ac:dyDescent="0.25">
      <c r="A3328" t="s">
        <v>205</v>
      </c>
      <c r="B3328">
        <v>52916488</v>
      </c>
      <c r="C3328" t="s">
        <v>71</v>
      </c>
      <c r="D3328" s="1">
        <v>43159</v>
      </c>
      <c r="E3328" s="1">
        <v>43523</v>
      </c>
      <c r="F3328" t="s">
        <v>84</v>
      </c>
      <c r="G3328">
        <v>10</v>
      </c>
      <c r="H3328" t="s">
        <v>85</v>
      </c>
      <c r="I3328" t="s">
        <v>43</v>
      </c>
      <c r="J3328" t="s">
        <v>86</v>
      </c>
      <c r="K3328" t="s">
        <v>44</v>
      </c>
      <c r="L3328">
        <v>13134.29</v>
      </c>
      <c r="M3328" s="1">
        <v>43299</v>
      </c>
      <c r="N3328" t="s">
        <v>108</v>
      </c>
      <c r="O3328" t="s">
        <v>106</v>
      </c>
      <c r="P3328" t="s">
        <v>47</v>
      </c>
      <c r="Q3328" s="1">
        <v>43852</v>
      </c>
      <c r="R3328" t="s">
        <v>48</v>
      </c>
      <c r="S3328" t="s">
        <v>87</v>
      </c>
      <c r="T3328" t="s">
        <v>88</v>
      </c>
      <c r="U3328" t="s">
        <v>85</v>
      </c>
      <c r="V3328">
        <v>1400000</v>
      </c>
      <c r="W3328">
        <v>100000</v>
      </c>
      <c r="X3328" s="1">
        <v>43808</v>
      </c>
      <c r="Y3328" t="s">
        <v>51</v>
      </c>
      <c r="Z3328" t="s">
        <v>43</v>
      </c>
      <c r="AA3328" t="s">
        <v>86</v>
      </c>
      <c r="AB3328" t="s">
        <v>89</v>
      </c>
      <c r="AC3328" t="s">
        <v>90</v>
      </c>
      <c r="AF3328" t="s">
        <v>93</v>
      </c>
      <c r="AG3328" s="1">
        <v>43843</v>
      </c>
      <c r="AH3328" t="s">
        <v>85</v>
      </c>
      <c r="AI3328" t="s">
        <v>92</v>
      </c>
      <c r="AJ3328">
        <v>19888</v>
      </c>
      <c r="AK3328">
        <v>128777</v>
      </c>
      <c r="AL3328">
        <v>198882</v>
      </c>
    </row>
    <row r="3329" spans="1:38" x14ac:dyDescent="0.25">
      <c r="A3329" t="s">
        <v>205</v>
      </c>
      <c r="B3329">
        <v>52916488</v>
      </c>
      <c r="C3329" t="s">
        <v>71</v>
      </c>
      <c r="D3329" s="1">
        <v>43159</v>
      </c>
      <c r="E3329" s="1">
        <v>43523</v>
      </c>
      <c r="F3329" t="s">
        <v>84</v>
      </c>
      <c r="G3329">
        <v>10</v>
      </c>
      <c r="H3329" t="s">
        <v>85</v>
      </c>
      <c r="I3329" t="s">
        <v>43</v>
      </c>
      <c r="J3329" t="s">
        <v>86</v>
      </c>
      <c r="K3329" t="s">
        <v>44</v>
      </c>
      <c r="L3329">
        <v>13134.29</v>
      </c>
      <c r="M3329" s="1">
        <v>43299</v>
      </c>
      <c r="N3329" t="s">
        <v>108</v>
      </c>
      <c r="O3329" t="s">
        <v>106</v>
      </c>
      <c r="P3329" t="s">
        <v>47</v>
      </c>
      <c r="Q3329" s="1">
        <v>43852</v>
      </c>
      <c r="R3329" t="s">
        <v>48</v>
      </c>
      <c r="S3329" t="s">
        <v>94</v>
      </c>
      <c r="T3329" t="s">
        <v>95</v>
      </c>
      <c r="U3329" t="s">
        <v>85</v>
      </c>
      <c r="V3329">
        <v>4500000</v>
      </c>
      <c r="W3329">
        <v>300000</v>
      </c>
      <c r="X3329" s="1">
        <v>43767</v>
      </c>
      <c r="Y3329" t="s">
        <v>51</v>
      </c>
      <c r="Z3329" t="s">
        <v>43</v>
      </c>
      <c r="AA3329" t="s">
        <v>86</v>
      </c>
      <c r="AB3329" t="s">
        <v>89</v>
      </c>
      <c r="AC3329" t="s">
        <v>90</v>
      </c>
      <c r="AF3329" t="s">
        <v>91</v>
      </c>
      <c r="AG3329" s="1">
        <v>43852</v>
      </c>
      <c r="AH3329" t="s">
        <v>85</v>
      </c>
      <c r="AI3329" t="s">
        <v>92</v>
      </c>
      <c r="AJ3329">
        <v>19888</v>
      </c>
      <c r="AK3329">
        <v>128777</v>
      </c>
      <c r="AL3329">
        <v>198882</v>
      </c>
    </row>
    <row r="3330" spans="1:38" x14ac:dyDescent="0.25">
      <c r="A3330" t="s">
        <v>205</v>
      </c>
      <c r="B3330">
        <v>52916488</v>
      </c>
      <c r="C3330" t="s">
        <v>71</v>
      </c>
      <c r="D3330" s="1">
        <v>43159</v>
      </c>
      <c r="E3330" s="1">
        <v>43523</v>
      </c>
      <c r="F3330" t="s">
        <v>84</v>
      </c>
      <c r="G3330">
        <v>10</v>
      </c>
      <c r="H3330" t="s">
        <v>85</v>
      </c>
      <c r="I3330" t="s">
        <v>43</v>
      </c>
      <c r="J3330" t="s">
        <v>86</v>
      </c>
      <c r="K3330" t="s">
        <v>44</v>
      </c>
      <c r="L3330">
        <v>13134.29</v>
      </c>
      <c r="M3330" s="1">
        <v>43299</v>
      </c>
      <c r="N3330" t="s">
        <v>108</v>
      </c>
      <c r="O3330" t="s">
        <v>106</v>
      </c>
      <c r="P3330" t="s">
        <v>47</v>
      </c>
      <c r="Q3330" s="1">
        <v>43852</v>
      </c>
      <c r="R3330" t="s">
        <v>48</v>
      </c>
      <c r="S3330" t="s">
        <v>94</v>
      </c>
      <c r="T3330" t="s">
        <v>95</v>
      </c>
      <c r="U3330" t="s">
        <v>85</v>
      </c>
      <c r="V3330">
        <v>4500000</v>
      </c>
      <c r="W3330">
        <v>300000</v>
      </c>
      <c r="X3330" s="1">
        <v>43767</v>
      </c>
      <c r="Y3330" t="s">
        <v>51</v>
      </c>
      <c r="Z3330" t="s">
        <v>43</v>
      </c>
      <c r="AA3330" t="s">
        <v>86</v>
      </c>
      <c r="AB3330" t="s">
        <v>89</v>
      </c>
      <c r="AC3330" t="s">
        <v>90</v>
      </c>
      <c r="AF3330" t="s">
        <v>93</v>
      </c>
      <c r="AG3330" s="1">
        <v>43843</v>
      </c>
      <c r="AH3330" t="s">
        <v>85</v>
      </c>
      <c r="AI3330" t="s">
        <v>92</v>
      </c>
      <c r="AJ3330">
        <v>19888</v>
      </c>
      <c r="AK3330">
        <v>128777</v>
      </c>
      <c r="AL3330">
        <v>198882</v>
      </c>
    </row>
    <row r="3331" spans="1:38" x14ac:dyDescent="0.25">
      <c r="A3331" t="s">
        <v>205</v>
      </c>
      <c r="B3331">
        <v>52916488</v>
      </c>
      <c r="C3331" t="s">
        <v>71</v>
      </c>
      <c r="D3331" s="1">
        <v>43159</v>
      </c>
      <c r="E3331" s="1">
        <v>43523</v>
      </c>
      <c r="F3331" t="s">
        <v>84</v>
      </c>
      <c r="G3331">
        <v>10</v>
      </c>
      <c r="H3331" t="s">
        <v>85</v>
      </c>
      <c r="I3331" t="s">
        <v>43</v>
      </c>
      <c r="J3331" t="s">
        <v>86</v>
      </c>
      <c r="K3331" t="s">
        <v>44</v>
      </c>
      <c r="L3331">
        <v>13134.29</v>
      </c>
      <c r="M3331" s="1">
        <v>43299</v>
      </c>
      <c r="N3331" t="s">
        <v>108</v>
      </c>
      <c r="O3331" t="s">
        <v>106</v>
      </c>
      <c r="P3331" t="s">
        <v>47</v>
      </c>
      <c r="Q3331" s="1">
        <v>43852</v>
      </c>
      <c r="R3331" t="s">
        <v>48</v>
      </c>
      <c r="S3331" t="s">
        <v>96</v>
      </c>
      <c r="T3331" t="s">
        <v>97</v>
      </c>
      <c r="U3331" t="s">
        <v>85</v>
      </c>
      <c r="V3331">
        <v>600000</v>
      </c>
      <c r="W3331">
        <v>100000</v>
      </c>
      <c r="X3331" s="1">
        <v>43799</v>
      </c>
      <c r="Y3331" t="s">
        <v>51</v>
      </c>
      <c r="Z3331" t="s">
        <v>43</v>
      </c>
      <c r="AA3331" t="s">
        <v>98</v>
      </c>
      <c r="AB3331" t="s">
        <v>89</v>
      </c>
      <c r="AC3331" t="s">
        <v>90</v>
      </c>
      <c r="AF3331" t="s">
        <v>91</v>
      </c>
      <c r="AG3331" s="1">
        <v>43852</v>
      </c>
      <c r="AH3331" t="s">
        <v>85</v>
      </c>
      <c r="AI3331" t="s">
        <v>92</v>
      </c>
      <c r="AJ3331">
        <v>19888</v>
      </c>
      <c r="AK3331">
        <v>128777</v>
      </c>
      <c r="AL3331">
        <v>198882</v>
      </c>
    </row>
    <row r="3332" spans="1:38" x14ac:dyDescent="0.25">
      <c r="A3332" t="s">
        <v>205</v>
      </c>
      <c r="B3332">
        <v>52916488</v>
      </c>
      <c r="C3332" t="s">
        <v>71</v>
      </c>
      <c r="D3332" s="1">
        <v>43159</v>
      </c>
      <c r="E3332" s="1">
        <v>43523</v>
      </c>
      <c r="F3332" t="s">
        <v>84</v>
      </c>
      <c r="G3332">
        <v>10</v>
      </c>
      <c r="H3332" t="s">
        <v>85</v>
      </c>
      <c r="I3332" t="s">
        <v>43</v>
      </c>
      <c r="J3332" t="s">
        <v>86</v>
      </c>
      <c r="K3332" t="s">
        <v>44</v>
      </c>
      <c r="L3332">
        <v>13134.29</v>
      </c>
      <c r="M3332" s="1">
        <v>43299</v>
      </c>
      <c r="N3332" t="s">
        <v>108</v>
      </c>
      <c r="O3332" t="s">
        <v>106</v>
      </c>
      <c r="P3332" t="s">
        <v>47</v>
      </c>
      <c r="Q3332" s="1">
        <v>43852</v>
      </c>
      <c r="R3332" t="s">
        <v>48</v>
      </c>
      <c r="S3332" t="s">
        <v>96</v>
      </c>
      <c r="T3332" t="s">
        <v>97</v>
      </c>
      <c r="U3332" t="s">
        <v>85</v>
      </c>
      <c r="V3332">
        <v>600000</v>
      </c>
      <c r="W3332">
        <v>100000</v>
      </c>
      <c r="X3332" s="1">
        <v>43799</v>
      </c>
      <c r="Y3332" t="s">
        <v>51</v>
      </c>
      <c r="Z3332" t="s">
        <v>43</v>
      </c>
      <c r="AA3332" t="s">
        <v>98</v>
      </c>
      <c r="AB3332" t="s">
        <v>89</v>
      </c>
      <c r="AC3332" t="s">
        <v>90</v>
      </c>
      <c r="AF3332" t="s">
        <v>93</v>
      </c>
      <c r="AG3332" s="1">
        <v>43843</v>
      </c>
      <c r="AH3332" t="s">
        <v>85</v>
      </c>
      <c r="AI3332" t="s">
        <v>92</v>
      </c>
      <c r="AJ3332">
        <v>19888</v>
      </c>
      <c r="AK3332">
        <v>128777</v>
      </c>
      <c r="AL3332">
        <v>198882</v>
      </c>
    </row>
    <row r="3333" spans="1:38" x14ac:dyDescent="0.25">
      <c r="A3333" t="s">
        <v>205</v>
      </c>
      <c r="B3333">
        <v>52916488</v>
      </c>
      <c r="C3333" t="s">
        <v>71</v>
      </c>
      <c r="D3333" s="1">
        <v>43159</v>
      </c>
      <c r="E3333" s="1">
        <v>43523</v>
      </c>
      <c r="F3333" t="s">
        <v>84</v>
      </c>
      <c r="G3333">
        <v>10</v>
      </c>
      <c r="H3333" t="s">
        <v>85</v>
      </c>
      <c r="I3333" t="s">
        <v>43</v>
      </c>
      <c r="J3333" t="s">
        <v>86</v>
      </c>
      <c r="K3333" t="s">
        <v>44</v>
      </c>
      <c r="L3333">
        <v>13134.29</v>
      </c>
      <c r="M3333" s="1">
        <v>43299</v>
      </c>
      <c r="N3333" t="s">
        <v>108</v>
      </c>
      <c r="O3333" t="s">
        <v>106</v>
      </c>
      <c r="P3333" t="s">
        <v>47</v>
      </c>
      <c r="Q3333" s="1">
        <v>43852</v>
      </c>
      <c r="R3333" t="s">
        <v>48</v>
      </c>
      <c r="S3333" t="s">
        <v>99</v>
      </c>
      <c r="T3333" t="s">
        <v>100</v>
      </c>
      <c r="U3333" t="s">
        <v>85</v>
      </c>
      <c r="V3333">
        <v>210000</v>
      </c>
      <c r="W3333">
        <v>35000</v>
      </c>
      <c r="X3333" s="1">
        <v>43799</v>
      </c>
      <c r="Y3333" t="s">
        <v>51</v>
      </c>
      <c r="Z3333" t="s">
        <v>43</v>
      </c>
      <c r="AA3333" t="s">
        <v>98</v>
      </c>
      <c r="AB3333" t="s">
        <v>89</v>
      </c>
      <c r="AC3333" t="s">
        <v>101</v>
      </c>
      <c r="AF3333" t="s">
        <v>91</v>
      </c>
      <c r="AG3333" s="1">
        <v>43852</v>
      </c>
      <c r="AH3333" t="s">
        <v>85</v>
      </c>
      <c r="AI3333" t="s">
        <v>92</v>
      </c>
      <c r="AJ3333">
        <v>19888</v>
      </c>
      <c r="AK3333">
        <v>128777</v>
      </c>
      <c r="AL3333">
        <v>198882</v>
      </c>
    </row>
    <row r="3334" spans="1:38" x14ac:dyDescent="0.25">
      <c r="A3334" t="s">
        <v>205</v>
      </c>
      <c r="B3334">
        <v>52916488</v>
      </c>
      <c r="C3334" t="s">
        <v>71</v>
      </c>
      <c r="D3334" s="1">
        <v>43159</v>
      </c>
      <c r="E3334" s="1">
        <v>43523</v>
      </c>
      <c r="F3334" t="s">
        <v>84</v>
      </c>
      <c r="G3334">
        <v>10</v>
      </c>
      <c r="H3334" t="s">
        <v>85</v>
      </c>
      <c r="I3334" t="s">
        <v>43</v>
      </c>
      <c r="J3334" t="s">
        <v>86</v>
      </c>
      <c r="K3334" t="s">
        <v>44</v>
      </c>
      <c r="L3334">
        <v>13134.29</v>
      </c>
      <c r="M3334" s="1">
        <v>43299</v>
      </c>
      <c r="N3334" t="s">
        <v>108</v>
      </c>
      <c r="O3334" t="s">
        <v>106</v>
      </c>
      <c r="P3334" t="s">
        <v>47</v>
      </c>
      <c r="Q3334" s="1">
        <v>43852</v>
      </c>
      <c r="R3334" t="s">
        <v>48</v>
      </c>
      <c r="S3334" t="s">
        <v>99</v>
      </c>
      <c r="T3334" t="s">
        <v>100</v>
      </c>
      <c r="U3334" t="s">
        <v>85</v>
      </c>
      <c r="V3334">
        <v>210000</v>
      </c>
      <c r="W3334">
        <v>35000</v>
      </c>
      <c r="X3334" s="1">
        <v>43799</v>
      </c>
      <c r="Y3334" t="s">
        <v>51</v>
      </c>
      <c r="Z3334" t="s">
        <v>43</v>
      </c>
      <c r="AA3334" t="s">
        <v>98</v>
      </c>
      <c r="AB3334" t="s">
        <v>89</v>
      </c>
      <c r="AC3334" t="s">
        <v>101</v>
      </c>
      <c r="AF3334" t="s">
        <v>93</v>
      </c>
      <c r="AG3334" s="1">
        <v>43843</v>
      </c>
      <c r="AH3334" t="s">
        <v>85</v>
      </c>
      <c r="AI3334" t="s">
        <v>92</v>
      </c>
      <c r="AJ3334">
        <v>19888</v>
      </c>
      <c r="AK3334">
        <v>128777</v>
      </c>
      <c r="AL3334">
        <v>198882</v>
      </c>
    </row>
    <row r="3335" spans="1:38" x14ac:dyDescent="0.25">
      <c r="A3335" t="s">
        <v>205</v>
      </c>
      <c r="B3335">
        <v>52916488</v>
      </c>
      <c r="C3335" t="s">
        <v>71</v>
      </c>
      <c r="D3335" s="1">
        <v>43159</v>
      </c>
      <c r="E3335" s="1">
        <v>43523</v>
      </c>
      <c r="F3335" t="s">
        <v>84</v>
      </c>
      <c r="G3335">
        <v>10</v>
      </c>
      <c r="H3335" t="s">
        <v>85</v>
      </c>
      <c r="I3335" t="s">
        <v>43</v>
      </c>
      <c r="J3335" t="s">
        <v>86</v>
      </c>
      <c r="K3335" t="s">
        <v>44</v>
      </c>
      <c r="L3335">
        <v>13134.29</v>
      </c>
      <c r="M3335" s="1">
        <v>43299</v>
      </c>
      <c r="N3335" t="s">
        <v>108</v>
      </c>
      <c r="O3335" t="s">
        <v>106</v>
      </c>
      <c r="P3335" t="s">
        <v>47</v>
      </c>
      <c r="Q3335" s="1">
        <v>43852</v>
      </c>
      <c r="R3335" t="s">
        <v>48</v>
      </c>
      <c r="S3335" t="s">
        <v>102</v>
      </c>
      <c r="T3335" t="s">
        <v>103</v>
      </c>
      <c r="U3335" t="s">
        <v>85</v>
      </c>
      <c r="V3335">
        <v>5000000</v>
      </c>
      <c r="W3335">
        <v>250000</v>
      </c>
      <c r="X3335" s="1">
        <v>43799</v>
      </c>
      <c r="Y3335" t="s">
        <v>51</v>
      </c>
      <c r="Z3335" t="s">
        <v>43</v>
      </c>
      <c r="AA3335" t="s">
        <v>86</v>
      </c>
      <c r="AB3335" t="s">
        <v>89</v>
      </c>
      <c r="AC3335" t="s">
        <v>90</v>
      </c>
      <c r="AF3335" t="s">
        <v>91</v>
      </c>
      <c r="AG3335" s="1">
        <v>43852</v>
      </c>
      <c r="AH3335" t="s">
        <v>85</v>
      </c>
      <c r="AI3335" t="s">
        <v>92</v>
      </c>
      <c r="AJ3335">
        <v>19888</v>
      </c>
      <c r="AK3335">
        <v>128777</v>
      </c>
      <c r="AL3335">
        <v>198882</v>
      </c>
    </row>
    <row r="3336" spans="1:38" x14ac:dyDescent="0.25">
      <c r="A3336" t="s">
        <v>205</v>
      </c>
      <c r="B3336">
        <v>52916488</v>
      </c>
      <c r="C3336" t="s">
        <v>71</v>
      </c>
      <c r="D3336" s="1">
        <v>43159</v>
      </c>
      <c r="E3336" s="1">
        <v>43523</v>
      </c>
      <c r="F3336" t="s">
        <v>84</v>
      </c>
      <c r="G3336">
        <v>10</v>
      </c>
      <c r="H3336" t="s">
        <v>85</v>
      </c>
      <c r="I3336" t="s">
        <v>43</v>
      </c>
      <c r="J3336" t="s">
        <v>86</v>
      </c>
      <c r="K3336" t="s">
        <v>44</v>
      </c>
      <c r="L3336">
        <v>13134.29</v>
      </c>
      <c r="M3336" s="1">
        <v>43299</v>
      </c>
      <c r="N3336" t="s">
        <v>108</v>
      </c>
      <c r="O3336" t="s">
        <v>106</v>
      </c>
      <c r="P3336" t="s">
        <v>47</v>
      </c>
      <c r="Q3336" s="1">
        <v>43852</v>
      </c>
      <c r="R3336" t="s">
        <v>48</v>
      </c>
      <c r="S3336" t="s">
        <v>102</v>
      </c>
      <c r="T3336" t="s">
        <v>103</v>
      </c>
      <c r="U3336" t="s">
        <v>85</v>
      </c>
      <c r="V3336">
        <v>5000000</v>
      </c>
      <c r="W3336">
        <v>250000</v>
      </c>
      <c r="X3336" s="1">
        <v>43799</v>
      </c>
      <c r="Y3336" t="s">
        <v>51</v>
      </c>
      <c r="Z3336" t="s">
        <v>43</v>
      </c>
      <c r="AA3336" t="s">
        <v>86</v>
      </c>
      <c r="AB3336" t="s">
        <v>89</v>
      </c>
      <c r="AC3336" t="s">
        <v>90</v>
      </c>
      <c r="AF3336" t="s">
        <v>93</v>
      </c>
      <c r="AG3336" s="1">
        <v>43843</v>
      </c>
      <c r="AH3336" t="s">
        <v>85</v>
      </c>
      <c r="AI3336" t="s">
        <v>92</v>
      </c>
      <c r="AJ3336">
        <v>19888</v>
      </c>
      <c r="AK3336">
        <v>128777</v>
      </c>
      <c r="AL3336">
        <v>198882</v>
      </c>
    </row>
    <row r="3337" spans="1:38" x14ac:dyDescent="0.25">
      <c r="A3337" t="s">
        <v>209</v>
      </c>
      <c r="B3337">
        <v>52916488</v>
      </c>
      <c r="C3337" t="s">
        <v>71</v>
      </c>
      <c r="D3337" s="1">
        <v>43159</v>
      </c>
      <c r="E3337" s="1">
        <v>43523</v>
      </c>
      <c r="F3337" t="s">
        <v>84</v>
      </c>
      <c r="G3337">
        <v>10</v>
      </c>
      <c r="H3337" t="s">
        <v>85</v>
      </c>
      <c r="I3337" t="s">
        <v>43</v>
      </c>
      <c r="J3337" t="s">
        <v>86</v>
      </c>
      <c r="K3337" t="s">
        <v>44</v>
      </c>
      <c r="L3337">
        <v>13134.29</v>
      </c>
      <c r="M3337" s="1">
        <v>43348</v>
      </c>
      <c r="N3337" t="s">
        <v>108</v>
      </c>
      <c r="O3337" t="s">
        <v>106</v>
      </c>
      <c r="P3337" t="s">
        <v>47</v>
      </c>
      <c r="Q3337" s="1">
        <v>43852</v>
      </c>
      <c r="R3337" t="s">
        <v>48</v>
      </c>
      <c r="S3337" t="s">
        <v>87</v>
      </c>
      <c r="T3337" t="s">
        <v>88</v>
      </c>
      <c r="U3337" t="s">
        <v>85</v>
      </c>
      <c r="V3337">
        <v>1400000</v>
      </c>
      <c r="W3337">
        <v>100000</v>
      </c>
      <c r="X3337" s="1">
        <v>43808</v>
      </c>
      <c r="Y3337" t="s">
        <v>51</v>
      </c>
      <c r="Z3337" t="s">
        <v>43</v>
      </c>
      <c r="AA3337" t="s">
        <v>86</v>
      </c>
      <c r="AB3337" t="s">
        <v>89</v>
      </c>
      <c r="AC3337" t="s">
        <v>90</v>
      </c>
      <c r="AF3337" t="s">
        <v>91</v>
      </c>
      <c r="AG3337" s="1">
        <v>43852</v>
      </c>
      <c r="AH3337" t="s">
        <v>85</v>
      </c>
      <c r="AI3337" t="s">
        <v>92</v>
      </c>
      <c r="AJ3337">
        <v>19888</v>
      </c>
      <c r="AK3337">
        <v>128777</v>
      </c>
      <c r="AL3337">
        <v>198882</v>
      </c>
    </row>
    <row r="3338" spans="1:38" x14ac:dyDescent="0.25">
      <c r="A3338" t="s">
        <v>209</v>
      </c>
      <c r="B3338">
        <v>52916488</v>
      </c>
      <c r="C3338" t="s">
        <v>71</v>
      </c>
      <c r="D3338" s="1">
        <v>43159</v>
      </c>
      <c r="E3338" s="1">
        <v>43523</v>
      </c>
      <c r="F3338" t="s">
        <v>84</v>
      </c>
      <c r="G3338">
        <v>10</v>
      </c>
      <c r="H3338" t="s">
        <v>85</v>
      </c>
      <c r="I3338" t="s">
        <v>43</v>
      </c>
      <c r="J3338" t="s">
        <v>86</v>
      </c>
      <c r="K3338" t="s">
        <v>44</v>
      </c>
      <c r="L3338">
        <v>13134.29</v>
      </c>
      <c r="M3338" s="1">
        <v>43348</v>
      </c>
      <c r="N3338" t="s">
        <v>108</v>
      </c>
      <c r="O3338" t="s">
        <v>106</v>
      </c>
      <c r="P3338" t="s">
        <v>47</v>
      </c>
      <c r="Q3338" s="1">
        <v>43852</v>
      </c>
      <c r="R3338" t="s">
        <v>48</v>
      </c>
      <c r="S3338" t="s">
        <v>87</v>
      </c>
      <c r="T3338" t="s">
        <v>88</v>
      </c>
      <c r="U3338" t="s">
        <v>85</v>
      </c>
      <c r="V3338">
        <v>1400000</v>
      </c>
      <c r="W3338">
        <v>100000</v>
      </c>
      <c r="X3338" s="1">
        <v>43808</v>
      </c>
      <c r="Y3338" t="s">
        <v>51</v>
      </c>
      <c r="Z3338" t="s">
        <v>43</v>
      </c>
      <c r="AA3338" t="s">
        <v>86</v>
      </c>
      <c r="AB3338" t="s">
        <v>89</v>
      </c>
      <c r="AC3338" t="s">
        <v>90</v>
      </c>
      <c r="AF3338" t="s">
        <v>93</v>
      </c>
      <c r="AG3338" s="1">
        <v>43843</v>
      </c>
      <c r="AH3338" t="s">
        <v>85</v>
      </c>
      <c r="AI3338" t="s">
        <v>92</v>
      </c>
      <c r="AJ3338">
        <v>19888</v>
      </c>
      <c r="AK3338">
        <v>128777</v>
      </c>
      <c r="AL3338">
        <v>198882</v>
      </c>
    </row>
    <row r="3339" spans="1:38" x14ac:dyDescent="0.25">
      <c r="A3339" t="s">
        <v>209</v>
      </c>
      <c r="B3339">
        <v>52916488</v>
      </c>
      <c r="C3339" t="s">
        <v>71</v>
      </c>
      <c r="D3339" s="1">
        <v>43159</v>
      </c>
      <c r="E3339" s="1">
        <v>43523</v>
      </c>
      <c r="F3339" t="s">
        <v>84</v>
      </c>
      <c r="G3339">
        <v>10</v>
      </c>
      <c r="H3339" t="s">
        <v>85</v>
      </c>
      <c r="I3339" t="s">
        <v>43</v>
      </c>
      <c r="J3339" t="s">
        <v>86</v>
      </c>
      <c r="K3339" t="s">
        <v>44</v>
      </c>
      <c r="L3339">
        <v>13134.29</v>
      </c>
      <c r="M3339" s="1">
        <v>43348</v>
      </c>
      <c r="N3339" t="s">
        <v>108</v>
      </c>
      <c r="O3339" t="s">
        <v>106</v>
      </c>
      <c r="P3339" t="s">
        <v>47</v>
      </c>
      <c r="Q3339" s="1">
        <v>43852</v>
      </c>
      <c r="R3339" t="s">
        <v>48</v>
      </c>
      <c r="S3339" t="s">
        <v>94</v>
      </c>
      <c r="T3339" t="s">
        <v>95</v>
      </c>
      <c r="U3339" t="s">
        <v>85</v>
      </c>
      <c r="V3339">
        <v>4500000</v>
      </c>
      <c r="W3339">
        <v>300000</v>
      </c>
      <c r="X3339" s="1">
        <v>43767</v>
      </c>
      <c r="Y3339" t="s">
        <v>51</v>
      </c>
      <c r="Z3339" t="s">
        <v>43</v>
      </c>
      <c r="AA3339" t="s">
        <v>86</v>
      </c>
      <c r="AB3339" t="s">
        <v>89</v>
      </c>
      <c r="AC3339" t="s">
        <v>90</v>
      </c>
      <c r="AF3339" t="s">
        <v>91</v>
      </c>
      <c r="AG3339" s="1">
        <v>43852</v>
      </c>
      <c r="AH3339" t="s">
        <v>85</v>
      </c>
      <c r="AI3339" t="s">
        <v>92</v>
      </c>
      <c r="AJ3339">
        <v>19888</v>
      </c>
      <c r="AK3339">
        <v>128777</v>
      </c>
      <c r="AL3339">
        <v>198882</v>
      </c>
    </row>
    <row r="3340" spans="1:38" x14ac:dyDescent="0.25">
      <c r="A3340" t="s">
        <v>209</v>
      </c>
      <c r="B3340">
        <v>52916488</v>
      </c>
      <c r="C3340" t="s">
        <v>71</v>
      </c>
      <c r="D3340" s="1">
        <v>43159</v>
      </c>
      <c r="E3340" s="1">
        <v>43523</v>
      </c>
      <c r="F3340" t="s">
        <v>84</v>
      </c>
      <c r="G3340">
        <v>10</v>
      </c>
      <c r="H3340" t="s">
        <v>85</v>
      </c>
      <c r="I3340" t="s">
        <v>43</v>
      </c>
      <c r="J3340" t="s">
        <v>86</v>
      </c>
      <c r="K3340" t="s">
        <v>44</v>
      </c>
      <c r="L3340">
        <v>13134.29</v>
      </c>
      <c r="M3340" s="1">
        <v>43348</v>
      </c>
      <c r="N3340" t="s">
        <v>108</v>
      </c>
      <c r="O3340" t="s">
        <v>106</v>
      </c>
      <c r="P3340" t="s">
        <v>47</v>
      </c>
      <c r="Q3340" s="1">
        <v>43852</v>
      </c>
      <c r="R3340" t="s">
        <v>48</v>
      </c>
      <c r="S3340" t="s">
        <v>94</v>
      </c>
      <c r="T3340" t="s">
        <v>95</v>
      </c>
      <c r="U3340" t="s">
        <v>85</v>
      </c>
      <c r="V3340">
        <v>4500000</v>
      </c>
      <c r="W3340">
        <v>300000</v>
      </c>
      <c r="X3340" s="1">
        <v>43767</v>
      </c>
      <c r="Y3340" t="s">
        <v>51</v>
      </c>
      <c r="Z3340" t="s">
        <v>43</v>
      </c>
      <c r="AA3340" t="s">
        <v>86</v>
      </c>
      <c r="AB3340" t="s">
        <v>89</v>
      </c>
      <c r="AC3340" t="s">
        <v>90</v>
      </c>
      <c r="AF3340" t="s">
        <v>93</v>
      </c>
      <c r="AG3340" s="1">
        <v>43843</v>
      </c>
      <c r="AH3340" t="s">
        <v>85</v>
      </c>
      <c r="AI3340" t="s">
        <v>92</v>
      </c>
      <c r="AJ3340">
        <v>19888</v>
      </c>
      <c r="AK3340">
        <v>128777</v>
      </c>
      <c r="AL3340">
        <v>198882</v>
      </c>
    </row>
    <row r="3341" spans="1:38" x14ac:dyDescent="0.25">
      <c r="A3341" t="s">
        <v>209</v>
      </c>
      <c r="B3341">
        <v>52916488</v>
      </c>
      <c r="C3341" t="s">
        <v>71</v>
      </c>
      <c r="D3341" s="1">
        <v>43159</v>
      </c>
      <c r="E3341" s="1">
        <v>43523</v>
      </c>
      <c r="F3341" t="s">
        <v>84</v>
      </c>
      <c r="G3341">
        <v>10</v>
      </c>
      <c r="H3341" t="s">
        <v>85</v>
      </c>
      <c r="I3341" t="s">
        <v>43</v>
      </c>
      <c r="J3341" t="s">
        <v>86</v>
      </c>
      <c r="K3341" t="s">
        <v>44</v>
      </c>
      <c r="L3341">
        <v>13134.29</v>
      </c>
      <c r="M3341" s="1">
        <v>43348</v>
      </c>
      <c r="N3341" t="s">
        <v>108</v>
      </c>
      <c r="O3341" t="s">
        <v>106</v>
      </c>
      <c r="P3341" t="s">
        <v>47</v>
      </c>
      <c r="Q3341" s="1">
        <v>43852</v>
      </c>
      <c r="R3341" t="s">
        <v>48</v>
      </c>
      <c r="S3341" t="s">
        <v>96</v>
      </c>
      <c r="T3341" t="s">
        <v>97</v>
      </c>
      <c r="U3341" t="s">
        <v>85</v>
      </c>
      <c r="V3341">
        <v>600000</v>
      </c>
      <c r="W3341">
        <v>100000</v>
      </c>
      <c r="X3341" s="1">
        <v>43799</v>
      </c>
      <c r="Y3341" t="s">
        <v>51</v>
      </c>
      <c r="Z3341" t="s">
        <v>43</v>
      </c>
      <c r="AA3341" t="s">
        <v>98</v>
      </c>
      <c r="AB3341" t="s">
        <v>89</v>
      </c>
      <c r="AC3341" t="s">
        <v>90</v>
      </c>
      <c r="AF3341" t="s">
        <v>91</v>
      </c>
      <c r="AG3341" s="1">
        <v>43852</v>
      </c>
      <c r="AH3341" t="s">
        <v>85</v>
      </c>
      <c r="AI3341" t="s">
        <v>92</v>
      </c>
      <c r="AJ3341">
        <v>19888</v>
      </c>
      <c r="AK3341">
        <v>128777</v>
      </c>
      <c r="AL3341">
        <v>198882</v>
      </c>
    </row>
    <row r="3342" spans="1:38" x14ac:dyDescent="0.25">
      <c r="A3342" t="s">
        <v>209</v>
      </c>
      <c r="B3342">
        <v>52916488</v>
      </c>
      <c r="C3342" t="s">
        <v>71</v>
      </c>
      <c r="D3342" s="1">
        <v>43159</v>
      </c>
      <c r="E3342" s="1">
        <v>43523</v>
      </c>
      <c r="F3342" t="s">
        <v>84</v>
      </c>
      <c r="G3342">
        <v>10</v>
      </c>
      <c r="H3342" t="s">
        <v>85</v>
      </c>
      <c r="I3342" t="s">
        <v>43</v>
      </c>
      <c r="J3342" t="s">
        <v>86</v>
      </c>
      <c r="K3342" t="s">
        <v>44</v>
      </c>
      <c r="L3342">
        <v>13134.29</v>
      </c>
      <c r="M3342" s="1">
        <v>43348</v>
      </c>
      <c r="N3342" t="s">
        <v>108</v>
      </c>
      <c r="O3342" t="s">
        <v>106</v>
      </c>
      <c r="P3342" t="s">
        <v>47</v>
      </c>
      <c r="Q3342" s="1">
        <v>43852</v>
      </c>
      <c r="R3342" t="s">
        <v>48</v>
      </c>
      <c r="S3342" t="s">
        <v>96</v>
      </c>
      <c r="T3342" t="s">
        <v>97</v>
      </c>
      <c r="U3342" t="s">
        <v>85</v>
      </c>
      <c r="V3342">
        <v>600000</v>
      </c>
      <c r="W3342">
        <v>100000</v>
      </c>
      <c r="X3342" s="1">
        <v>43799</v>
      </c>
      <c r="Y3342" t="s">
        <v>51</v>
      </c>
      <c r="Z3342" t="s">
        <v>43</v>
      </c>
      <c r="AA3342" t="s">
        <v>98</v>
      </c>
      <c r="AB3342" t="s">
        <v>89</v>
      </c>
      <c r="AC3342" t="s">
        <v>90</v>
      </c>
      <c r="AF3342" t="s">
        <v>93</v>
      </c>
      <c r="AG3342" s="1">
        <v>43843</v>
      </c>
      <c r="AH3342" t="s">
        <v>85</v>
      </c>
      <c r="AI3342" t="s">
        <v>92</v>
      </c>
      <c r="AJ3342">
        <v>19888</v>
      </c>
      <c r="AK3342">
        <v>128777</v>
      </c>
      <c r="AL3342">
        <v>198882</v>
      </c>
    </row>
    <row r="3343" spans="1:38" x14ac:dyDescent="0.25">
      <c r="A3343" t="s">
        <v>209</v>
      </c>
      <c r="B3343">
        <v>52916488</v>
      </c>
      <c r="C3343" t="s">
        <v>71</v>
      </c>
      <c r="D3343" s="1">
        <v>43159</v>
      </c>
      <c r="E3343" s="1">
        <v>43523</v>
      </c>
      <c r="F3343" t="s">
        <v>84</v>
      </c>
      <c r="G3343">
        <v>10</v>
      </c>
      <c r="H3343" t="s">
        <v>85</v>
      </c>
      <c r="I3343" t="s">
        <v>43</v>
      </c>
      <c r="J3343" t="s">
        <v>86</v>
      </c>
      <c r="K3343" t="s">
        <v>44</v>
      </c>
      <c r="L3343">
        <v>13134.29</v>
      </c>
      <c r="M3343" s="1">
        <v>43348</v>
      </c>
      <c r="N3343" t="s">
        <v>108</v>
      </c>
      <c r="O3343" t="s">
        <v>106</v>
      </c>
      <c r="P3343" t="s">
        <v>47</v>
      </c>
      <c r="Q3343" s="1">
        <v>43852</v>
      </c>
      <c r="R3343" t="s">
        <v>48</v>
      </c>
      <c r="S3343" t="s">
        <v>99</v>
      </c>
      <c r="T3343" t="s">
        <v>100</v>
      </c>
      <c r="U3343" t="s">
        <v>85</v>
      </c>
      <c r="V3343">
        <v>210000</v>
      </c>
      <c r="W3343">
        <v>35000</v>
      </c>
      <c r="X3343" s="1">
        <v>43799</v>
      </c>
      <c r="Y3343" t="s">
        <v>51</v>
      </c>
      <c r="Z3343" t="s">
        <v>43</v>
      </c>
      <c r="AA3343" t="s">
        <v>98</v>
      </c>
      <c r="AB3343" t="s">
        <v>89</v>
      </c>
      <c r="AC3343" t="s">
        <v>101</v>
      </c>
      <c r="AF3343" t="s">
        <v>91</v>
      </c>
      <c r="AG3343" s="1">
        <v>43852</v>
      </c>
      <c r="AH3343" t="s">
        <v>85</v>
      </c>
      <c r="AI3343" t="s">
        <v>92</v>
      </c>
      <c r="AJ3343">
        <v>19888</v>
      </c>
      <c r="AK3343">
        <v>128777</v>
      </c>
      <c r="AL3343">
        <v>198882</v>
      </c>
    </row>
    <row r="3344" spans="1:38" x14ac:dyDescent="0.25">
      <c r="A3344" t="s">
        <v>209</v>
      </c>
      <c r="B3344">
        <v>52916488</v>
      </c>
      <c r="C3344" t="s">
        <v>71</v>
      </c>
      <c r="D3344" s="1">
        <v>43159</v>
      </c>
      <c r="E3344" s="1">
        <v>43523</v>
      </c>
      <c r="F3344" t="s">
        <v>84</v>
      </c>
      <c r="G3344">
        <v>10</v>
      </c>
      <c r="H3344" t="s">
        <v>85</v>
      </c>
      <c r="I3344" t="s">
        <v>43</v>
      </c>
      <c r="J3344" t="s">
        <v>86</v>
      </c>
      <c r="K3344" t="s">
        <v>44</v>
      </c>
      <c r="L3344">
        <v>13134.29</v>
      </c>
      <c r="M3344" s="1">
        <v>43348</v>
      </c>
      <c r="N3344" t="s">
        <v>108</v>
      </c>
      <c r="O3344" t="s">
        <v>106</v>
      </c>
      <c r="P3344" t="s">
        <v>47</v>
      </c>
      <c r="Q3344" s="1">
        <v>43852</v>
      </c>
      <c r="R3344" t="s">
        <v>48</v>
      </c>
      <c r="S3344" t="s">
        <v>99</v>
      </c>
      <c r="T3344" t="s">
        <v>100</v>
      </c>
      <c r="U3344" t="s">
        <v>85</v>
      </c>
      <c r="V3344">
        <v>210000</v>
      </c>
      <c r="W3344">
        <v>35000</v>
      </c>
      <c r="X3344" s="1">
        <v>43799</v>
      </c>
      <c r="Y3344" t="s">
        <v>51</v>
      </c>
      <c r="Z3344" t="s">
        <v>43</v>
      </c>
      <c r="AA3344" t="s">
        <v>98</v>
      </c>
      <c r="AB3344" t="s">
        <v>89</v>
      </c>
      <c r="AC3344" t="s">
        <v>101</v>
      </c>
      <c r="AF3344" t="s">
        <v>93</v>
      </c>
      <c r="AG3344" s="1">
        <v>43843</v>
      </c>
      <c r="AH3344" t="s">
        <v>85</v>
      </c>
      <c r="AI3344" t="s">
        <v>92</v>
      </c>
      <c r="AJ3344">
        <v>19888</v>
      </c>
      <c r="AK3344">
        <v>128777</v>
      </c>
      <c r="AL3344">
        <v>198882</v>
      </c>
    </row>
    <row r="3345" spans="1:38" x14ac:dyDescent="0.25">
      <c r="A3345" t="s">
        <v>209</v>
      </c>
      <c r="B3345">
        <v>52916488</v>
      </c>
      <c r="C3345" t="s">
        <v>71</v>
      </c>
      <c r="D3345" s="1">
        <v>43159</v>
      </c>
      <c r="E3345" s="1">
        <v>43523</v>
      </c>
      <c r="F3345" t="s">
        <v>84</v>
      </c>
      <c r="G3345">
        <v>10</v>
      </c>
      <c r="H3345" t="s">
        <v>85</v>
      </c>
      <c r="I3345" t="s">
        <v>43</v>
      </c>
      <c r="J3345" t="s">
        <v>86</v>
      </c>
      <c r="K3345" t="s">
        <v>44</v>
      </c>
      <c r="L3345">
        <v>13134.29</v>
      </c>
      <c r="M3345" s="1">
        <v>43348</v>
      </c>
      <c r="N3345" t="s">
        <v>108</v>
      </c>
      <c r="O3345" t="s">
        <v>106</v>
      </c>
      <c r="P3345" t="s">
        <v>47</v>
      </c>
      <c r="Q3345" s="1">
        <v>43852</v>
      </c>
      <c r="R3345" t="s">
        <v>48</v>
      </c>
      <c r="S3345" t="s">
        <v>102</v>
      </c>
      <c r="T3345" t="s">
        <v>103</v>
      </c>
      <c r="U3345" t="s">
        <v>85</v>
      </c>
      <c r="V3345">
        <v>5000000</v>
      </c>
      <c r="W3345">
        <v>250000</v>
      </c>
      <c r="X3345" s="1">
        <v>43799</v>
      </c>
      <c r="Y3345" t="s">
        <v>51</v>
      </c>
      <c r="Z3345" t="s">
        <v>43</v>
      </c>
      <c r="AA3345" t="s">
        <v>86</v>
      </c>
      <c r="AB3345" t="s">
        <v>89</v>
      </c>
      <c r="AC3345" t="s">
        <v>90</v>
      </c>
      <c r="AF3345" t="s">
        <v>91</v>
      </c>
      <c r="AG3345" s="1">
        <v>43852</v>
      </c>
      <c r="AH3345" t="s">
        <v>85</v>
      </c>
      <c r="AI3345" t="s">
        <v>92</v>
      </c>
      <c r="AJ3345">
        <v>19888</v>
      </c>
      <c r="AK3345">
        <v>128777</v>
      </c>
      <c r="AL3345">
        <v>198882</v>
      </c>
    </row>
    <row r="3346" spans="1:38" x14ac:dyDescent="0.25">
      <c r="A3346" t="s">
        <v>209</v>
      </c>
      <c r="B3346">
        <v>52916488</v>
      </c>
      <c r="C3346" t="s">
        <v>71</v>
      </c>
      <c r="D3346" s="1">
        <v>43159</v>
      </c>
      <c r="E3346" s="1">
        <v>43523</v>
      </c>
      <c r="F3346" t="s">
        <v>84</v>
      </c>
      <c r="G3346">
        <v>10</v>
      </c>
      <c r="H3346" t="s">
        <v>85</v>
      </c>
      <c r="I3346" t="s">
        <v>43</v>
      </c>
      <c r="J3346" t="s">
        <v>86</v>
      </c>
      <c r="K3346" t="s">
        <v>44</v>
      </c>
      <c r="L3346">
        <v>13134.29</v>
      </c>
      <c r="M3346" s="1">
        <v>43348</v>
      </c>
      <c r="N3346" t="s">
        <v>108</v>
      </c>
      <c r="O3346" t="s">
        <v>106</v>
      </c>
      <c r="P3346" t="s">
        <v>47</v>
      </c>
      <c r="Q3346" s="1">
        <v>43852</v>
      </c>
      <c r="R3346" t="s">
        <v>48</v>
      </c>
      <c r="S3346" t="s">
        <v>102</v>
      </c>
      <c r="T3346" t="s">
        <v>103</v>
      </c>
      <c r="U3346" t="s">
        <v>85</v>
      </c>
      <c r="V3346">
        <v>5000000</v>
      </c>
      <c r="W3346">
        <v>250000</v>
      </c>
      <c r="X3346" s="1">
        <v>43799</v>
      </c>
      <c r="Y3346" t="s">
        <v>51</v>
      </c>
      <c r="Z3346" t="s">
        <v>43</v>
      </c>
      <c r="AA3346" t="s">
        <v>86</v>
      </c>
      <c r="AB3346" t="s">
        <v>89</v>
      </c>
      <c r="AC3346" t="s">
        <v>90</v>
      </c>
      <c r="AF3346" t="s">
        <v>93</v>
      </c>
      <c r="AG3346" s="1">
        <v>43843</v>
      </c>
      <c r="AH3346" t="s">
        <v>85</v>
      </c>
      <c r="AI3346" t="s">
        <v>92</v>
      </c>
      <c r="AJ3346">
        <v>19888</v>
      </c>
      <c r="AK3346">
        <v>128777</v>
      </c>
      <c r="AL3346">
        <v>198882</v>
      </c>
    </row>
    <row r="3347" spans="1:38" x14ac:dyDescent="0.25">
      <c r="A3347" t="s">
        <v>211</v>
      </c>
      <c r="B3347">
        <v>52916488</v>
      </c>
      <c r="C3347" t="s">
        <v>71</v>
      </c>
      <c r="D3347" s="1">
        <v>43159</v>
      </c>
      <c r="E3347" s="1">
        <v>43523</v>
      </c>
      <c r="F3347" t="s">
        <v>84</v>
      </c>
      <c r="G3347">
        <v>10</v>
      </c>
      <c r="H3347" t="s">
        <v>85</v>
      </c>
      <c r="I3347" t="s">
        <v>43</v>
      </c>
      <c r="J3347" t="s">
        <v>86</v>
      </c>
      <c r="K3347" t="s">
        <v>44</v>
      </c>
      <c r="L3347">
        <v>13134.29</v>
      </c>
      <c r="M3347" s="1">
        <v>43200</v>
      </c>
      <c r="N3347" t="s">
        <v>108</v>
      </c>
      <c r="O3347" t="s">
        <v>106</v>
      </c>
      <c r="P3347" t="s">
        <v>47</v>
      </c>
      <c r="Q3347" s="1">
        <v>43852</v>
      </c>
      <c r="R3347" t="s">
        <v>48</v>
      </c>
      <c r="S3347" t="s">
        <v>87</v>
      </c>
      <c r="T3347" t="s">
        <v>88</v>
      </c>
      <c r="U3347" t="s">
        <v>85</v>
      </c>
      <c r="V3347">
        <v>1400000</v>
      </c>
      <c r="W3347">
        <v>100000</v>
      </c>
      <c r="X3347" s="1">
        <v>43808</v>
      </c>
      <c r="Y3347" t="s">
        <v>51</v>
      </c>
      <c r="Z3347" t="s">
        <v>43</v>
      </c>
      <c r="AA3347" t="s">
        <v>86</v>
      </c>
      <c r="AB3347" t="s">
        <v>89</v>
      </c>
      <c r="AC3347" t="s">
        <v>90</v>
      </c>
      <c r="AF3347" t="s">
        <v>91</v>
      </c>
      <c r="AG3347" s="1">
        <v>43852</v>
      </c>
      <c r="AH3347" t="s">
        <v>85</v>
      </c>
      <c r="AI3347" t="s">
        <v>92</v>
      </c>
      <c r="AJ3347">
        <v>19888</v>
      </c>
      <c r="AK3347">
        <v>128777</v>
      </c>
      <c r="AL3347">
        <v>198882</v>
      </c>
    </row>
    <row r="3348" spans="1:38" x14ac:dyDescent="0.25">
      <c r="A3348" t="s">
        <v>211</v>
      </c>
      <c r="B3348">
        <v>52916488</v>
      </c>
      <c r="C3348" t="s">
        <v>71</v>
      </c>
      <c r="D3348" s="1">
        <v>43159</v>
      </c>
      <c r="E3348" s="1">
        <v>43523</v>
      </c>
      <c r="F3348" t="s">
        <v>84</v>
      </c>
      <c r="G3348">
        <v>10</v>
      </c>
      <c r="H3348" t="s">
        <v>85</v>
      </c>
      <c r="I3348" t="s">
        <v>43</v>
      </c>
      <c r="J3348" t="s">
        <v>86</v>
      </c>
      <c r="K3348" t="s">
        <v>44</v>
      </c>
      <c r="L3348">
        <v>13134.29</v>
      </c>
      <c r="M3348" s="1">
        <v>43200</v>
      </c>
      <c r="N3348" t="s">
        <v>108</v>
      </c>
      <c r="O3348" t="s">
        <v>106</v>
      </c>
      <c r="P3348" t="s">
        <v>47</v>
      </c>
      <c r="Q3348" s="1">
        <v>43852</v>
      </c>
      <c r="R3348" t="s">
        <v>48</v>
      </c>
      <c r="S3348" t="s">
        <v>87</v>
      </c>
      <c r="T3348" t="s">
        <v>88</v>
      </c>
      <c r="U3348" t="s">
        <v>85</v>
      </c>
      <c r="V3348">
        <v>1400000</v>
      </c>
      <c r="W3348">
        <v>100000</v>
      </c>
      <c r="X3348" s="1">
        <v>43808</v>
      </c>
      <c r="Y3348" t="s">
        <v>51</v>
      </c>
      <c r="Z3348" t="s">
        <v>43</v>
      </c>
      <c r="AA3348" t="s">
        <v>86</v>
      </c>
      <c r="AB3348" t="s">
        <v>89</v>
      </c>
      <c r="AC3348" t="s">
        <v>90</v>
      </c>
      <c r="AF3348" t="s">
        <v>93</v>
      </c>
      <c r="AG3348" s="1">
        <v>43843</v>
      </c>
      <c r="AH3348" t="s">
        <v>85</v>
      </c>
      <c r="AI3348" t="s">
        <v>92</v>
      </c>
      <c r="AJ3348">
        <v>19888</v>
      </c>
      <c r="AK3348">
        <v>128777</v>
      </c>
      <c r="AL3348">
        <v>198882</v>
      </c>
    </row>
    <row r="3349" spans="1:38" x14ac:dyDescent="0.25">
      <c r="A3349" t="s">
        <v>211</v>
      </c>
      <c r="B3349">
        <v>52916488</v>
      </c>
      <c r="C3349" t="s">
        <v>71</v>
      </c>
      <c r="D3349" s="1">
        <v>43159</v>
      </c>
      <c r="E3349" s="1">
        <v>43523</v>
      </c>
      <c r="F3349" t="s">
        <v>84</v>
      </c>
      <c r="G3349">
        <v>10</v>
      </c>
      <c r="H3349" t="s">
        <v>85</v>
      </c>
      <c r="I3349" t="s">
        <v>43</v>
      </c>
      <c r="J3349" t="s">
        <v>86</v>
      </c>
      <c r="K3349" t="s">
        <v>44</v>
      </c>
      <c r="L3349">
        <v>13134.29</v>
      </c>
      <c r="M3349" s="1">
        <v>43200</v>
      </c>
      <c r="N3349" t="s">
        <v>108</v>
      </c>
      <c r="O3349" t="s">
        <v>106</v>
      </c>
      <c r="P3349" t="s">
        <v>47</v>
      </c>
      <c r="Q3349" s="1">
        <v>43852</v>
      </c>
      <c r="R3349" t="s">
        <v>48</v>
      </c>
      <c r="S3349" t="s">
        <v>94</v>
      </c>
      <c r="T3349" t="s">
        <v>95</v>
      </c>
      <c r="U3349" t="s">
        <v>85</v>
      </c>
      <c r="V3349">
        <v>4500000</v>
      </c>
      <c r="W3349">
        <v>300000</v>
      </c>
      <c r="X3349" s="1">
        <v>43767</v>
      </c>
      <c r="Y3349" t="s">
        <v>51</v>
      </c>
      <c r="Z3349" t="s">
        <v>43</v>
      </c>
      <c r="AA3349" t="s">
        <v>86</v>
      </c>
      <c r="AB3349" t="s">
        <v>89</v>
      </c>
      <c r="AC3349" t="s">
        <v>90</v>
      </c>
      <c r="AF3349" t="s">
        <v>91</v>
      </c>
      <c r="AG3349" s="1">
        <v>43852</v>
      </c>
      <c r="AH3349" t="s">
        <v>85</v>
      </c>
      <c r="AI3349" t="s">
        <v>92</v>
      </c>
      <c r="AJ3349">
        <v>19888</v>
      </c>
      <c r="AK3349">
        <v>128777</v>
      </c>
      <c r="AL3349">
        <v>198882</v>
      </c>
    </row>
    <row r="3350" spans="1:38" x14ac:dyDescent="0.25">
      <c r="A3350" t="s">
        <v>211</v>
      </c>
      <c r="B3350">
        <v>52916488</v>
      </c>
      <c r="C3350" t="s">
        <v>71</v>
      </c>
      <c r="D3350" s="1">
        <v>43159</v>
      </c>
      <c r="E3350" s="1">
        <v>43523</v>
      </c>
      <c r="F3350" t="s">
        <v>84</v>
      </c>
      <c r="G3350">
        <v>10</v>
      </c>
      <c r="H3350" t="s">
        <v>85</v>
      </c>
      <c r="I3350" t="s">
        <v>43</v>
      </c>
      <c r="J3350" t="s">
        <v>86</v>
      </c>
      <c r="K3350" t="s">
        <v>44</v>
      </c>
      <c r="L3350">
        <v>13134.29</v>
      </c>
      <c r="M3350" s="1">
        <v>43200</v>
      </c>
      <c r="N3350" t="s">
        <v>108</v>
      </c>
      <c r="O3350" t="s">
        <v>106</v>
      </c>
      <c r="P3350" t="s">
        <v>47</v>
      </c>
      <c r="Q3350" s="1">
        <v>43852</v>
      </c>
      <c r="R3350" t="s">
        <v>48</v>
      </c>
      <c r="S3350" t="s">
        <v>94</v>
      </c>
      <c r="T3350" t="s">
        <v>95</v>
      </c>
      <c r="U3350" t="s">
        <v>85</v>
      </c>
      <c r="V3350">
        <v>4500000</v>
      </c>
      <c r="W3350">
        <v>300000</v>
      </c>
      <c r="X3350" s="1">
        <v>43767</v>
      </c>
      <c r="Y3350" t="s">
        <v>51</v>
      </c>
      <c r="Z3350" t="s">
        <v>43</v>
      </c>
      <c r="AA3350" t="s">
        <v>86</v>
      </c>
      <c r="AB3350" t="s">
        <v>89</v>
      </c>
      <c r="AC3350" t="s">
        <v>90</v>
      </c>
      <c r="AF3350" t="s">
        <v>93</v>
      </c>
      <c r="AG3350" s="1">
        <v>43843</v>
      </c>
      <c r="AH3350" t="s">
        <v>85</v>
      </c>
      <c r="AI3350" t="s">
        <v>92</v>
      </c>
      <c r="AJ3350">
        <v>19888</v>
      </c>
      <c r="AK3350">
        <v>128777</v>
      </c>
      <c r="AL3350">
        <v>198882</v>
      </c>
    </row>
    <row r="3351" spans="1:38" x14ac:dyDescent="0.25">
      <c r="A3351" t="s">
        <v>211</v>
      </c>
      <c r="B3351">
        <v>52916488</v>
      </c>
      <c r="C3351" t="s">
        <v>71</v>
      </c>
      <c r="D3351" s="1">
        <v>43159</v>
      </c>
      <c r="E3351" s="1">
        <v>43523</v>
      </c>
      <c r="F3351" t="s">
        <v>84</v>
      </c>
      <c r="G3351">
        <v>10</v>
      </c>
      <c r="H3351" t="s">
        <v>85</v>
      </c>
      <c r="I3351" t="s">
        <v>43</v>
      </c>
      <c r="J3351" t="s">
        <v>86</v>
      </c>
      <c r="K3351" t="s">
        <v>44</v>
      </c>
      <c r="L3351">
        <v>13134.29</v>
      </c>
      <c r="M3351" s="1">
        <v>43200</v>
      </c>
      <c r="N3351" t="s">
        <v>108</v>
      </c>
      <c r="O3351" t="s">
        <v>106</v>
      </c>
      <c r="P3351" t="s">
        <v>47</v>
      </c>
      <c r="Q3351" s="1">
        <v>43852</v>
      </c>
      <c r="R3351" t="s">
        <v>48</v>
      </c>
      <c r="S3351" t="s">
        <v>96</v>
      </c>
      <c r="T3351" t="s">
        <v>97</v>
      </c>
      <c r="U3351" t="s">
        <v>85</v>
      </c>
      <c r="V3351">
        <v>600000</v>
      </c>
      <c r="W3351">
        <v>100000</v>
      </c>
      <c r="X3351" s="1">
        <v>43799</v>
      </c>
      <c r="Y3351" t="s">
        <v>51</v>
      </c>
      <c r="Z3351" t="s">
        <v>43</v>
      </c>
      <c r="AA3351" t="s">
        <v>98</v>
      </c>
      <c r="AB3351" t="s">
        <v>89</v>
      </c>
      <c r="AC3351" t="s">
        <v>90</v>
      </c>
      <c r="AF3351" t="s">
        <v>91</v>
      </c>
      <c r="AG3351" s="1">
        <v>43852</v>
      </c>
      <c r="AH3351" t="s">
        <v>85</v>
      </c>
      <c r="AI3351" t="s">
        <v>92</v>
      </c>
      <c r="AJ3351">
        <v>19888</v>
      </c>
      <c r="AK3351">
        <v>128777</v>
      </c>
      <c r="AL3351">
        <v>198882</v>
      </c>
    </row>
    <row r="3352" spans="1:38" x14ac:dyDescent="0.25">
      <c r="A3352" t="s">
        <v>211</v>
      </c>
      <c r="B3352">
        <v>52916488</v>
      </c>
      <c r="C3352" t="s">
        <v>71</v>
      </c>
      <c r="D3352" s="1">
        <v>43159</v>
      </c>
      <c r="E3352" s="1">
        <v>43523</v>
      </c>
      <c r="F3352" t="s">
        <v>84</v>
      </c>
      <c r="G3352">
        <v>10</v>
      </c>
      <c r="H3352" t="s">
        <v>85</v>
      </c>
      <c r="I3352" t="s">
        <v>43</v>
      </c>
      <c r="J3352" t="s">
        <v>86</v>
      </c>
      <c r="K3352" t="s">
        <v>44</v>
      </c>
      <c r="L3352">
        <v>13134.29</v>
      </c>
      <c r="M3352" s="1">
        <v>43200</v>
      </c>
      <c r="N3352" t="s">
        <v>108</v>
      </c>
      <c r="O3352" t="s">
        <v>106</v>
      </c>
      <c r="P3352" t="s">
        <v>47</v>
      </c>
      <c r="Q3352" s="1">
        <v>43852</v>
      </c>
      <c r="R3352" t="s">
        <v>48</v>
      </c>
      <c r="S3352" t="s">
        <v>96</v>
      </c>
      <c r="T3352" t="s">
        <v>97</v>
      </c>
      <c r="U3352" t="s">
        <v>85</v>
      </c>
      <c r="V3352">
        <v>600000</v>
      </c>
      <c r="W3352">
        <v>100000</v>
      </c>
      <c r="X3352" s="1">
        <v>43799</v>
      </c>
      <c r="Y3352" t="s">
        <v>51</v>
      </c>
      <c r="Z3352" t="s">
        <v>43</v>
      </c>
      <c r="AA3352" t="s">
        <v>98</v>
      </c>
      <c r="AB3352" t="s">
        <v>89</v>
      </c>
      <c r="AC3352" t="s">
        <v>90</v>
      </c>
      <c r="AF3352" t="s">
        <v>93</v>
      </c>
      <c r="AG3352" s="1">
        <v>43843</v>
      </c>
      <c r="AH3352" t="s">
        <v>85</v>
      </c>
      <c r="AI3352" t="s">
        <v>92</v>
      </c>
      <c r="AJ3352">
        <v>19888</v>
      </c>
      <c r="AK3352">
        <v>128777</v>
      </c>
      <c r="AL3352">
        <v>198882</v>
      </c>
    </row>
    <row r="3353" spans="1:38" x14ac:dyDescent="0.25">
      <c r="A3353" t="s">
        <v>211</v>
      </c>
      <c r="B3353">
        <v>52916488</v>
      </c>
      <c r="C3353" t="s">
        <v>71</v>
      </c>
      <c r="D3353" s="1">
        <v>43159</v>
      </c>
      <c r="E3353" s="1">
        <v>43523</v>
      </c>
      <c r="F3353" t="s">
        <v>84</v>
      </c>
      <c r="G3353">
        <v>10</v>
      </c>
      <c r="H3353" t="s">
        <v>85</v>
      </c>
      <c r="I3353" t="s">
        <v>43</v>
      </c>
      <c r="J3353" t="s">
        <v>86</v>
      </c>
      <c r="K3353" t="s">
        <v>44</v>
      </c>
      <c r="L3353">
        <v>13134.29</v>
      </c>
      <c r="M3353" s="1">
        <v>43200</v>
      </c>
      <c r="N3353" t="s">
        <v>108</v>
      </c>
      <c r="O3353" t="s">
        <v>106</v>
      </c>
      <c r="P3353" t="s">
        <v>47</v>
      </c>
      <c r="Q3353" s="1">
        <v>43852</v>
      </c>
      <c r="R3353" t="s">
        <v>48</v>
      </c>
      <c r="S3353" t="s">
        <v>99</v>
      </c>
      <c r="T3353" t="s">
        <v>100</v>
      </c>
      <c r="U3353" t="s">
        <v>85</v>
      </c>
      <c r="V3353">
        <v>210000</v>
      </c>
      <c r="W3353">
        <v>35000</v>
      </c>
      <c r="X3353" s="1">
        <v>43799</v>
      </c>
      <c r="Y3353" t="s">
        <v>51</v>
      </c>
      <c r="Z3353" t="s">
        <v>43</v>
      </c>
      <c r="AA3353" t="s">
        <v>98</v>
      </c>
      <c r="AB3353" t="s">
        <v>89</v>
      </c>
      <c r="AC3353" t="s">
        <v>101</v>
      </c>
      <c r="AF3353" t="s">
        <v>91</v>
      </c>
      <c r="AG3353" s="1">
        <v>43852</v>
      </c>
      <c r="AH3353" t="s">
        <v>85</v>
      </c>
      <c r="AI3353" t="s">
        <v>92</v>
      </c>
      <c r="AJ3353">
        <v>19888</v>
      </c>
      <c r="AK3353">
        <v>128777</v>
      </c>
      <c r="AL3353">
        <v>198882</v>
      </c>
    </row>
    <row r="3354" spans="1:38" x14ac:dyDescent="0.25">
      <c r="A3354" t="s">
        <v>211</v>
      </c>
      <c r="B3354">
        <v>52916488</v>
      </c>
      <c r="C3354" t="s">
        <v>71</v>
      </c>
      <c r="D3354" s="1">
        <v>43159</v>
      </c>
      <c r="E3354" s="1">
        <v>43523</v>
      </c>
      <c r="F3354" t="s">
        <v>84</v>
      </c>
      <c r="G3354">
        <v>10</v>
      </c>
      <c r="H3354" t="s">
        <v>85</v>
      </c>
      <c r="I3354" t="s">
        <v>43</v>
      </c>
      <c r="J3354" t="s">
        <v>86</v>
      </c>
      <c r="K3354" t="s">
        <v>44</v>
      </c>
      <c r="L3354">
        <v>13134.29</v>
      </c>
      <c r="M3354" s="1">
        <v>43200</v>
      </c>
      <c r="N3354" t="s">
        <v>108</v>
      </c>
      <c r="O3354" t="s">
        <v>106</v>
      </c>
      <c r="P3354" t="s">
        <v>47</v>
      </c>
      <c r="Q3354" s="1">
        <v>43852</v>
      </c>
      <c r="R3354" t="s">
        <v>48</v>
      </c>
      <c r="S3354" t="s">
        <v>99</v>
      </c>
      <c r="T3354" t="s">
        <v>100</v>
      </c>
      <c r="U3354" t="s">
        <v>85</v>
      </c>
      <c r="V3354">
        <v>210000</v>
      </c>
      <c r="W3354">
        <v>35000</v>
      </c>
      <c r="X3354" s="1">
        <v>43799</v>
      </c>
      <c r="Y3354" t="s">
        <v>51</v>
      </c>
      <c r="Z3354" t="s">
        <v>43</v>
      </c>
      <c r="AA3354" t="s">
        <v>98</v>
      </c>
      <c r="AB3354" t="s">
        <v>89</v>
      </c>
      <c r="AC3354" t="s">
        <v>101</v>
      </c>
      <c r="AF3354" t="s">
        <v>93</v>
      </c>
      <c r="AG3354" s="1">
        <v>43843</v>
      </c>
      <c r="AH3354" t="s">
        <v>85</v>
      </c>
      <c r="AI3354" t="s">
        <v>92</v>
      </c>
      <c r="AJ3354">
        <v>19888</v>
      </c>
      <c r="AK3354">
        <v>128777</v>
      </c>
      <c r="AL3354">
        <v>198882</v>
      </c>
    </row>
    <row r="3355" spans="1:38" x14ac:dyDescent="0.25">
      <c r="A3355" t="s">
        <v>211</v>
      </c>
      <c r="B3355">
        <v>52916488</v>
      </c>
      <c r="C3355" t="s">
        <v>71</v>
      </c>
      <c r="D3355" s="1">
        <v>43159</v>
      </c>
      <c r="E3355" s="1">
        <v>43523</v>
      </c>
      <c r="F3355" t="s">
        <v>84</v>
      </c>
      <c r="G3355">
        <v>10</v>
      </c>
      <c r="H3355" t="s">
        <v>85</v>
      </c>
      <c r="I3355" t="s">
        <v>43</v>
      </c>
      <c r="J3355" t="s">
        <v>86</v>
      </c>
      <c r="K3355" t="s">
        <v>44</v>
      </c>
      <c r="L3355">
        <v>13134.29</v>
      </c>
      <c r="M3355" s="1">
        <v>43200</v>
      </c>
      <c r="N3355" t="s">
        <v>108</v>
      </c>
      <c r="O3355" t="s">
        <v>106</v>
      </c>
      <c r="P3355" t="s">
        <v>47</v>
      </c>
      <c r="Q3355" s="1">
        <v>43852</v>
      </c>
      <c r="R3355" t="s">
        <v>48</v>
      </c>
      <c r="S3355" t="s">
        <v>102</v>
      </c>
      <c r="T3355" t="s">
        <v>103</v>
      </c>
      <c r="U3355" t="s">
        <v>85</v>
      </c>
      <c r="V3355">
        <v>5000000</v>
      </c>
      <c r="W3355">
        <v>250000</v>
      </c>
      <c r="X3355" s="1">
        <v>43799</v>
      </c>
      <c r="Y3355" t="s">
        <v>51</v>
      </c>
      <c r="Z3355" t="s">
        <v>43</v>
      </c>
      <c r="AA3355" t="s">
        <v>86</v>
      </c>
      <c r="AB3355" t="s">
        <v>89</v>
      </c>
      <c r="AC3355" t="s">
        <v>90</v>
      </c>
      <c r="AF3355" t="s">
        <v>91</v>
      </c>
      <c r="AG3355" s="1">
        <v>43852</v>
      </c>
      <c r="AH3355" t="s">
        <v>85</v>
      </c>
      <c r="AI3355" t="s">
        <v>92</v>
      </c>
      <c r="AJ3355">
        <v>19888</v>
      </c>
      <c r="AK3355">
        <v>128777</v>
      </c>
      <c r="AL3355">
        <v>198882</v>
      </c>
    </row>
    <row r="3356" spans="1:38" x14ac:dyDescent="0.25">
      <c r="A3356" t="s">
        <v>211</v>
      </c>
      <c r="B3356">
        <v>52916488</v>
      </c>
      <c r="C3356" t="s">
        <v>71</v>
      </c>
      <c r="D3356" s="1">
        <v>43159</v>
      </c>
      <c r="E3356" s="1">
        <v>43523</v>
      </c>
      <c r="F3356" t="s">
        <v>84</v>
      </c>
      <c r="G3356">
        <v>10</v>
      </c>
      <c r="H3356" t="s">
        <v>85</v>
      </c>
      <c r="I3356" t="s">
        <v>43</v>
      </c>
      <c r="J3356" t="s">
        <v>86</v>
      </c>
      <c r="K3356" t="s">
        <v>44</v>
      </c>
      <c r="L3356">
        <v>13134.29</v>
      </c>
      <c r="M3356" s="1">
        <v>43200</v>
      </c>
      <c r="N3356" t="s">
        <v>108</v>
      </c>
      <c r="O3356" t="s">
        <v>106</v>
      </c>
      <c r="P3356" t="s">
        <v>47</v>
      </c>
      <c r="Q3356" s="1">
        <v>43852</v>
      </c>
      <c r="R3356" t="s">
        <v>48</v>
      </c>
      <c r="S3356" t="s">
        <v>102</v>
      </c>
      <c r="T3356" t="s">
        <v>103</v>
      </c>
      <c r="U3356" t="s">
        <v>85</v>
      </c>
      <c r="V3356">
        <v>5000000</v>
      </c>
      <c r="W3356">
        <v>250000</v>
      </c>
      <c r="X3356" s="1">
        <v>43799</v>
      </c>
      <c r="Y3356" t="s">
        <v>51</v>
      </c>
      <c r="Z3356" t="s">
        <v>43</v>
      </c>
      <c r="AA3356" t="s">
        <v>86</v>
      </c>
      <c r="AB3356" t="s">
        <v>89</v>
      </c>
      <c r="AC3356" t="s">
        <v>90</v>
      </c>
      <c r="AF3356" t="s">
        <v>93</v>
      </c>
      <c r="AG3356" s="1">
        <v>43843</v>
      </c>
      <c r="AH3356" t="s">
        <v>85</v>
      </c>
      <c r="AI3356" t="s">
        <v>92</v>
      </c>
      <c r="AJ3356">
        <v>19888</v>
      </c>
      <c r="AK3356">
        <v>128777</v>
      </c>
      <c r="AL3356">
        <v>198882</v>
      </c>
    </row>
    <row r="3357" spans="1:38" x14ac:dyDescent="0.25">
      <c r="A3357" t="s">
        <v>213</v>
      </c>
      <c r="B3357">
        <v>52971603</v>
      </c>
      <c r="C3357" t="s">
        <v>71</v>
      </c>
      <c r="D3357" s="1">
        <v>43263</v>
      </c>
      <c r="E3357" s="1">
        <v>43627</v>
      </c>
      <c r="F3357" t="s">
        <v>84</v>
      </c>
      <c r="G3357">
        <v>10</v>
      </c>
      <c r="H3357" t="s">
        <v>85</v>
      </c>
      <c r="I3357" t="s">
        <v>43</v>
      </c>
      <c r="J3357" t="s">
        <v>86</v>
      </c>
      <c r="K3357" t="s">
        <v>127</v>
      </c>
      <c r="L3357">
        <v>63872.4</v>
      </c>
      <c r="M3357" s="1">
        <v>43263</v>
      </c>
      <c r="N3357" t="s">
        <v>45</v>
      </c>
      <c r="O3357" t="s">
        <v>361</v>
      </c>
      <c r="P3357" t="s">
        <v>47</v>
      </c>
      <c r="Q3357" s="1">
        <v>43852</v>
      </c>
      <c r="R3357" t="s">
        <v>48</v>
      </c>
      <c r="S3357" t="s">
        <v>87</v>
      </c>
      <c r="T3357" t="s">
        <v>88</v>
      </c>
      <c r="U3357" t="s">
        <v>85</v>
      </c>
      <c r="V3357">
        <v>1400000</v>
      </c>
      <c r="W3357">
        <v>100000</v>
      </c>
      <c r="X3357" s="1">
        <v>43808</v>
      </c>
      <c r="Y3357" t="s">
        <v>51</v>
      </c>
      <c r="Z3357" t="s">
        <v>43</v>
      </c>
      <c r="AA3357" t="s">
        <v>86</v>
      </c>
      <c r="AB3357" t="s">
        <v>89</v>
      </c>
      <c r="AC3357" t="s">
        <v>90</v>
      </c>
      <c r="AF3357" t="s">
        <v>91</v>
      </c>
      <c r="AG3357" s="1">
        <v>43852</v>
      </c>
      <c r="AH3357" t="s">
        <v>85</v>
      </c>
      <c r="AI3357" t="s">
        <v>92</v>
      </c>
      <c r="AJ3357">
        <v>19888</v>
      </c>
      <c r="AK3357">
        <v>128777</v>
      </c>
      <c r="AL3357">
        <v>198882</v>
      </c>
    </row>
    <row r="3358" spans="1:38" x14ac:dyDescent="0.25">
      <c r="A3358" t="s">
        <v>213</v>
      </c>
      <c r="B3358">
        <v>52971603</v>
      </c>
      <c r="C3358" t="s">
        <v>71</v>
      </c>
      <c r="D3358" s="1">
        <v>43263</v>
      </c>
      <c r="E3358" s="1">
        <v>43627</v>
      </c>
      <c r="F3358" t="s">
        <v>84</v>
      </c>
      <c r="G3358">
        <v>10</v>
      </c>
      <c r="H3358" t="s">
        <v>85</v>
      </c>
      <c r="I3358" t="s">
        <v>43</v>
      </c>
      <c r="J3358" t="s">
        <v>86</v>
      </c>
      <c r="K3358" t="s">
        <v>127</v>
      </c>
      <c r="L3358">
        <v>63872.4</v>
      </c>
      <c r="M3358" s="1">
        <v>43263</v>
      </c>
      <c r="N3358" t="s">
        <v>45</v>
      </c>
      <c r="O3358" t="s">
        <v>361</v>
      </c>
      <c r="P3358" t="s">
        <v>47</v>
      </c>
      <c r="Q3358" s="1">
        <v>43852</v>
      </c>
      <c r="R3358" t="s">
        <v>48</v>
      </c>
      <c r="S3358" t="s">
        <v>87</v>
      </c>
      <c r="T3358" t="s">
        <v>88</v>
      </c>
      <c r="U3358" t="s">
        <v>85</v>
      </c>
      <c r="V3358">
        <v>1400000</v>
      </c>
      <c r="W3358">
        <v>100000</v>
      </c>
      <c r="X3358" s="1">
        <v>43808</v>
      </c>
      <c r="Y3358" t="s">
        <v>51</v>
      </c>
      <c r="Z3358" t="s">
        <v>43</v>
      </c>
      <c r="AA3358" t="s">
        <v>86</v>
      </c>
      <c r="AB3358" t="s">
        <v>89</v>
      </c>
      <c r="AC3358" t="s">
        <v>90</v>
      </c>
      <c r="AF3358" t="s">
        <v>93</v>
      </c>
      <c r="AG3358" s="1">
        <v>43843</v>
      </c>
      <c r="AH3358" t="s">
        <v>85</v>
      </c>
      <c r="AI3358" t="s">
        <v>92</v>
      </c>
      <c r="AJ3358">
        <v>19888</v>
      </c>
      <c r="AK3358">
        <v>128777</v>
      </c>
      <c r="AL3358">
        <v>198882</v>
      </c>
    </row>
    <row r="3359" spans="1:38" x14ac:dyDescent="0.25">
      <c r="A3359" t="s">
        <v>213</v>
      </c>
      <c r="B3359">
        <v>52971603</v>
      </c>
      <c r="C3359" t="s">
        <v>71</v>
      </c>
      <c r="D3359" s="1">
        <v>43263</v>
      </c>
      <c r="E3359" s="1">
        <v>43627</v>
      </c>
      <c r="F3359" t="s">
        <v>84</v>
      </c>
      <c r="G3359">
        <v>10</v>
      </c>
      <c r="H3359" t="s">
        <v>85</v>
      </c>
      <c r="I3359" t="s">
        <v>43</v>
      </c>
      <c r="J3359" t="s">
        <v>86</v>
      </c>
      <c r="K3359" t="s">
        <v>127</v>
      </c>
      <c r="L3359">
        <v>63872.4</v>
      </c>
      <c r="M3359" s="1">
        <v>43263</v>
      </c>
      <c r="N3359" t="s">
        <v>45</v>
      </c>
      <c r="O3359" t="s">
        <v>361</v>
      </c>
      <c r="P3359" t="s">
        <v>47</v>
      </c>
      <c r="Q3359" s="1">
        <v>43852</v>
      </c>
      <c r="R3359" t="s">
        <v>48</v>
      </c>
      <c r="S3359" t="s">
        <v>94</v>
      </c>
      <c r="T3359" t="s">
        <v>95</v>
      </c>
      <c r="U3359" t="s">
        <v>85</v>
      </c>
      <c r="V3359">
        <v>4500000</v>
      </c>
      <c r="W3359">
        <v>300000</v>
      </c>
      <c r="X3359" s="1">
        <v>43767</v>
      </c>
      <c r="Y3359" t="s">
        <v>51</v>
      </c>
      <c r="Z3359" t="s">
        <v>43</v>
      </c>
      <c r="AA3359" t="s">
        <v>86</v>
      </c>
      <c r="AB3359" t="s">
        <v>89</v>
      </c>
      <c r="AC3359" t="s">
        <v>90</v>
      </c>
      <c r="AF3359" t="s">
        <v>91</v>
      </c>
      <c r="AG3359" s="1">
        <v>43852</v>
      </c>
      <c r="AH3359" t="s">
        <v>85</v>
      </c>
      <c r="AI3359" t="s">
        <v>92</v>
      </c>
      <c r="AJ3359">
        <v>19888</v>
      </c>
      <c r="AK3359">
        <v>128777</v>
      </c>
      <c r="AL3359">
        <v>198882</v>
      </c>
    </row>
    <row r="3360" spans="1:38" x14ac:dyDescent="0.25">
      <c r="A3360" t="s">
        <v>213</v>
      </c>
      <c r="B3360">
        <v>52971603</v>
      </c>
      <c r="C3360" t="s">
        <v>71</v>
      </c>
      <c r="D3360" s="1">
        <v>43263</v>
      </c>
      <c r="E3360" s="1">
        <v>43627</v>
      </c>
      <c r="F3360" t="s">
        <v>84</v>
      </c>
      <c r="G3360">
        <v>10</v>
      </c>
      <c r="H3360" t="s">
        <v>85</v>
      </c>
      <c r="I3360" t="s">
        <v>43</v>
      </c>
      <c r="J3360" t="s">
        <v>86</v>
      </c>
      <c r="K3360" t="s">
        <v>127</v>
      </c>
      <c r="L3360">
        <v>63872.4</v>
      </c>
      <c r="M3360" s="1">
        <v>43263</v>
      </c>
      <c r="N3360" t="s">
        <v>45</v>
      </c>
      <c r="O3360" t="s">
        <v>361</v>
      </c>
      <c r="P3360" t="s">
        <v>47</v>
      </c>
      <c r="Q3360" s="1">
        <v>43852</v>
      </c>
      <c r="R3360" t="s">
        <v>48</v>
      </c>
      <c r="S3360" t="s">
        <v>94</v>
      </c>
      <c r="T3360" t="s">
        <v>95</v>
      </c>
      <c r="U3360" t="s">
        <v>85</v>
      </c>
      <c r="V3360">
        <v>4500000</v>
      </c>
      <c r="W3360">
        <v>300000</v>
      </c>
      <c r="X3360" s="1">
        <v>43767</v>
      </c>
      <c r="Y3360" t="s">
        <v>51</v>
      </c>
      <c r="Z3360" t="s">
        <v>43</v>
      </c>
      <c r="AA3360" t="s">
        <v>86</v>
      </c>
      <c r="AB3360" t="s">
        <v>89</v>
      </c>
      <c r="AC3360" t="s">
        <v>90</v>
      </c>
      <c r="AF3360" t="s">
        <v>93</v>
      </c>
      <c r="AG3360" s="1">
        <v>43843</v>
      </c>
      <c r="AH3360" t="s">
        <v>85</v>
      </c>
      <c r="AI3360" t="s">
        <v>92</v>
      </c>
      <c r="AJ3360">
        <v>19888</v>
      </c>
      <c r="AK3360">
        <v>128777</v>
      </c>
      <c r="AL3360">
        <v>198882</v>
      </c>
    </row>
    <row r="3361" spans="1:38" x14ac:dyDescent="0.25">
      <c r="A3361" t="s">
        <v>213</v>
      </c>
      <c r="B3361">
        <v>52971603</v>
      </c>
      <c r="C3361" t="s">
        <v>71</v>
      </c>
      <c r="D3361" s="1">
        <v>43263</v>
      </c>
      <c r="E3361" s="1">
        <v>43627</v>
      </c>
      <c r="F3361" t="s">
        <v>84</v>
      </c>
      <c r="G3361">
        <v>10</v>
      </c>
      <c r="H3361" t="s">
        <v>85</v>
      </c>
      <c r="I3361" t="s">
        <v>43</v>
      </c>
      <c r="J3361" t="s">
        <v>86</v>
      </c>
      <c r="K3361" t="s">
        <v>127</v>
      </c>
      <c r="L3361">
        <v>63872.4</v>
      </c>
      <c r="M3361" s="1">
        <v>43263</v>
      </c>
      <c r="N3361" t="s">
        <v>45</v>
      </c>
      <c r="O3361" t="s">
        <v>361</v>
      </c>
      <c r="P3361" t="s">
        <v>47</v>
      </c>
      <c r="Q3361" s="1">
        <v>43852</v>
      </c>
      <c r="R3361" t="s">
        <v>48</v>
      </c>
      <c r="S3361" t="s">
        <v>96</v>
      </c>
      <c r="T3361" t="s">
        <v>97</v>
      </c>
      <c r="U3361" t="s">
        <v>85</v>
      </c>
      <c r="V3361">
        <v>600000</v>
      </c>
      <c r="W3361">
        <v>100000</v>
      </c>
      <c r="X3361" s="1">
        <v>43799</v>
      </c>
      <c r="Y3361" t="s">
        <v>51</v>
      </c>
      <c r="Z3361" t="s">
        <v>43</v>
      </c>
      <c r="AA3361" t="s">
        <v>98</v>
      </c>
      <c r="AB3361" t="s">
        <v>89</v>
      </c>
      <c r="AC3361" t="s">
        <v>90</v>
      </c>
      <c r="AF3361" t="s">
        <v>91</v>
      </c>
      <c r="AG3361" s="1">
        <v>43852</v>
      </c>
      <c r="AH3361" t="s">
        <v>85</v>
      </c>
      <c r="AI3361" t="s">
        <v>92</v>
      </c>
      <c r="AJ3361">
        <v>19888</v>
      </c>
      <c r="AK3361">
        <v>128777</v>
      </c>
      <c r="AL3361">
        <v>198882</v>
      </c>
    </row>
    <row r="3362" spans="1:38" x14ac:dyDescent="0.25">
      <c r="A3362" t="s">
        <v>213</v>
      </c>
      <c r="B3362">
        <v>52971603</v>
      </c>
      <c r="C3362" t="s">
        <v>71</v>
      </c>
      <c r="D3362" s="1">
        <v>43263</v>
      </c>
      <c r="E3362" s="1">
        <v>43627</v>
      </c>
      <c r="F3362" t="s">
        <v>84</v>
      </c>
      <c r="G3362">
        <v>10</v>
      </c>
      <c r="H3362" t="s">
        <v>85</v>
      </c>
      <c r="I3362" t="s">
        <v>43</v>
      </c>
      <c r="J3362" t="s">
        <v>86</v>
      </c>
      <c r="K3362" t="s">
        <v>127</v>
      </c>
      <c r="L3362">
        <v>63872.4</v>
      </c>
      <c r="M3362" s="1">
        <v>43263</v>
      </c>
      <c r="N3362" t="s">
        <v>45</v>
      </c>
      <c r="O3362" t="s">
        <v>361</v>
      </c>
      <c r="P3362" t="s">
        <v>47</v>
      </c>
      <c r="Q3362" s="1">
        <v>43852</v>
      </c>
      <c r="R3362" t="s">
        <v>48</v>
      </c>
      <c r="S3362" t="s">
        <v>96</v>
      </c>
      <c r="T3362" t="s">
        <v>97</v>
      </c>
      <c r="U3362" t="s">
        <v>85</v>
      </c>
      <c r="V3362">
        <v>600000</v>
      </c>
      <c r="W3362">
        <v>100000</v>
      </c>
      <c r="X3362" s="1">
        <v>43799</v>
      </c>
      <c r="Y3362" t="s">
        <v>51</v>
      </c>
      <c r="Z3362" t="s">
        <v>43</v>
      </c>
      <c r="AA3362" t="s">
        <v>98</v>
      </c>
      <c r="AB3362" t="s">
        <v>89</v>
      </c>
      <c r="AC3362" t="s">
        <v>90</v>
      </c>
      <c r="AF3362" t="s">
        <v>93</v>
      </c>
      <c r="AG3362" s="1">
        <v>43843</v>
      </c>
      <c r="AH3362" t="s">
        <v>85</v>
      </c>
      <c r="AI3362" t="s">
        <v>92</v>
      </c>
      <c r="AJ3362">
        <v>19888</v>
      </c>
      <c r="AK3362">
        <v>128777</v>
      </c>
      <c r="AL3362">
        <v>198882</v>
      </c>
    </row>
    <row r="3363" spans="1:38" x14ac:dyDescent="0.25">
      <c r="A3363" t="s">
        <v>213</v>
      </c>
      <c r="B3363">
        <v>52971603</v>
      </c>
      <c r="C3363" t="s">
        <v>71</v>
      </c>
      <c r="D3363" s="1">
        <v>43263</v>
      </c>
      <c r="E3363" s="1">
        <v>43627</v>
      </c>
      <c r="F3363" t="s">
        <v>84</v>
      </c>
      <c r="G3363">
        <v>10</v>
      </c>
      <c r="H3363" t="s">
        <v>85</v>
      </c>
      <c r="I3363" t="s">
        <v>43</v>
      </c>
      <c r="J3363" t="s">
        <v>86</v>
      </c>
      <c r="K3363" t="s">
        <v>127</v>
      </c>
      <c r="L3363">
        <v>63872.4</v>
      </c>
      <c r="M3363" s="1">
        <v>43263</v>
      </c>
      <c r="N3363" t="s">
        <v>45</v>
      </c>
      <c r="O3363" t="s">
        <v>361</v>
      </c>
      <c r="P3363" t="s">
        <v>47</v>
      </c>
      <c r="Q3363" s="1">
        <v>43852</v>
      </c>
      <c r="R3363" t="s">
        <v>48</v>
      </c>
      <c r="S3363" t="s">
        <v>99</v>
      </c>
      <c r="T3363" t="s">
        <v>100</v>
      </c>
      <c r="U3363" t="s">
        <v>85</v>
      </c>
      <c r="V3363">
        <v>210000</v>
      </c>
      <c r="W3363">
        <v>35000</v>
      </c>
      <c r="X3363" s="1">
        <v>43799</v>
      </c>
      <c r="Y3363" t="s">
        <v>51</v>
      </c>
      <c r="Z3363" t="s">
        <v>43</v>
      </c>
      <c r="AA3363" t="s">
        <v>98</v>
      </c>
      <c r="AB3363" t="s">
        <v>89</v>
      </c>
      <c r="AC3363" t="s">
        <v>101</v>
      </c>
      <c r="AF3363" t="s">
        <v>91</v>
      </c>
      <c r="AG3363" s="1">
        <v>43852</v>
      </c>
      <c r="AH3363" t="s">
        <v>85</v>
      </c>
      <c r="AI3363" t="s">
        <v>92</v>
      </c>
      <c r="AJ3363">
        <v>19888</v>
      </c>
      <c r="AK3363">
        <v>128777</v>
      </c>
      <c r="AL3363">
        <v>198882</v>
      </c>
    </row>
    <row r="3364" spans="1:38" x14ac:dyDescent="0.25">
      <c r="A3364" t="s">
        <v>213</v>
      </c>
      <c r="B3364">
        <v>52971603</v>
      </c>
      <c r="C3364" t="s">
        <v>71</v>
      </c>
      <c r="D3364" s="1">
        <v>43263</v>
      </c>
      <c r="E3364" s="1">
        <v>43627</v>
      </c>
      <c r="F3364" t="s">
        <v>84</v>
      </c>
      <c r="G3364">
        <v>10</v>
      </c>
      <c r="H3364" t="s">
        <v>85</v>
      </c>
      <c r="I3364" t="s">
        <v>43</v>
      </c>
      <c r="J3364" t="s">
        <v>86</v>
      </c>
      <c r="K3364" t="s">
        <v>127</v>
      </c>
      <c r="L3364">
        <v>63872.4</v>
      </c>
      <c r="M3364" s="1">
        <v>43263</v>
      </c>
      <c r="N3364" t="s">
        <v>45</v>
      </c>
      <c r="O3364" t="s">
        <v>361</v>
      </c>
      <c r="P3364" t="s">
        <v>47</v>
      </c>
      <c r="Q3364" s="1">
        <v>43852</v>
      </c>
      <c r="R3364" t="s">
        <v>48</v>
      </c>
      <c r="S3364" t="s">
        <v>99</v>
      </c>
      <c r="T3364" t="s">
        <v>100</v>
      </c>
      <c r="U3364" t="s">
        <v>85</v>
      </c>
      <c r="V3364">
        <v>210000</v>
      </c>
      <c r="W3364">
        <v>35000</v>
      </c>
      <c r="X3364" s="1">
        <v>43799</v>
      </c>
      <c r="Y3364" t="s">
        <v>51</v>
      </c>
      <c r="Z3364" t="s">
        <v>43</v>
      </c>
      <c r="AA3364" t="s">
        <v>98</v>
      </c>
      <c r="AB3364" t="s">
        <v>89</v>
      </c>
      <c r="AC3364" t="s">
        <v>101</v>
      </c>
      <c r="AF3364" t="s">
        <v>93</v>
      </c>
      <c r="AG3364" s="1">
        <v>43843</v>
      </c>
      <c r="AH3364" t="s">
        <v>85</v>
      </c>
      <c r="AI3364" t="s">
        <v>92</v>
      </c>
      <c r="AJ3364">
        <v>19888</v>
      </c>
      <c r="AK3364">
        <v>128777</v>
      </c>
      <c r="AL3364">
        <v>198882</v>
      </c>
    </row>
    <row r="3365" spans="1:38" x14ac:dyDescent="0.25">
      <c r="A3365" t="s">
        <v>213</v>
      </c>
      <c r="B3365">
        <v>52971603</v>
      </c>
      <c r="C3365" t="s">
        <v>71</v>
      </c>
      <c r="D3365" s="1">
        <v>43263</v>
      </c>
      <c r="E3365" s="1">
        <v>43627</v>
      </c>
      <c r="F3365" t="s">
        <v>84</v>
      </c>
      <c r="G3365">
        <v>10</v>
      </c>
      <c r="H3365" t="s">
        <v>85</v>
      </c>
      <c r="I3365" t="s">
        <v>43</v>
      </c>
      <c r="J3365" t="s">
        <v>86</v>
      </c>
      <c r="K3365" t="s">
        <v>127</v>
      </c>
      <c r="L3365">
        <v>63872.4</v>
      </c>
      <c r="M3365" s="1">
        <v>43263</v>
      </c>
      <c r="N3365" t="s">
        <v>45</v>
      </c>
      <c r="O3365" t="s">
        <v>361</v>
      </c>
      <c r="P3365" t="s">
        <v>47</v>
      </c>
      <c r="Q3365" s="1">
        <v>43852</v>
      </c>
      <c r="R3365" t="s">
        <v>48</v>
      </c>
      <c r="S3365" t="s">
        <v>102</v>
      </c>
      <c r="T3365" t="s">
        <v>103</v>
      </c>
      <c r="U3365" t="s">
        <v>85</v>
      </c>
      <c r="V3365">
        <v>5000000</v>
      </c>
      <c r="W3365">
        <v>250000</v>
      </c>
      <c r="X3365" s="1">
        <v>43799</v>
      </c>
      <c r="Y3365" t="s">
        <v>51</v>
      </c>
      <c r="Z3365" t="s">
        <v>43</v>
      </c>
      <c r="AA3365" t="s">
        <v>86</v>
      </c>
      <c r="AB3365" t="s">
        <v>89</v>
      </c>
      <c r="AC3365" t="s">
        <v>90</v>
      </c>
      <c r="AF3365" t="s">
        <v>91</v>
      </c>
      <c r="AG3365" s="1">
        <v>43852</v>
      </c>
      <c r="AH3365" t="s">
        <v>85</v>
      </c>
      <c r="AI3365" t="s">
        <v>92</v>
      </c>
      <c r="AJ3365">
        <v>19888</v>
      </c>
      <c r="AK3365">
        <v>128777</v>
      </c>
      <c r="AL3365">
        <v>198882</v>
      </c>
    </row>
    <row r="3366" spans="1:38" x14ac:dyDescent="0.25">
      <c r="A3366" t="s">
        <v>213</v>
      </c>
      <c r="B3366">
        <v>52971603</v>
      </c>
      <c r="C3366" t="s">
        <v>71</v>
      </c>
      <c r="D3366" s="1">
        <v>43263</v>
      </c>
      <c r="E3366" s="1">
        <v>43627</v>
      </c>
      <c r="F3366" t="s">
        <v>84</v>
      </c>
      <c r="G3366">
        <v>10</v>
      </c>
      <c r="H3366" t="s">
        <v>85</v>
      </c>
      <c r="I3366" t="s">
        <v>43</v>
      </c>
      <c r="J3366" t="s">
        <v>86</v>
      </c>
      <c r="K3366" t="s">
        <v>127</v>
      </c>
      <c r="L3366">
        <v>63872.4</v>
      </c>
      <c r="M3366" s="1">
        <v>43263</v>
      </c>
      <c r="N3366" t="s">
        <v>45</v>
      </c>
      <c r="O3366" t="s">
        <v>361</v>
      </c>
      <c r="P3366" t="s">
        <v>47</v>
      </c>
      <c r="Q3366" s="1">
        <v>43852</v>
      </c>
      <c r="R3366" t="s">
        <v>48</v>
      </c>
      <c r="S3366" t="s">
        <v>102</v>
      </c>
      <c r="T3366" t="s">
        <v>103</v>
      </c>
      <c r="U3366" t="s">
        <v>85</v>
      </c>
      <c r="V3366">
        <v>5000000</v>
      </c>
      <c r="W3366">
        <v>250000</v>
      </c>
      <c r="X3366" s="1">
        <v>43799</v>
      </c>
      <c r="Y3366" t="s">
        <v>51</v>
      </c>
      <c r="Z3366" t="s">
        <v>43</v>
      </c>
      <c r="AA3366" t="s">
        <v>86</v>
      </c>
      <c r="AB3366" t="s">
        <v>89</v>
      </c>
      <c r="AC3366" t="s">
        <v>90</v>
      </c>
      <c r="AF3366" t="s">
        <v>93</v>
      </c>
      <c r="AG3366" s="1">
        <v>43843</v>
      </c>
      <c r="AH3366" t="s">
        <v>85</v>
      </c>
      <c r="AI3366" t="s">
        <v>92</v>
      </c>
      <c r="AJ3366">
        <v>19888</v>
      </c>
      <c r="AK3366">
        <v>128777</v>
      </c>
      <c r="AL3366">
        <v>198882</v>
      </c>
    </row>
    <row r="3367" spans="1:38" x14ac:dyDescent="0.25">
      <c r="A3367" t="s">
        <v>215</v>
      </c>
      <c r="B3367">
        <v>52971603</v>
      </c>
      <c r="C3367" t="s">
        <v>71</v>
      </c>
      <c r="D3367" s="1">
        <v>43263</v>
      </c>
      <c r="E3367" s="1">
        <v>43627</v>
      </c>
      <c r="F3367" t="s">
        <v>84</v>
      </c>
      <c r="G3367">
        <v>10</v>
      </c>
      <c r="H3367" t="s">
        <v>85</v>
      </c>
      <c r="I3367" t="s">
        <v>43</v>
      </c>
      <c r="J3367" t="s">
        <v>86</v>
      </c>
      <c r="K3367" t="s">
        <v>127</v>
      </c>
      <c r="L3367">
        <v>13134.29</v>
      </c>
      <c r="M3367" s="1">
        <v>43318</v>
      </c>
      <c r="N3367" t="s">
        <v>108</v>
      </c>
      <c r="O3367" t="s">
        <v>361</v>
      </c>
      <c r="P3367" t="s">
        <v>47</v>
      </c>
      <c r="Q3367" s="1">
        <v>43852</v>
      </c>
      <c r="R3367" t="s">
        <v>48</v>
      </c>
      <c r="S3367" t="s">
        <v>87</v>
      </c>
      <c r="T3367" t="s">
        <v>88</v>
      </c>
      <c r="U3367" t="s">
        <v>85</v>
      </c>
      <c r="V3367">
        <v>1400000</v>
      </c>
      <c r="W3367">
        <v>100000</v>
      </c>
      <c r="X3367" s="1">
        <v>43808</v>
      </c>
      <c r="Y3367" t="s">
        <v>51</v>
      </c>
      <c r="Z3367" t="s">
        <v>43</v>
      </c>
      <c r="AA3367" t="s">
        <v>86</v>
      </c>
      <c r="AB3367" t="s">
        <v>89</v>
      </c>
      <c r="AC3367" t="s">
        <v>90</v>
      </c>
      <c r="AF3367" t="s">
        <v>91</v>
      </c>
      <c r="AG3367" s="1">
        <v>43852</v>
      </c>
      <c r="AH3367" t="s">
        <v>85</v>
      </c>
      <c r="AI3367" t="s">
        <v>92</v>
      </c>
      <c r="AJ3367">
        <v>19888</v>
      </c>
      <c r="AK3367">
        <v>128777</v>
      </c>
      <c r="AL3367">
        <v>198882</v>
      </c>
    </row>
    <row r="3368" spans="1:38" x14ac:dyDescent="0.25">
      <c r="A3368" t="s">
        <v>215</v>
      </c>
      <c r="B3368">
        <v>52971603</v>
      </c>
      <c r="C3368" t="s">
        <v>71</v>
      </c>
      <c r="D3368" s="1">
        <v>43263</v>
      </c>
      <c r="E3368" s="1">
        <v>43627</v>
      </c>
      <c r="F3368" t="s">
        <v>84</v>
      </c>
      <c r="G3368">
        <v>10</v>
      </c>
      <c r="H3368" t="s">
        <v>85</v>
      </c>
      <c r="I3368" t="s">
        <v>43</v>
      </c>
      <c r="J3368" t="s">
        <v>86</v>
      </c>
      <c r="K3368" t="s">
        <v>127</v>
      </c>
      <c r="L3368">
        <v>13134.29</v>
      </c>
      <c r="M3368" s="1">
        <v>43318</v>
      </c>
      <c r="N3368" t="s">
        <v>108</v>
      </c>
      <c r="O3368" t="s">
        <v>361</v>
      </c>
      <c r="P3368" t="s">
        <v>47</v>
      </c>
      <c r="Q3368" s="1">
        <v>43852</v>
      </c>
      <c r="R3368" t="s">
        <v>48</v>
      </c>
      <c r="S3368" t="s">
        <v>87</v>
      </c>
      <c r="T3368" t="s">
        <v>88</v>
      </c>
      <c r="U3368" t="s">
        <v>85</v>
      </c>
      <c r="V3368">
        <v>1400000</v>
      </c>
      <c r="W3368">
        <v>100000</v>
      </c>
      <c r="X3368" s="1">
        <v>43808</v>
      </c>
      <c r="Y3368" t="s">
        <v>51</v>
      </c>
      <c r="Z3368" t="s">
        <v>43</v>
      </c>
      <c r="AA3368" t="s">
        <v>86</v>
      </c>
      <c r="AB3368" t="s">
        <v>89</v>
      </c>
      <c r="AC3368" t="s">
        <v>90</v>
      </c>
      <c r="AF3368" t="s">
        <v>93</v>
      </c>
      <c r="AG3368" s="1">
        <v>43843</v>
      </c>
      <c r="AH3368" t="s">
        <v>85</v>
      </c>
      <c r="AI3368" t="s">
        <v>92</v>
      </c>
      <c r="AJ3368">
        <v>19888</v>
      </c>
      <c r="AK3368">
        <v>128777</v>
      </c>
      <c r="AL3368">
        <v>198882</v>
      </c>
    </row>
    <row r="3369" spans="1:38" x14ac:dyDescent="0.25">
      <c r="A3369" t="s">
        <v>215</v>
      </c>
      <c r="B3369">
        <v>52971603</v>
      </c>
      <c r="C3369" t="s">
        <v>71</v>
      </c>
      <c r="D3369" s="1">
        <v>43263</v>
      </c>
      <c r="E3369" s="1">
        <v>43627</v>
      </c>
      <c r="F3369" t="s">
        <v>84</v>
      </c>
      <c r="G3369">
        <v>10</v>
      </c>
      <c r="H3369" t="s">
        <v>85</v>
      </c>
      <c r="I3369" t="s">
        <v>43</v>
      </c>
      <c r="J3369" t="s">
        <v>86</v>
      </c>
      <c r="K3369" t="s">
        <v>127</v>
      </c>
      <c r="L3369">
        <v>13134.29</v>
      </c>
      <c r="M3369" s="1">
        <v>43318</v>
      </c>
      <c r="N3369" t="s">
        <v>108</v>
      </c>
      <c r="O3369" t="s">
        <v>361</v>
      </c>
      <c r="P3369" t="s">
        <v>47</v>
      </c>
      <c r="Q3369" s="1">
        <v>43852</v>
      </c>
      <c r="R3369" t="s">
        <v>48</v>
      </c>
      <c r="S3369" t="s">
        <v>94</v>
      </c>
      <c r="T3369" t="s">
        <v>95</v>
      </c>
      <c r="U3369" t="s">
        <v>85</v>
      </c>
      <c r="V3369">
        <v>4500000</v>
      </c>
      <c r="W3369">
        <v>300000</v>
      </c>
      <c r="X3369" s="1">
        <v>43767</v>
      </c>
      <c r="Y3369" t="s">
        <v>51</v>
      </c>
      <c r="Z3369" t="s">
        <v>43</v>
      </c>
      <c r="AA3369" t="s">
        <v>86</v>
      </c>
      <c r="AB3369" t="s">
        <v>89</v>
      </c>
      <c r="AC3369" t="s">
        <v>90</v>
      </c>
      <c r="AF3369" t="s">
        <v>91</v>
      </c>
      <c r="AG3369" s="1">
        <v>43852</v>
      </c>
      <c r="AH3369" t="s">
        <v>85</v>
      </c>
      <c r="AI3369" t="s">
        <v>92</v>
      </c>
      <c r="AJ3369">
        <v>19888</v>
      </c>
      <c r="AK3369">
        <v>128777</v>
      </c>
      <c r="AL3369">
        <v>198882</v>
      </c>
    </row>
    <row r="3370" spans="1:38" x14ac:dyDescent="0.25">
      <c r="A3370" t="s">
        <v>215</v>
      </c>
      <c r="B3370">
        <v>52971603</v>
      </c>
      <c r="C3370" t="s">
        <v>71</v>
      </c>
      <c r="D3370" s="1">
        <v>43263</v>
      </c>
      <c r="E3370" s="1">
        <v>43627</v>
      </c>
      <c r="F3370" t="s">
        <v>84</v>
      </c>
      <c r="G3370">
        <v>10</v>
      </c>
      <c r="H3370" t="s">
        <v>85</v>
      </c>
      <c r="I3370" t="s">
        <v>43</v>
      </c>
      <c r="J3370" t="s">
        <v>86</v>
      </c>
      <c r="K3370" t="s">
        <v>127</v>
      </c>
      <c r="L3370">
        <v>13134.29</v>
      </c>
      <c r="M3370" s="1">
        <v>43318</v>
      </c>
      <c r="N3370" t="s">
        <v>108</v>
      </c>
      <c r="O3370" t="s">
        <v>361</v>
      </c>
      <c r="P3370" t="s">
        <v>47</v>
      </c>
      <c r="Q3370" s="1">
        <v>43852</v>
      </c>
      <c r="R3370" t="s">
        <v>48</v>
      </c>
      <c r="S3370" t="s">
        <v>94</v>
      </c>
      <c r="T3370" t="s">
        <v>95</v>
      </c>
      <c r="U3370" t="s">
        <v>85</v>
      </c>
      <c r="V3370">
        <v>4500000</v>
      </c>
      <c r="W3370">
        <v>300000</v>
      </c>
      <c r="X3370" s="1">
        <v>43767</v>
      </c>
      <c r="Y3370" t="s">
        <v>51</v>
      </c>
      <c r="Z3370" t="s">
        <v>43</v>
      </c>
      <c r="AA3370" t="s">
        <v>86</v>
      </c>
      <c r="AB3370" t="s">
        <v>89</v>
      </c>
      <c r="AC3370" t="s">
        <v>90</v>
      </c>
      <c r="AF3370" t="s">
        <v>93</v>
      </c>
      <c r="AG3370" s="1">
        <v>43843</v>
      </c>
      <c r="AH3370" t="s">
        <v>85</v>
      </c>
      <c r="AI3370" t="s">
        <v>92</v>
      </c>
      <c r="AJ3370">
        <v>19888</v>
      </c>
      <c r="AK3370">
        <v>128777</v>
      </c>
      <c r="AL3370">
        <v>198882</v>
      </c>
    </row>
    <row r="3371" spans="1:38" x14ac:dyDescent="0.25">
      <c r="A3371" t="s">
        <v>215</v>
      </c>
      <c r="B3371">
        <v>52971603</v>
      </c>
      <c r="C3371" t="s">
        <v>71</v>
      </c>
      <c r="D3371" s="1">
        <v>43263</v>
      </c>
      <c r="E3371" s="1">
        <v>43627</v>
      </c>
      <c r="F3371" t="s">
        <v>84</v>
      </c>
      <c r="G3371">
        <v>10</v>
      </c>
      <c r="H3371" t="s">
        <v>85</v>
      </c>
      <c r="I3371" t="s">
        <v>43</v>
      </c>
      <c r="J3371" t="s">
        <v>86</v>
      </c>
      <c r="K3371" t="s">
        <v>127</v>
      </c>
      <c r="L3371">
        <v>13134.29</v>
      </c>
      <c r="M3371" s="1">
        <v>43318</v>
      </c>
      <c r="N3371" t="s">
        <v>108</v>
      </c>
      <c r="O3371" t="s">
        <v>361</v>
      </c>
      <c r="P3371" t="s">
        <v>47</v>
      </c>
      <c r="Q3371" s="1">
        <v>43852</v>
      </c>
      <c r="R3371" t="s">
        <v>48</v>
      </c>
      <c r="S3371" t="s">
        <v>96</v>
      </c>
      <c r="T3371" t="s">
        <v>97</v>
      </c>
      <c r="U3371" t="s">
        <v>85</v>
      </c>
      <c r="V3371">
        <v>600000</v>
      </c>
      <c r="W3371">
        <v>100000</v>
      </c>
      <c r="X3371" s="1">
        <v>43799</v>
      </c>
      <c r="Y3371" t="s">
        <v>51</v>
      </c>
      <c r="Z3371" t="s">
        <v>43</v>
      </c>
      <c r="AA3371" t="s">
        <v>98</v>
      </c>
      <c r="AB3371" t="s">
        <v>89</v>
      </c>
      <c r="AC3371" t="s">
        <v>90</v>
      </c>
      <c r="AF3371" t="s">
        <v>91</v>
      </c>
      <c r="AG3371" s="1">
        <v>43852</v>
      </c>
      <c r="AH3371" t="s">
        <v>85</v>
      </c>
      <c r="AI3371" t="s">
        <v>92</v>
      </c>
      <c r="AJ3371">
        <v>19888</v>
      </c>
      <c r="AK3371">
        <v>128777</v>
      </c>
      <c r="AL3371">
        <v>198882</v>
      </c>
    </row>
    <row r="3372" spans="1:38" x14ac:dyDescent="0.25">
      <c r="A3372" t="s">
        <v>215</v>
      </c>
      <c r="B3372">
        <v>52971603</v>
      </c>
      <c r="C3372" t="s">
        <v>71</v>
      </c>
      <c r="D3372" s="1">
        <v>43263</v>
      </c>
      <c r="E3372" s="1">
        <v>43627</v>
      </c>
      <c r="F3372" t="s">
        <v>84</v>
      </c>
      <c r="G3372">
        <v>10</v>
      </c>
      <c r="H3372" t="s">
        <v>85</v>
      </c>
      <c r="I3372" t="s">
        <v>43</v>
      </c>
      <c r="J3372" t="s">
        <v>86</v>
      </c>
      <c r="K3372" t="s">
        <v>127</v>
      </c>
      <c r="L3372">
        <v>13134.29</v>
      </c>
      <c r="M3372" s="1">
        <v>43318</v>
      </c>
      <c r="N3372" t="s">
        <v>108</v>
      </c>
      <c r="O3372" t="s">
        <v>361</v>
      </c>
      <c r="P3372" t="s">
        <v>47</v>
      </c>
      <c r="Q3372" s="1">
        <v>43852</v>
      </c>
      <c r="R3372" t="s">
        <v>48</v>
      </c>
      <c r="S3372" t="s">
        <v>96</v>
      </c>
      <c r="T3372" t="s">
        <v>97</v>
      </c>
      <c r="U3372" t="s">
        <v>85</v>
      </c>
      <c r="V3372">
        <v>600000</v>
      </c>
      <c r="W3372">
        <v>100000</v>
      </c>
      <c r="X3372" s="1">
        <v>43799</v>
      </c>
      <c r="Y3372" t="s">
        <v>51</v>
      </c>
      <c r="Z3372" t="s">
        <v>43</v>
      </c>
      <c r="AA3372" t="s">
        <v>98</v>
      </c>
      <c r="AB3372" t="s">
        <v>89</v>
      </c>
      <c r="AC3372" t="s">
        <v>90</v>
      </c>
      <c r="AF3372" t="s">
        <v>93</v>
      </c>
      <c r="AG3372" s="1">
        <v>43843</v>
      </c>
      <c r="AH3372" t="s">
        <v>85</v>
      </c>
      <c r="AI3372" t="s">
        <v>92</v>
      </c>
      <c r="AJ3372">
        <v>19888</v>
      </c>
      <c r="AK3372">
        <v>128777</v>
      </c>
      <c r="AL3372">
        <v>198882</v>
      </c>
    </row>
    <row r="3373" spans="1:38" x14ac:dyDescent="0.25">
      <c r="A3373" t="s">
        <v>215</v>
      </c>
      <c r="B3373">
        <v>52971603</v>
      </c>
      <c r="C3373" t="s">
        <v>71</v>
      </c>
      <c r="D3373" s="1">
        <v>43263</v>
      </c>
      <c r="E3373" s="1">
        <v>43627</v>
      </c>
      <c r="F3373" t="s">
        <v>84</v>
      </c>
      <c r="G3373">
        <v>10</v>
      </c>
      <c r="H3373" t="s">
        <v>85</v>
      </c>
      <c r="I3373" t="s">
        <v>43</v>
      </c>
      <c r="J3373" t="s">
        <v>86</v>
      </c>
      <c r="K3373" t="s">
        <v>127</v>
      </c>
      <c r="L3373">
        <v>13134.29</v>
      </c>
      <c r="M3373" s="1">
        <v>43318</v>
      </c>
      <c r="N3373" t="s">
        <v>108</v>
      </c>
      <c r="O3373" t="s">
        <v>361</v>
      </c>
      <c r="P3373" t="s">
        <v>47</v>
      </c>
      <c r="Q3373" s="1">
        <v>43852</v>
      </c>
      <c r="R3373" t="s">
        <v>48</v>
      </c>
      <c r="S3373" t="s">
        <v>99</v>
      </c>
      <c r="T3373" t="s">
        <v>100</v>
      </c>
      <c r="U3373" t="s">
        <v>85</v>
      </c>
      <c r="V3373">
        <v>210000</v>
      </c>
      <c r="W3373">
        <v>35000</v>
      </c>
      <c r="X3373" s="1">
        <v>43799</v>
      </c>
      <c r="Y3373" t="s">
        <v>51</v>
      </c>
      <c r="Z3373" t="s">
        <v>43</v>
      </c>
      <c r="AA3373" t="s">
        <v>98</v>
      </c>
      <c r="AB3373" t="s">
        <v>89</v>
      </c>
      <c r="AC3373" t="s">
        <v>101</v>
      </c>
      <c r="AF3373" t="s">
        <v>91</v>
      </c>
      <c r="AG3373" s="1">
        <v>43852</v>
      </c>
      <c r="AH3373" t="s">
        <v>85</v>
      </c>
      <c r="AI3373" t="s">
        <v>92</v>
      </c>
      <c r="AJ3373">
        <v>19888</v>
      </c>
      <c r="AK3373">
        <v>128777</v>
      </c>
      <c r="AL3373">
        <v>198882</v>
      </c>
    </row>
    <row r="3374" spans="1:38" x14ac:dyDescent="0.25">
      <c r="A3374" t="s">
        <v>215</v>
      </c>
      <c r="B3374">
        <v>52971603</v>
      </c>
      <c r="C3374" t="s">
        <v>71</v>
      </c>
      <c r="D3374" s="1">
        <v>43263</v>
      </c>
      <c r="E3374" s="1">
        <v>43627</v>
      </c>
      <c r="F3374" t="s">
        <v>84</v>
      </c>
      <c r="G3374">
        <v>10</v>
      </c>
      <c r="H3374" t="s">
        <v>85</v>
      </c>
      <c r="I3374" t="s">
        <v>43</v>
      </c>
      <c r="J3374" t="s">
        <v>86</v>
      </c>
      <c r="K3374" t="s">
        <v>127</v>
      </c>
      <c r="L3374">
        <v>13134.29</v>
      </c>
      <c r="M3374" s="1">
        <v>43318</v>
      </c>
      <c r="N3374" t="s">
        <v>108</v>
      </c>
      <c r="O3374" t="s">
        <v>361</v>
      </c>
      <c r="P3374" t="s">
        <v>47</v>
      </c>
      <c r="Q3374" s="1">
        <v>43852</v>
      </c>
      <c r="R3374" t="s">
        <v>48</v>
      </c>
      <c r="S3374" t="s">
        <v>99</v>
      </c>
      <c r="T3374" t="s">
        <v>100</v>
      </c>
      <c r="U3374" t="s">
        <v>85</v>
      </c>
      <c r="V3374">
        <v>210000</v>
      </c>
      <c r="W3374">
        <v>35000</v>
      </c>
      <c r="X3374" s="1">
        <v>43799</v>
      </c>
      <c r="Y3374" t="s">
        <v>51</v>
      </c>
      <c r="Z3374" t="s">
        <v>43</v>
      </c>
      <c r="AA3374" t="s">
        <v>98</v>
      </c>
      <c r="AB3374" t="s">
        <v>89</v>
      </c>
      <c r="AC3374" t="s">
        <v>101</v>
      </c>
      <c r="AF3374" t="s">
        <v>93</v>
      </c>
      <c r="AG3374" s="1">
        <v>43843</v>
      </c>
      <c r="AH3374" t="s">
        <v>85</v>
      </c>
      <c r="AI3374" t="s">
        <v>92</v>
      </c>
      <c r="AJ3374">
        <v>19888</v>
      </c>
      <c r="AK3374">
        <v>128777</v>
      </c>
      <c r="AL3374">
        <v>198882</v>
      </c>
    </row>
    <row r="3375" spans="1:38" x14ac:dyDescent="0.25">
      <c r="A3375" t="s">
        <v>215</v>
      </c>
      <c r="B3375">
        <v>52971603</v>
      </c>
      <c r="C3375" t="s">
        <v>71</v>
      </c>
      <c r="D3375" s="1">
        <v>43263</v>
      </c>
      <c r="E3375" s="1">
        <v>43627</v>
      </c>
      <c r="F3375" t="s">
        <v>84</v>
      </c>
      <c r="G3375">
        <v>10</v>
      </c>
      <c r="H3375" t="s">
        <v>85</v>
      </c>
      <c r="I3375" t="s">
        <v>43</v>
      </c>
      <c r="J3375" t="s">
        <v>86</v>
      </c>
      <c r="K3375" t="s">
        <v>127</v>
      </c>
      <c r="L3375">
        <v>13134.29</v>
      </c>
      <c r="M3375" s="1">
        <v>43318</v>
      </c>
      <c r="N3375" t="s">
        <v>108</v>
      </c>
      <c r="O3375" t="s">
        <v>361</v>
      </c>
      <c r="P3375" t="s">
        <v>47</v>
      </c>
      <c r="Q3375" s="1">
        <v>43852</v>
      </c>
      <c r="R3375" t="s">
        <v>48</v>
      </c>
      <c r="S3375" t="s">
        <v>102</v>
      </c>
      <c r="T3375" t="s">
        <v>103</v>
      </c>
      <c r="U3375" t="s">
        <v>85</v>
      </c>
      <c r="V3375">
        <v>5000000</v>
      </c>
      <c r="W3375">
        <v>250000</v>
      </c>
      <c r="X3375" s="1">
        <v>43799</v>
      </c>
      <c r="Y3375" t="s">
        <v>51</v>
      </c>
      <c r="Z3375" t="s">
        <v>43</v>
      </c>
      <c r="AA3375" t="s">
        <v>86</v>
      </c>
      <c r="AB3375" t="s">
        <v>89</v>
      </c>
      <c r="AC3375" t="s">
        <v>90</v>
      </c>
      <c r="AF3375" t="s">
        <v>91</v>
      </c>
      <c r="AG3375" s="1">
        <v>43852</v>
      </c>
      <c r="AH3375" t="s">
        <v>85</v>
      </c>
      <c r="AI3375" t="s">
        <v>92</v>
      </c>
      <c r="AJ3375">
        <v>19888</v>
      </c>
      <c r="AK3375">
        <v>128777</v>
      </c>
      <c r="AL3375">
        <v>198882</v>
      </c>
    </row>
    <row r="3376" spans="1:38" x14ac:dyDescent="0.25">
      <c r="A3376" t="s">
        <v>215</v>
      </c>
      <c r="B3376">
        <v>52971603</v>
      </c>
      <c r="C3376" t="s">
        <v>71</v>
      </c>
      <c r="D3376" s="1">
        <v>43263</v>
      </c>
      <c r="E3376" s="1">
        <v>43627</v>
      </c>
      <c r="F3376" t="s">
        <v>84</v>
      </c>
      <c r="G3376">
        <v>10</v>
      </c>
      <c r="H3376" t="s">
        <v>85</v>
      </c>
      <c r="I3376" t="s">
        <v>43</v>
      </c>
      <c r="J3376" t="s">
        <v>86</v>
      </c>
      <c r="K3376" t="s">
        <v>127</v>
      </c>
      <c r="L3376">
        <v>13134.29</v>
      </c>
      <c r="M3376" s="1">
        <v>43318</v>
      </c>
      <c r="N3376" t="s">
        <v>108</v>
      </c>
      <c r="O3376" t="s">
        <v>361</v>
      </c>
      <c r="P3376" t="s">
        <v>47</v>
      </c>
      <c r="Q3376" s="1">
        <v>43852</v>
      </c>
      <c r="R3376" t="s">
        <v>48</v>
      </c>
      <c r="S3376" t="s">
        <v>102</v>
      </c>
      <c r="T3376" t="s">
        <v>103</v>
      </c>
      <c r="U3376" t="s">
        <v>85</v>
      </c>
      <c r="V3376">
        <v>5000000</v>
      </c>
      <c r="W3376">
        <v>250000</v>
      </c>
      <c r="X3376" s="1">
        <v>43799</v>
      </c>
      <c r="Y3376" t="s">
        <v>51</v>
      </c>
      <c r="Z3376" t="s">
        <v>43</v>
      </c>
      <c r="AA3376" t="s">
        <v>86</v>
      </c>
      <c r="AB3376" t="s">
        <v>89</v>
      </c>
      <c r="AC3376" t="s">
        <v>90</v>
      </c>
      <c r="AF3376" t="s">
        <v>93</v>
      </c>
      <c r="AG3376" s="1">
        <v>43843</v>
      </c>
      <c r="AH3376" t="s">
        <v>85</v>
      </c>
      <c r="AI3376" t="s">
        <v>92</v>
      </c>
      <c r="AJ3376">
        <v>19888</v>
      </c>
      <c r="AK3376">
        <v>128777</v>
      </c>
      <c r="AL3376">
        <v>198882</v>
      </c>
    </row>
    <row r="3377" spans="1:38" x14ac:dyDescent="0.25">
      <c r="A3377" t="s">
        <v>217</v>
      </c>
      <c r="B3377">
        <v>54445288</v>
      </c>
      <c r="C3377" t="s">
        <v>40</v>
      </c>
      <c r="D3377" s="1">
        <v>43524</v>
      </c>
      <c r="E3377" s="1">
        <v>43888</v>
      </c>
      <c r="F3377" t="s">
        <v>84</v>
      </c>
      <c r="G3377">
        <v>10</v>
      </c>
      <c r="H3377" t="s">
        <v>85</v>
      </c>
      <c r="I3377" t="s">
        <v>43</v>
      </c>
      <c r="J3377" t="s">
        <v>86</v>
      </c>
      <c r="K3377" t="s">
        <v>44</v>
      </c>
      <c r="L3377">
        <v>11111.4</v>
      </c>
      <c r="M3377" s="1">
        <v>43524</v>
      </c>
      <c r="N3377" t="s">
        <v>45</v>
      </c>
      <c r="O3377" t="s">
        <v>44</v>
      </c>
      <c r="P3377" t="s">
        <v>47</v>
      </c>
      <c r="Q3377" s="1">
        <v>43852</v>
      </c>
      <c r="R3377" t="s">
        <v>48</v>
      </c>
      <c r="S3377" t="s">
        <v>87</v>
      </c>
      <c r="T3377" t="s">
        <v>88</v>
      </c>
      <c r="U3377" t="s">
        <v>85</v>
      </c>
      <c r="V3377">
        <v>1400000</v>
      </c>
      <c r="W3377">
        <v>100000</v>
      </c>
      <c r="X3377" s="1">
        <v>43808</v>
      </c>
      <c r="Y3377" t="s">
        <v>51</v>
      </c>
      <c r="Z3377" t="s">
        <v>43</v>
      </c>
      <c r="AA3377" t="s">
        <v>86</v>
      </c>
      <c r="AB3377" t="s">
        <v>89</v>
      </c>
      <c r="AC3377" t="s">
        <v>90</v>
      </c>
      <c r="AF3377" t="s">
        <v>91</v>
      </c>
      <c r="AG3377" s="1">
        <v>43852</v>
      </c>
      <c r="AH3377" t="s">
        <v>85</v>
      </c>
      <c r="AI3377" t="s">
        <v>92</v>
      </c>
      <c r="AJ3377">
        <v>19888</v>
      </c>
      <c r="AK3377">
        <v>128777</v>
      </c>
      <c r="AL3377">
        <v>198882</v>
      </c>
    </row>
    <row r="3378" spans="1:38" x14ac:dyDescent="0.25">
      <c r="A3378" t="s">
        <v>217</v>
      </c>
      <c r="B3378">
        <v>54445288</v>
      </c>
      <c r="C3378" t="s">
        <v>40</v>
      </c>
      <c r="D3378" s="1">
        <v>43524</v>
      </c>
      <c r="E3378" s="1">
        <v>43888</v>
      </c>
      <c r="F3378" t="s">
        <v>84</v>
      </c>
      <c r="G3378">
        <v>10</v>
      </c>
      <c r="H3378" t="s">
        <v>85</v>
      </c>
      <c r="I3378" t="s">
        <v>43</v>
      </c>
      <c r="J3378" t="s">
        <v>86</v>
      </c>
      <c r="K3378" t="s">
        <v>44</v>
      </c>
      <c r="L3378">
        <v>11111.4</v>
      </c>
      <c r="M3378" s="1">
        <v>43524</v>
      </c>
      <c r="N3378" t="s">
        <v>45</v>
      </c>
      <c r="O3378" t="s">
        <v>44</v>
      </c>
      <c r="P3378" t="s">
        <v>47</v>
      </c>
      <c r="Q3378" s="1">
        <v>43852</v>
      </c>
      <c r="R3378" t="s">
        <v>48</v>
      </c>
      <c r="S3378" t="s">
        <v>87</v>
      </c>
      <c r="T3378" t="s">
        <v>88</v>
      </c>
      <c r="U3378" t="s">
        <v>85</v>
      </c>
      <c r="V3378">
        <v>1400000</v>
      </c>
      <c r="W3378">
        <v>100000</v>
      </c>
      <c r="X3378" s="1">
        <v>43808</v>
      </c>
      <c r="Y3378" t="s">
        <v>51</v>
      </c>
      <c r="Z3378" t="s">
        <v>43</v>
      </c>
      <c r="AA3378" t="s">
        <v>86</v>
      </c>
      <c r="AB3378" t="s">
        <v>89</v>
      </c>
      <c r="AC3378" t="s">
        <v>90</v>
      </c>
      <c r="AF3378" t="s">
        <v>93</v>
      </c>
      <c r="AG3378" s="1">
        <v>43843</v>
      </c>
      <c r="AH3378" t="s">
        <v>85</v>
      </c>
      <c r="AI3378" t="s">
        <v>92</v>
      </c>
      <c r="AJ3378">
        <v>19888</v>
      </c>
      <c r="AK3378">
        <v>128777</v>
      </c>
      <c r="AL3378">
        <v>198882</v>
      </c>
    </row>
    <row r="3379" spans="1:38" x14ac:dyDescent="0.25">
      <c r="A3379" t="s">
        <v>217</v>
      </c>
      <c r="B3379">
        <v>54445288</v>
      </c>
      <c r="C3379" t="s">
        <v>40</v>
      </c>
      <c r="D3379" s="1">
        <v>43524</v>
      </c>
      <c r="E3379" s="1">
        <v>43888</v>
      </c>
      <c r="F3379" t="s">
        <v>84</v>
      </c>
      <c r="G3379">
        <v>10</v>
      </c>
      <c r="H3379" t="s">
        <v>85</v>
      </c>
      <c r="I3379" t="s">
        <v>43</v>
      </c>
      <c r="J3379" t="s">
        <v>86</v>
      </c>
      <c r="K3379" t="s">
        <v>44</v>
      </c>
      <c r="L3379">
        <v>11111.4</v>
      </c>
      <c r="M3379" s="1">
        <v>43524</v>
      </c>
      <c r="N3379" t="s">
        <v>45</v>
      </c>
      <c r="O3379" t="s">
        <v>44</v>
      </c>
      <c r="P3379" t="s">
        <v>47</v>
      </c>
      <c r="Q3379" s="1">
        <v>43852</v>
      </c>
      <c r="R3379" t="s">
        <v>48</v>
      </c>
      <c r="S3379" t="s">
        <v>94</v>
      </c>
      <c r="T3379" t="s">
        <v>95</v>
      </c>
      <c r="U3379" t="s">
        <v>85</v>
      </c>
      <c r="V3379">
        <v>4500000</v>
      </c>
      <c r="W3379">
        <v>300000</v>
      </c>
      <c r="X3379" s="1">
        <v>43767</v>
      </c>
      <c r="Y3379" t="s">
        <v>51</v>
      </c>
      <c r="Z3379" t="s">
        <v>43</v>
      </c>
      <c r="AA3379" t="s">
        <v>86</v>
      </c>
      <c r="AB3379" t="s">
        <v>89</v>
      </c>
      <c r="AC3379" t="s">
        <v>90</v>
      </c>
      <c r="AF3379" t="s">
        <v>91</v>
      </c>
      <c r="AG3379" s="1">
        <v>43852</v>
      </c>
      <c r="AH3379" t="s">
        <v>85</v>
      </c>
      <c r="AI3379" t="s">
        <v>92</v>
      </c>
      <c r="AJ3379">
        <v>19888</v>
      </c>
      <c r="AK3379">
        <v>128777</v>
      </c>
      <c r="AL3379">
        <v>198882</v>
      </c>
    </row>
    <row r="3380" spans="1:38" x14ac:dyDescent="0.25">
      <c r="A3380" t="s">
        <v>217</v>
      </c>
      <c r="B3380">
        <v>54445288</v>
      </c>
      <c r="C3380" t="s">
        <v>40</v>
      </c>
      <c r="D3380" s="1">
        <v>43524</v>
      </c>
      <c r="E3380" s="1">
        <v>43888</v>
      </c>
      <c r="F3380" t="s">
        <v>84</v>
      </c>
      <c r="G3380">
        <v>10</v>
      </c>
      <c r="H3380" t="s">
        <v>85</v>
      </c>
      <c r="I3380" t="s">
        <v>43</v>
      </c>
      <c r="J3380" t="s">
        <v>86</v>
      </c>
      <c r="K3380" t="s">
        <v>44</v>
      </c>
      <c r="L3380">
        <v>11111.4</v>
      </c>
      <c r="M3380" s="1">
        <v>43524</v>
      </c>
      <c r="N3380" t="s">
        <v>45</v>
      </c>
      <c r="O3380" t="s">
        <v>44</v>
      </c>
      <c r="P3380" t="s">
        <v>47</v>
      </c>
      <c r="Q3380" s="1">
        <v>43852</v>
      </c>
      <c r="R3380" t="s">
        <v>48</v>
      </c>
      <c r="S3380" t="s">
        <v>94</v>
      </c>
      <c r="T3380" t="s">
        <v>95</v>
      </c>
      <c r="U3380" t="s">
        <v>85</v>
      </c>
      <c r="V3380">
        <v>4500000</v>
      </c>
      <c r="W3380">
        <v>300000</v>
      </c>
      <c r="X3380" s="1">
        <v>43767</v>
      </c>
      <c r="Y3380" t="s">
        <v>51</v>
      </c>
      <c r="Z3380" t="s">
        <v>43</v>
      </c>
      <c r="AA3380" t="s">
        <v>86</v>
      </c>
      <c r="AB3380" t="s">
        <v>89</v>
      </c>
      <c r="AC3380" t="s">
        <v>90</v>
      </c>
      <c r="AF3380" t="s">
        <v>93</v>
      </c>
      <c r="AG3380" s="1">
        <v>43843</v>
      </c>
      <c r="AH3380" t="s">
        <v>85</v>
      </c>
      <c r="AI3380" t="s">
        <v>92</v>
      </c>
      <c r="AJ3380">
        <v>19888</v>
      </c>
      <c r="AK3380">
        <v>128777</v>
      </c>
      <c r="AL3380">
        <v>198882</v>
      </c>
    </row>
    <row r="3381" spans="1:38" x14ac:dyDescent="0.25">
      <c r="A3381" t="s">
        <v>217</v>
      </c>
      <c r="B3381">
        <v>54445288</v>
      </c>
      <c r="C3381" t="s">
        <v>40</v>
      </c>
      <c r="D3381" s="1">
        <v>43524</v>
      </c>
      <c r="E3381" s="1">
        <v>43888</v>
      </c>
      <c r="F3381" t="s">
        <v>84</v>
      </c>
      <c r="G3381">
        <v>10</v>
      </c>
      <c r="H3381" t="s">
        <v>85</v>
      </c>
      <c r="I3381" t="s">
        <v>43</v>
      </c>
      <c r="J3381" t="s">
        <v>86</v>
      </c>
      <c r="K3381" t="s">
        <v>44</v>
      </c>
      <c r="L3381">
        <v>11111.4</v>
      </c>
      <c r="M3381" s="1">
        <v>43524</v>
      </c>
      <c r="N3381" t="s">
        <v>45</v>
      </c>
      <c r="O3381" t="s">
        <v>44</v>
      </c>
      <c r="P3381" t="s">
        <v>47</v>
      </c>
      <c r="Q3381" s="1">
        <v>43852</v>
      </c>
      <c r="R3381" t="s">
        <v>48</v>
      </c>
      <c r="S3381" t="s">
        <v>96</v>
      </c>
      <c r="T3381" t="s">
        <v>97</v>
      </c>
      <c r="U3381" t="s">
        <v>85</v>
      </c>
      <c r="V3381">
        <v>600000</v>
      </c>
      <c r="W3381">
        <v>100000</v>
      </c>
      <c r="X3381" s="1">
        <v>43799</v>
      </c>
      <c r="Y3381" t="s">
        <v>51</v>
      </c>
      <c r="Z3381" t="s">
        <v>43</v>
      </c>
      <c r="AA3381" t="s">
        <v>98</v>
      </c>
      <c r="AB3381" t="s">
        <v>89</v>
      </c>
      <c r="AC3381" t="s">
        <v>90</v>
      </c>
      <c r="AF3381" t="s">
        <v>91</v>
      </c>
      <c r="AG3381" s="1">
        <v>43852</v>
      </c>
      <c r="AH3381" t="s">
        <v>85</v>
      </c>
      <c r="AI3381" t="s">
        <v>92</v>
      </c>
      <c r="AJ3381">
        <v>19888</v>
      </c>
      <c r="AK3381">
        <v>128777</v>
      </c>
      <c r="AL3381">
        <v>198882</v>
      </c>
    </row>
    <row r="3382" spans="1:38" x14ac:dyDescent="0.25">
      <c r="A3382" t="s">
        <v>217</v>
      </c>
      <c r="B3382">
        <v>54445288</v>
      </c>
      <c r="C3382" t="s">
        <v>40</v>
      </c>
      <c r="D3382" s="1">
        <v>43524</v>
      </c>
      <c r="E3382" s="1">
        <v>43888</v>
      </c>
      <c r="F3382" t="s">
        <v>84</v>
      </c>
      <c r="G3382">
        <v>10</v>
      </c>
      <c r="H3382" t="s">
        <v>85</v>
      </c>
      <c r="I3382" t="s">
        <v>43</v>
      </c>
      <c r="J3382" t="s">
        <v>86</v>
      </c>
      <c r="K3382" t="s">
        <v>44</v>
      </c>
      <c r="L3382">
        <v>11111.4</v>
      </c>
      <c r="M3382" s="1">
        <v>43524</v>
      </c>
      <c r="N3382" t="s">
        <v>45</v>
      </c>
      <c r="O3382" t="s">
        <v>44</v>
      </c>
      <c r="P3382" t="s">
        <v>47</v>
      </c>
      <c r="Q3382" s="1">
        <v>43852</v>
      </c>
      <c r="R3382" t="s">
        <v>48</v>
      </c>
      <c r="S3382" t="s">
        <v>96</v>
      </c>
      <c r="T3382" t="s">
        <v>97</v>
      </c>
      <c r="U3382" t="s">
        <v>85</v>
      </c>
      <c r="V3382">
        <v>600000</v>
      </c>
      <c r="W3382">
        <v>100000</v>
      </c>
      <c r="X3382" s="1">
        <v>43799</v>
      </c>
      <c r="Y3382" t="s">
        <v>51</v>
      </c>
      <c r="Z3382" t="s">
        <v>43</v>
      </c>
      <c r="AA3382" t="s">
        <v>98</v>
      </c>
      <c r="AB3382" t="s">
        <v>89</v>
      </c>
      <c r="AC3382" t="s">
        <v>90</v>
      </c>
      <c r="AF3382" t="s">
        <v>93</v>
      </c>
      <c r="AG3382" s="1">
        <v>43843</v>
      </c>
      <c r="AH3382" t="s">
        <v>85</v>
      </c>
      <c r="AI3382" t="s">
        <v>92</v>
      </c>
      <c r="AJ3382">
        <v>19888</v>
      </c>
      <c r="AK3382">
        <v>128777</v>
      </c>
      <c r="AL3382">
        <v>198882</v>
      </c>
    </row>
    <row r="3383" spans="1:38" x14ac:dyDescent="0.25">
      <c r="A3383" t="s">
        <v>217</v>
      </c>
      <c r="B3383">
        <v>54445288</v>
      </c>
      <c r="C3383" t="s">
        <v>40</v>
      </c>
      <c r="D3383" s="1">
        <v>43524</v>
      </c>
      <c r="E3383" s="1">
        <v>43888</v>
      </c>
      <c r="F3383" t="s">
        <v>84</v>
      </c>
      <c r="G3383">
        <v>10</v>
      </c>
      <c r="H3383" t="s">
        <v>85</v>
      </c>
      <c r="I3383" t="s">
        <v>43</v>
      </c>
      <c r="J3383" t="s">
        <v>86</v>
      </c>
      <c r="K3383" t="s">
        <v>44</v>
      </c>
      <c r="L3383">
        <v>11111.4</v>
      </c>
      <c r="M3383" s="1">
        <v>43524</v>
      </c>
      <c r="N3383" t="s">
        <v>45</v>
      </c>
      <c r="O3383" t="s">
        <v>44</v>
      </c>
      <c r="P3383" t="s">
        <v>47</v>
      </c>
      <c r="Q3383" s="1">
        <v>43852</v>
      </c>
      <c r="R3383" t="s">
        <v>48</v>
      </c>
      <c r="S3383" t="s">
        <v>99</v>
      </c>
      <c r="T3383" t="s">
        <v>100</v>
      </c>
      <c r="U3383" t="s">
        <v>85</v>
      </c>
      <c r="V3383">
        <v>210000</v>
      </c>
      <c r="W3383">
        <v>35000</v>
      </c>
      <c r="X3383" s="1">
        <v>43799</v>
      </c>
      <c r="Y3383" t="s">
        <v>51</v>
      </c>
      <c r="Z3383" t="s">
        <v>43</v>
      </c>
      <c r="AA3383" t="s">
        <v>98</v>
      </c>
      <c r="AB3383" t="s">
        <v>89</v>
      </c>
      <c r="AC3383" t="s">
        <v>101</v>
      </c>
      <c r="AF3383" t="s">
        <v>91</v>
      </c>
      <c r="AG3383" s="1">
        <v>43852</v>
      </c>
      <c r="AH3383" t="s">
        <v>85</v>
      </c>
      <c r="AI3383" t="s">
        <v>92</v>
      </c>
      <c r="AJ3383">
        <v>19888</v>
      </c>
      <c r="AK3383">
        <v>128777</v>
      </c>
      <c r="AL3383">
        <v>198882</v>
      </c>
    </row>
    <row r="3384" spans="1:38" x14ac:dyDescent="0.25">
      <c r="A3384" t="s">
        <v>217</v>
      </c>
      <c r="B3384">
        <v>54445288</v>
      </c>
      <c r="C3384" t="s">
        <v>40</v>
      </c>
      <c r="D3384" s="1">
        <v>43524</v>
      </c>
      <c r="E3384" s="1">
        <v>43888</v>
      </c>
      <c r="F3384" t="s">
        <v>84</v>
      </c>
      <c r="G3384">
        <v>10</v>
      </c>
      <c r="H3384" t="s">
        <v>85</v>
      </c>
      <c r="I3384" t="s">
        <v>43</v>
      </c>
      <c r="J3384" t="s">
        <v>86</v>
      </c>
      <c r="K3384" t="s">
        <v>44</v>
      </c>
      <c r="L3384">
        <v>11111.4</v>
      </c>
      <c r="M3384" s="1">
        <v>43524</v>
      </c>
      <c r="N3384" t="s">
        <v>45</v>
      </c>
      <c r="O3384" t="s">
        <v>44</v>
      </c>
      <c r="P3384" t="s">
        <v>47</v>
      </c>
      <c r="Q3384" s="1">
        <v>43852</v>
      </c>
      <c r="R3384" t="s">
        <v>48</v>
      </c>
      <c r="S3384" t="s">
        <v>99</v>
      </c>
      <c r="T3384" t="s">
        <v>100</v>
      </c>
      <c r="U3384" t="s">
        <v>85</v>
      </c>
      <c r="V3384">
        <v>210000</v>
      </c>
      <c r="W3384">
        <v>35000</v>
      </c>
      <c r="X3384" s="1">
        <v>43799</v>
      </c>
      <c r="Y3384" t="s">
        <v>51</v>
      </c>
      <c r="Z3384" t="s">
        <v>43</v>
      </c>
      <c r="AA3384" t="s">
        <v>98</v>
      </c>
      <c r="AB3384" t="s">
        <v>89</v>
      </c>
      <c r="AC3384" t="s">
        <v>101</v>
      </c>
      <c r="AF3384" t="s">
        <v>93</v>
      </c>
      <c r="AG3384" s="1">
        <v>43843</v>
      </c>
      <c r="AH3384" t="s">
        <v>85</v>
      </c>
      <c r="AI3384" t="s">
        <v>92</v>
      </c>
      <c r="AJ3384">
        <v>19888</v>
      </c>
      <c r="AK3384">
        <v>128777</v>
      </c>
      <c r="AL3384">
        <v>198882</v>
      </c>
    </row>
    <row r="3385" spans="1:38" x14ac:dyDescent="0.25">
      <c r="A3385" t="s">
        <v>217</v>
      </c>
      <c r="B3385">
        <v>54445288</v>
      </c>
      <c r="C3385" t="s">
        <v>40</v>
      </c>
      <c r="D3385" s="1">
        <v>43524</v>
      </c>
      <c r="E3385" s="1">
        <v>43888</v>
      </c>
      <c r="F3385" t="s">
        <v>84</v>
      </c>
      <c r="G3385">
        <v>10</v>
      </c>
      <c r="H3385" t="s">
        <v>85</v>
      </c>
      <c r="I3385" t="s">
        <v>43</v>
      </c>
      <c r="J3385" t="s">
        <v>86</v>
      </c>
      <c r="K3385" t="s">
        <v>44</v>
      </c>
      <c r="L3385">
        <v>11111.4</v>
      </c>
      <c r="M3385" s="1">
        <v>43524</v>
      </c>
      <c r="N3385" t="s">
        <v>45</v>
      </c>
      <c r="O3385" t="s">
        <v>44</v>
      </c>
      <c r="P3385" t="s">
        <v>47</v>
      </c>
      <c r="Q3385" s="1">
        <v>43852</v>
      </c>
      <c r="R3385" t="s">
        <v>48</v>
      </c>
      <c r="S3385" t="s">
        <v>102</v>
      </c>
      <c r="T3385" t="s">
        <v>103</v>
      </c>
      <c r="U3385" t="s">
        <v>85</v>
      </c>
      <c r="V3385">
        <v>5000000</v>
      </c>
      <c r="W3385">
        <v>250000</v>
      </c>
      <c r="X3385" s="1">
        <v>43799</v>
      </c>
      <c r="Y3385" t="s">
        <v>51</v>
      </c>
      <c r="Z3385" t="s">
        <v>43</v>
      </c>
      <c r="AA3385" t="s">
        <v>86</v>
      </c>
      <c r="AB3385" t="s">
        <v>89</v>
      </c>
      <c r="AC3385" t="s">
        <v>90</v>
      </c>
      <c r="AF3385" t="s">
        <v>91</v>
      </c>
      <c r="AG3385" s="1">
        <v>43852</v>
      </c>
      <c r="AH3385" t="s">
        <v>85</v>
      </c>
      <c r="AI3385" t="s">
        <v>92</v>
      </c>
      <c r="AJ3385">
        <v>19888</v>
      </c>
      <c r="AK3385">
        <v>128777</v>
      </c>
      <c r="AL3385">
        <v>198882</v>
      </c>
    </row>
    <row r="3386" spans="1:38" x14ac:dyDescent="0.25">
      <c r="A3386" t="s">
        <v>217</v>
      </c>
      <c r="B3386">
        <v>54445288</v>
      </c>
      <c r="C3386" t="s">
        <v>40</v>
      </c>
      <c r="D3386" s="1">
        <v>43524</v>
      </c>
      <c r="E3386" s="1">
        <v>43888</v>
      </c>
      <c r="F3386" t="s">
        <v>84</v>
      </c>
      <c r="G3386">
        <v>10</v>
      </c>
      <c r="H3386" t="s">
        <v>85</v>
      </c>
      <c r="I3386" t="s">
        <v>43</v>
      </c>
      <c r="J3386" t="s">
        <v>86</v>
      </c>
      <c r="K3386" t="s">
        <v>44</v>
      </c>
      <c r="L3386">
        <v>11111.4</v>
      </c>
      <c r="M3386" s="1">
        <v>43524</v>
      </c>
      <c r="N3386" t="s">
        <v>45</v>
      </c>
      <c r="O3386" t="s">
        <v>44</v>
      </c>
      <c r="P3386" t="s">
        <v>47</v>
      </c>
      <c r="Q3386" s="1">
        <v>43852</v>
      </c>
      <c r="R3386" t="s">
        <v>48</v>
      </c>
      <c r="S3386" t="s">
        <v>102</v>
      </c>
      <c r="T3386" t="s">
        <v>103</v>
      </c>
      <c r="U3386" t="s">
        <v>85</v>
      </c>
      <c r="V3386">
        <v>5000000</v>
      </c>
      <c r="W3386">
        <v>250000</v>
      </c>
      <c r="X3386" s="1">
        <v>43799</v>
      </c>
      <c r="Y3386" t="s">
        <v>51</v>
      </c>
      <c r="Z3386" t="s">
        <v>43</v>
      </c>
      <c r="AA3386" t="s">
        <v>86</v>
      </c>
      <c r="AB3386" t="s">
        <v>89</v>
      </c>
      <c r="AC3386" t="s">
        <v>90</v>
      </c>
      <c r="AF3386" t="s">
        <v>93</v>
      </c>
      <c r="AG3386" s="1">
        <v>43843</v>
      </c>
      <c r="AH3386" t="s">
        <v>85</v>
      </c>
      <c r="AI3386" t="s">
        <v>92</v>
      </c>
      <c r="AJ3386">
        <v>19888</v>
      </c>
      <c r="AK3386">
        <v>128777</v>
      </c>
      <c r="AL3386">
        <v>198882</v>
      </c>
    </row>
    <row r="3387" spans="1:38" x14ac:dyDescent="0.25">
      <c r="A3387" t="s">
        <v>220</v>
      </c>
      <c r="B3387" t="s">
        <v>678</v>
      </c>
      <c r="C3387" t="s">
        <v>40</v>
      </c>
      <c r="D3387" s="1">
        <v>43524</v>
      </c>
      <c r="E3387" s="1">
        <v>43888</v>
      </c>
      <c r="F3387" t="s">
        <v>84</v>
      </c>
      <c r="G3387">
        <v>10</v>
      </c>
      <c r="H3387" t="s">
        <v>85</v>
      </c>
      <c r="I3387" t="s">
        <v>43</v>
      </c>
      <c r="J3387" t="s">
        <v>86</v>
      </c>
      <c r="K3387" t="s">
        <v>44</v>
      </c>
      <c r="L3387">
        <v>329250</v>
      </c>
      <c r="M3387" s="1">
        <v>43524</v>
      </c>
      <c r="N3387" t="s">
        <v>45</v>
      </c>
      <c r="O3387" t="s">
        <v>106</v>
      </c>
      <c r="P3387" t="s">
        <v>47</v>
      </c>
      <c r="Q3387" s="1">
        <v>43852</v>
      </c>
      <c r="R3387" t="s">
        <v>48</v>
      </c>
      <c r="S3387" t="s">
        <v>87</v>
      </c>
      <c r="T3387" t="s">
        <v>88</v>
      </c>
      <c r="U3387" t="s">
        <v>85</v>
      </c>
      <c r="V3387">
        <v>1400000</v>
      </c>
      <c r="W3387">
        <v>100000</v>
      </c>
      <c r="X3387" s="1">
        <v>43808</v>
      </c>
      <c r="Y3387" t="s">
        <v>51</v>
      </c>
      <c r="Z3387" t="s">
        <v>43</v>
      </c>
      <c r="AA3387" t="s">
        <v>86</v>
      </c>
      <c r="AB3387" t="s">
        <v>89</v>
      </c>
      <c r="AC3387" t="s">
        <v>90</v>
      </c>
      <c r="AF3387" t="s">
        <v>91</v>
      </c>
      <c r="AG3387" s="1">
        <v>43852</v>
      </c>
      <c r="AH3387" t="s">
        <v>85</v>
      </c>
      <c r="AI3387" t="s">
        <v>92</v>
      </c>
      <c r="AJ3387">
        <v>19888</v>
      </c>
      <c r="AK3387">
        <v>128777</v>
      </c>
      <c r="AL3387">
        <v>198882</v>
      </c>
    </row>
    <row r="3388" spans="1:38" x14ac:dyDescent="0.25">
      <c r="A3388" t="s">
        <v>220</v>
      </c>
      <c r="B3388" t="s">
        <v>678</v>
      </c>
      <c r="C3388" t="s">
        <v>40</v>
      </c>
      <c r="D3388" s="1">
        <v>43524</v>
      </c>
      <c r="E3388" s="1">
        <v>43888</v>
      </c>
      <c r="F3388" t="s">
        <v>84</v>
      </c>
      <c r="G3388">
        <v>10</v>
      </c>
      <c r="H3388" t="s">
        <v>85</v>
      </c>
      <c r="I3388" t="s">
        <v>43</v>
      </c>
      <c r="J3388" t="s">
        <v>86</v>
      </c>
      <c r="K3388" t="s">
        <v>44</v>
      </c>
      <c r="L3388">
        <v>329250</v>
      </c>
      <c r="M3388" s="1">
        <v>43524</v>
      </c>
      <c r="N3388" t="s">
        <v>45</v>
      </c>
      <c r="O3388" t="s">
        <v>106</v>
      </c>
      <c r="P3388" t="s">
        <v>47</v>
      </c>
      <c r="Q3388" s="1">
        <v>43852</v>
      </c>
      <c r="R3388" t="s">
        <v>48</v>
      </c>
      <c r="S3388" t="s">
        <v>87</v>
      </c>
      <c r="T3388" t="s">
        <v>88</v>
      </c>
      <c r="U3388" t="s">
        <v>85</v>
      </c>
      <c r="V3388">
        <v>1400000</v>
      </c>
      <c r="W3388">
        <v>100000</v>
      </c>
      <c r="X3388" s="1">
        <v>43808</v>
      </c>
      <c r="Y3388" t="s">
        <v>51</v>
      </c>
      <c r="Z3388" t="s">
        <v>43</v>
      </c>
      <c r="AA3388" t="s">
        <v>86</v>
      </c>
      <c r="AB3388" t="s">
        <v>89</v>
      </c>
      <c r="AC3388" t="s">
        <v>90</v>
      </c>
      <c r="AF3388" t="s">
        <v>93</v>
      </c>
      <c r="AG3388" s="1">
        <v>43843</v>
      </c>
      <c r="AH3388" t="s">
        <v>85</v>
      </c>
      <c r="AI3388" t="s">
        <v>92</v>
      </c>
      <c r="AJ3388">
        <v>19888</v>
      </c>
      <c r="AK3388">
        <v>128777</v>
      </c>
      <c r="AL3388">
        <v>198882</v>
      </c>
    </row>
    <row r="3389" spans="1:38" x14ac:dyDescent="0.25">
      <c r="A3389" t="s">
        <v>220</v>
      </c>
      <c r="B3389" t="s">
        <v>678</v>
      </c>
      <c r="C3389" t="s">
        <v>40</v>
      </c>
      <c r="D3389" s="1">
        <v>43524</v>
      </c>
      <c r="E3389" s="1">
        <v>43888</v>
      </c>
      <c r="F3389" t="s">
        <v>84</v>
      </c>
      <c r="G3389">
        <v>10</v>
      </c>
      <c r="H3389" t="s">
        <v>85</v>
      </c>
      <c r="I3389" t="s">
        <v>43</v>
      </c>
      <c r="J3389" t="s">
        <v>86</v>
      </c>
      <c r="K3389" t="s">
        <v>44</v>
      </c>
      <c r="L3389">
        <v>329250</v>
      </c>
      <c r="M3389" s="1">
        <v>43524</v>
      </c>
      <c r="N3389" t="s">
        <v>45</v>
      </c>
      <c r="O3389" t="s">
        <v>106</v>
      </c>
      <c r="P3389" t="s">
        <v>47</v>
      </c>
      <c r="Q3389" s="1">
        <v>43852</v>
      </c>
      <c r="R3389" t="s">
        <v>48</v>
      </c>
      <c r="S3389" t="s">
        <v>94</v>
      </c>
      <c r="T3389" t="s">
        <v>95</v>
      </c>
      <c r="U3389" t="s">
        <v>85</v>
      </c>
      <c r="V3389">
        <v>4500000</v>
      </c>
      <c r="W3389">
        <v>300000</v>
      </c>
      <c r="X3389" s="1">
        <v>43767</v>
      </c>
      <c r="Y3389" t="s">
        <v>51</v>
      </c>
      <c r="Z3389" t="s">
        <v>43</v>
      </c>
      <c r="AA3389" t="s">
        <v>86</v>
      </c>
      <c r="AB3389" t="s">
        <v>89</v>
      </c>
      <c r="AC3389" t="s">
        <v>90</v>
      </c>
      <c r="AF3389" t="s">
        <v>91</v>
      </c>
      <c r="AG3389" s="1">
        <v>43852</v>
      </c>
      <c r="AH3389" t="s">
        <v>85</v>
      </c>
      <c r="AI3389" t="s">
        <v>92</v>
      </c>
      <c r="AJ3389">
        <v>19888</v>
      </c>
      <c r="AK3389">
        <v>128777</v>
      </c>
      <c r="AL3389">
        <v>198882</v>
      </c>
    </row>
    <row r="3390" spans="1:38" x14ac:dyDescent="0.25">
      <c r="A3390" t="s">
        <v>220</v>
      </c>
      <c r="B3390" t="s">
        <v>678</v>
      </c>
      <c r="C3390" t="s">
        <v>40</v>
      </c>
      <c r="D3390" s="1">
        <v>43524</v>
      </c>
      <c r="E3390" s="1">
        <v>43888</v>
      </c>
      <c r="F3390" t="s">
        <v>84</v>
      </c>
      <c r="G3390">
        <v>10</v>
      </c>
      <c r="H3390" t="s">
        <v>85</v>
      </c>
      <c r="I3390" t="s">
        <v>43</v>
      </c>
      <c r="J3390" t="s">
        <v>86</v>
      </c>
      <c r="K3390" t="s">
        <v>44</v>
      </c>
      <c r="L3390">
        <v>329250</v>
      </c>
      <c r="M3390" s="1">
        <v>43524</v>
      </c>
      <c r="N3390" t="s">
        <v>45</v>
      </c>
      <c r="O3390" t="s">
        <v>106</v>
      </c>
      <c r="P3390" t="s">
        <v>47</v>
      </c>
      <c r="Q3390" s="1">
        <v>43852</v>
      </c>
      <c r="R3390" t="s">
        <v>48</v>
      </c>
      <c r="S3390" t="s">
        <v>94</v>
      </c>
      <c r="T3390" t="s">
        <v>95</v>
      </c>
      <c r="U3390" t="s">
        <v>85</v>
      </c>
      <c r="V3390">
        <v>4500000</v>
      </c>
      <c r="W3390">
        <v>300000</v>
      </c>
      <c r="X3390" s="1">
        <v>43767</v>
      </c>
      <c r="Y3390" t="s">
        <v>51</v>
      </c>
      <c r="Z3390" t="s">
        <v>43</v>
      </c>
      <c r="AA3390" t="s">
        <v>86</v>
      </c>
      <c r="AB3390" t="s">
        <v>89</v>
      </c>
      <c r="AC3390" t="s">
        <v>90</v>
      </c>
      <c r="AF3390" t="s">
        <v>93</v>
      </c>
      <c r="AG3390" s="1">
        <v>43843</v>
      </c>
      <c r="AH3390" t="s">
        <v>85</v>
      </c>
      <c r="AI3390" t="s">
        <v>92</v>
      </c>
      <c r="AJ3390">
        <v>19888</v>
      </c>
      <c r="AK3390">
        <v>128777</v>
      </c>
      <c r="AL3390">
        <v>198882</v>
      </c>
    </row>
    <row r="3391" spans="1:38" x14ac:dyDescent="0.25">
      <c r="A3391" t="s">
        <v>220</v>
      </c>
      <c r="B3391" t="s">
        <v>678</v>
      </c>
      <c r="C3391" t="s">
        <v>40</v>
      </c>
      <c r="D3391" s="1">
        <v>43524</v>
      </c>
      <c r="E3391" s="1">
        <v>43888</v>
      </c>
      <c r="F3391" t="s">
        <v>84</v>
      </c>
      <c r="G3391">
        <v>10</v>
      </c>
      <c r="H3391" t="s">
        <v>85</v>
      </c>
      <c r="I3391" t="s">
        <v>43</v>
      </c>
      <c r="J3391" t="s">
        <v>86</v>
      </c>
      <c r="K3391" t="s">
        <v>44</v>
      </c>
      <c r="L3391">
        <v>329250</v>
      </c>
      <c r="M3391" s="1">
        <v>43524</v>
      </c>
      <c r="N3391" t="s">
        <v>45</v>
      </c>
      <c r="O3391" t="s">
        <v>106</v>
      </c>
      <c r="P3391" t="s">
        <v>47</v>
      </c>
      <c r="Q3391" s="1">
        <v>43852</v>
      </c>
      <c r="R3391" t="s">
        <v>48</v>
      </c>
      <c r="S3391" t="s">
        <v>96</v>
      </c>
      <c r="T3391" t="s">
        <v>97</v>
      </c>
      <c r="U3391" t="s">
        <v>85</v>
      </c>
      <c r="V3391">
        <v>600000</v>
      </c>
      <c r="W3391">
        <v>100000</v>
      </c>
      <c r="X3391" s="1">
        <v>43799</v>
      </c>
      <c r="Y3391" t="s">
        <v>51</v>
      </c>
      <c r="Z3391" t="s">
        <v>43</v>
      </c>
      <c r="AA3391" t="s">
        <v>98</v>
      </c>
      <c r="AB3391" t="s">
        <v>89</v>
      </c>
      <c r="AC3391" t="s">
        <v>90</v>
      </c>
      <c r="AF3391" t="s">
        <v>91</v>
      </c>
      <c r="AG3391" s="1">
        <v>43852</v>
      </c>
      <c r="AH3391" t="s">
        <v>85</v>
      </c>
      <c r="AI3391" t="s">
        <v>92</v>
      </c>
      <c r="AJ3391">
        <v>19888</v>
      </c>
      <c r="AK3391">
        <v>128777</v>
      </c>
      <c r="AL3391">
        <v>198882</v>
      </c>
    </row>
    <row r="3392" spans="1:38" x14ac:dyDescent="0.25">
      <c r="A3392" t="s">
        <v>220</v>
      </c>
      <c r="B3392" t="s">
        <v>678</v>
      </c>
      <c r="C3392" t="s">
        <v>40</v>
      </c>
      <c r="D3392" s="1">
        <v>43524</v>
      </c>
      <c r="E3392" s="1">
        <v>43888</v>
      </c>
      <c r="F3392" t="s">
        <v>84</v>
      </c>
      <c r="G3392">
        <v>10</v>
      </c>
      <c r="H3392" t="s">
        <v>85</v>
      </c>
      <c r="I3392" t="s">
        <v>43</v>
      </c>
      <c r="J3392" t="s">
        <v>86</v>
      </c>
      <c r="K3392" t="s">
        <v>44</v>
      </c>
      <c r="L3392">
        <v>329250</v>
      </c>
      <c r="M3392" s="1">
        <v>43524</v>
      </c>
      <c r="N3392" t="s">
        <v>45</v>
      </c>
      <c r="O3392" t="s">
        <v>106</v>
      </c>
      <c r="P3392" t="s">
        <v>47</v>
      </c>
      <c r="Q3392" s="1">
        <v>43852</v>
      </c>
      <c r="R3392" t="s">
        <v>48</v>
      </c>
      <c r="S3392" t="s">
        <v>96</v>
      </c>
      <c r="T3392" t="s">
        <v>97</v>
      </c>
      <c r="U3392" t="s">
        <v>85</v>
      </c>
      <c r="V3392">
        <v>600000</v>
      </c>
      <c r="W3392">
        <v>100000</v>
      </c>
      <c r="X3392" s="1">
        <v>43799</v>
      </c>
      <c r="Y3392" t="s">
        <v>51</v>
      </c>
      <c r="Z3392" t="s">
        <v>43</v>
      </c>
      <c r="AA3392" t="s">
        <v>98</v>
      </c>
      <c r="AB3392" t="s">
        <v>89</v>
      </c>
      <c r="AC3392" t="s">
        <v>90</v>
      </c>
      <c r="AF3392" t="s">
        <v>93</v>
      </c>
      <c r="AG3392" s="1">
        <v>43843</v>
      </c>
      <c r="AH3392" t="s">
        <v>85</v>
      </c>
      <c r="AI3392" t="s">
        <v>92</v>
      </c>
      <c r="AJ3392">
        <v>19888</v>
      </c>
      <c r="AK3392">
        <v>128777</v>
      </c>
      <c r="AL3392">
        <v>198882</v>
      </c>
    </row>
    <row r="3393" spans="1:38" x14ac:dyDescent="0.25">
      <c r="A3393" t="s">
        <v>220</v>
      </c>
      <c r="B3393" t="s">
        <v>678</v>
      </c>
      <c r="C3393" t="s">
        <v>40</v>
      </c>
      <c r="D3393" s="1">
        <v>43524</v>
      </c>
      <c r="E3393" s="1">
        <v>43888</v>
      </c>
      <c r="F3393" t="s">
        <v>84</v>
      </c>
      <c r="G3393">
        <v>10</v>
      </c>
      <c r="H3393" t="s">
        <v>85</v>
      </c>
      <c r="I3393" t="s">
        <v>43</v>
      </c>
      <c r="J3393" t="s">
        <v>86</v>
      </c>
      <c r="K3393" t="s">
        <v>44</v>
      </c>
      <c r="L3393">
        <v>329250</v>
      </c>
      <c r="M3393" s="1">
        <v>43524</v>
      </c>
      <c r="N3393" t="s">
        <v>45</v>
      </c>
      <c r="O3393" t="s">
        <v>106</v>
      </c>
      <c r="P3393" t="s">
        <v>47</v>
      </c>
      <c r="Q3393" s="1">
        <v>43852</v>
      </c>
      <c r="R3393" t="s">
        <v>48</v>
      </c>
      <c r="S3393" t="s">
        <v>99</v>
      </c>
      <c r="T3393" t="s">
        <v>100</v>
      </c>
      <c r="U3393" t="s">
        <v>85</v>
      </c>
      <c r="V3393">
        <v>210000</v>
      </c>
      <c r="W3393">
        <v>35000</v>
      </c>
      <c r="X3393" s="1">
        <v>43799</v>
      </c>
      <c r="Y3393" t="s">
        <v>51</v>
      </c>
      <c r="Z3393" t="s">
        <v>43</v>
      </c>
      <c r="AA3393" t="s">
        <v>98</v>
      </c>
      <c r="AB3393" t="s">
        <v>89</v>
      </c>
      <c r="AC3393" t="s">
        <v>101</v>
      </c>
      <c r="AF3393" t="s">
        <v>91</v>
      </c>
      <c r="AG3393" s="1">
        <v>43852</v>
      </c>
      <c r="AH3393" t="s">
        <v>85</v>
      </c>
      <c r="AI3393" t="s">
        <v>92</v>
      </c>
      <c r="AJ3393">
        <v>19888</v>
      </c>
      <c r="AK3393">
        <v>128777</v>
      </c>
      <c r="AL3393">
        <v>198882</v>
      </c>
    </row>
    <row r="3394" spans="1:38" x14ac:dyDescent="0.25">
      <c r="A3394" t="s">
        <v>220</v>
      </c>
      <c r="B3394" t="s">
        <v>678</v>
      </c>
      <c r="C3394" t="s">
        <v>40</v>
      </c>
      <c r="D3394" s="1">
        <v>43524</v>
      </c>
      <c r="E3394" s="1">
        <v>43888</v>
      </c>
      <c r="F3394" t="s">
        <v>84</v>
      </c>
      <c r="G3394">
        <v>10</v>
      </c>
      <c r="H3394" t="s">
        <v>85</v>
      </c>
      <c r="I3394" t="s">
        <v>43</v>
      </c>
      <c r="J3394" t="s">
        <v>86</v>
      </c>
      <c r="K3394" t="s">
        <v>44</v>
      </c>
      <c r="L3394">
        <v>329250</v>
      </c>
      <c r="M3394" s="1">
        <v>43524</v>
      </c>
      <c r="N3394" t="s">
        <v>45</v>
      </c>
      <c r="O3394" t="s">
        <v>106</v>
      </c>
      <c r="P3394" t="s">
        <v>47</v>
      </c>
      <c r="Q3394" s="1">
        <v>43852</v>
      </c>
      <c r="R3394" t="s">
        <v>48</v>
      </c>
      <c r="S3394" t="s">
        <v>99</v>
      </c>
      <c r="T3394" t="s">
        <v>100</v>
      </c>
      <c r="U3394" t="s">
        <v>85</v>
      </c>
      <c r="V3394">
        <v>210000</v>
      </c>
      <c r="W3394">
        <v>35000</v>
      </c>
      <c r="X3394" s="1">
        <v>43799</v>
      </c>
      <c r="Y3394" t="s">
        <v>51</v>
      </c>
      <c r="Z3394" t="s">
        <v>43</v>
      </c>
      <c r="AA3394" t="s">
        <v>98</v>
      </c>
      <c r="AB3394" t="s">
        <v>89</v>
      </c>
      <c r="AC3394" t="s">
        <v>101</v>
      </c>
      <c r="AF3394" t="s">
        <v>93</v>
      </c>
      <c r="AG3394" s="1">
        <v>43843</v>
      </c>
      <c r="AH3394" t="s">
        <v>85</v>
      </c>
      <c r="AI3394" t="s">
        <v>92</v>
      </c>
      <c r="AJ3394">
        <v>19888</v>
      </c>
      <c r="AK3394">
        <v>128777</v>
      </c>
      <c r="AL3394">
        <v>198882</v>
      </c>
    </row>
    <row r="3395" spans="1:38" x14ac:dyDescent="0.25">
      <c r="A3395" t="s">
        <v>220</v>
      </c>
      <c r="B3395" t="s">
        <v>678</v>
      </c>
      <c r="C3395" t="s">
        <v>40</v>
      </c>
      <c r="D3395" s="1">
        <v>43524</v>
      </c>
      <c r="E3395" s="1">
        <v>43888</v>
      </c>
      <c r="F3395" t="s">
        <v>84</v>
      </c>
      <c r="G3395">
        <v>10</v>
      </c>
      <c r="H3395" t="s">
        <v>85</v>
      </c>
      <c r="I3395" t="s">
        <v>43</v>
      </c>
      <c r="J3395" t="s">
        <v>86</v>
      </c>
      <c r="K3395" t="s">
        <v>44</v>
      </c>
      <c r="L3395">
        <v>329250</v>
      </c>
      <c r="M3395" s="1">
        <v>43524</v>
      </c>
      <c r="N3395" t="s">
        <v>45</v>
      </c>
      <c r="O3395" t="s">
        <v>106</v>
      </c>
      <c r="P3395" t="s">
        <v>47</v>
      </c>
      <c r="Q3395" s="1">
        <v>43852</v>
      </c>
      <c r="R3395" t="s">
        <v>48</v>
      </c>
      <c r="S3395" t="s">
        <v>102</v>
      </c>
      <c r="T3395" t="s">
        <v>103</v>
      </c>
      <c r="U3395" t="s">
        <v>85</v>
      </c>
      <c r="V3395">
        <v>5000000</v>
      </c>
      <c r="W3395">
        <v>250000</v>
      </c>
      <c r="X3395" s="1">
        <v>43799</v>
      </c>
      <c r="Y3395" t="s">
        <v>51</v>
      </c>
      <c r="Z3395" t="s">
        <v>43</v>
      </c>
      <c r="AA3395" t="s">
        <v>86</v>
      </c>
      <c r="AB3395" t="s">
        <v>89</v>
      </c>
      <c r="AC3395" t="s">
        <v>90</v>
      </c>
      <c r="AF3395" t="s">
        <v>91</v>
      </c>
      <c r="AG3395" s="1">
        <v>43852</v>
      </c>
      <c r="AH3395" t="s">
        <v>85</v>
      </c>
      <c r="AI3395" t="s">
        <v>92</v>
      </c>
      <c r="AJ3395">
        <v>19888</v>
      </c>
      <c r="AK3395">
        <v>128777</v>
      </c>
      <c r="AL3395">
        <v>198882</v>
      </c>
    </row>
    <row r="3396" spans="1:38" x14ac:dyDescent="0.25">
      <c r="A3396" t="s">
        <v>220</v>
      </c>
      <c r="B3396" t="s">
        <v>678</v>
      </c>
      <c r="C3396" t="s">
        <v>40</v>
      </c>
      <c r="D3396" s="1">
        <v>43524</v>
      </c>
      <c r="E3396" s="1">
        <v>43888</v>
      </c>
      <c r="F3396" t="s">
        <v>84</v>
      </c>
      <c r="G3396">
        <v>10</v>
      </c>
      <c r="H3396" t="s">
        <v>85</v>
      </c>
      <c r="I3396" t="s">
        <v>43</v>
      </c>
      <c r="J3396" t="s">
        <v>86</v>
      </c>
      <c r="K3396" t="s">
        <v>44</v>
      </c>
      <c r="L3396">
        <v>329250</v>
      </c>
      <c r="M3396" s="1">
        <v>43524</v>
      </c>
      <c r="N3396" t="s">
        <v>45</v>
      </c>
      <c r="O3396" t="s">
        <v>106</v>
      </c>
      <c r="P3396" t="s">
        <v>47</v>
      </c>
      <c r="Q3396" s="1">
        <v>43852</v>
      </c>
      <c r="R3396" t="s">
        <v>48</v>
      </c>
      <c r="S3396" t="s">
        <v>102</v>
      </c>
      <c r="T3396" t="s">
        <v>103</v>
      </c>
      <c r="U3396" t="s">
        <v>85</v>
      </c>
      <c r="V3396">
        <v>5000000</v>
      </c>
      <c r="W3396">
        <v>250000</v>
      </c>
      <c r="X3396" s="1">
        <v>43799</v>
      </c>
      <c r="Y3396" t="s">
        <v>51</v>
      </c>
      <c r="Z3396" t="s">
        <v>43</v>
      </c>
      <c r="AA3396" t="s">
        <v>86</v>
      </c>
      <c r="AB3396" t="s">
        <v>89</v>
      </c>
      <c r="AC3396" t="s">
        <v>90</v>
      </c>
      <c r="AF3396" t="s">
        <v>93</v>
      </c>
      <c r="AG3396" s="1">
        <v>43843</v>
      </c>
      <c r="AH3396" t="s">
        <v>85</v>
      </c>
      <c r="AI3396" t="s">
        <v>92</v>
      </c>
      <c r="AJ3396">
        <v>19888</v>
      </c>
      <c r="AK3396">
        <v>128777</v>
      </c>
      <c r="AL3396">
        <v>198882</v>
      </c>
    </row>
    <row r="3397" spans="1:38" x14ac:dyDescent="0.25">
      <c r="A3397" t="s">
        <v>221</v>
      </c>
      <c r="B3397" t="s">
        <v>678</v>
      </c>
      <c r="C3397" t="s">
        <v>40</v>
      </c>
      <c r="D3397" s="1">
        <v>43524</v>
      </c>
      <c r="E3397" s="1">
        <v>43888</v>
      </c>
      <c r="F3397" t="s">
        <v>84</v>
      </c>
      <c r="G3397">
        <v>10</v>
      </c>
      <c r="H3397" t="s">
        <v>85</v>
      </c>
      <c r="I3397" t="s">
        <v>43</v>
      </c>
      <c r="J3397" t="s">
        <v>86</v>
      </c>
      <c r="K3397" t="s">
        <v>44</v>
      </c>
      <c r="L3397">
        <v>10772.33</v>
      </c>
      <c r="M3397" s="1">
        <v>43538</v>
      </c>
      <c r="N3397" t="s">
        <v>108</v>
      </c>
      <c r="O3397" t="s">
        <v>106</v>
      </c>
      <c r="P3397" t="s">
        <v>47</v>
      </c>
      <c r="Q3397" s="1">
        <v>43852</v>
      </c>
      <c r="R3397" t="s">
        <v>48</v>
      </c>
      <c r="S3397" t="s">
        <v>87</v>
      </c>
      <c r="T3397" t="s">
        <v>88</v>
      </c>
      <c r="U3397" t="s">
        <v>85</v>
      </c>
      <c r="V3397">
        <v>1400000</v>
      </c>
      <c r="W3397">
        <v>100000</v>
      </c>
      <c r="X3397" s="1">
        <v>43808</v>
      </c>
      <c r="Y3397" t="s">
        <v>51</v>
      </c>
      <c r="Z3397" t="s">
        <v>43</v>
      </c>
      <c r="AA3397" t="s">
        <v>86</v>
      </c>
      <c r="AB3397" t="s">
        <v>89</v>
      </c>
      <c r="AC3397" t="s">
        <v>90</v>
      </c>
      <c r="AF3397" t="s">
        <v>91</v>
      </c>
      <c r="AG3397" s="1">
        <v>43852</v>
      </c>
      <c r="AH3397" t="s">
        <v>85</v>
      </c>
      <c r="AI3397" t="s">
        <v>92</v>
      </c>
      <c r="AJ3397">
        <v>19888</v>
      </c>
      <c r="AK3397">
        <v>128777</v>
      </c>
      <c r="AL3397">
        <v>198882</v>
      </c>
    </row>
    <row r="3398" spans="1:38" x14ac:dyDescent="0.25">
      <c r="A3398" t="s">
        <v>221</v>
      </c>
      <c r="B3398" t="s">
        <v>678</v>
      </c>
      <c r="C3398" t="s">
        <v>40</v>
      </c>
      <c r="D3398" s="1">
        <v>43524</v>
      </c>
      <c r="E3398" s="1">
        <v>43888</v>
      </c>
      <c r="F3398" t="s">
        <v>84</v>
      </c>
      <c r="G3398">
        <v>10</v>
      </c>
      <c r="H3398" t="s">
        <v>85</v>
      </c>
      <c r="I3398" t="s">
        <v>43</v>
      </c>
      <c r="J3398" t="s">
        <v>86</v>
      </c>
      <c r="K3398" t="s">
        <v>44</v>
      </c>
      <c r="L3398">
        <v>10772.33</v>
      </c>
      <c r="M3398" s="1">
        <v>43538</v>
      </c>
      <c r="N3398" t="s">
        <v>108</v>
      </c>
      <c r="O3398" t="s">
        <v>106</v>
      </c>
      <c r="P3398" t="s">
        <v>47</v>
      </c>
      <c r="Q3398" s="1">
        <v>43852</v>
      </c>
      <c r="R3398" t="s">
        <v>48</v>
      </c>
      <c r="S3398" t="s">
        <v>87</v>
      </c>
      <c r="T3398" t="s">
        <v>88</v>
      </c>
      <c r="U3398" t="s">
        <v>85</v>
      </c>
      <c r="V3398">
        <v>1400000</v>
      </c>
      <c r="W3398">
        <v>100000</v>
      </c>
      <c r="X3398" s="1">
        <v>43808</v>
      </c>
      <c r="Y3398" t="s">
        <v>51</v>
      </c>
      <c r="Z3398" t="s">
        <v>43</v>
      </c>
      <c r="AA3398" t="s">
        <v>86</v>
      </c>
      <c r="AB3398" t="s">
        <v>89</v>
      </c>
      <c r="AC3398" t="s">
        <v>90</v>
      </c>
      <c r="AF3398" t="s">
        <v>93</v>
      </c>
      <c r="AG3398" s="1">
        <v>43843</v>
      </c>
      <c r="AH3398" t="s">
        <v>85</v>
      </c>
      <c r="AI3398" t="s">
        <v>92</v>
      </c>
      <c r="AJ3398">
        <v>19888</v>
      </c>
      <c r="AK3398">
        <v>128777</v>
      </c>
      <c r="AL3398">
        <v>198882</v>
      </c>
    </row>
    <row r="3399" spans="1:38" x14ac:dyDescent="0.25">
      <c r="A3399" t="s">
        <v>221</v>
      </c>
      <c r="B3399" t="s">
        <v>678</v>
      </c>
      <c r="C3399" t="s">
        <v>40</v>
      </c>
      <c r="D3399" s="1">
        <v>43524</v>
      </c>
      <c r="E3399" s="1">
        <v>43888</v>
      </c>
      <c r="F3399" t="s">
        <v>84</v>
      </c>
      <c r="G3399">
        <v>10</v>
      </c>
      <c r="H3399" t="s">
        <v>85</v>
      </c>
      <c r="I3399" t="s">
        <v>43</v>
      </c>
      <c r="J3399" t="s">
        <v>86</v>
      </c>
      <c r="K3399" t="s">
        <v>44</v>
      </c>
      <c r="L3399">
        <v>10772.33</v>
      </c>
      <c r="M3399" s="1">
        <v>43538</v>
      </c>
      <c r="N3399" t="s">
        <v>108</v>
      </c>
      <c r="O3399" t="s">
        <v>106</v>
      </c>
      <c r="P3399" t="s">
        <v>47</v>
      </c>
      <c r="Q3399" s="1">
        <v>43852</v>
      </c>
      <c r="R3399" t="s">
        <v>48</v>
      </c>
      <c r="S3399" t="s">
        <v>94</v>
      </c>
      <c r="T3399" t="s">
        <v>95</v>
      </c>
      <c r="U3399" t="s">
        <v>85</v>
      </c>
      <c r="V3399">
        <v>4500000</v>
      </c>
      <c r="W3399">
        <v>300000</v>
      </c>
      <c r="X3399" s="1">
        <v>43767</v>
      </c>
      <c r="Y3399" t="s">
        <v>51</v>
      </c>
      <c r="Z3399" t="s">
        <v>43</v>
      </c>
      <c r="AA3399" t="s">
        <v>86</v>
      </c>
      <c r="AB3399" t="s">
        <v>89</v>
      </c>
      <c r="AC3399" t="s">
        <v>90</v>
      </c>
      <c r="AF3399" t="s">
        <v>91</v>
      </c>
      <c r="AG3399" s="1">
        <v>43852</v>
      </c>
      <c r="AH3399" t="s">
        <v>85</v>
      </c>
      <c r="AI3399" t="s">
        <v>92</v>
      </c>
      <c r="AJ3399">
        <v>19888</v>
      </c>
      <c r="AK3399">
        <v>128777</v>
      </c>
      <c r="AL3399">
        <v>198882</v>
      </c>
    </row>
    <row r="3400" spans="1:38" x14ac:dyDescent="0.25">
      <c r="A3400" t="s">
        <v>221</v>
      </c>
      <c r="B3400" t="s">
        <v>678</v>
      </c>
      <c r="C3400" t="s">
        <v>40</v>
      </c>
      <c r="D3400" s="1">
        <v>43524</v>
      </c>
      <c r="E3400" s="1">
        <v>43888</v>
      </c>
      <c r="F3400" t="s">
        <v>84</v>
      </c>
      <c r="G3400">
        <v>10</v>
      </c>
      <c r="H3400" t="s">
        <v>85</v>
      </c>
      <c r="I3400" t="s">
        <v>43</v>
      </c>
      <c r="J3400" t="s">
        <v>86</v>
      </c>
      <c r="K3400" t="s">
        <v>44</v>
      </c>
      <c r="L3400">
        <v>10772.33</v>
      </c>
      <c r="M3400" s="1">
        <v>43538</v>
      </c>
      <c r="N3400" t="s">
        <v>108</v>
      </c>
      <c r="O3400" t="s">
        <v>106</v>
      </c>
      <c r="P3400" t="s">
        <v>47</v>
      </c>
      <c r="Q3400" s="1">
        <v>43852</v>
      </c>
      <c r="R3400" t="s">
        <v>48</v>
      </c>
      <c r="S3400" t="s">
        <v>94</v>
      </c>
      <c r="T3400" t="s">
        <v>95</v>
      </c>
      <c r="U3400" t="s">
        <v>85</v>
      </c>
      <c r="V3400">
        <v>4500000</v>
      </c>
      <c r="W3400">
        <v>300000</v>
      </c>
      <c r="X3400" s="1">
        <v>43767</v>
      </c>
      <c r="Y3400" t="s">
        <v>51</v>
      </c>
      <c r="Z3400" t="s">
        <v>43</v>
      </c>
      <c r="AA3400" t="s">
        <v>86</v>
      </c>
      <c r="AB3400" t="s">
        <v>89</v>
      </c>
      <c r="AC3400" t="s">
        <v>90</v>
      </c>
      <c r="AF3400" t="s">
        <v>93</v>
      </c>
      <c r="AG3400" s="1">
        <v>43843</v>
      </c>
      <c r="AH3400" t="s">
        <v>85</v>
      </c>
      <c r="AI3400" t="s">
        <v>92</v>
      </c>
      <c r="AJ3400">
        <v>19888</v>
      </c>
      <c r="AK3400">
        <v>128777</v>
      </c>
      <c r="AL3400">
        <v>198882</v>
      </c>
    </row>
    <row r="3401" spans="1:38" x14ac:dyDescent="0.25">
      <c r="A3401" t="s">
        <v>221</v>
      </c>
      <c r="B3401" t="s">
        <v>678</v>
      </c>
      <c r="C3401" t="s">
        <v>40</v>
      </c>
      <c r="D3401" s="1">
        <v>43524</v>
      </c>
      <c r="E3401" s="1">
        <v>43888</v>
      </c>
      <c r="F3401" t="s">
        <v>84</v>
      </c>
      <c r="G3401">
        <v>10</v>
      </c>
      <c r="H3401" t="s">
        <v>85</v>
      </c>
      <c r="I3401" t="s">
        <v>43</v>
      </c>
      <c r="J3401" t="s">
        <v>86</v>
      </c>
      <c r="K3401" t="s">
        <v>44</v>
      </c>
      <c r="L3401">
        <v>10772.33</v>
      </c>
      <c r="M3401" s="1">
        <v>43538</v>
      </c>
      <c r="N3401" t="s">
        <v>108</v>
      </c>
      <c r="O3401" t="s">
        <v>106</v>
      </c>
      <c r="P3401" t="s">
        <v>47</v>
      </c>
      <c r="Q3401" s="1">
        <v>43852</v>
      </c>
      <c r="R3401" t="s">
        <v>48</v>
      </c>
      <c r="S3401" t="s">
        <v>96</v>
      </c>
      <c r="T3401" t="s">
        <v>97</v>
      </c>
      <c r="U3401" t="s">
        <v>85</v>
      </c>
      <c r="V3401">
        <v>600000</v>
      </c>
      <c r="W3401">
        <v>100000</v>
      </c>
      <c r="X3401" s="1">
        <v>43799</v>
      </c>
      <c r="Y3401" t="s">
        <v>51</v>
      </c>
      <c r="Z3401" t="s">
        <v>43</v>
      </c>
      <c r="AA3401" t="s">
        <v>98</v>
      </c>
      <c r="AB3401" t="s">
        <v>89</v>
      </c>
      <c r="AC3401" t="s">
        <v>90</v>
      </c>
      <c r="AF3401" t="s">
        <v>91</v>
      </c>
      <c r="AG3401" s="1">
        <v>43852</v>
      </c>
      <c r="AH3401" t="s">
        <v>85</v>
      </c>
      <c r="AI3401" t="s">
        <v>92</v>
      </c>
      <c r="AJ3401">
        <v>19888</v>
      </c>
      <c r="AK3401">
        <v>128777</v>
      </c>
      <c r="AL3401">
        <v>198882</v>
      </c>
    </row>
    <row r="3402" spans="1:38" x14ac:dyDescent="0.25">
      <c r="A3402" t="s">
        <v>221</v>
      </c>
      <c r="B3402" t="s">
        <v>678</v>
      </c>
      <c r="C3402" t="s">
        <v>40</v>
      </c>
      <c r="D3402" s="1">
        <v>43524</v>
      </c>
      <c r="E3402" s="1">
        <v>43888</v>
      </c>
      <c r="F3402" t="s">
        <v>84</v>
      </c>
      <c r="G3402">
        <v>10</v>
      </c>
      <c r="H3402" t="s">
        <v>85</v>
      </c>
      <c r="I3402" t="s">
        <v>43</v>
      </c>
      <c r="J3402" t="s">
        <v>86</v>
      </c>
      <c r="K3402" t="s">
        <v>44</v>
      </c>
      <c r="L3402">
        <v>10772.33</v>
      </c>
      <c r="M3402" s="1">
        <v>43538</v>
      </c>
      <c r="N3402" t="s">
        <v>108</v>
      </c>
      <c r="O3402" t="s">
        <v>106</v>
      </c>
      <c r="P3402" t="s">
        <v>47</v>
      </c>
      <c r="Q3402" s="1">
        <v>43852</v>
      </c>
      <c r="R3402" t="s">
        <v>48</v>
      </c>
      <c r="S3402" t="s">
        <v>96</v>
      </c>
      <c r="T3402" t="s">
        <v>97</v>
      </c>
      <c r="U3402" t="s">
        <v>85</v>
      </c>
      <c r="V3402">
        <v>600000</v>
      </c>
      <c r="W3402">
        <v>100000</v>
      </c>
      <c r="X3402" s="1">
        <v>43799</v>
      </c>
      <c r="Y3402" t="s">
        <v>51</v>
      </c>
      <c r="Z3402" t="s">
        <v>43</v>
      </c>
      <c r="AA3402" t="s">
        <v>98</v>
      </c>
      <c r="AB3402" t="s">
        <v>89</v>
      </c>
      <c r="AC3402" t="s">
        <v>90</v>
      </c>
      <c r="AF3402" t="s">
        <v>93</v>
      </c>
      <c r="AG3402" s="1">
        <v>43843</v>
      </c>
      <c r="AH3402" t="s">
        <v>85</v>
      </c>
      <c r="AI3402" t="s">
        <v>92</v>
      </c>
      <c r="AJ3402">
        <v>19888</v>
      </c>
      <c r="AK3402">
        <v>128777</v>
      </c>
      <c r="AL3402">
        <v>198882</v>
      </c>
    </row>
    <row r="3403" spans="1:38" x14ac:dyDescent="0.25">
      <c r="A3403" t="s">
        <v>221</v>
      </c>
      <c r="B3403" t="s">
        <v>678</v>
      </c>
      <c r="C3403" t="s">
        <v>40</v>
      </c>
      <c r="D3403" s="1">
        <v>43524</v>
      </c>
      <c r="E3403" s="1">
        <v>43888</v>
      </c>
      <c r="F3403" t="s">
        <v>84</v>
      </c>
      <c r="G3403">
        <v>10</v>
      </c>
      <c r="H3403" t="s">
        <v>85</v>
      </c>
      <c r="I3403" t="s">
        <v>43</v>
      </c>
      <c r="J3403" t="s">
        <v>86</v>
      </c>
      <c r="K3403" t="s">
        <v>44</v>
      </c>
      <c r="L3403">
        <v>10772.33</v>
      </c>
      <c r="M3403" s="1">
        <v>43538</v>
      </c>
      <c r="N3403" t="s">
        <v>108</v>
      </c>
      <c r="O3403" t="s">
        <v>106</v>
      </c>
      <c r="P3403" t="s">
        <v>47</v>
      </c>
      <c r="Q3403" s="1">
        <v>43852</v>
      </c>
      <c r="R3403" t="s">
        <v>48</v>
      </c>
      <c r="S3403" t="s">
        <v>99</v>
      </c>
      <c r="T3403" t="s">
        <v>100</v>
      </c>
      <c r="U3403" t="s">
        <v>85</v>
      </c>
      <c r="V3403">
        <v>210000</v>
      </c>
      <c r="W3403">
        <v>35000</v>
      </c>
      <c r="X3403" s="1">
        <v>43799</v>
      </c>
      <c r="Y3403" t="s">
        <v>51</v>
      </c>
      <c r="Z3403" t="s">
        <v>43</v>
      </c>
      <c r="AA3403" t="s">
        <v>98</v>
      </c>
      <c r="AB3403" t="s">
        <v>89</v>
      </c>
      <c r="AC3403" t="s">
        <v>101</v>
      </c>
      <c r="AF3403" t="s">
        <v>91</v>
      </c>
      <c r="AG3403" s="1">
        <v>43852</v>
      </c>
      <c r="AH3403" t="s">
        <v>85</v>
      </c>
      <c r="AI3403" t="s">
        <v>92</v>
      </c>
      <c r="AJ3403">
        <v>19888</v>
      </c>
      <c r="AK3403">
        <v>128777</v>
      </c>
      <c r="AL3403">
        <v>198882</v>
      </c>
    </row>
    <row r="3404" spans="1:38" x14ac:dyDescent="0.25">
      <c r="A3404" t="s">
        <v>221</v>
      </c>
      <c r="B3404" t="s">
        <v>678</v>
      </c>
      <c r="C3404" t="s">
        <v>40</v>
      </c>
      <c r="D3404" s="1">
        <v>43524</v>
      </c>
      <c r="E3404" s="1">
        <v>43888</v>
      </c>
      <c r="F3404" t="s">
        <v>84</v>
      </c>
      <c r="G3404">
        <v>10</v>
      </c>
      <c r="H3404" t="s">
        <v>85</v>
      </c>
      <c r="I3404" t="s">
        <v>43</v>
      </c>
      <c r="J3404" t="s">
        <v>86</v>
      </c>
      <c r="K3404" t="s">
        <v>44</v>
      </c>
      <c r="L3404">
        <v>10772.33</v>
      </c>
      <c r="M3404" s="1">
        <v>43538</v>
      </c>
      <c r="N3404" t="s">
        <v>108</v>
      </c>
      <c r="O3404" t="s">
        <v>106</v>
      </c>
      <c r="P3404" t="s">
        <v>47</v>
      </c>
      <c r="Q3404" s="1">
        <v>43852</v>
      </c>
      <c r="R3404" t="s">
        <v>48</v>
      </c>
      <c r="S3404" t="s">
        <v>99</v>
      </c>
      <c r="T3404" t="s">
        <v>100</v>
      </c>
      <c r="U3404" t="s">
        <v>85</v>
      </c>
      <c r="V3404">
        <v>210000</v>
      </c>
      <c r="W3404">
        <v>35000</v>
      </c>
      <c r="X3404" s="1">
        <v>43799</v>
      </c>
      <c r="Y3404" t="s">
        <v>51</v>
      </c>
      <c r="Z3404" t="s">
        <v>43</v>
      </c>
      <c r="AA3404" t="s">
        <v>98</v>
      </c>
      <c r="AB3404" t="s">
        <v>89</v>
      </c>
      <c r="AC3404" t="s">
        <v>101</v>
      </c>
      <c r="AF3404" t="s">
        <v>93</v>
      </c>
      <c r="AG3404" s="1">
        <v>43843</v>
      </c>
      <c r="AH3404" t="s">
        <v>85</v>
      </c>
      <c r="AI3404" t="s">
        <v>92</v>
      </c>
      <c r="AJ3404">
        <v>19888</v>
      </c>
      <c r="AK3404">
        <v>128777</v>
      </c>
      <c r="AL3404">
        <v>198882</v>
      </c>
    </row>
    <row r="3405" spans="1:38" x14ac:dyDescent="0.25">
      <c r="A3405" t="s">
        <v>221</v>
      </c>
      <c r="B3405" t="s">
        <v>678</v>
      </c>
      <c r="C3405" t="s">
        <v>40</v>
      </c>
      <c r="D3405" s="1">
        <v>43524</v>
      </c>
      <c r="E3405" s="1">
        <v>43888</v>
      </c>
      <c r="F3405" t="s">
        <v>84</v>
      </c>
      <c r="G3405">
        <v>10</v>
      </c>
      <c r="H3405" t="s">
        <v>85</v>
      </c>
      <c r="I3405" t="s">
        <v>43</v>
      </c>
      <c r="J3405" t="s">
        <v>86</v>
      </c>
      <c r="K3405" t="s">
        <v>44</v>
      </c>
      <c r="L3405">
        <v>10772.33</v>
      </c>
      <c r="M3405" s="1">
        <v>43538</v>
      </c>
      <c r="N3405" t="s">
        <v>108</v>
      </c>
      <c r="O3405" t="s">
        <v>106</v>
      </c>
      <c r="P3405" t="s">
        <v>47</v>
      </c>
      <c r="Q3405" s="1">
        <v>43852</v>
      </c>
      <c r="R3405" t="s">
        <v>48</v>
      </c>
      <c r="S3405" t="s">
        <v>102</v>
      </c>
      <c r="T3405" t="s">
        <v>103</v>
      </c>
      <c r="U3405" t="s">
        <v>85</v>
      </c>
      <c r="V3405">
        <v>5000000</v>
      </c>
      <c r="W3405">
        <v>250000</v>
      </c>
      <c r="X3405" s="1">
        <v>43799</v>
      </c>
      <c r="Y3405" t="s">
        <v>51</v>
      </c>
      <c r="Z3405" t="s">
        <v>43</v>
      </c>
      <c r="AA3405" t="s">
        <v>86</v>
      </c>
      <c r="AB3405" t="s">
        <v>89</v>
      </c>
      <c r="AC3405" t="s">
        <v>90</v>
      </c>
      <c r="AF3405" t="s">
        <v>91</v>
      </c>
      <c r="AG3405" s="1">
        <v>43852</v>
      </c>
      <c r="AH3405" t="s">
        <v>85</v>
      </c>
      <c r="AI3405" t="s">
        <v>92</v>
      </c>
      <c r="AJ3405">
        <v>19888</v>
      </c>
      <c r="AK3405">
        <v>128777</v>
      </c>
      <c r="AL3405">
        <v>198882</v>
      </c>
    </row>
    <row r="3406" spans="1:38" x14ac:dyDescent="0.25">
      <c r="A3406" t="s">
        <v>221</v>
      </c>
      <c r="B3406" t="s">
        <v>678</v>
      </c>
      <c r="C3406" t="s">
        <v>40</v>
      </c>
      <c r="D3406" s="1">
        <v>43524</v>
      </c>
      <c r="E3406" s="1">
        <v>43888</v>
      </c>
      <c r="F3406" t="s">
        <v>84</v>
      </c>
      <c r="G3406">
        <v>10</v>
      </c>
      <c r="H3406" t="s">
        <v>85</v>
      </c>
      <c r="I3406" t="s">
        <v>43</v>
      </c>
      <c r="J3406" t="s">
        <v>86</v>
      </c>
      <c r="K3406" t="s">
        <v>44</v>
      </c>
      <c r="L3406">
        <v>10772.33</v>
      </c>
      <c r="M3406" s="1">
        <v>43538</v>
      </c>
      <c r="N3406" t="s">
        <v>108</v>
      </c>
      <c r="O3406" t="s">
        <v>106</v>
      </c>
      <c r="P3406" t="s">
        <v>47</v>
      </c>
      <c r="Q3406" s="1">
        <v>43852</v>
      </c>
      <c r="R3406" t="s">
        <v>48</v>
      </c>
      <c r="S3406" t="s">
        <v>102</v>
      </c>
      <c r="T3406" t="s">
        <v>103</v>
      </c>
      <c r="U3406" t="s">
        <v>85</v>
      </c>
      <c r="V3406">
        <v>5000000</v>
      </c>
      <c r="W3406">
        <v>250000</v>
      </c>
      <c r="X3406" s="1">
        <v>43799</v>
      </c>
      <c r="Y3406" t="s">
        <v>51</v>
      </c>
      <c r="Z3406" t="s">
        <v>43</v>
      </c>
      <c r="AA3406" t="s">
        <v>86</v>
      </c>
      <c r="AB3406" t="s">
        <v>89</v>
      </c>
      <c r="AC3406" t="s">
        <v>90</v>
      </c>
      <c r="AF3406" t="s">
        <v>93</v>
      </c>
      <c r="AG3406" s="1">
        <v>43843</v>
      </c>
      <c r="AH3406" t="s">
        <v>85</v>
      </c>
      <c r="AI3406" t="s">
        <v>92</v>
      </c>
      <c r="AJ3406">
        <v>19888</v>
      </c>
      <c r="AK3406">
        <v>128777</v>
      </c>
      <c r="AL3406">
        <v>198882</v>
      </c>
    </row>
    <row r="3407" spans="1:38" x14ac:dyDescent="0.25">
      <c r="A3407" t="s">
        <v>224</v>
      </c>
      <c r="B3407" t="s">
        <v>678</v>
      </c>
      <c r="C3407" t="s">
        <v>40</v>
      </c>
      <c r="D3407" s="1">
        <v>43524</v>
      </c>
      <c r="E3407" s="1">
        <v>43888</v>
      </c>
      <c r="F3407" t="s">
        <v>84</v>
      </c>
      <c r="G3407">
        <v>10</v>
      </c>
      <c r="H3407" t="s">
        <v>85</v>
      </c>
      <c r="I3407" t="s">
        <v>43</v>
      </c>
      <c r="J3407" t="s">
        <v>86</v>
      </c>
      <c r="K3407" t="s">
        <v>44</v>
      </c>
      <c r="L3407">
        <v>9283.0499999999993</v>
      </c>
      <c r="M3407" s="1">
        <v>43573</v>
      </c>
      <c r="N3407" t="s">
        <v>108</v>
      </c>
      <c r="O3407" t="s">
        <v>106</v>
      </c>
      <c r="P3407" t="s">
        <v>47</v>
      </c>
      <c r="Q3407" s="1">
        <v>43852</v>
      </c>
      <c r="R3407" t="s">
        <v>48</v>
      </c>
      <c r="S3407" t="s">
        <v>87</v>
      </c>
      <c r="T3407" t="s">
        <v>88</v>
      </c>
      <c r="U3407" t="s">
        <v>85</v>
      </c>
      <c r="V3407">
        <v>1400000</v>
      </c>
      <c r="W3407">
        <v>100000</v>
      </c>
      <c r="X3407" s="1">
        <v>43808</v>
      </c>
      <c r="Y3407" t="s">
        <v>51</v>
      </c>
      <c r="Z3407" t="s">
        <v>43</v>
      </c>
      <c r="AA3407" t="s">
        <v>86</v>
      </c>
      <c r="AB3407" t="s">
        <v>89</v>
      </c>
      <c r="AC3407" t="s">
        <v>90</v>
      </c>
      <c r="AF3407" t="s">
        <v>91</v>
      </c>
      <c r="AG3407" s="1">
        <v>43852</v>
      </c>
      <c r="AH3407" t="s">
        <v>85</v>
      </c>
      <c r="AI3407" t="s">
        <v>92</v>
      </c>
      <c r="AJ3407">
        <v>19888</v>
      </c>
      <c r="AK3407">
        <v>128777</v>
      </c>
      <c r="AL3407">
        <v>198882</v>
      </c>
    </row>
    <row r="3408" spans="1:38" x14ac:dyDescent="0.25">
      <c r="A3408" t="s">
        <v>224</v>
      </c>
      <c r="B3408" t="s">
        <v>678</v>
      </c>
      <c r="C3408" t="s">
        <v>40</v>
      </c>
      <c r="D3408" s="1">
        <v>43524</v>
      </c>
      <c r="E3408" s="1">
        <v>43888</v>
      </c>
      <c r="F3408" t="s">
        <v>84</v>
      </c>
      <c r="G3408">
        <v>10</v>
      </c>
      <c r="H3408" t="s">
        <v>85</v>
      </c>
      <c r="I3408" t="s">
        <v>43</v>
      </c>
      <c r="J3408" t="s">
        <v>86</v>
      </c>
      <c r="K3408" t="s">
        <v>44</v>
      </c>
      <c r="L3408">
        <v>9283.0499999999993</v>
      </c>
      <c r="M3408" s="1">
        <v>43573</v>
      </c>
      <c r="N3408" t="s">
        <v>108</v>
      </c>
      <c r="O3408" t="s">
        <v>106</v>
      </c>
      <c r="P3408" t="s">
        <v>47</v>
      </c>
      <c r="Q3408" s="1">
        <v>43852</v>
      </c>
      <c r="R3408" t="s">
        <v>48</v>
      </c>
      <c r="S3408" t="s">
        <v>87</v>
      </c>
      <c r="T3408" t="s">
        <v>88</v>
      </c>
      <c r="U3408" t="s">
        <v>85</v>
      </c>
      <c r="V3408">
        <v>1400000</v>
      </c>
      <c r="W3408">
        <v>100000</v>
      </c>
      <c r="X3408" s="1">
        <v>43808</v>
      </c>
      <c r="Y3408" t="s">
        <v>51</v>
      </c>
      <c r="Z3408" t="s">
        <v>43</v>
      </c>
      <c r="AA3408" t="s">
        <v>86</v>
      </c>
      <c r="AB3408" t="s">
        <v>89</v>
      </c>
      <c r="AC3408" t="s">
        <v>90</v>
      </c>
      <c r="AF3408" t="s">
        <v>93</v>
      </c>
      <c r="AG3408" s="1">
        <v>43843</v>
      </c>
      <c r="AH3408" t="s">
        <v>85</v>
      </c>
      <c r="AI3408" t="s">
        <v>92</v>
      </c>
      <c r="AJ3408">
        <v>19888</v>
      </c>
      <c r="AK3408">
        <v>128777</v>
      </c>
      <c r="AL3408">
        <v>198882</v>
      </c>
    </row>
    <row r="3409" spans="1:38" x14ac:dyDescent="0.25">
      <c r="A3409" t="s">
        <v>224</v>
      </c>
      <c r="B3409" t="s">
        <v>678</v>
      </c>
      <c r="C3409" t="s">
        <v>40</v>
      </c>
      <c r="D3409" s="1">
        <v>43524</v>
      </c>
      <c r="E3409" s="1">
        <v>43888</v>
      </c>
      <c r="F3409" t="s">
        <v>84</v>
      </c>
      <c r="G3409">
        <v>10</v>
      </c>
      <c r="H3409" t="s">
        <v>85</v>
      </c>
      <c r="I3409" t="s">
        <v>43</v>
      </c>
      <c r="J3409" t="s">
        <v>86</v>
      </c>
      <c r="K3409" t="s">
        <v>44</v>
      </c>
      <c r="L3409">
        <v>9283.0499999999993</v>
      </c>
      <c r="M3409" s="1">
        <v>43573</v>
      </c>
      <c r="N3409" t="s">
        <v>108</v>
      </c>
      <c r="O3409" t="s">
        <v>106</v>
      </c>
      <c r="P3409" t="s">
        <v>47</v>
      </c>
      <c r="Q3409" s="1">
        <v>43852</v>
      </c>
      <c r="R3409" t="s">
        <v>48</v>
      </c>
      <c r="S3409" t="s">
        <v>94</v>
      </c>
      <c r="T3409" t="s">
        <v>95</v>
      </c>
      <c r="U3409" t="s">
        <v>85</v>
      </c>
      <c r="V3409">
        <v>4500000</v>
      </c>
      <c r="W3409">
        <v>300000</v>
      </c>
      <c r="X3409" s="1">
        <v>43767</v>
      </c>
      <c r="Y3409" t="s">
        <v>51</v>
      </c>
      <c r="Z3409" t="s">
        <v>43</v>
      </c>
      <c r="AA3409" t="s">
        <v>86</v>
      </c>
      <c r="AB3409" t="s">
        <v>89</v>
      </c>
      <c r="AC3409" t="s">
        <v>90</v>
      </c>
      <c r="AF3409" t="s">
        <v>91</v>
      </c>
      <c r="AG3409" s="1">
        <v>43852</v>
      </c>
      <c r="AH3409" t="s">
        <v>85</v>
      </c>
      <c r="AI3409" t="s">
        <v>92</v>
      </c>
      <c r="AJ3409">
        <v>19888</v>
      </c>
      <c r="AK3409">
        <v>128777</v>
      </c>
      <c r="AL3409">
        <v>198882</v>
      </c>
    </row>
    <row r="3410" spans="1:38" x14ac:dyDescent="0.25">
      <c r="A3410" t="s">
        <v>224</v>
      </c>
      <c r="B3410" t="s">
        <v>678</v>
      </c>
      <c r="C3410" t="s">
        <v>40</v>
      </c>
      <c r="D3410" s="1">
        <v>43524</v>
      </c>
      <c r="E3410" s="1">
        <v>43888</v>
      </c>
      <c r="F3410" t="s">
        <v>84</v>
      </c>
      <c r="G3410">
        <v>10</v>
      </c>
      <c r="H3410" t="s">
        <v>85</v>
      </c>
      <c r="I3410" t="s">
        <v>43</v>
      </c>
      <c r="J3410" t="s">
        <v>86</v>
      </c>
      <c r="K3410" t="s">
        <v>44</v>
      </c>
      <c r="L3410">
        <v>9283.0499999999993</v>
      </c>
      <c r="M3410" s="1">
        <v>43573</v>
      </c>
      <c r="N3410" t="s">
        <v>108</v>
      </c>
      <c r="O3410" t="s">
        <v>106</v>
      </c>
      <c r="P3410" t="s">
        <v>47</v>
      </c>
      <c r="Q3410" s="1">
        <v>43852</v>
      </c>
      <c r="R3410" t="s">
        <v>48</v>
      </c>
      <c r="S3410" t="s">
        <v>94</v>
      </c>
      <c r="T3410" t="s">
        <v>95</v>
      </c>
      <c r="U3410" t="s">
        <v>85</v>
      </c>
      <c r="V3410">
        <v>4500000</v>
      </c>
      <c r="W3410">
        <v>300000</v>
      </c>
      <c r="X3410" s="1">
        <v>43767</v>
      </c>
      <c r="Y3410" t="s">
        <v>51</v>
      </c>
      <c r="Z3410" t="s">
        <v>43</v>
      </c>
      <c r="AA3410" t="s">
        <v>86</v>
      </c>
      <c r="AB3410" t="s">
        <v>89</v>
      </c>
      <c r="AC3410" t="s">
        <v>90</v>
      </c>
      <c r="AF3410" t="s">
        <v>93</v>
      </c>
      <c r="AG3410" s="1">
        <v>43843</v>
      </c>
      <c r="AH3410" t="s">
        <v>85</v>
      </c>
      <c r="AI3410" t="s">
        <v>92</v>
      </c>
      <c r="AJ3410">
        <v>19888</v>
      </c>
      <c r="AK3410">
        <v>128777</v>
      </c>
      <c r="AL3410">
        <v>198882</v>
      </c>
    </row>
    <row r="3411" spans="1:38" x14ac:dyDescent="0.25">
      <c r="A3411" t="s">
        <v>224</v>
      </c>
      <c r="B3411" t="s">
        <v>678</v>
      </c>
      <c r="C3411" t="s">
        <v>40</v>
      </c>
      <c r="D3411" s="1">
        <v>43524</v>
      </c>
      <c r="E3411" s="1">
        <v>43888</v>
      </c>
      <c r="F3411" t="s">
        <v>84</v>
      </c>
      <c r="G3411">
        <v>10</v>
      </c>
      <c r="H3411" t="s">
        <v>85</v>
      </c>
      <c r="I3411" t="s">
        <v>43</v>
      </c>
      <c r="J3411" t="s">
        <v>86</v>
      </c>
      <c r="K3411" t="s">
        <v>44</v>
      </c>
      <c r="L3411">
        <v>9283.0499999999993</v>
      </c>
      <c r="M3411" s="1">
        <v>43573</v>
      </c>
      <c r="N3411" t="s">
        <v>108</v>
      </c>
      <c r="O3411" t="s">
        <v>106</v>
      </c>
      <c r="P3411" t="s">
        <v>47</v>
      </c>
      <c r="Q3411" s="1">
        <v>43852</v>
      </c>
      <c r="R3411" t="s">
        <v>48</v>
      </c>
      <c r="S3411" t="s">
        <v>96</v>
      </c>
      <c r="T3411" t="s">
        <v>97</v>
      </c>
      <c r="U3411" t="s">
        <v>85</v>
      </c>
      <c r="V3411">
        <v>600000</v>
      </c>
      <c r="W3411">
        <v>100000</v>
      </c>
      <c r="X3411" s="1">
        <v>43799</v>
      </c>
      <c r="Y3411" t="s">
        <v>51</v>
      </c>
      <c r="Z3411" t="s">
        <v>43</v>
      </c>
      <c r="AA3411" t="s">
        <v>98</v>
      </c>
      <c r="AB3411" t="s">
        <v>89</v>
      </c>
      <c r="AC3411" t="s">
        <v>90</v>
      </c>
      <c r="AF3411" t="s">
        <v>91</v>
      </c>
      <c r="AG3411" s="1">
        <v>43852</v>
      </c>
      <c r="AH3411" t="s">
        <v>85</v>
      </c>
      <c r="AI3411" t="s">
        <v>92</v>
      </c>
      <c r="AJ3411">
        <v>19888</v>
      </c>
      <c r="AK3411">
        <v>128777</v>
      </c>
      <c r="AL3411">
        <v>198882</v>
      </c>
    </row>
    <row r="3412" spans="1:38" x14ac:dyDescent="0.25">
      <c r="A3412" t="s">
        <v>224</v>
      </c>
      <c r="B3412" t="s">
        <v>678</v>
      </c>
      <c r="C3412" t="s">
        <v>40</v>
      </c>
      <c r="D3412" s="1">
        <v>43524</v>
      </c>
      <c r="E3412" s="1">
        <v>43888</v>
      </c>
      <c r="F3412" t="s">
        <v>84</v>
      </c>
      <c r="G3412">
        <v>10</v>
      </c>
      <c r="H3412" t="s">
        <v>85</v>
      </c>
      <c r="I3412" t="s">
        <v>43</v>
      </c>
      <c r="J3412" t="s">
        <v>86</v>
      </c>
      <c r="K3412" t="s">
        <v>44</v>
      </c>
      <c r="L3412">
        <v>9283.0499999999993</v>
      </c>
      <c r="M3412" s="1">
        <v>43573</v>
      </c>
      <c r="N3412" t="s">
        <v>108</v>
      </c>
      <c r="O3412" t="s">
        <v>106</v>
      </c>
      <c r="P3412" t="s">
        <v>47</v>
      </c>
      <c r="Q3412" s="1">
        <v>43852</v>
      </c>
      <c r="R3412" t="s">
        <v>48</v>
      </c>
      <c r="S3412" t="s">
        <v>96</v>
      </c>
      <c r="T3412" t="s">
        <v>97</v>
      </c>
      <c r="U3412" t="s">
        <v>85</v>
      </c>
      <c r="V3412">
        <v>600000</v>
      </c>
      <c r="W3412">
        <v>100000</v>
      </c>
      <c r="X3412" s="1">
        <v>43799</v>
      </c>
      <c r="Y3412" t="s">
        <v>51</v>
      </c>
      <c r="Z3412" t="s">
        <v>43</v>
      </c>
      <c r="AA3412" t="s">
        <v>98</v>
      </c>
      <c r="AB3412" t="s">
        <v>89</v>
      </c>
      <c r="AC3412" t="s">
        <v>90</v>
      </c>
      <c r="AF3412" t="s">
        <v>93</v>
      </c>
      <c r="AG3412" s="1">
        <v>43843</v>
      </c>
      <c r="AH3412" t="s">
        <v>85</v>
      </c>
      <c r="AI3412" t="s">
        <v>92</v>
      </c>
      <c r="AJ3412">
        <v>19888</v>
      </c>
      <c r="AK3412">
        <v>128777</v>
      </c>
      <c r="AL3412">
        <v>198882</v>
      </c>
    </row>
    <row r="3413" spans="1:38" x14ac:dyDescent="0.25">
      <c r="A3413" t="s">
        <v>224</v>
      </c>
      <c r="B3413" t="s">
        <v>678</v>
      </c>
      <c r="C3413" t="s">
        <v>40</v>
      </c>
      <c r="D3413" s="1">
        <v>43524</v>
      </c>
      <c r="E3413" s="1">
        <v>43888</v>
      </c>
      <c r="F3413" t="s">
        <v>84</v>
      </c>
      <c r="G3413">
        <v>10</v>
      </c>
      <c r="H3413" t="s">
        <v>85</v>
      </c>
      <c r="I3413" t="s">
        <v>43</v>
      </c>
      <c r="J3413" t="s">
        <v>86</v>
      </c>
      <c r="K3413" t="s">
        <v>44</v>
      </c>
      <c r="L3413">
        <v>9283.0499999999993</v>
      </c>
      <c r="M3413" s="1">
        <v>43573</v>
      </c>
      <c r="N3413" t="s">
        <v>108</v>
      </c>
      <c r="O3413" t="s">
        <v>106</v>
      </c>
      <c r="P3413" t="s">
        <v>47</v>
      </c>
      <c r="Q3413" s="1">
        <v>43852</v>
      </c>
      <c r="R3413" t="s">
        <v>48</v>
      </c>
      <c r="S3413" t="s">
        <v>99</v>
      </c>
      <c r="T3413" t="s">
        <v>100</v>
      </c>
      <c r="U3413" t="s">
        <v>85</v>
      </c>
      <c r="V3413">
        <v>210000</v>
      </c>
      <c r="W3413">
        <v>35000</v>
      </c>
      <c r="X3413" s="1">
        <v>43799</v>
      </c>
      <c r="Y3413" t="s">
        <v>51</v>
      </c>
      <c r="Z3413" t="s">
        <v>43</v>
      </c>
      <c r="AA3413" t="s">
        <v>98</v>
      </c>
      <c r="AB3413" t="s">
        <v>89</v>
      </c>
      <c r="AC3413" t="s">
        <v>101</v>
      </c>
      <c r="AF3413" t="s">
        <v>91</v>
      </c>
      <c r="AG3413" s="1">
        <v>43852</v>
      </c>
      <c r="AH3413" t="s">
        <v>85</v>
      </c>
      <c r="AI3413" t="s">
        <v>92</v>
      </c>
      <c r="AJ3413">
        <v>19888</v>
      </c>
      <c r="AK3413">
        <v>128777</v>
      </c>
      <c r="AL3413">
        <v>198882</v>
      </c>
    </row>
    <row r="3414" spans="1:38" x14ac:dyDescent="0.25">
      <c r="A3414" t="s">
        <v>224</v>
      </c>
      <c r="B3414" t="s">
        <v>678</v>
      </c>
      <c r="C3414" t="s">
        <v>40</v>
      </c>
      <c r="D3414" s="1">
        <v>43524</v>
      </c>
      <c r="E3414" s="1">
        <v>43888</v>
      </c>
      <c r="F3414" t="s">
        <v>84</v>
      </c>
      <c r="G3414">
        <v>10</v>
      </c>
      <c r="H3414" t="s">
        <v>85</v>
      </c>
      <c r="I3414" t="s">
        <v>43</v>
      </c>
      <c r="J3414" t="s">
        <v>86</v>
      </c>
      <c r="K3414" t="s">
        <v>44</v>
      </c>
      <c r="L3414">
        <v>9283.0499999999993</v>
      </c>
      <c r="M3414" s="1">
        <v>43573</v>
      </c>
      <c r="N3414" t="s">
        <v>108</v>
      </c>
      <c r="O3414" t="s">
        <v>106</v>
      </c>
      <c r="P3414" t="s">
        <v>47</v>
      </c>
      <c r="Q3414" s="1">
        <v>43852</v>
      </c>
      <c r="R3414" t="s">
        <v>48</v>
      </c>
      <c r="S3414" t="s">
        <v>99</v>
      </c>
      <c r="T3414" t="s">
        <v>100</v>
      </c>
      <c r="U3414" t="s">
        <v>85</v>
      </c>
      <c r="V3414">
        <v>210000</v>
      </c>
      <c r="W3414">
        <v>35000</v>
      </c>
      <c r="X3414" s="1">
        <v>43799</v>
      </c>
      <c r="Y3414" t="s">
        <v>51</v>
      </c>
      <c r="Z3414" t="s">
        <v>43</v>
      </c>
      <c r="AA3414" t="s">
        <v>98</v>
      </c>
      <c r="AB3414" t="s">
        <v>89</v>
      </c>
      <c r="AC3414" t="s">
        <v>101</v>
      </c>
      <c r="AF3414" t="s">
        <v>93</v>
      </c>
      <c r="AG3414" s="1">
        <v>43843</v>
      </c>
      <c r="AH3414" t="s">
        <v>85</v>
      </c>
      <c r="AI3414" t="s">
        <v>92</v>
      </c>
      <c r="AJ3414">
        <v>19888</v>
      </c>
      <c r="AK3414">
        <v>128777</v>
      </c>
      <c r="AL3414">
        <v>198882</v>
      </c>
    </row>
    <row r="3415" spans="1:38" x14ac:dyDescent="0.25">
      <c r="A3415" t="s">
        <v>224</v>
      </c>
      <c r="B3415" t="s">
        <v>678</v>
      </c>
      <c r="C3415" t="s">
        <v>40</v>
      </c>
      <c r="D3415" s="1">
        <v>43524</v>
      </c>
      <c r="E3415" s="1">
        <v>43888</v>
      </c>
      <c r="F3415" t="s">
        <v>84</v>
      </c>
      <c r="G3415">
        <v>10</v>
      </c>
      <c r="H3415" t="s">
        <v>85</v>
      </c>
      <c r="I3415" t="s">
        <v>43</v>
      </c>
      <c r="J3415" t="s">
        <v>86</v>
      </c>
      <c r="K3415" t="s">
        <v>44</v>
      </c>
      <c r="L3415">
        <v>9283.0499999999993</v>
      </c>
      <c r="M3415" s="1">
        <v>43573</v>
      </c>
      <c r="N3415" t="s">
        <v>108</v>
      </c>
      <c r="O3415" t="s">
        <v>106</v>
      </c>
      <c r="P3415" t="s">
        <v>47</v>
      </c>
      <c r="Q3415" s="1">
        <v>43852</v>
      </c>
      <c r="R3415" t="s">
        <v>48</v>
      </c>
      <c r="S3415" t="s">
        <v>102</v>
      </c>
      <c r="T3415" t="s">
        <v>103</v>
      </c>
      <c r="U3415" t="s">
        <v>85</v>
      </c>
      <c r="V3415">
        <v>5000000</v>
      </c>
      <c r="W3415">
        <v>250000</v>
      </c>
      <c r="X3415" s="1">
        <v>43799</v>
      </c>
      <c r="Y3415" t="s">
        <v>51</v>
      </c>
      <c r="Z3415" t="s">
        <v>43</v>
      </c>
      <c r="AA3415" t="s">
        <v>86</v>
      </c>
      <c r="AB3415" t="s">
        <v>89</v>
      </c>
      <c r="AC3415" t="s">
        <v>90</v>
      </c>
      <c r="AF3415" t="s">
        <v>91</v>
      </c>
      <c r="AG3415" s="1">
        <v>43852</v>
      </c>
      <c r="AH3415" t="s">
        <v>85</v>
      </c>
      <c r="AI3415" t="s">
        <v>92</v>
      </c>
      <c r="AJ3415">
        <v>19888</v>
      </c>
      <c r="AK3415">
        <v>128777</v>
      </c>
      <c r="AL3415">
        <v>198882</v>
      </c>
    </row>
    <row r="3416" spans="1:38" x14ac:dyDescent="0.25">
      <c r="A3416" t="s">
        <v>224</v>
      </c>
      <c r="B3416" t="s">
        <v>678</v>
      </c>
      <c r="C3416" t="s">
        <v>40</v>
      </c>
      <c r="D3416" s="1">
        <v>43524</v>
      </c>
      <c r="E3416" s="1">
        <v>43888</v>
      </c>
      <c r="F3416" t="s">
        <v>84</v>
      </c>
      <c r="G3416">
        <v>10</v>
      </c>
      <c r="H3416" t="s">
        <v>85</v>
      </c>
      <c r="I3416" t="s">
        <v>43</v>
      </c>
      <c r="J3416" t="s">
        <v>86</v>
      </c>
      <c r="K3416" t="s">
        <v>44</v>
      </c>
      <c r="L3416">
        <v>9283.0499999999993</v>
      </c>
      <c r="M3416" s="1">
        <v>43573</v>
      </c>
      <c r="N3416" t="s">
        <v>108</v>
      </c>
      <c r="O3416" t="s">
        <v>106</v>
      </c>
      <c r="P3416" t="s">
        <v>47</v>
      </c>
      <c r="Q3416" s="1">
        <v>43852</v>
      </c>
      <c r="R3416" t="s">
        <v>48</v>
      </c>
      <c r="S3416" t="s">
        <v>102</v>
      </c>
      <c r="T3416" t="s">
        <v>103</v>
      </c>
      <c r="U3416" t="s">
        <v>85</v>
      </c>
      <c r="V3416">
        <v>5000000</v>
      </c>
      <c r="W3416">
        <v>250000</v>
      </c>
      <c r="X3416" s="1">
        <v>43799</v>
      </c>
      <c r="Y3416" t="s">
        <v>51</v>
      </c>
      <c r="Z3416" t="s">
        <v>43</v>
      </c>
      <c r="AA3416" t="s">
        <v>86</v>
      </c>
      <c r="AB3416" t="s">
        <v>89</v>
      </c>
      <c r="AC3416" t="s">
        <v>90</v>
      </c>
      <c r="AF3416" t="s">
        <v>93</v>
      </c>
      <c r="AG3416" s="1">
        <v>43843</v>
      </c>
      <c r="AH3416" t="s">
        <v>85</v>
      </c>
      <c r="AI3416" t="s">
        <v>92</v>
      </c>
      <c r="AJ3416">
        <v>19888</v>
      </c>
      <c r="AK3416">
        <v>128777</v>
      </c>
      <c r="AL3416">
        <v>198882</v>
      </c>
    </row>
    <row r="3417" spans="1:38" x14ac:dyDescent="0.25">
      <c r="A3417" t="s">
        <v>226</v>
      </c>
      <c r="B3417" t="s">
        <v>678</v>
      </c>
      <c r="C3417" t="s">
        <v>40</v>
      </c>
      <c r="D3417" s="1">
        <v>43524</v>
      </c>
      <c r="E3417" s="1">
        <v>43888</v>
      </c>
      <c r="F3417" t="s">
        <v>84</v>
      </c>
      <c r="G3417">
        <v>10</v>
      </c>
      <c r="H3417" t="s">
        <v>85</v>
      </c>
      <c r="I3417" t="s">
        <v>43</v>
      </c>
      <c r="J3417" t="s">
        <v>86</v>
      </c>
      <c r="K3417" t="s">
        <v>44</v>
      </c>
      <c r="L3417">
        <v>6903.45</v>
      </c>
      <c r="M3417" s="1">
        <v>43615</v>
      </c>
      <c r="N3417" t="s">
        <v>108</v>
      </c>
      <c r="O3417" t="s">
        <v>106</v>
      </c>
      <c r="P3417" t="s">
        <v>47</v>
      </c>
      <c r="Q3417" s="1">
        <v>43852</v>
      </c>
      <c r="R3417" t="s">
        <v>48</v>
      </c>
      <c r="S3417" t="s">
        <v>87</v>
      </c>
      <c r="T3417" t="s">
        <v>88</v>
      </c>
      <c r="U3417" t="s">
        <v>85</v>
      </c>
      <c r="V3417">
        <v>1400000</v>
      </c>
      <c r="W3417">
        <v>100000</v>
      </c>
      <c r="X3417" s="1">
        <v>43808</v>
      </c>
      <c r="Y3417" t="s">
        <v>51</v>
      </c>
      <c r="Z3417" t="s">
        <v>43</v>
      </c>
      <c r="AA3417" t="s">
        <v>86</v>
      </c>
      <c r="AB3417" t="s">
        <v>89</v>
      </c>
      <c r="AC3417" t="s">
        <v>90</v>
      </c>
      <c r="AF3417" t="s">
        <v>91</v>
      </c>
      <c r="AG3417" s="1">
        <v>43852</v>
      </c>
      <c r="AH3417" t="s">
        <v>85</v>
      </c>
      <c r="AI3417" t="s">
        <v>92</v>
      </c>
      <c r="AJ3417">
        <v>19888</v>
      </c>
      <c r="AK3417">
        <v>128777</v>
      </c>
      <c r="AL3417">
        <v>198882</v>
      </c>
    </row>
    <row r="3418" spans="1:38" x14ac:dyDescent="0.25">
      <c r="A3418" t="s">
        <v>226</v>
      </c>
      <c r="B3418" t="s">
        <v>678</v>
      </c>
      <c r="C3418" t="s">
        <v>40</v>
      </c>
      <c r="D3418" s="1">
        <v>43524</v>
      </c>
      <c r="E3418" s="1">
        <v>43888</v>
      </c>
      <c r="F3418" t="s">
        <v>84</v>
      </c>
      <c r="G3418">
        <v>10</v>
      </c>
      <c r="H3418" t="s">
        <v>85</v>
      </c>
      <c r="I3418" t="s">
        <v>43</v>
      </c>
      <c r="J3418" t="s">
        <v>86</v>
      </c>
      <c r="K3418" t="s">
        <v>44</v>
      </c>
      <c r="L3418">
        <v>6903.45</v>
      </c>
      <c r="M3418" s="1">
        <v>43615</v>
      </c>
      <c r="N3418" t="s">
        <v>108</v>
      </c>
      <c r="O3418" t="s">
        <v>106</v>
      </c>
      <c r="P3418" t="s">
        <v>47</v>
      </c>
      <c r="Q3418" s="1">
        <v>43852</v>
      </c>
      <c r="R3418" t="s">
        <v>48</v>
      </c>
      <c r="S3418" t="s">
        <v>87</v>
      </c>
      <c r="T3418" t="s">
        <v>88</v>
      </c>
      <c r="U3418" t="s">
        <v>85</v>
      </c>
      <c r="V3418">
        <v>1400000</v>
      </c>
      <c r="W3418">
        <v>100000</v>
      </c>
      <c r="X3418" s="1">
        <v>43808</v>
      </c>
      <c r="Y3418" t="s">
        <v>51</v>
      </c>
      <c r="Z3418" t="s">
        <v>43</v>
      </c>
      <c r="AA3418" t="s">
        <v>86</v>
      </c>
      <c r="AB3418" t="s">
        <v>89</v>
      </c>
      <c r="AC3418" t="s">
        <v>90</v>
      </c>
      <c r="AF3418" t="s">
        <v>93</v>
      </c>
      <c r="AG3418" s="1">
        <v>43843</v>
      </c>
      <c r="AH3418" t="s">
        <v>85</v>
      </c>
      <c r="AI3418" t="s">
        <v>92</v>
      </c>
      <c r="AJ3418">
        <v>19888</v>
      </c>
      <c r="AK3418">
        <v>128777</v>
      </c>
      <c r="AL3418">
        <v>198882</v>
      </c>
    </row>
    <row r="3419" spans="1:38" x14ac:dyDescent="0.25">
      <c r="A3419" t="s">
        <v>226</v>
      </c>
      <c r="B3419" t="s">
        <v>678</v>
      </c>
      <c r="C3419" t="s">
        <v>40</v>
      </c>
      <c r="D3419" s="1">
        <v>43524</v>
      </c>
      <c r="E3419" s="1">
        <v>43888</v>
      </c>
      <c r="F3419" t="s">
        <v>84</v>
      </c>
      <c r="G3419">
        <v>10</v>
      </c>
      <c r="H3419" t="s">
        <v>85</v>
      </c>
      <c r="I3419" t="s">
        <v>43</v>
      </c>
      <c r="J3419" t="s">
        <v>86</v>
      </c>
      <c r="K3419" t="s">
        <v>44</v>
      </c>
      <c r="L3419">
        <v>6903.45</v>
      </c>
      <c r="M3419" s="1">
        <v>43615</v>
      </c>
      <c r="N3419" t="s">
        <v>108</v>
      </c>
      <c r="O3419" t="s">
        <v>106</v>
      </c>
      <c r="P3419" t="s">
        <v>47</v>
      </c>
      <c r="Q3419" s="1">
        <v>43852</v>
      </c>
      <c r="R3419" t="s">
        <v>48</v>
      </c>
      <c r="S3419" t="s">
        <v>94</v>
      </c>
      <c r="T3419" t="s">
        <v>95</v>
      </c>
      <c r="U3419" t="s">
        <v>85</v>
      </c>
      <c r="V3419">
        <v>4500000</v>
      </c>
      <c r="W3419">
        <v>300000</v>
      </c>
      <c r="X3419" s="1">
        <v>43767</v>
      </c>
      <c r="Y3419" t="s">
        <v>51</v>
      </c>
      <c r="Z3419" t="s">
        <v>43</v>
      </c>
      <c r="AA3419" t="s">
        <v>86</v>
      </c>
      <c r="AB3419" t="s">
        <v>89</v>
      </c>
      <c r="AC3419" t="s">
        <v>90</v>
      </c>
      <c r="AF3419" t="s">
        <v>91</v>
      </c>
      <c r="AG3419" s="1">
        <v>43852</v>
      </c>
      <c r="AH3419" t="s">
        <v>85</v>
      </c>
      <c r="AI3419" t="s">
        <v>92</v>
      </c>
      <c r="AJ3419">
        <v>19888</v>
      </c>
      <c r="AK3419">
        <v>128777</v>
      </c>
      <c r="AL3419">
        <v>198882</v>
      </c>
    </row>
    <row r="3420" spans="1:38" x14ac:dyDescent="0.25">
      <c r="A3420" t="s">
        <v>226</v>
      </c>
      <c r="B3420" t="s">
        <v>678</v>
      </c>
      <c r="C3420" t="s">
        <v>40</v>
      </c>
      <c r="D3420" s="1">
        <v>43524</v>
      </c>
      <c r="E3420" s="1">
        <v>43888</v>
      </c>
      <c r="F3420" t="s">
        <v>84</v>
      </c>
      <c r="G3420">
        <v>10</v>
      </c>
      <c r="H3420" t="s">
        <v>85</v>
      </c>
      <c r="I3420" t="s">
        <v>43</v>
      </c>
      <c r="J3420" t="s">
        <v>86</v>
      </c>
      <c r="K3420" t="s">
        <v>44</v>
      </c>
      <c r="L3420">
        <v>6903.45</v>
      </c>
      <c r="M3420" s="1">
        <v>43615</v>
      </c>
      <c r="N3420" t="s">
        <v>108</v>
      </c>
      <c r="O3420" t="s">
        <v>106</v>
      </c>
      <c r="P3420" t="s">
        <v>47</v>
      </c>
      <c r="Q3420" s="1">
        <v>43852</v>
      </c>
      <c r="R3420" t="s">
        <v>48</v>
      </c>
      <c r="S3420" t="s">
        <v>94</v>
      </c>
      <c r="T3420" t="s">
        <v>95</v>
      </c>
      <c r="U3420" t="s">
        <v>85</v>
      </c>
      <c r="V3420">
        <v>4500000</v>
      </c>
      <c r="W3420">
        <v>300000</v>
      </c>
      <c r="X3420" s="1">
        <v>43767</v>
      </c>
      <c r="Y3420" t="s">
        <v>51</v>
      </c>
      <c r="Z3420" t="s">
        <v>43</v>
      </c>
      <c r="AA3420" t="s">
        <v>86</v>
      </c>
      <c r="AB3420" t="s">
        <v>89</v>
      </c>
      <c r="AC3420" t="s">
        <v>90</v>
      </c>
      <c r="AF3420" t="s">
        <v>93</v>
      </c>
      <c r="AG3420" s="1">
        <v>43843</v>
      </c>
      <c r="AH3420" t="s">
        <v>85</v>
      </c>
      <c r="AI3420" t="s">
        <v>92</v>
      </c>
      <c r="AJ3420">
        <v>19888</v>
      </c>
      <c r="AK3420">
        <v>128777</v>
      </c>
      <c r="AL3420">
        <v>198882</v>
      </c>
    </row>
    <row r="3421" spans="1:38" x14ac:dyDescent="0.25">
      <c r="A3421" t="s">
        <v>226</v>
      </c>
      <c r="B3421" t="s">
        <v>678</v>
      </c>
      <c r="C3421" t="s">
        <v>40</v>
      </c>
      <c r="D3421" s="1">
        <v>43524</v>
      </c>
      <c r="E3421" s="1">
        <v>43888</v>
      </c>
      <c r="F3421" t="s">
        <v>84</v>
      </c>
      <c r="G3421">
        <v>10</v>
      </c>
      <c r="H3421" t="s">
        <v>85</v>
      </c>
      <c r="I3421" t="s">
        <v>43</v>
      </c>
      <c r="J3421" t="s">
        <v>86</v>
      </c>
      <c r="K3421" t="s">
        <v>44</v>
      </c>
      <c r="L3421">
        <v>6903.45</v>
      </c>
      <c r="M3421" s="1">
        <v>43615</v>
      </c>
      <c r="N3421" t="s">
        <v>108</v>
      </c>
      <c r="O3421" t="s">
        <v>106</v>
      </c>
      <c r="P3421" t="s">
        <v>47</v>
      </c>
      <c r="Q3421" s="1">
        <v>43852</v>
      </c>
      <c r="R3421" t="s">
        <v>48</v>
      </c>
      <c r="S3421" t="s">
        <v>96</v>
      </c>
      <c r="T3421" t="s">
        <v>97</v>
      </c>
      <c r="U3421" t="s">
        <v>85</v>
      </c>
      <c r="V3421">
        <v>600000</v>
      </c>
      <c r="W3421">
        <v>100000</v>
      </c>
      <c r="X3421" s="1">
        <v>43799</v>
      </c>
      <c r="Y3421" t="s">
        <v>51</v>
      </c>
      <c r="Z3421" t="s">
        <v>43</v>
      </c>
      <c r="AA3421" t="s">
        <v>98</v>
      </c>
      <c r="AB3421" t="s">
        <v>89</v>
      </c>
      <c r="AC3421" t="s">
        <v>90</v>
      </c>
      <c r="AF3421" t="s">
        <v>91</v>
      </c>
      <c r="AG3421" s="1">
        <v>43852</v>
      </c>
      <c r="AH3421" t="s">
        <v>85</v>
      </c>
      <c r="AI3421" t="s">
        <v>92</v>
      </c>
      <c r="AJ3421">
        <v>19888</v>
      </c>
      <c r="AK3421">
        <v>128777</v>
      </c>
      <c r="AL3421">
        <v>198882</v>
      </c>
    </row>
    <row r="3422" spans="1:38" x14ac:dyDescent="0.25">
      <c r="A3422" t="s">
        <v>226</v>
      </c>
      <c r="B3422" t="s">
        <v>678</v>
      </c>
      <c r="C3422" t="s">
        <v>40</v>
      </c>
      <c r="D3422" s="1">
        <v>43524</v>
      </c>
      <c r="E3422" s="1">
        <v>43888</v>
      </c>
      <c r="F3422" t="s">
        <v>84</v>
      </c>
      <c r="G3422">
        <v>10</v>
      </c>
      <c r="H3422" t="s">
        <v>85</v>
      </c>
      <c r="I3422" t="s">
        <v>43</v>
      </c>
      <c r="J3422" t="s">
        <v>86</v>
      </c>
      <c r="K3422" t="s">
        <v>44</v>
      </c>
      <c r="L3422">
        <v>6903.45</v>
      </c>
      <c r="M3422" s="1">
        <v>43615</v>
      </c>
      <c r="N3422" t="s">
        <v>108</v>
      </c>
      <c r="O3422" t="s">
        <v>106</v>
      </c>
      <c r="P3422" t="s">
        <v>47</v>
      </c>
      <c r="Q3422" s="1">
        <v>43852</v>
      </c>
      <c r="R3422" t="s">
        <v>48</v>
      </c>
      <c r="S3422" t="s">
        <v>96</v>
      </c>
      <c r="T3422" t="s">
        <v>97</v>
      </c>
      <c r="U3422" t="s">
        <v>85</v>
      </c>
      <c r="V3422">
        <v>600000</v>
      </c>
      <c r="W3422">
        <v>100000</v>
      </c>
      <c r="X3422" s="1">
        <v>43799</v>
      </c>
      <c r="Y3422" t="s">
        <v>51</v>
      </c>
      <c r="Z3422" t="s">
        <v>43</v>
      </c>
      <c r="AA3422" t="s">
        <v>98</v>
      </c>
      <c r="AB3422" t="s">
        <v>89</v>
      </c>
      <c r="AC3422" t="s">
        <v>90</v>
      </c>
      <c r="AF3422" t="s">
        <v>93</v>
      </c>
      <c r="AG3422" s="1">
        <v>43843</v>
      </c>
      <c r="AH3422" t="s">
        <v>85</v>
      </c>
      <c r="AI3422" t="s">
        <v>92</v>
      </c>
      <c r="AJ3422">
        <v>19888</v>
      </c>
      <c r="AK3422">
        <v>128777</v>
      </c>
      <c r="AL3422">
        <v>198882</v>
      </c>
    </row>
    <row r="3423" spans="1:38" x14ac:dyDescent="0.25">
      <c r="A3423" t="s">
        <v>226</v>
      </c>
      <c r="B3423" t="s">
        <v>678</v>
      </c>
      <c r="C3423" t="s">
        <v>40</v>
      </c>
      <c r="D3423" s="1">
        <v>43524</v>
      </c>
      <c r="E3423" s="1">
        <v>43888</v>
      </c>
      <c r="F3423" t="s">
        <v>84</v>
      </c>
      <c r="G3423">
        <v>10</v>
      </c>
      <c r="H3423" t="s">
        <v>85</v>
      </c>
      <c r="I3423" t="s">
        <v>43</v>
      </c>
      <c r="J3423" t="s">
        <v>86</v>
      </c>
      <c r="K3423" t="s">
        <v>44</v>
      </c>
      <c r="L3423">
        <v>6903.45</v>
      </c>
      <c r="M3423" s="1">
        <v>43615</v>
      </c>
      <c r="N3423" t="s">
        <v>108</v>
      </c>
      <c r="O3423" t="s">
        <v>106</v>
      </c>
      <c r="P3423" t="s">
        <v>47</v>
      </c>
      <c r="Q3423" s="1">
        <v>43852</v>
      </c>
      <c r="R3423" t="s">
        <v>48</v>
      </c>
      <c r="S3423" t="s">
        <v>99</v>
      </c>
      <c r="T3423" t="s">
        <v>100</v>
      </c>
      <c r="U3423" t="s">
        <v>85</v>
      </c>
      <c r="V3423">
        <v>210000</v>
      </c>
      <c r="W3423">
        <v>35000</v>
      </c>
      <c r="X3423" s="1">
        <v>43799</v>
      </c>
      <c r="Y3423" t="s">
        <v>51</v>
      </c>
      <c r="Z3423" t="s">
        <v>43</v>
      </c>
      <c r="AA3423" t="s">
        <v>98</v>
      </c>
      <c r="AB3423" t="s">
        <v>89</v>
      </c>
      <c r="AC3423" t="s">
        <v>101</v>
      </c>
      <c r="AF3423" t="s">
        <v>91</v>
      </c>
      <c r="AG3423" s="1">
        <v>43852</v>
      </c>
      <c r="AH3423" t="s">
        <v>85</v>
      </c>
      <c r="AI3423" t="s">
        <v>92</v>
      </c>
      <c r="AJ3423">
        <v>19888</v>
      </c>
      <c r="AK3423">
        <v>128777</v>
      </c>
      <c r="AL3423">
        <v>198882</v>
      </c>
    </row>
    <row r="3424" spans="1:38" x14ac:dyDescent="0.25">
      <c r="A3424" t="s">
        <v>226</v>
      </c>
      <c r="B3424" t="s">
        <v>678</v>
      </c>
      <c r="C3424" t="s">
        <v>40</v>
      </c>
      <c r="D3424" s="1">
        <v>43524</v>
      </c>
      <c r="E3424" s="1">
        <v>43888</v>
      </c>
      <c r="F3424" t="s">
        <v>84</v>
      </c>
      <c r="G3424">
        <v>10</v>
      </c>
      <c r="H3424" t="s">
        <v>85</v>
      </c>
      <c r="I3424" t="s">
        <v>43</v>
      </c>
      <c r="J3424" t="s">
        <v>86</v>
      </c>
      <c r="K3424" t="s">
        <v>44</v>
      </c>
      <c r="L3424">
        <v>6903.45</v>
      </c>
      <c r="M3424" s="1">
        <v>43615</v>
      </c>
      <c r="N3424" t="s">
        <v>108</v>
      </c>
      <c r="O3424" t="s">
        <v>106</v>
      </c>
      <c r="P3424" t="s">
        <v>47</v>
      </c>
      <c r="Q3424" s="1">
        <v>43852</v>
      </c>
      <c r="R3424" t="s">
        <v>48</v>
      </c>
      <c r="S3424" t="s">
        <v>99</v>
      </c>
      <c r="T3424" t="s">
        <v>100</v>
      </c>
      <c r="U3424" t="s">
        <v>85</v>
      </c>
      <c r="V3424">
        <v>210000</v>
      </c>
      <c r="W3424">
        <v>35000</v>
      </c>
      <c r="X3424" s="1">
        <v>43799</v>
      </c>
      <c r="Y3424" t="s">
        <v>51</v>
      </c>
      <c r="Z3424" t="s">
        <v>43</v>
      </c>
      <c r="AA3424" t="s">
        <v>98</v>
      </c>
      <c r="AB3424" t="s">
        <v>89</v>
      </c>
      <c r="AC3424" t="s">
        <v>101</v>
      </c>
      <c r="AF3424" t="s">
        <v>93</v>
      </c>
      <c r="AG3424" s="1">
        <v>43843</v>
      </c>
      <c r="AH3424" t="s">
        <v>85</v>
      </c>
      <c r="AI3424" t="s">
        <v>92</v>
      </c>
      <c r="AJ3424">
        <v>19888</v>
      </c>
      <c r="AK3424">
        <v>128777</v>
      </c>
      <c r="AL3424">
        <v>198882</v>
      </c>
    </row>
    <row r="3425" spans="1:38" x14ac:dyDescent="0.25">
      <c r="A3425" t="s">
        <v>226</v>
      </c>
      <c r="B3425" t="s">
        <v>678</v>
      </c>
      <c r="C3425" t="s">
        <v>40</v>
      </c>
      <c r="D3425" s="1">
        <v>43524</v>
      </c>
      <c r="E3425" s="1">
        <v>43888</v>
      </c>
      <c r="F3425" t="s">
        <v>84</v>
      </c>
      <c r="G3425">
        <v>10</v>
      </c>
      <c r="H3425" t="s">
        <v>85</v>
      </c>
      <c r="I3425" t="s">
        <v>43</v>
      </c>
      <c r="J3425" t="s">
        <v>86</v>
      </c>
      <c r="K3425" t="s">
        <v>44</v>
      </c>
      <c r="L3425">
        <v>6903.45</v>
      </c>
      <c r="M3425" s="1">
        <v>43615</v>
      </c>
      <c r="N3425" t="s">
        <v>108</v>
      </c>
      <c r="O3425" t="s">
        <v>106</v>
      </c>
      <c r="P3425" t="s">
        <v>47</v>
      </c>
      <c r="Q3425" s="1">
        <v>43852</v>
      </c>
      <c r="R3425" t="s">
        <v>48</v>
      </c>
      <c r="S3425" t="s">
        <v>102</v>
      </c>
      <c r="T3425" t="s">
        <v>103</v>
      </c>
      <c r="U3425" t="s">
        <v>85</v>
      </c>
      <c r="V3425">
        <v>5000000</v>
      </c>
      <c r="W3425">
        <v>250000</v>
      </c>
      <c r="X3425" s="1">
        <v>43799</v>
      </c>
      <c r="Y3425" t="s">
        <v>51</v>
      </c>
      <c r="Z3425" t="s">
        <v>43</v>
      </c>
      <c r="AA3425" t="s">
        <v>86</v>
      </c>
      <c r="AB3425" t="s">
        <v>89</v>
      </c>
      <c r="AC3425" t="s">
        <v>90</v>
      </c>
      <c r="AF3425" t="s">
        <v>91</v>
      </c>
      <c r="AG3425" s="1">
        <v>43852</v>
      </c>
      <c r="AH3425" t="s">
        <v>85</v>
      </c>
      <c r="AI3425" t="s">
        <v>92</v>
      </c>
      <c r="AJ3425">
        <v>19888</v>
      </c>
      <c r="AK3425">
        <v>128777</v>
      </c>
      <c r="AL3425">
        <v>198882</v>
      </c>
    </row>
    <row r="3426" spans="1:38" x14ac:dyDescent="0.25">
      <c r="A3426" t="s">
        <v>226</v>
      </c>
      <c r="B3426" t="s">
        <v>678</v>
      </c>
      <c r="C3426" t="s">
        <v>40</v>
      </c>
      <c r="D3426" s="1">
        <v>43524</v>
      </c>
      <c r="E3426" s="1">
        <v>43888</v>
      </c>
      <c r="F3426" t="s">
        <v>84</v>
      </c>
      <c r="G3426">
        <v>10</v>
      </c>
      <c r="H3426" t="s">
        <v>85</v>
      </c>
      <c r="I3426" t="s">
        <v>43</v>
      </c>
      <c r="J3426" t="s">
        <v>86</v>
      </c>
      <c r="K3426" t="s">
        <v>44</v>
      </c>
      <c r="L3426">
        <v>6903.45</v>
      </c>
      <c r="M3426" s="1">
        <v>43615</v>
      </c>
      <c r="N3426" t="s">
        <v>108</v>
      </c>
      <c r="O3426" t="s">
        <v>106</v>
      </c>
      <c r="P3426" t="s">
        <v>47</v>
      </c>
      <c r="Q3426" s="1">
        <v>43852</v>
      </c>
      <c r="R3426" t="s">
        <v>48</v>
      </c>
      <c r="S3426" t="s">
        <v>102</v>
      </c>
      <c r="T3426" t="s">
        <v>103</v>
      </c>
      <c r="U3426" t="s">
        <v>85</v>
      </c>
      <c r="V3426">
        <v>5000000</v>
      </c>
      <c r="W3426">
        <v>250000</v>
      </c>
      <c r="X3426" s="1">
        <v>43799</v>
      </c>
      <c r="Y3426" t="s">
        <v>51</v>
      </c>
      <c r="Z3426" t="s">
        <v>43</v>
      </c>
      <c r="AA3426" t="s">
        <v>86</v>
      </c>
      <c r="AB3426" t="s">
        <v>89</v>
      </c>
      <c r="AC3426" t="s">
        <v>90</v>
      </c>
      <c r="AF3426" t="s">
        <v>93</v>
      </c>
      <c r="AG3426" s="1">
        <v>43843</v>
      </c>
      <c r="AH3426" t="s">
        <v>85</v>
      </c>
      <c r="AI3426" t="s">
        <v>92</v>
      </c>
      <c r="AJ3426">
        <v>19888</v>
      </c>
      <c r="AK3426">
        <v>128777</v>
      </c>
      <c r="AL3426">
        <v>198882</v>
      </c>
    </row>
    <row r="3427" spans="1:38" x14ac:dyDescent="0.25">
      <c r="A3427" t="s">
        <v>228</v>
      </c>
      <c r="B3427" t="s">
        <v>678</v>
      </c>
      <c r="C3427" t="s">
        <v>40</v>
      </c>
      <c r="D3427" s="1">
        <v>43524</v>
      </c>
      <c r="E3427" s="1">
        <v>43888</v>
      </c>
      <c r="F3427" t="s">
        <v>84</v>
      </c>
      <c r="G3427">
        <v>10</v>
      </c>
      <c r="H3427" t="s">
        <v>85</v>
      </c>
      <c r="I3427" t="s">
        <v>43</v>
      </c>
      <c r="J3427" t="s">
        <v>86</v>
      </c>
      <c r="K3427" t="s">
        <v>44</v>
      </c>
      <c r="L3427">
        <v>399.23</v>
      </c>
      <c r="M3427" s="1">
        <v>43637</v>
      </c>
      <c r="N3427" t="s">
        <v>108</v>
      </c>
      <c r="O3427" t="s">
        <v>106</v>
      </c>
      <c r="P3427" t="s">
        <v>47</v>
      </c>
      <c r="Q3427" s="1">
        <v>43852</v>
      </c>
      <c r="R3427" t="s">
        <v>48</v>
      </c>
      <c r="S3427" t="s">
        <v>87</v>
      </c>
      <c r="T3427" t="s">
        <v>88</v>
      </c>
      <c r="U3427" t="s">
        <v>85</v>
      </c>
      <c r="V3427">
        <v>1400000</v>
      </c>
      <c r="W3427">
        <v>100000</v>
      </c>
      <c r="X3427" s="1">
        <v>43808</v>
      </c>
      <c r="Y3427" t="s">
        <v>51</v>
      </c>
      <c r="Z3427" t="s">
        <v>43</v>
      </c>
      <c r="AA3427" t="s">
        <v>86</v>
      </c>
      <c r="AB3427" t="s">
        <v>89</v>
      </c>
      <c r="AC3427" t="s">
        <v>90</v>
      </c>
      <c r="AF3427" t="s">
        <v>91</v>
      </c>
      <c r="AG3427" s="1">
        <v>43852</v>
      </c>
      <c r="AH3427" t="s">
        <v>85</v>
      </c>
      <c r="AI3427" t="s">
        <v>92</v>
      </c>
      <c r="AJ3427">
        <v>19888</v>
      </c>
      <c r="AK3427">
        <v>128777</v>
      </c>
      <c r="AL3427">
        <v>198882</v>
      </c>
    </row>
    <row r="3428" spans="1:38" x14ac:dyDescent="0.25">
      <c r="A3428" t="s">
        <v>228</v>
      </c>
      <c r="B3428" t="s">
        <v>678</v>
      </c>
      <c r="C3428" t="s">
        <v>40</v>
      </c>
      <c r="D3428" s="1">
        <v>43524</v>
      </c>
      <c r="E3428" s="1">
        <v>43888</v>
      </c>
      <c r="F3428" t="s">
        <v>84</v>
      </c>
      <c r="G3428">
        <v>10</v>
      </c>
      <c r="H3428" t="s">
        <v>85</v>
      </c>
      <c r="I3428" t="s">
        <v>43</v>
      </c>
      <c r="J3428" t="s">
        <v>86</v>
      </c>
      <c r="K3428" t="s">
        <v>44</v>
      </c>
      <c r="L3428">
        <v>399.23</v>
      </c>
      <c r="M3428" s="1">
        <v>43637</v>
      </c>
      <c r="N3428" t="s">
        <v>108</v>
      </c>
      <c r="O3428" t="s">
        <v>106</v>
      </c>
      <c r="P3428" t="s">
        <v>47</v>
      </c>
      <c r="Q3428" s="1">
        <v>43852</v>
      </c>
      <c r="R3428" t="s">
        <v>48</v>
      </c>
      <c r="S3428" t="s">
        <v>87</v>
      </c>
      <c r="T3428" t="s">
        <v>88</v>
      </c>
      <c r="U3428" t="s">
        <v>85</v>
      </c>
      <c r="V3428">
        <v>1400000</v>
      </c>
      <c r="W3428">
        <v>100000</v>
      </c>
      <c r="X3428" s="1">
        <v>43808</v>
      </c>
      <c r="Y3428" t="s">
        <v>51</v>
      </c>
      <c r="Z3428" t="s">
        <v>43</v>
      </c>
      <c r="AA3428" t="s">
        <v>86</v>
      </c>
      <c r="AB3428" t="s">
        <v>89</v>
      </c>
      <c r="AC3428" t="s">
        <v>90</v>
      </c>
      <c r="AF3428" t="s">
        <v>93</v>
      </c>
      <c r="AG3428" s="1">
        <v>43843</v>
      </c>
      <c r="AH3428" t="s">
        <v>85</v>
      </c>
      <c r="AI3428" t="s">
        <v>92</v>
      </c>
      <c r="AJ3428">
        <v>19888</v>
      </c>
      <c r="AK3428">
        <v>128777</v>
      </c>
      <c r="AL3428">
        <v>198882</v>
      </c>
    </row>
    <row r="3429" spans="1:38" x14ac:dyDescent="0.25">
      <c r="A3429" t="s">
        <v>228</v>
      </c>
      <c r="B3429" t="s">
        <v>678</v>
      </c>
      <c r="C3429" t="s">
        <v>40</v>
      </c>
      <c r="D3429" s="1">
        <v>43524</v>
      </c>
      <c r="E3429" s="1">
        <v>43888</v>
      </c>
      <c r="F3429" t="s">
        <v>84</v>
      </c>
      <c r="G3429">
        <v>10</v>
      </c>
      <c r="H3429" t="s">
        <v>85</v>
      </c>
      <c r="I3429" t="s">
        <v>43</v>
      </c>
      <c r="J3429" t="s">
        <v>86</v>
      </c>
      <c r="K3429" t="s">
        <v>44</v>
      </c>
      <c r="L3429">
        <v>399.23</v>
      </c>
      <c r="M3429" s="1">
        <v>43637</v>
      </c>
      <c r="N3429" t="s">
        <v>108</v>
      </c>
      <c r="O3429" t="s">
        <v>106</v>
      </c>
      <c r="P3429" t="s">
        <v>47</v>
      </c>
      <c r="Q3429" s="1">
        <v>43852</v>
      </c>
      <c r="R3429" t="s">
        <v>48</v>
      </c>
      <c r="S3429" t="s">
        <v>94</v>
      </c>
      <c r="T3429" t="s">
        <v>95</v>
      </c>
      <c r="U3429" t="s">
        <v>85</v>
      </c>
      <c r="V3429">
        <v>4500000</v>
      </c>
      <c r="W3429">
        <v>300000</v>
      </c>
      <c r="X3429" s="1">
        <v>43767</v>
      </c>
      <c r="Y3429" t="s">
        <v>51</v>
      </c>
      <c r="Z3429" t="s">
        <v>43</v>
      </c>
      <c r="AA3429" t="s">
        <v>86</v>
      </c>
      <c r="AB3429" t="s">
        <v>89</v>
      </c>
      <c r="AC3429" t="s">
        <v>90</v>
      </c>
      <c r="AF3429" t="s">
        <v>91</v>
      </c>
      <c r="AG3429" s="1">
        <v>43852</v>
      </c>
      <c r="AH3429" t="s">
        <v>85</v>
      </c>
      <c r="AI3429" t="s">
        <v>92</v>
      </c>
      <c r="AJ3429">
        <v>19888</v>
      </c>
      <c r="AK3429">
        <v>128777</v>
      </c>
      <c r="AL3429">
        <v>198882</v>
      </c>
    </row>
    <row r="3430" spans="1:38" x14ac:dyDescent="0.25">
      <c r="A3430" t="s">
        <v>228</v>
      </c>
      <c r="B3430" t="s">
        <v>678</v>
      </c>
      <c r="C3430" t="s">
        <v>40</v>
      </c>
      <c r="D3430" s="1">
        <v>43524</v>
      </c>
      <c r="E3430" s="1">
        <v>43888</v>
      </c>
      <c r="F3430" t="s">
        <v>84</v>
      </c>
      <c r="G3430">
        <v>10</v>
      </c>
      <c r="H3430" t="s">
        <v>85</v>
      </c>
      <c r="I3430" t="s">
        <v>43</v>
      </c>
      <c r="J3430" t="s">
        <v>86</v>
      </c>
      <c r="K3430" t="s">
        <v>44</v>
      </c>
      <c r="L3430">
        <v>399.23</v>
      </c>
      <c r="M3430" s="1">
        <v>43637</v>
      </c>
      <c r="N3430" t="s">
        <v>108</v>
      </c>
      <c r="O3430" t="s">
        <v>106</v>
      </c>
      <c r="P3430" t="s">
        <v>47</v>
      </c>
      <c r="Q3430" s="1">
        <v>43852</v>
      </c>
      <c r="R3430" t="s">
        <v>48</v>
      </c>
      <c r="S3430" t="s">
        <v>94</v>
      </c>
      <c r="T3430" t="s">
        <v>95</v>
      </c>
      <c r="U3430" t="s">
        <v>85</v>
      </c>
      <c r="V3430">
        <v>4500000</v>
      </c>
      <c r="W3430">
        <v>300000</v>
      </c>
      <c r="X3430" s="1">
        <v>43767</v>
      </c>
      <c r="Y3430" t="s">
        <v>51</v>
      </c>
      <c r="Z3430" t="s">
        <v>43</v>
      </c>
      <c r="AA3430" t="s">
        <v>86</v>
      </c>
      <c r="AB3430" t="s">
        <v>89</v>
      </c>
      <c r="AC3430" t="s">
        <v>90</v>
      </c>
      <c r="AF3430" t="s">
        <v>93</v>
      </c>
      <c r="AG3430" s="1">
        <v>43843</v>
      </c>
      <c r="AH3430" t="s">
        <v>85</v>
      </c>
      <c r="AI3430" t="s">
        <v>92</v>
      </c>
      <c r="AJ3430">
        <v>19888</v>
      </c>
      <c r="AK3430">
        <v>128777</v>
      </c>
      <c r="AL3430">
        <v>198882</v>
      </c>
    </row>
    <row r="3431" spans="1:38" x14ac:dyDescent="0.25">
      <c r="A3431" t="s">
        <v>228</v>
      </c>
      <c r="B3431" t="s">
        <v>678</v>
      </c>
      <c r="C3431" t="s">
        <v>40</v>
      </c>
      <c r="D3431" s="1">
        <v>43524</v>
      </c>
      <c r="E3431" s="1">
        <v>43888</v>
      </c>
      <c r="F3431" t="s">
        <v>84</v>
      </c>
      <c r="G3431">
        <v>10</v>
      </c>
      <c r="H3431" t="s">
        <v>85</v>
      </c>
      <c r="I3431" t="s">
        <v>43</v>
      </c>
      <c r="J3431" t="s">
        <v>86</v>
      </c>
      <c r="K3431" t="s">
        <v>44</v>
      </c>
      <c r="L3431">
        <v>399.23</v>
      </c>
      <c r="M3431" s="1">
        <v>43637</v>
      </c>
      <c r="N3431" t="s">
        <v>108</v>
      </c>
      <c r="O3431" t="s">
        <v>106</v>
      </c>
      <c r="P3431" t="s">
        <v>47</v>
      </c>
      <c r="Q3431" s="1">
        <v>43852</v>
      </c>
      <c r="R3431" t="s">
        <v>48</v>
      </c>
      <c r="S3431" t="s">
        <v>96</v>
      </c>
      <c r="T3431" t="s">
        <v>97</v>
      </c>
      <c r="U3431" t="s">
        <v>85</v>
      </c>
      <c r="V3431">
        <v>600000</v>
      </c>
      <c r="W3431">
        <v>100000</v>
      </c>
      <c r="X3431" s="1">
        <v>43799</v>
      </c>
      <c r="Y3431" t="s">
        <v>51</v>
      </c>
      <c r="Z3431" t="s">
        <v>43</v>
      </c>
      <c r="AA3431" t="s">
        <v>98</v>
      </c>
      <c r="AB3431" t="s">
        <v>89</v>
      </c>
      <c r="AC3431" t="s">
        <v>90</v>
      </c>
      <c r="AF3431" t="s">
        <v>91</v>
      </c>
      <c r="AG3431" s="1">
        <v>43852</v>
      </c>
      <c r="AH3431" t="s">
        <v>85</v>
      </c>
      <c r="AI3431" t="s">
        <v>92</v>
      </c>
      <c r="AJ3431">
        <v>19888</v>
      </c>
      <c r="AK3431">
        <v>128777</v>
      </c>
      <c r="AL3431">
        <v>198882</v>
      </c>
    </row>
    <row r="3432" spans="1:38" x14ac:dyDescent="0.25">
      <c r="A3432" t="s">
        <v>228</v>
      </c>
      <c r="B3432" t="s">
        <v>678</v>
      </c>
      <c r="C3432" t="s">
        <v>40</v>
      </c>
      <c r="D3432" s="1">
        <v>43524</v>
      </c>
      <c r="E3432" s="1">
        <v>43888</v>
      </c>
      <c r="F3432" t="s">
        <v>84</v>
      </c>
      <c r="G3432">
        <v>10</v>
      </c>
      <c r="H3432" t="s">
        <v>85</v>
      </c>
      <c r="I3432" t="s">
        <v>43</v>
      </c>
      <c r="J3432" t="s">
        <v>86</v>
      </c>
      <c r="K3432" t="s">
        <v>44</v>
      </c>
      <c r="L3432">
        <v>399.23</v>
      </c>
      <c r="M3432" s="1">
        <v>43637</v>
      </c>
      <c r="N3432" t="s">
        <v>108</v>
      </c>
      <c r="O3432" t="s">
        <v>106</v>
      </c>
      <c r="P3432" t="s">
        <v>47</v>
      </c>
      <c r="Q3432" s="1">
        <v>43852</v>
      </c>
      <c r="R3432" t="s">
        <v>48</v>
      </c>
      <c r="S3432" t="s">
        <v>96</v>
      </c>
      <c r="T3432" t="s">
        <v>97</v>
      </c>
      <c r="U3432" t="s">
        <v>85</v>
      </c>
      <c r="V3432">
        <v>600000</v>
      </c>
      <c r="W3432">
        <v>100000</v>
      </c>
      <c r="X3432" s="1">
        <v>43799</v>
      </c>
      <c r="Y3432" t="s">
        <v>51</v>
      </c>
      <c r="Z3432" t="s">
        <v>43</v>
      </c>
      <c r="AA3432" t="s">
        <v>98</v>
      </c>
      <c r="AB3432" t="s">
        <v>89</v>
      </c>
      <c r="AC3432" t="s">
        <v>90</v>
      </c>
      <c r="AF3432" t="s">
        <v>93</v>
      </c>
      <c r="AG3432" s="1">
        <v>43843</v>
      </c>
      <c r="AH3432" t="s">
        <v>85</v>
      </c>
      <c r="AI3432" t="s">
        <v>92</v>
      </c>
      <c r="AJ3432">
        <v>19888</v>
      </c>
      <c r="AK3432">
        <v>128777</v>
      </c>
      <c r="AL3432">
        <v>198882</v>
      </c>
    </row>
    <row r="3433" spans="1:38" x14ac:dyDescent="0.25">
      <c r="A3433" t="s">
        <v>228</v>
      </c>
      <c r="B3433" t="s">
        <v>678</v>
      </c>
      <c r="C3433" t="s">
        <v>40</v>
      </c>
      <c r="D3433" s="1">
        <v>43524</v>
      </c>
      <c r="E3433" s="1">
        <v>43888</v>
      </c>
      <c r="F3433" t="s">
        <v>84</v>
      </c>
      <c r="G3433">
        <v>10</v>
      </c>
      <c r="H3433" t="s">
        <v>85</v>
      </c>
      <c r="I3433" t="s">
        <v>43</v>
      </c>
      <c r="J3433" t="s">
        <v>86</v>
      </c>
      <c r="K3433" t="s">
        <v>44</v>
      </c>
      <c r="L3433">
        <v>399.23</v>
      </c>
      <c r="M3433" s="1">
        <v>43637</v>
      </c>
      <c r="N3433" t="s">
        <v>108</v>
      </c>
      <c r="O3433" t="s">
        <v>106</v>
      </c>
      <c r="P3433" t="s">
        <v>47</v>
      </c>
      <c r="Q3433" s="1">
        <v>43852</v>
      </c>
      <c r="R3433" t="s">
        <v>48</v>
      </c>
      <c r="S3433" t="s">
        <v>99</v>
      </c>
      <c r="T3433" t="s">
        <v>100</v>
      </c>
      <c r="U3433" t="s">
        <v>85</v>
      </c>
      <c r="V3433">
        <v>210000</v>
      </c>
      <c r="W3433">
        <v>35000</v>
      </c>
      <c r="X3433" s="1">
        <v>43799</v>
      </c>
      <c r="Y3433" t="s">
        <v>51</v>
      </c>
      <c r="Z3433" t="s">
        <v>43</v>
      </c>
      <c r="AA3433" t="s">
        <v>98</v>
      </c>
      <c r="AB3433" t="s">
        <v>89</v>
      </c>
      <c r="AC3433" t="s">
        <v>101</v>
      </c>
      <c r="AF3433" t="s">
        <v>91</v>
      </c>
      <c r="AG3433" s="1">
        <v>43852</v>
      </c>
      <c r="AH3433" t="s">
        <v>85</v>
      </c>
      <c r="AI3433" t="s">
        <v>92</v>
      </c>
      <c r="AJ3433">
        <v>19888</v>
      </c>
      <c r="AK3433">
        <v>128777</v>
      </c>
      <c r="AL3433">
        <v>198882</v>
      </c>
    </row>
    <row r="3434" spans="1:38" x14ac:dyDescent="0.25">
      <c r="A3434" t="s">
        <v>228</v>
      </c>
      <c r="B3434" t="s">
        <v>678</v>
      </c>
      <c r="C3434" t="s">
        <v>40</v>
      </c>
      <c r="D3434" s="1">
        <v>43524</v>
      </c>
      <c r="E3434" s="1">
        <v>43888</v>
      </c>
      <c r="F3434" t="s">
        <v>84</v>
      </c>
      <c r="G3434">
        <v>10</v>
      </c>
      <c r="H3434" t="s">
        <v>85</v>
      </c>
      <c r="I3434" t="s">
        <v>43</v>
      </c>
      <c r="J3434" t="s">
        <v>86</v>
      </c>
      <c r="K3434" t="s">
        <v>44</v>
      </c>
      <c r="L3434">
        <v>399.23</v>
      </c>
      <c r="M3434" s="1">
        <v>43637</v>
      </c>
      <c r="N3434" t="s">
        <v>108</v>
      </c>
      <c r="O3434" t="s">
        <v>106</v>
      </c>
      <c r="P3434" t="s">
        <v>47</v>
      </c>
      <c r="Q3434" s="1">
        <v>43852</v>
      </c>
      <c r="R3434" t="s">
        <v>48</v>
      </c>
      <c r="S3434" t="s">
        <v>99</v>
      </c>
      <c r="T3434" t="s">
        <v>100</v>
      </c>
      <c r="U3434" t="s">
        <v>85</v>
      </c>
      <c r="V3434">
        <v>210000</v>
      </c>
      <c r="W3434">
        <v>35000</v>
      </c>
      <c r="X3434" s="1">
        <v>43799</v>
      </c>
      <c r="Y3434" t="s">
        <v>51</v>
      </c>
      <c r="Z3434" t="s">
        <v>43</v>
      </c>
      <c r="AA3434" t="s">
        <v>98</v>
      </c>
      <c r="AB3434" t="s">
        <v>89</v>
      </c>
      <c r="AC3434" t="s">
        <v>101</v>
      </c>
      <c r="AF3434" t="s">
        <v>93</v>
      </c>
      <c r="AG3434" s="1">
        <v>43843</v>
      </c>
      <c r="AH3434" t="s">
        <v>85</v>
      </c>
      <c r="AI3434" t="s">
        <v>92</v>
      </c>
      <c r="AJ3434">
        <v>19888</v>
      </c>
      <c r="AK3434">
        <v>128777</v>
      </c>
      <c r="AL3434">
        <v>198882</v>
      </c>
    </row>
    <row r="3435" spans="1:38" x14ac:dyDescent="0.25">
      <c r="A3435" t="s">
        <v>228</v>
      </c>
      <c r="B3435" t="s">
        <v>678</v>
      </c>
      <c r="C3435" t="s">
        <v>40</v>
      </c>
      <c r="D3435" s="1">
        <v>43524</v>
      </c>
      <c r="E3435" s="1">
        <v>43888</v>
      </c>
      <c r="F3435" t="s">
        <v>84</v>
      </c>
      <c r="G3435">
        <v>10</v>
      </c>
      <c r="H3435" t="s">
        <v>85</v>
      </c>
      <c r="I3435" t="s">
        <v>43</v>
      </c>
      <c r="J3435" t="s">
        <v>86</v>
      </c>
      <c r="K3435" t="s">
        <v>44</v>
      </c>
      <c r="L3435">
        <v>399.23</v>
      </c>
      <c r="M3435" s="1">
        <v>43637</v>
      </c>
      <c r="N3435" t="s">
        <v>108</v>
      </c>
      <c r="O3435" t="s">
        <v>106</v>
      </c>
      <c r="P3435" t="s">
        <v>47</v>
      </c>
      <c r="Q3435" s="1">
        <v>43852</v>
      </c>
      <c r="R3435" t="s">
        <v>48</v>
      </c>
      <c r="S3435" t="s">
        <v>102</v>
      </c>
      <c r="T3435" t="s">
        <v>103</v>
      </c>
      <c r="U3435" t="s">
        <v>85</v>
      </c>
      <c r="V3435">
        <v>5000000</v>
      </c>
      <c r="W3435">
        <v>250000</v>
      </c>
      <c r="X3435" s="1">
        <v>43799</v>
      </c>
      <c r="Y3435" t="s">
        <v>51</v>
      </c>
      <c r="Z3435" t="s">
        <v>43</v>
      </c>
      <c r="AA3435" t="s">
        <v>86</v>
      </c>
      <c r="AB3435" t="s">
        <v>89</v>
      </c>
      <c r="AC3435" t="s">
        <v>90</v>
      </c>
      <c r="AF3435" t="s">
        <v>91</v>
      </c>
      <c r="AG3435" s="1">
        <v>43852</v>
      </c>
      <c r="AH3435" t="s">
        <v>85</v>
      </c>
      <c r="AI3435" t="s">
        <v>92</v>
      </c>
      <c r="AJ3435">
        <v>19888</v>
      </c>
      <c r="AK3435">
        <v>128777</v>
      </c>
      <c r="AL3435">
        <v>198882</v>
      </c>
    </row>
    <row r="3436" spans="1:38" x14ac:dyDescent="0.25">
      <c r="A3436" t="s">
        <v>228</v>
      </c>
      <c r="B3436" t="s">
        <v>678</v>
      </c>
      <c r="C3436" t="s">
        <v>40</v>
      </c>
      <c r="D3436" s="1">
        <v>43524</v>
      </c>
      <c r="E3436" s="1">
        <v>43888</v>
      </c>
      <c r="F3436" t="s">
        <v>84</v>
      </c>
      <c r="G3436">
        <v>10</v>
      </c>
      <c r="H3436" t="s">
        <v>85</v>
      </c>
      <c r="I3436" t="s">
        <v>43</v>
      </c>
      <c r="J3436" t="s">
        <v>86</v>
      </c>
      <c r="K3436" t="s">
        <v>44</v>
      </c>
      <c r="L3436">
        <v>399.23</v>
      </c>
      <c r="M3436" s="1">
        <v>43637</v>
      </c>
      <c r="N3436" t="s">
        <v>108</v>
      </c>
      <c r="O3436" t="s">
        <v>106</v>
      </c>
      <c r="P3436" t="s">
        <v>47</v>
      </c>
      <c r="Q3436" s="1">
        <v>43852</v>
      </c>
      <c r="R3436" t="s">
        <v>48</v>
      </c>
      <c r="S3436" t="s">
        <v>102</v>
      </c>
      <c r="T3436" t="s">
        <v>103</v>
      </c>
      <c r="U3436" t="s">
        <v>85</v>
      </c>
      <c r="V3436">
        <v>5000000</v>
      </c>
      <c r="W3436">
        <v>250000</v>
      </c>
      <c r="X3436" s="1">
        <v>43799</v>
      </c>
      <c r="Y3436" t="s">
        <v>51</v>
      </c>
      <c r="Z3436" t="s">
        <v>43</v>
      </c>
      <c r="AA3436" t="s">
        <v>86</v>
      </c>
      <c r="AB3436" t="s">
        <v>89</v>
      </c>
      <c r="AC3436" t="s">
        <v>90</v>
      </c>
      <c r="AF3436" t="s">
        <v>93</v>
      </c>
      <c r="AG3436" s="1">
        <v>43843</v>
      </c>
      <c r="AH3436" t="s">
        <v>85</v>
      </c>
      <c r="AI3436" t="s">
        <v>92</v>
      </c>
      <c r="AJ3436">
        <v>19888</v>
      </c>
      <c r="AK3436">
        <v>128777</v>
      </c>
      <c r="AL3436">
        <v>198882</v>
      </c>
    </row>
    <row r="3437" spans="1:38" x14ac:dyDescent="0.25">
      <c r="A3437" t="s">
        <v>229</v>
      </c>
      <c r="B3437" t="s">
        <v>678</v>
      </c>
      <c r="C3437" t="s">
        <v>40</v>
      </c>
      <c r="D3437" s="1">
        <v>43524</v>
      </c>
      <c r="E3437" s="1">
        <v>43888</v>
      </c>
      <c r="F3437" t="s">
        <v>84</v>
      </c>
      <c r="G3437">
        <v>10</v>
      </c>
      <c r="H3437" t="s">
        <v>85</v>
      </c>
      <c r="I3437" t="s">
        <v>43</v>
      </c>
      <c r="J3437" t="s">
        <v>86</v>
      </c>
      <c r="K3437" t="s">
        <v>44</v>
      </c>
      <c r="L3437">
        <v>6259.35</v>
      </c>
      <c r="M3437" s="1">
        <v>43637</v>
      </c>
      <c r="N3437" t="s">
        <v>108</v>
      </c>
      <c r="O3437" t="s">
        <v>106</v>
      </c>
      <c r="P3437" t="s">
        <v>47</v>
      </c>
      <c r="Q3437" s="1">
        <v>43852</v>
      </c>
      <c r="R3437" t="s">
        <v>48</v>
      </c>
      <c r="S3437" t="s">
        <v>87</v>
      </c>
      <c r="T3437" t="s">
        <v>88</v>
      </c>
      <c r="U3437" t="s">
        <v>85</v>
      </c>
      <c r="V3437">
        <v>1400000</v>
      </c>
      <c r="W3437">
        <v>100000</v>
      </c>
      <c r="X3437" s="1">
        <v>43808</v>
      </c>
      <c r="Y3437" t="s">
        <v>51</v>
      </c>
      <c r="Z3437" t="s">
        <v>43</v>
      </c>
      <c r="AA3437" t="s">
        <v>86</v>
      </c>
      <c r="AB3437" t="s">
        <v>89</v>
      </c>
      <c r="AC3437" t="s">
        <v>90</v>
      </c>
      <c r="AF3437" t="s">
        <v>91</v>
      </c>
      <c r="AG3437" s="1">
        <v>43852</v>
      </c>
      <c r="AH3437" t="s">
        <v>85</v>
      </c>
      <c r="AI3437" t="s">
        <v>92</v>
      </c>
      <c r="AJ3437">
        <v>19888</v>
      </c>
      <c r="AK3437">
        <v>128777</v>
      </c>
      <c r="AL3437">
        <v>198882</v>
      </c>
    </row>
    <row r="3438" spans="1:38" x14ac:dyDescent="0.25">
      <c r="A3438" t="s">
        <v>229</v>
      </c>
      <c r="B3438" t="s">
        <v>678</v>
      </c>
      <c r="C3438" t="s">
        <v>40</v>
      </c>
      <c r="D3438" s="1">
        <v>43524</v>
      </c>
      <c r="E3438" s="1">
        <v>43888</v>
      </c>
      <c r="F3438" t="s">
        <v>84</v>
      </c>
      <c r="G3438">
        <v>10</v>
      </c>
      <c r="H3438" t="s">
        <v>85</v>
      </c>
      <c r="I3438" t="s">
        <v>43</v>
      </c>
      <c r="J3438" t="s">
        <v>86</v>
      </c>
      <c r="K3438" t="s">
        <v>44</v>
      </c>
      <c r="L3438">
        <v>6259.35</v>
      </c>
      <c r="M3438" s="1">
        <v>43637</v>
      </c>
      <c r="N3438" t="s">
        <v>108</v>
      </c>
      <c r="O3438" t="s">
        <v>106</v>
      </c>
      <c r="P3438" t="s">
        <v>47</v>
      </c>
      <c r="Q3438" s="1">
        <v>43852</v>
      </c>
      <c r="R3438" t="s">
        <v>48</v>
      </c>
      <c r="S3438" t="s">
        <v>87</v>
      </c>
      <c r="T3438" t="s">
        <v>88</v>
      </c>
      <c r="U3438" t="s">
        <v>85</v>
      </c>
      <c r="V3438">
        <v>1400000</v>
      </c>
      <c r="W3438">
        <v>100000</v>
      </c>
      <c r="X3438" s="1">
        <v>43808</v>
      </c>
      <c r="Y3438" t="s">
        <v>51</v>
      </c>
      <c r="Z3438" t="s">
        <v>43</v>
      </c>
      <c r="AA3438" t="s">
        <v>86</v>
      </c>
      <c r="AB3438" t="s">
        <v>89</v>
      </c>
      <c r="AC3438" t="s">
        <v>90</v>
      </c>
      <c r="AF3438" t="s">
        <v>93</v>
      </c>
      <c r="AG3438" s="1">
        <v>43843</v>
      </c>
      <c r="AH3438" t="s">
        <v>85</v>
      </c>
      <c r="AI3438" t="s">
        <v>92</v>
      </c>
      <c r="AJ3438">
        <v>19888</v>
      </c>
      <c r="AK3438">
        <v>128777</v>
      </c>
      <c r="AL3438">
        <v>198882</v>
      </c>
    </row>
    <row r="3439" spans="1:38" x14ac:dyDescent="0.25">
      <c r="A3439" t="s">
        <v>229</v>
      </c>
      <c r="B3439" t="s">
        <v>678</v>
      </c>
      <c r="C3439" t="s">
        <v>40</v>
      </c>
      <c r="D3439" s="1">
        <v>43524</v>
      </c>
      <c r="E3439" s="1">
        <v>43888</v>
      </c>
      <c r="F3439" t="s">
        <v>84</v>
      </c>
      <c r="G3439">
        <v>10</v>
      </c>
      <c r="H3439" t="s">
        <v>85</v>
      </c>
      <c r="I3439" t="s">
        <v>43</v>
      </c>
      <c r="J3439" t="s">
        <v>86</v>
      </c>
      <c r="K3439" t="s">
        <v>44</v>
      </c>
      <c r="L3439">
        <v>6259.35</v>
      </c>
      <c r="M3439" s="1">
        <v>43637</v>
      </c>
      <c r="N3439" t="s">
        <v>108</v>
      </c>
      <c r="O3439" t="s">
        <v>106</v>
      </c>
      <c r="P3439" t="s">
        <v>47</v>
      </c>
      <c r="Q3439" s="1">
        <v>43852</v>
      </c>
      <c r="R3439" t="s">
        <v>48</v>
      </c>
      <c r="S3439" t="s">
        <v>94</v>
      </c>
      <c r="T3439" t="s">
        <v>95</v>
      </c>
      <c r="U3439" t="s">
        <v>85</v>
      </c>
      <c r="V3439">
        <v>4500000</v>
      </c>
      <c r="W3439">
        <v>300000</v>
      </c>
      <c r="X3439" s="1">
        <v>43767</v>
      </c>
      <c r="Y3439" t="s">
        <v>51</v>
      </c>
      <c r="Z3439" t="s">
        <v>43</v>
      </c>
      <c r="AA3439" t="s">
        <v>86</v>
      </c>
      <c r="AB3439" t="s">
        <v>89</v>
      </c>
      <c r="AC3439" t="s">
        <v>90</v>
      </c>
      <c r="AF3439" t="s">
        <v>91</v>
      </c>
      <c r="AG3439" s="1">
        <v>43852</v>
      </c>
      <c r="AH3439" t="s">
        <v>85</v>
      </c>
      <c r="AI3439" t="s">
        <v>92</v>
      </c>
      <c r="AJ3439">
        <v>19888</v>
      </c>
      <c r="AK3439">
        <v>128777</v>
      </c>
      <c r="AL3439">
        <v>198882</v>
      </c>
    </row>
    <row r="3440" spans="1:38" x14ac:dyDescent="0.25">
      <c r="A3440" t="s">
        <v>229</v>
      </c>
      <c r="B3440" t="s">
        <v>678</v>
      </c>
      <c r="C3440" t="s">
        <v>40</v>
      </c>
      <c r="D3440" s="1">
        <v>43524</v>
      </c>
      <c r="E3440" s="1">
        <v>43888</v>
      </c>
      <c r="F3440" t="s">
        <v>84</v>
      </c>
      <c r="G3440">
        <v>10</v>
      </c>
      <c r="H3440" t="s">
        <v>85</v>
      </c>
      <c r="I3440" t="s">
        <v>43</v>
      </c>
      <c r="J3440" t="s">
        <v>86</v>
      </c>
      <c r="K3440" t="s">
        <v>44</v>
      </c>
      <c r="L3440">
        <v>6259.35</v>
      </c>
      <c r="M3440" s="1">
        <v>43637</v>
      </c>
      <c r="N3440" t="s">
        <v>108</v>
      </c>
      <c r="O3440" t="s">
        <v>106</v>
      </c>
      <c r="P3440" t="s">
        <v>47</v>
      </c>
      <c r="Q3440" s="1">
        <v>43852</v>
      </c>
      <c r="R3440" t="s">
        <v>48</v>
      </c>
      <c r="S3440" t="s">
        <v>94</v>
      </c>
      <c r="T3440" t="s">
        <v>95</v>
      </c>
      <c r="U3440" t="s">
        <v>85</v>
      </c>
      <c r="V3440">
        <v>4500000</v>
      </c>
      <c r="W3440">
        <v>300000</v>
      </c>
      <c r="X3440" s="1">
        <v>43767</v>
      </c>
      <c r="Y3440" t="s">
        <v>51</v>
      </c>
      <c r="Z3440" t="s">
        <v>43</v>
      </c>
      <c r="AA3440" t="s">
        <v>86</v>
      </c>
      <c r="AB3440" t="s">
        <v>89</v>
      </c>
      <c r="AC3440" t="s">
        <v>90</v>
      </c>
      <c r="AF3440" t="s">
        <v>93</v>
      </c>
      <c r="AG3440" s="1">
        <v>43843</v>
      </c>
      <c r="AH3440" t="s">
        <v>85</v>
      </c>
      <c r="AI3440" t="s">
        <v>92</v>
      </c>
      <c r="AJ3440">
        <v>19888</v>
      </c>
      <c r="AK3440">
        <v>128777</v>
      </c>
      <c r="AL3440">
        <v>198882</v>
      </c>
    </row>
    <row r="3441" spans="1:38" x14ac:dyDescent="0.25">
      <c r="A3441" t="s">
        <v>229</v>
      </c>
      <c r="B3441" t="s">
        <v>678</v>
      </c>
      <c r="C3441" t="s">
        <v>40</v>
      </c>
      <c r="D3441" s="1">
        <v>43524</v>
      </c>
      <c r="E3441" s="1">
        <v>43888</v>
      </c>
      <c r="F3441" t="s">
        <v>84</v>
      </c>
      <c r="G3441">
        <v>10</v>
      </c>
      <c r="H3441" t="s">
        <v>85</v>
      </c>
      <c r="I3441" t="s">
        <v>43</v>
      </c>
      <c r="J3441" t="s">
        <v>86</v>
      </c>
      <c r="K3441" t="s">
        <v>44</v>
      </c>
      <c r="L3441">
        <v>6259.35</v>
      </c>
      <c r="M3441" s="1">
        <v>43637</v>
      </c>
      <c r="N3441" t="s">
        <v>108</v>
      </c>
      <c r="O3441" t="s">
        <v>106</v>
      </c>
      <c r="P3441" t="s">
        <v>47</v>
      </c>
      <c r="Q3441" s="1">
        <v>43852</v>
      </c>
      <c r="R3441" t="s">
        <v>48</v>
      </c>
      <c r="S3441" t="s">
        <v>96</v>
      </c>
      <c r="T3441" t="s">
        <v>97</v>
      </c>
      <c r="U3441" t="s">
        <v>85</v>
      </c>
      <c r="V3441">
        <v>600000</v>
      </c>
      <c r="W3441">
        <v>100000</v>
      </c>
      <c r="X3441" s="1">
        <v>43799</v>
      </c>
      <c r="Y3441" t="s">
        <v>51</v>
      </c>
      <c r="Z3441" t="s">
        <v>43</v>
      </c>
      <c r="AA3441" t="s">
        <v>98</v>
      </c>
      <c r="AB3441" t="s">
        <v>89</v>
      </c>
      <c r="AC3441" t="s">
        <v>90</v>
      </c>
      <c r="AF3441" t="s">
        <v>91</v>
      </c>
      <c r="AG3441" s="1">
        <v>43852</v>
      </c>
      <c r="AH3441" t="s">
        <v>85</v>
      </c>
      <c r="AI3441" t="s">
        <v>92</v>
      </c>
      <c r="AJ3441">
        <v>19888</v>
      </c>
      <c r="AK3441">
        <v>128777</v>
      </c>
      <c r="AL3441">
        <v>198882</v>
      </c>
    </row>
    <row r="3442" spans="1:38" x14ac:dyDescent="0.25">
      <c r="A3442" t="s">
        <v>229</v>
      </c>
      <c r="B3442" t="s">
        <v>678</v>
      </c>
      <c r="C3442" t="s">
        <v>40</v>
      </c>
      <c r="D3442" s="1">
        <v>43524</v>
      </c>
      <c r="E3442" s="1">
        <v>43888</v>
      </c>
      <c r="F3442" t="s">
        <v>84</v>
      </c>
      <c r="G3442">
        <v>10</v>
      </c>
      <c r="H3442" t="s">
        <v>85</v>
      </c>
      <c r="I3442" t="s">
        <v>43</v>
      </c>
      <c r="J3442" t="s">
        <v>86</v>
      </c>
      <c r="K3442" t="s">
        <v>44</v>
      </c>
      <c r="L3442">
        <v>6259.35</v>
      </c>
      <c r="M3442" s="1">
        <v>43637</v>
      </c>
      <c r="N3442" t="s">
        <v>108</v>
      </c>
      <c r="O3442" t="s">
        <v>106</v>
      </c>
      <c r="P3442" t="s">
        <v>47</v>
      </c>
      <c r="Q3442" s="1">
        <v>43852</v>
      </c>
      <c r="R3442" t="s">
        <v>48</v>
      </c>
      <c r="S3442" t="s">
        <v>96</v>
      </c>
      <c r="T3442" t="s">
        <v>97</v>
      </c>
      <c r="U3442" t="s">
        <v>85</v>
      </c>
      <c r="V3442">
        <v>600000</v>
      </c>
      <c r="W3442">
        <v>100000</v>
      </c>
      <c r="X3442" s="1">
        <v>43799</v>
      </c>
      <c r="Y3442" t="s">
        <v>51</v>
      </c>
      <c r="Z3442" t="s">
        <v>43</v>
      </c>
      <c r="AA3442" t="s">
        <v>98</v>
      </c>
      <c r="AB3442" t="s">
        <v>89</v>
      </c>
      <c r="AC3442" t="s">
        <v>90</v>
      </c>
      <c r="AF3442" t="s">
        <v>93</v>
      </c>
      <c r="AG3442" s="1">
        <v>43843</v>
      </c>
      <c r="AH3442" t="s">
        <v>85</v>
      </c>
      <c r="AI3442" t="s">
        <v>92</v>
      </c>
      <c r="AJ3442">
        <v>19888</v>
      </c>
      <c r="AK3442">
        <v>128777</v>
      </c>
      <c r="AL3442">
        <v>198882</v>
      </c>
    </row>
    <row r="3443" spans="1:38" x14ac:dyDescent="0.25">
      <c r="A3443" t="s">
        <v>229</v>
      </c>
      <c r="B3443" t="s">
        <v>678</v>
      </c>
      <c r="C3443" t="s">
        <v>40</v>
      </c>
      <c r="D3443" s="1">
        <v>43524</v>
      </c>
      <c r="E3443" s="1">
        <v>43888</v>
      </c>
      <c r="F3443" t="s">
        <v>84</v>
      </c>
      <c r="G3443">
        <v>10</v>
      </c>
      <c r="H3443" t="s">
        <v>85</v>
      </c>
      <c r="I3443" t="s">
        <v>43</v>
      </c>
      <c r="J3443" t="s">
        <v>86</v>
      </c>
      <c r="K3443" t="s">
        <v>44</v>
      </c>
      <c r="L3443">
        <v>6259.35</v>
      </c>
      <c r="M3443" s="1">
        <v>43637</v>
      </c>
      <c r="N3443" t="s">
        <v>108</v>
      </c>
      <c r="O3443" t="s">
        <v>106</v>
      </c>
      <c r="P3443" t="s">
        <v>47</v>
      </c>
      <c r="Q3443" s="1">
        <v>43852</v>
      </c>
      <c r="R3443" t="s">
        <v>48</v>
      </c>
      <c r="S3443" t="s">
        <v>99</v>
      </c>
      <c r="T3443" t="s">
        <v>100</v>
      </c>
      <c r="U3443" t="s">
        <v>85</v>
      </c>
      <c r="V3443">
        <v>210000</v>
      </c>
      <c r="W3443">
        <v>35000</v>
      </c>
      <c r="X3443" s="1">
        <v>43799</v>
      </c>
      <c r="Y3443" t="s">
        <v>51</v>
      </c>
      <c r="Z3443" t="s">
        <v>43</v>
      </c>
      <c r="AA3443" t="s">
        <v>98</v>
      </c>
      <c r="AB3443" t="s">
        <v>89</v>
      </c>
      <c r="AC3443" t="s">
        <v>101</v>
      </c>
      <c r="AF3443" t="s">
        <v>91</v>
      </c>
      <c r="AG3443" s="1">
        <v>43852</v>
      </c>
      <c r="AH3443" t="s">
        <v>85</v>
      </c>
      <c r="AI3443" t="s">
        <v>92</v>
      </c>
      <c r="AJ3443">
        <v>19888</v>
      </c>
      <c r="AK3443">
        <v>128777</v>
      </c>
      <c r="AL3443">
        <v>198882</v>
      </c>
    </row>
    <row r="3444" spans="1:38" x14ac:dyDescent="0.25">
      <c r="A3444" t="s">
        <v>229</v>
      </c>
      <c r="B3444" t="s">
        <v>678</v>
      </c>
      <c r="C3444" t="s">
        <v>40</v>
      </c>
      <c r="D3444" s="1">
        <v>43524</v>
      </c>
      <c r="E3444" s="1">
        <v>43888</v>
      </c>
      <c r="F3444" t="s">
        <v>84</v>
      </c>
      <c r="G3444">
        <v>10</v>
      </c>
      <c r="H3444" t="s">
        <v>85</v>
      </c>
      <c r="I3444" t="s">
        <v>43</v>
      </c>
      <c r="J3444" t="s">
        <v>86</v>
      </c>
      <c r="K3444" t="s">
        <v>44</v>
      </c>
      <c r="L3444">
        <v>6259.35</v>
      </c>
      <c r="M3444" s="1">
        <v>43637</v>
      </c>
      <c r="N3444" t="s">
        <v>108</v>
      </c>
      <c r="O3444" t="s">
        <v>106</v>
      </c>
      <c r="P3444" t="s">
        <v>47</v>
      </c>
      <c r="Q3444" s="1">
        <v>43852</v>
      </c>
      <c r="R3444" t="s">
        <v>48</v>
      </c>
      <c r="S3444" t="s">
        <v>99</v>
      </c>
      <c r="T3444" t="s">
        <v>100</v>
      </c>
      <c r="U3444" t="s">
        <v>85</v>
      </c>
      <c r="V3444">
        <v>210000</v>
      </c>
      <c r="W3444">
        <v>35000</v>
      </c>
      <c r="X3444" s="1">
        <v>43799</v>
      </c>
      <c r="Y3444" t="s">
        <v>51</v>
      </c>
      <c r="Z3444" t="s">
        <v>43</v>
      </c>
      <c r="AA3444" t="s">
        <v>98</v>
      </c>
      <c r="AB3444" t="s">
        <v>89</v>
      </c>
      <c r="AC3444" t="s">
        <v>101</v>
      </c>
      <c r="AF3444" t="s">
        <v>93</v>
      </c>
      <c r="AG3444" s="1">
        <v>43843</v>
      </c>
      <c r="AH3444" t="s">
        <v>85</v>
      </c>
      <c r="AI3444" t="s">
        <v>92</v>
      </c>
      <c r="AJ3444">
        <v>19888</v>
      </c>
      <c r="AK3444">
        <v>128777</v>
      </c>
      <c r="AL3444">
        <v>198882</v>
      </c>
    </row>
    <row r="3445" spans="1:38" x14ac:dyDescent="0.25">
      <c r="A3445" t="s">
        <v>229</v>
      </c>
      <c r="B3445" t="s">
        <v>678</v>
      </c>
      <c r="C3445" t="s">
        <v>40</v>
      </c>
      <c r="D3445" s="1">
        <v>43524</v>
      </c>
      <c r="E3445" s="1">
        <v>43888</v>
      </c>
      <c r="F3445" t="s">
        <v>84</v>
      </c>
      <c r="G3445">
        <v>10</v>
      </c>
      <c r="H3445" t="s">
        <v>85</v>
      </c>
      <c r="I3445" t="s">
        <v>43</v>
      </c>
      <c r="J3445" t="s">
        <v>86</v>
      </c>
      <c r="K3445" t="s">
        <v>44</v>
      </c>
      <c r="L3445">
        <v>6259.35</v>
      </c>
      <c r="M3445" s="1">
        <v>43637</v>
      </c>
      <c r="N3445" t="s">
        <v>108</v>
      </c>
      <c r="O3445" t="s">
        <v>106</v>
      </c>
      <c r="P3445" t="s">
        <v>47</v>
      </c>
      <c r="Q3445" s="1">
        <v>43852</v>
      </c>
      <c r="R3445" t="s">
        <v>48</v>
      </c>
      <c r="S3445" t="s">
        <v>102</v>
      </c>
      <c r="T3445" t="s">
        <v>103</v>
      </c>
      <c r="U3445" t="s">
        <v>85</v>
      </c>
      <c r="V3445">
        <v>5000000</v>
      </c>
      <c r="W3445">
        <v>250000</v>
      </c>
      <c r="X3445" s="1">
        <v>43799</v>
      </c>
      <c r="Y3445" t="s">
        <v>51</v>
      </c>
      <c r="Z3445" t="s">
        <v>43</v>
      </c>
      <c r="AA3445" t="s">
        <v>86</v>
      </c>
      <c r="AB3445" t="s">
        <v>89</v>
      </c>
      <c r="AC3445" t="s">
        <v>90</v>
      </c>
      <c r="AF3445" t="s">
        <v>91</v>
      </c>
      <c r="AG3445" s="1">
        <v>43852</v>
      </c>
      <c r="AH3445" t="s">
        <v>85</v>
      </c>
      <c r="AI3445" t="s">
        <v>92</v>
      </c>
      <c r="AJ3445">
        <v>19888</v>
      </c>
      <c r="AK3445">
        <v>128777</v>
      </c>
      <c r="AL3445">
        <v>198882</v>
      </c>
    </row>
    <row r="3446" spans="1:38" x14ac:dyDescent="0.25">
      <c r="A3446" t="s">
        <v>229</v>
      </c>
      <c r="B3446" t="s">
        <v>678</v>
      </c>
      <c r="C3446" t="s">
        <v>40</v>
      </c>
      <c r="D3446" s="1">
        <v>43524</v>
      </c>
      <c r="E3446" s="1">
        <v>43888</v>
      </c>
      <c r="F3446" t="s">
        <v>84</v>
      </c>
      <c r="G3446">
        <v>10</v>
      </c>
      <c r="H3446" t="s">
        <v>85</v>
      </c>
      <c r="I3446" t="s">
        <v>43</v>
      </c>
      <c r="J3446" t="s">
        <v>86</v>
      </c>
      <c r="K3446" t="s">
        <v>44</v>
      </c>
      <c r="L3446">
        <v>6259.35</v>
      </c>
      <c r="M3446" s="1">
        <v>43637</v>
      </c>
      <c r="N3446" t="s">
        <v>108</v>
      </c>
      <c r="O3446" t="s">
        <v>106</v>
      </c>
      <c r="P3446" t="s">
        <v>47</v>
      </c>
      <c r="Q3446" s="1">
        <v>43852</v>
      </c>
      <c r="R3446" t="s">
        <v>48</v>
      </c>
      <c r="S3446" t="s">
        <v>102</v>
      </c>
      <c r="T3446" t="s">
        <v>103</v>
      </c>
      <c r="U3446" t="s">
        <v>85</v>
      </c>
      <c r="V3446">
        <v>5000000</v>
      </c>
      <c r="W3446">
        <v>250000</v>
      </c>
      <c r="X3446" s="1">
        <v>43799</v>
      </c>
      <c r="Y3446" t="s">
        <v>51</v>
      </c>
      <c r="Z3446" t="s">
        <v>43</v>
      </c>
      <c r="AA3446" t="s">
        <v>86</v>
      </c>
      <c r="AB3446" t="s">
        <v>89</v>
      </c>
      <c r="AC3446" t="s">
        <v>90</v>
      </c>
      <c r="AF3446" t="s">
        <v>93</v>
      </c>
      <c r="AG3446" s="1">
        <v>43843</v>
      </c>
      <c r="AH3446" t="s">
        <v>85</v>
      </c>
      <c r="AI3446" t="s">
        <v>92</v>
      </c>
      <c r="AJ3446">
        <v>19888</v>
      </c>
      <c r="AK3446">
        <v>128777</v>
      </c>
      <c r="AL3446">
        <v>198882</v>
      </c>
    </row>
    <row r="3447" spans="1:38" x14ac:dyDescent="0.25">
      <c r="A3447" t="s">
        <v>231</v>
      </c>
      <c r="B3447" t="s">
        <v>678</v>
      </c>
      <c r="C3447" t="s">
        <v>40</v>
      </c>
      <c r="D3447" s="1">
        <v>43524</v>
      </c>
      <c r="E3447" s="1">
        <v>43888</v>
      </c>
      <c r="F3447" t="s">
        <v>84</v>
      </c>
      <c r="G3447">
        <v>10</v>
      </c>
      <c r="H3447" t="s">
        <v>85</v>
      </c>
      <c r="I3447" t="s">
        <v>43</v>
      </c>
      <c r="J3447" t="s">
        <v>86</v>
      </c>
      <c r="K3447" t="s">
        <v>44</v>
      </c>
      <c r="L3447">
        <v>7110.45</v>
      </c>
      <c r="M3447" s="1">
        <v>43675</v>
      </c>
      <c r="N3447" t="s">
        <v>108</v>
      </c>
      <c r="O3447" t="s">
        <v>106</v>
      </c>
      <c r="P3447" t="s">
        <v>47</v>
      </c>
      <c r="Q3447" s="1">
        <v>43852</v>
      </c>
      <c r="R3447" t="s">
        <v>48</v>
      </c>
      <c r="S3447" t="s">
        <v>87</v>
      </c>
      <c r="T3447" t="s">
        <v>88</v>
      </c>
      <c r="U3447" t="s">
        <v>85</v>
      </c>
      <c r="V3447">
        <v>1400000</v>
      </c>
      <c r="W3447">
        <v>100000</v>
      </c>
      <c r="X3447" s="1">
        <v>43808</v>
      </c>
      <c r="Y3447" t="s">
        <v>51</v>
      </c>
      <c r="Z3447" t="s">
        <v>43</v>
      </c>
      <c r="AA3447" t="s">
        <v>86</v>
      </c>
      <c r="AB3447" t="s">
        <v>89</v>
      </c>
      <c r="AC3447" t="s">
        <v>90</v>
      </c>
      <c r="AF3447" t="s">
        <v>91</v>
      </c>
      <c r="AG3447" s="1">
        <v>43852</v>
      </c>
      <c r="AH3447" t="s">
        <v>85</v>
      </c>
      <c r="AI3447" t="s">
        <v>92</v>
      </c>
      <c r="AJ3447">
        <v>19888</v>
      </c>
      <c r="AK3447">
        <v>128777</v>
      </c>
      <c r="AL3447">
        <v>198882</v>
      </c>
    </row>
    <row r="3448" spans="1:38" x14ac:dyDescent="0.25">
      <c r="A3448" t="s">
        <v>231</v>
      </c>
      <c r="B3448" t="s">
        <v>678</v>
      </c>
      <c r="C3448" t="s">
        <v>40</v>
      </c>
      <c r="D3448" s="1">
        <v>43524</v>
      </c>
      <c r="E3448" s="1">
        <v>43888</v>
      </c>
      <c r="F3448" t="s">
        <v>84</v>
      </c>
      <c r="G3448">
        <v>10</v>
      </c>
      <c r="H3448" t="s">
        <v>85</v>
      </c>
      <c r="I3448" t="s">
        <v>43</v>
      </c>
      <c r="J3448" t="s">
        <v>86</v>
      </c>
      <c r="K3448" t="s">
        <v>44</v>
      </c>
      <c r="L3448">
        <v>7110.45</v>
      </c>
      <c r="M3448" s="1">
        <v>43675</v>
      </c>
      <c r="N3448" t="s">
        <v>108</v>
      </c>
      <c r="O3448" t="s">
        <v>106</v>
      </c>
      <c r="P3448" t="s">
        <v>47</v>
      </c>
      <c r="Q3448" s="1">
        <v>43852</v>
      </c>
      <c r="R3448" t="s">
        <v>48</v>
      </c>
      <c r="S3448" t="s">
        <v>87</v>
      </c>
      <c r="T3448" t="s">
        <v>88</v>
      </c>
      <c r="U3448" t="s">
        <v>85</v>
      </c>
      <c r="V3448">
        <v>1400000</v>
      </c>
      <c r="W3448">
        <v>100000</v>
      </c>
      <c r="X3448" s="1">
        <v>43808</v>
      </c>
      <c r="Y3448" t="s">
        <v>51</v>
      </c>
      <c r="Z3448" t="s">
        <v>43</v>
      </c>
      <c r="AA3448" t="s">
        <v>86</v>
      </c>
      <c r="AB3448" t="s">
        <v>89</v>
      </c>
      <c r="AC3448" t="s">
        <v>90</v>
      </c>
      <c r="AF3448" t="s">
        <v>93</v>
      </c>
      <c r="AG3448" s="1">
        <v>43843</v>
      </c>
      <c r="AH3448" t="s">
        <v>85</v>
      </c>
      <c r="AI3448" t="s">
        <v>92</v>
      </c>
      <c r="AJ3448">
        <v>19888</v>
      </c>
      <c r="AK3448">
        <v>128777</v>
      </c>
      <c r="AL3448">
        <v>198882</v>
      </c>
    </row>
    <row r="3449" spans="1:38" x14ac:dyDescent="0.25">
      <c r="A3449" t="s">
        <v>231</v>
      </c>
      <c r="B3449" t="s">
        <v>678</v>
      </c>
      <c r="C3449" t="s">
        <v>40</v>
      </c>
      <c r="D3449" s="1">
        <v>43524</v>
      </c>
      <c r="E3449" s="1">
        <v>43888</v>
      </c>
      <c r="F3449" t="s">
        <v>84</v>
      </c>
      <c r="G3449">
        <v>10</v>
      </c>
      <c r="H3449" t="s">
        <v>85</v>
      </c>
      <c r="I3449" t="s">
        <v>43</v>
      </c>
      <c r="J3449" t="s">
        <v>86</v>
      </c>
      <c r="K3449" t="s">
        <v>44</v>
      </c>
      <c r="L3449">
        <v>7110.45</v>
      </c>
      <c r="M3449" s="1">
        <v>43675</v>
      </c>
      <c r="N3449" t="s">
        <v>108</v>
      </c>
      <c r="O3449" t="s">
        <v>106</v>
      </c>
      <c r="P3449" t="s">
        <v>47</v>
      </c>
      <c r="Q3449" s="1">
        <v>43852</v>
      </c>
      <c r="R3449" t="s">
        <v>48</v>
      </c>
      <c r="S3449" t="s">
        <v>94</v>
      </c>
      <c r="T3449" t="s">
        <v>95</v>
      </c>
      <c r="U3449" t="s">
        <v>85</v>
      </c>
      <c r="V3449">
        <v>4500000</v>
      </c>
      <c r="W3449">
        <v>300000</v>
      </c>
      <c r="X3449" s="1">
        <v>43767</v>
      </c>
      <c r="Y3449" t="s">
        <v>51</v>
      </c>
      <c r="Z3449" t="s">
        <v>43</v>
      </c>
      <c r="AA3449" t="s">
        <v>86</v>
      </c>
      <c r="AB3449" t="s">
        <v>89</v>
      </c>
      <c r="AC3449" t="s">
        <v>90</v>
      </c>
      <c r="AF3449" t="s">
        <v>91</v>
      </c>
      <c r="AG3449" s="1">
        <v>43852</v>
      </c>
      <c r="AH3449" t="s">
        <v>85</v>
      </c>
      <c r="AI3449" t="s">
        <v>92</v>
      </c>
      <c r="AJ3449">
        <v>19888</v>
      </c>
      <c r="AK3449">
        <v>128777</v>
      </c>
      <c r="AL3449">
        <v>198882</v>
      </c>
    </row>
    <row r="3450" spans="1:38" x14ac:dyDescent="0.25">
      <c r="A3450" t="s">
        <v>231</v>
      </c>
      <c r="B3450" t="s">
        <v>678</v>
      </c>
      <c r="C3450" t="s">
        <v>40</v>
      </c>
      <c r="D3450" s="1">
        <v>43524</v>
      </c>
      <c r="E3450" s="1">
        <v>43888</v>
      </c>
      <c r="F3450" t="s">
        <v>84</v>
      </c>
      <c r="G3450">
        <v>10</v>
      </c>
      <c r="H3450" t="s">
        <v>85</v>
      </c>
      <c r="I3450" t="s">
        <v>43</v>
      </c>
      <c r="J3450" t="s">
        <v>86</v>
      </c>
      <c r="K3450" t="s">
        <v>44</v>
      </c>
      <c r="L3450">
        <v>7110.45</v>
      </c>
      <c r="M3450" s="1">
        <v>43675</v>
      </c>
      <c r="N3450" t="s">
        <v>108</v>
      </c>
      <c r="O3450" t="s">
        <v>106</v>
      </c>
      <c r="P3450" t="s">
        <v>47</v>
      </c>
      <c r="Q3450" s="1">
        <v>43852</v>
      </c>
      <c r="R3450" t="s">
        <v>48</v>
      </c>
      <c r="S3450" t="s">
        <v>94</v>
      </c>
      <c r="T3450" t="s">
        <v>95</v>
      </c>
      <c r="U3450" t="s">
        <v>85</v>
      </c>
      <c r="V3450">
        <v>4500000</v>
      </c>
      <c r="W3450">
        <v>300000</v>
      </c>
      <c r="X3450" s="1">
        <v>43767</v>
      </c>
      <c r="Y3450" t="s">
        <v>51</v>
      </c>
      <c r="Z3450" t="s">
        <v>43</v>
      </c>
      <c r="AA3450" t="s">
        <v>86</v>
      </c>
      <c r="AB3450" t="s">
        <v>89</v>
      </c>
      <c r="AC3450" t="s">
        <v>90</v>
      </c>
      <c r="AF3450" t="s">
        <v>93</v>
      </c>
      <c r="AG3450" s="1">
        <v>43843</v>
      </c>
      <c r="AH3450" t="s">
        <v>85</v>
      </c>
      <c r="AI3450" t="s">
        <v>92</v>
      </c>
      <c r="AJ3450">
        <v>19888</v>
      </c>
      <c r="AK3450">
        <v>128777</v>
      </c>
      <c r="AL3450">
        <v>198882</v>
      </c>
    </row>
    <row r="3451" spans="1:38" x14ac:dyDescent="0.25">
      <c r="A3451" t="s">
        <v>231</v>
      </c>
      <c r="B3451" t="s">
        <v>678</v>
      </c>
      <c r="C3451" t="s">
        <v>40</v>
      </c>
      <c r="D3451" s="1">
        <v>43524</v>
      </c>
      <c r="E3451" s="1">
        <v>43888</v>
      </c>
      <c r="F3451" t="s">
        <v>84</v>
      </c>
      <c r="G3451">
        <v>10</v>
      </c>
      <c r="H3451" t="s">
        <v>85</v>
      </c>
      <c r="I3451" t="s">
        <v>43</v>
      </c>
      <c r="J3451" t="s">
        <v>86</v>
      </c>
      <c r="K3451" t="s">
        <v>44</v>
      </c>
      <c r="L3451">
        <v>7110.45</v>
      </c>
      <c r="M3451" s="1">
        <v>43675</v>
      </c>
      <c r="N3451" t="s">
        <v>108</v>
      </c>
      <c r="O3451" t="s">
        <v>106</v>
      </c>
      <c r="P3451" t="s">
        <v>47</v>
      </c>
      <c r="Q3451" s="1">
        <v>43852</v>
      </c>
      <c r="R3451" t="s">
        <v>48</v>
      </c>
      <c r="S3451" t="s">
        <v>96</v>
      </c>
      <c r="T3451" t="s">
        <v>97</v>
      </c>
      <c r="U3451" t="s">
        <v>85</v>
      </c>
      <c r="V3451">
        <v>600000</v>
      </c>
      <c r="W3451">
        <v>100000</v>
      </c>
      <c r="X3451" s="1">
        <v>43799</v>
      </c>
      <c r="Y3451" t="s">
        <v>51</v>
      </c>
      <c r="Z3451" t="s">
        <v>43</v>
      </c>
      <c r="AA3451" t="s">
        <v>98</v>
      </c>
      <c r="AB3451" t="s">
        <v>89</v>
      </c>
      <c r="AC3451" t="s">
        <v>90</v>
      </c>
      <c r="AF3451" t="s">
        <v>91</v>
      </c>
      <c r="AG3451" s="1">
        <v>43852</v>
      </c>
      <c r="AH3451" t="s">
        <v>85</v>
      </c>
      <c r="AI3451" t="s">
        <v>92</v>
      </c>
      <c r="AJ3451">
        <v>19888</v>
      </c>
      <c r="AK3451">
        <v>128777</v>
      </c>
      <c r="AL3451">
        <v>198882</v>
      </c>
    </row>
    <row r="3452" spans="1:38" x14ac:dyDescent="0.25">
      <c r="A3452" t="s">
        <v>231</v>
      </c>
      <c r="B3452" t="s">
        <v>678</v>
      </c>
      <c r="C3452" t="s">
        <v>40</v>
      </c>
      <c r="D3452" s="1">
        <v>43524</v>
      </c>
      <c r="E3452" s="1">
        <v>43888</v>
      </c>
      <c r="F3452" t="s">
        <v>84</v>
      </c>
      <c r="G3452">
        <v>10</v>
      </c>
      <c r="H3452" t="s">
        <v>85</v>
      </c>
      <c r="I3452" t="s">
        <v>43</v>
      </c>
      <c r="J3452" t="s">
        <v>86</v>
      </c>
      <c r="K3452" t="s">
        <v>44</v>
      </c>
      <c r="L3452">
        <v>7110.45</v>
      </c>
      <c r="M3452" s="1">
        <v>43675</v>
      </c>
      <c r="N3452" t="s">
        <v>108</v>
      </c>
      <c r="O3452" t="s">
        <v>106</v>
      </c>
      <c r="P3452" t="s">
        <v>47</v>
      </c>
      <c r="Q3452" s="1">
        <v>43852</v>
      </c>
      <c r="R3452" t="s">
        <v>48</v>
      </c>
      <c r="S3452" t="s">
        <v>96</v>
      </c>
      <c r="T3452" t="s">
        <v>97</v>
      </c>
      <c r="U3452" t="s">
        <v>85</v>
      </c>
      <c r="V3452">
        <v>600000</v>
      </c>
      <c r="W3452">
        <v>100000</v>
      </c>
      <c r="X3452" s="1">
        <v>43799</v>
      </c>
      <c r="Y3452" t="s">
        <v>51</v>
      </c>
      <c r="Z3452" t="s">
        <v>43</v>
      </c>
      <c r="AA3452" t="s">
        <v>98</v>
      </c>
      <c r="AB3452" t="s">
        <v>89</v>
      </c>
      <c r="AC3452" t="s">
        <v>90</v>
      </c>
      <c r="AF3452" t="s">
        <v>93</v>
      </c>
      <c r="AG3452" s="1">
        <v>43843</v>
      </c>
      <c r="AH3452" t="s">
        <v>85</v>
      </c>
      <c r="AI3452" t="s">
        <v>92</v>
      </c>
      <c r="AJ3452">
        <v>19888</v>
      </c>
      <c r="AK3452">
        <v>128777</v>
      </c>
      <c r="AL3452">
        <v>198882</v>
      </c>
    </row>
    <row r="3453" spans="1:38" x14ac:dyDescent="0.25">
      <c r="A3453" t="s">
        <v>231</v>
      </c>
      <c r="B3453" t="s">
        <v>678</v>
      </c>
      <c r="C3453" t="s">
        <v>40</v>
      </c>
      <c r="D3453" s="1">
        <v>43524</v>
      </c>
      <c r="E3453" s="1">
        <v>43888</v>
      </c>
      <c r="F3453" t="s">
        <v>84</v>
      </c>
      <c r="G3453">
        <v>10</v>
      </c>
      <c r="H3453" t="s">
        <v>85</v>
      </c>
      <c r="I3453" t="s">
        <v>43</v>
      </c>
      <c r="J3453" t="s">
        <v>86</v>
      </c>
      <c r="K3453" t="s">
        <v>44</v>
      </c>
      <c r="L3453">
        <v>7110.45</v>
      </c>
      <c r="M3453" s="1">
        <v>43675</v>
      </c>
      <c r="N3453" t="s">
        <v>108</v>
      </c>
      <c r="O3453" t="s">
        <v>106</v>
      </c>
      <c r="P3453" t="s">
        <v>47</v>
      </c>
      <c r="Q3453" s="1">
        <v>43852</v>
      </c>
      <c r="R3453" t="s">
        <v>48</v>
      </c>
      <c r="S3453" t="s">
        <v>99</v>
      </c>
      <c r="T3453" t="s">
        <v>100</v>
      </c>
      <c r="U3453" t="s">
        <v>85</v>
      </c>
      <c r="V3453">
        <v>210000</v>
      </c>
      <c r="W3453">
        <v>35000</v>
      </c>
      <c r="X3453" s="1">
        <v>43799</v>
      </c>
      <c r="Y3453" t="s">
        <v>51</v>
      </c>
      <c r="Z3453" t="s">
        <v>43</v>
      </c>
      <c r="AA3453" t="s">
        <v>98</v>
      </c>
      <c r="AB3453" t="s">
        <v>89</v>
      </c>
      <c r="AC3453" t="s">
        <v>101</v>
      </c>
      <c r="AF3453" t="s">
        <v>91</v>
      </c>
      <c r="AG3453" s="1">
        <v>43852</v>
      </c>
      <c r="AH3453" t="s">
        <v>85</v>
      </c>
      <c r="AI3453" t="s">
        <v>92</v>
      </c>
      <c r="AJ3453">
        <v>19888</v>
      </c>
      <c r="AK3453">
        <v>128777</v>
      </c>
      <c r="AL3453">
        <v>198882</v>
      </c>
    </row>
    <row r="3454" spans="1:38" x14ac:dyDescent="0.25">
      <c r="A3454" t="s">
        <v>231</v>
      </c>
      <c r="B3454" t="s">
        <v>678</v>
      </c>
      <c r="C3454" t="s">
        <v>40</v>
      </c>
      <c r="D3454" s="1">
        <v>43524</v>
      </c>
      <c r="E3454" s="1">
        <v>43888</v>
      </c>
      <c r="F3454" t="s">
        <v>84</v>
      </c>
      <c r="G3454">
        <v>10</v>
      </c>
      <c r="H3454" t="s">
        <v>85</v>
      </c>
      <c r="I3454" t="s">
        <v>43</v>
      </c>
      <c r="J3454" t="s">
        <v>86</v>
      </c>
      <c r="K3454" t="s">
        <v>44</v>
      </c>
      <c r="L3454">
        <v>7110.45</v>
      </c>
      <c r="M3454" s="1">
        <v>43675</v>
      </c>
      <c r="N3454" t="s">
        <v>108</v>
      </c>
      <c r="O3454" t="s">
        <v>106</v>
      </c>
      <c r="P3454" t="s">
        <v>47</v>
      </c>
      <c r="Q3454" s="1">
        <v>43852</v>
      </c>
      <c r="R3454" t="s">
        <v>48</v>
      </c>
      <c r="S3454" t="s">
        <v>99</v>
      </c>
      <c r="T3454" t="s">
        <v>100</v>
      </c>
      <c r="U3454" t="s">
        <v>85</v>
      </c>
      <c r="V3454">
        <v>210000</v>
      </c>
      <c r="W3454">
        <v>35000</v>
      </c>
      <c r="X3454" s="1">
        <v>43799</v>
      </c>
      <c r="Y3454" t="s">
        <v>51</v>
      </c>
      <c r="Z3454" t="s">
        <v>43</v>
      </c>
      <c r="AA3454" t="s">
        <v>98</v>
      </c>
      <c r="AB3454" t="s">
        <v>89</v>
      </c>
      <c r="AC3454" t="s">
        <v>101</v>
      </c>
      <c r="AF3454" t="s">
        <v>93</v>
      </c>
      <c r="AG3454" s="1">
        <v>43843</v>
      </c>
      <c r="AH3454" t="s">
        <v>85</v>
      </c>
      <c r="AI3454" t="s">
        <v>92</v>
      </c>
      <c r="AJ3454">
        <v>19888</v>
      </c>
      <c r="AK3454">
        <v>128777</v>
      </c>
      <c r="AL3454">
        <v>198882</v>
      </c>
    </row>
    <row r="3455" spans="1:38" x14ac:dyDescent="0.25">
      <c r="A3455" t="s">
        <v>231</v>
      </c>
      <c r="B3455" t="s">
        <v>678</v>
      </c>
      <c r="C3455" t="s">
        <v>40</v>
      </c>
      <c r="D3455" s="1">
        <v>43524</v>
      </c>
      <c r="E3455" s="1">
        <v>43888</v>
      </c>
      <c r="F3455" t="s">
        <v>84</v>
      </c>
      <c r="G3455">
        <v>10</v>
      </c>
      <c r="H3455" t="s">
        <v>85</v>
      </c>
      <c r="I3455" t="s">
        <v>43</v>
      </c>
      <c r="J3455" t="s">
        <v>86</v>
      </c>
      <c r="K3455" t="s">
        <v>44</v>
      </c>
      <c r="L3455">
        <v>7110.45</v>
      </c>
      <c r="M3455" s="1">
        <v>43675</v>
      </c>
      <c r="N3455" t="s">
        <v>108</v>
      </c>
      <c r="O3455" t="s">
        <v>106</v>
      </c>
      <c r="P3455" t="s">
        <v>47</v>
      </c>
      <c r="Q3455" s="1">
        <v>43852</v>
      </c>
      <c r="R3455" t="s">
        <v>48</v>
      </c>
      <c r="S3455" t="s">
        <v>102</v>
      </c>
      <c r="T3455" t="s">
        <v>103</v>
      </c>
      <c r="U3455" t="s">
        <v>85</v>
      </c>
      <c r="V3455">
        <v>5000000</v>
      </c>
      <c r="W3455">
        <v>250000</v>
      </c>
      <c r="X3455" s="1">
        <v>43799</v>
      </c>
      <c r="Y3455" t="s">
        <v>51</v>
      </c>
      <c r="Z3455" t="s">
        <v>43</v>
      </c>
      <c r="AA3455" t="s">
        <v>86</v>
      </c>
      <c r="AB3455" t="s">
        <v>89</v>
      </c>
      <c r="AC3455" t="s">
        <v>90</v>
      </c>
      <c r="AF3455" t="s">
        <v>91</v>
      </c>
      <c r="AG3455" s="1">
        <v>43852</v>
      </c>
      <c r="AH3455" t="s">
        <v>85</v>
      </c>
      <c r="AI3455" t="s">
        <v>92</v>
      </c>
      <c r="AJ3455">
        <v>19888</v>
      </c>
      <c r="AK3455">
        <v>128777</v>
      </c>
      <c r="AL3455">
        <v>198882</v>
      </c>
    </row>
    <row r="3456" spans="1:38" x14ac:dyDescent="0.25">
      <c r="A3456" t="s">
        <v>231</v>
      </c>
      <c r="B3456" t="s">
        <v>678</v>
      </c>
      <c r="C3456" t="s">
        <v>40</v>
      </c>
      <c r="D3456" s="1">
        <v>43524</v>
      </c>
      <c r="E3456" s="1">
        <v>43888</v>
      </c>
      <c r="F3456" t="s">
        <v>84</v>
      </c>
      <c r="G3456">
        <v>10</v>
      </c>
      <c r="H3456" t="s">
        <v>85</v>
      </c>
      <c r="I3456" t="s">
        <v>43</v>
      </c>
      <c r="J3456" t="s">
        <v>86</v>
      </c>
      <c r="K3456" t="s">
        <v>44</v>
      </c>
      <c r="L3456">
        <v>7110.45</v>
      </c>
      <c r="M3456" s="1">
        <v>43675</v>
      </c>
      <c r="N3456" t="s">
        <v>108</v>
      </c>
      <c r="O3456" t="s">
        <v>106</v>
      </c>
      <c r="P3456" t="s">
        <v>47</v>
      </c>
      <c r="Q3456" s="1">
        <v>43852</v>
      </c>
      <c r="R3456" t="s">
        <v>48</v>
      </c>
      <c r="S3456" t="s">
        <v>102</v>
      </c>
      <c r="T3456" t="s">
        <v>103</v>
      </c>
      <c r="U3456" t="s">
        <v>85</v>
      </c>
      <c r="V3456">
        <v>5000000</v>
      </c>
      <c r="W3456">
        <v>250000</v>
      </c>
      <c r="X3456" s="1">
        <v>43799</v>
      </c>
      <c r="Y3456" t="s">
        <v>51</v>
      </c>
      <c r="Z3456" t="s">
        <v>43</v>
      </c>
      <c r="AA3456" t="s">
        <v>86</v>
      </c>
      <c r="AB3456" t="s">
        <v>89</v>
      </c>
      <c r="AC3456" t="s">
        <v>90</v>
      </c>
      <c r="AF3456" t="s">
        <v>93</v>
      </c>
      <c r="AG3456" s="1">
        <v>43843</v>
      </c>
      <c r="AH3456" t="s">
        <v>85</v>
      </c>
      <c r="AI3456" t="s">
        <v>92</v>
      </c>
      <c r="AJ3456">
        <v>19888</v>
      </c>
      <c r="AK3456">
        <v>128777</v>
      </c>
      <c r="AL3456">
        <v>198882</v>
      </c>
    </row>
    <row r="3457" spans="1:38" x14ac:dyDescent="0.25">
      <c r="A3457" t="s">
        <v>236</v>
      </c>
      <c r="B3457" t="s">
        <v>678</v>
      </c>
      <c r="C3457" t="s">
        <v>40</v>
      </c>
      <c r="D3457" s="1">
        <v>43524</v>
      </c>
      <c r="E3457" s="1">
        <v>43888</v>
      </c>
      <c r="F3457" t="s">
        <v>84</v>
      </c>
      <c r="G3457">
        <v>10</v>
      </c>
      <c r="H3457" t="s">
        <v>85</v>
      </c>
      <c r="I3457" t="s">
        <v>43</v>
      </c>
      <c r="J3457" t="s">
        <v>86</v>
      </c>
      <c r="K3457" t="s">
        <v>44</v>
      </c>
      <c r="L3457">
        <v>5501.03</v>
      </c>
      <c r="M3457" s="1">
        <v>43759</v>
      </c>
      <c r="N3457" t="s">
        <v>108</v>
      </c>
      <c r="O3457" t="s">
        <v>106</v>
      </c>
      <c r="P3457" t="s">
        <v>47</v>
      </c>
      <c r="Q3457" s="1">
        <v>43852</v>
      </c>
      <c r="R3457" t="s">
        <v>48</v>
      </c>
      <c r="S3457" t="s">
        <v>87</v>
      </c>
      <c r="T3457" t="s">
        <v>88</v>
      </c>
      <c r="U3457" t="s">
        <v>85</v>
      </c>
      <c r="V3457">
        <v>1400000</v>
      </c>
      <c r="W3457">
        <v>100000</v>
      </c>
      <c r="X3457" s="1">
        <v>43808</v>
      </c>
      <c r="Y3457" t="s">
        <v>51</v>
      </c>
      <c r="Z3457" t="s">
        <v>43</v>
      </c>
      <c r="AA3457" t="s">
        <v>86</v>
      </c>
      <c r="AB3457" t="s">
        <v>89</v>
      </c>
      <c r="AC3457" t="s">
        <v>90</v>
      </c>
      <c r="AF3457" t="s">
        <v>91</v>
      </c>
      <c r="AG3457" s="1">
        <v>43852</v>
      </c>
      <c r="AH3457" t="s">
        <v>85</v>
      </c>
      <c r="AI3457" t="s">
        <v>92</v>
      </c>
      <c r="AJ3457">
        <v>19888</v>
      </c>
      <c r="AK3457">
        <v>128777</v>
      </c>
      <c r="AL3457">
        <v>198882</v>
      </c>
    </row>
    <row r="3458" spans="1:38" x14ac:dyDescent="0.25">
      <c r="A3458" t="s">
        <v>236</v>
      </c>
      <c r="B3458" t="s">
        <v>678</v>
      </c>
      <c r="C3458" t="s">
        <v>40</v>
      </c>
      <c r="D3458" s="1">
        <v>43524</v>
      </c>
      <c r="E3458" s="1">
        <v>43888</v>
      </c>
      <c r="F3458" t="s">
        <v>84</v>
      </c>
      <c r="G3458">
        <v>10</v>
      </c>
      <c r="H3458" t="s">
        <v>85</v>
      </c>
      <c r="I3458" t="s">
        <v>43</v>
      </c>
      <c r="J3458" t="s">
        <v>86</v>
      </c>
      <c r="K3458" t="s">
        <v>44</v>
      </c>
      <c r="L3458">
        <v>5501.03</v>
      </c>
      <c r="M3458" s="1">
        <v>43759</v>
      </c>
      <c r="N3458" t="s">
        <v>108</v>
      </c>
      <c r="O3458" t="s">
        <v>106</v>
      </c>
      <c r="P3458" t="s">
        <v>47</v>
      </c>
      <c r="Q3458" s="1">
        <v>43852</v>
      </c>
      <c r="R3458" t="s">
        <v>48</v>
      </c>
      <c r="S3458" t="s">
        <v>87</v>
      </c>
      <c r="T3458" t="s">
        <v>88</v>
      </c>
      <c r="U3458" t="s">
        <v>85</v>
      </c>
      <c r="V3458">
        <v>1400000</v>
      </c>
      <c r="W3458">
        <v>100000</v>
      </c>
      <c r="X3458" s="1">
        <v>43808</v>
      </c>
      <c r="Y3458" t="s">
        <v>51</v>
      </c>
      <c r="Z3458" t="s">
        <v>43</v>
      </c>
      <c r="AA3458" t="s">
        <v>86</v>
      </c>
      <c r="AB3458" t="s">
        <v>89</v>
      </c>
      <c r="AC3458" t="s">
        <v>90</v>
      </c>
      <c r="AF3458" t="s">
        <v>93</v>
      </c>
      <c r="AG3458" s="1">
        <v>43843</v>
      </c>
      <c r="AH3458" t="s">
        <v>85</v>
      </c>
      <c r="AI3458" t="s">
        <v>92</v>
      </c>
      <c r="AJ3458">
        <v>19888</v>
      </c>
      <c r="AK3458">
        <v>128777</v>
      </c>
      <c r="AL3458">
        <v>198882</v>
      </c>
    </row>
    <row r="3459" spans="1:38" x14ac:dyDescent="0.25">
      <c r="A3459" t="s">
        <v>236</v>
      </c>
      <c r="B3459" t="s">
        <v>678</v>
      </c>
      <c r="C3459" t="s">
        <v>40</v>
      </c>
      <c r="D3459" s="1">
        <v>43524</v>
      </c>
      <c r="E3459" s="1">
        <v>43888</v>
      </c>
      <c r="F3459" t="s">
        <v>84</v>
      </c>
      <c r="G3459">
        <v>10</v>
      </c>
      <c r="H3459" t="s">
        <v>85</v>
      </c>
      <c r="I3459" t="s">
        <v>43</v>
      </c>
      <c r="J3459" t="s">
        <v>86</v>
      </c>
      <c r="K3459" t="s">
        <v>44</v>
      </c>
      <c r="L3459">
        <v>5501.03</v>
      </c>
      <c r="M3459" s="1">
        <v>43759</v>
      </c>
      <c r="N3459" t="s">
        <v>108</v>
      </c>
      <c r="O3459" t="s">
        <v>106</v>
      </c>
      <c r="P3459" t="s">
        <v>47</v>
      </c>
      <c r="Q3459" s="1">
        <v>43852</v>
      </c>
      <c r="R3459" t="s">
        <v>48</v>
      </c>
      <c r="S3459" t="s">
        <v>94</v>
      </c>
      <c r="T3459" t="s">
        <v>95</v>
      </c>
      <c r="U3459" t="s">
        <v>85</v>
      </c>
      <c r="V3459">
        <v>4500000</v>
      </c>
      <c r="W3459">
        <v>300000</v>
      </c>
      <c r="X3459" s="1">
        <v>43767</v>
      </c>
      <c r="Y3459" t="s">
        <v>51</v>
      </c>
      <c r="Z3459" t="s">
        <v>43</v>
      </c>
      <c r="AA3459" t="s">
        <v>86</v>
      </c>
      <c r="AB3459" t="s">
        <v>89</v>
      </c>
      <c r="AC3459" t="s">
        <v>90</v>
      </c>
      <c r="AF3459" t="s">
        <v>91</v>
      </c>
      <c r="AG3459" s="1">
        <v>43852</v>
      </c>
      <c r="AH3459" t="s">
        <v>85</v>
      </c>
      <c r="AI3459" t="s">
        <v>92</v>
      </c>
      <c r="AJ3459">
        <v>19888</v>
      </c>
      <c r="AK3459">
        <v>128777</v>
      </c>
      <c r="AL3459">
        <v>198882</v>
      </c>
    </row>
    <row r="3460" spans="1:38" x14ac:dyDescent="0.25">
      <c r="A3460" t="s">
        <v>236</v>
      </c>
      <c r="B3460" t="s">
        <v>678</v>
      </c>
      <c r="C3460" t="s">
        <v>40</v>
      </c>
      <c r="D3460" s="1">
        <v>43524</v>
      </c>
      <c r="E3460" s="1">
        <v>43888</v>
      </c>
      <c r="F3460" t="s">
        <v>84</v>
      </c>
      <c r="G3460">
        <v>10</v>
      </c>
      <c r="H3460" t="s">
        <v>85</v>
      </c>
      <c r="I3460" t="s">
        <v>43</v>
      </c>
      <c r="J3460" t="s">
        <v>86</v>
      </c>
      <c r="K3460" t="s">
        <v>44</v>
      </c>
      <c r="L3460">
        <v>5501.03</v>
      </c>
      <c r="M3460" s="1">
        <v>43759</v>
      </c>
      <c r="N3460" t="s">
        <v>108</v>
      </c>
      <c r="O3460" t="s">
        <v>106</v>
      </c>
      <c r="P3460" t="s">
        <v>47</v>
      </c>
      <c r="Q3460" s="1">
        <v>43852</v>
      </c>
      <c r="R3460" t="s">
        <v>48</v>
      </c>
      <c r="S3460" t="s">
        <v>94</v>
      </c>
      <c r="T3460" t="s">
        <v>95</v>
      </c>
      <c r="U3460" t="s">
        <v>85</v>
      </c>
      <c r="V3460">
        <v>4500000</v>
      </c>
      <c r="W3460">
        <v>300000</v>
      </c>
      <c r="X3460" s="1">
        <v>43767</v>
      </c>
      <c r="Y3460" t="s">
        <v>51</v>
      </c>
      <c r="Z3460" t="s">
        <v>43</v>
      </c>
      <c r="AA3460" t="s">
        <v>86</v>
      </c>
      <c r="AB3460" t="s">
        <v>89</v>
      </c>
      <c r="AC3460" t="s">
        <v>90</v>
      </c>
      <c r="AF3460" t="s">
        <v>93</v>
      </c>
      <c r="AG3460" s="1">
        <v>43843</v>
      </c>
      <c r="AH3460" t="s">
        <v>85</v>
      </c>
      <c r="AI3460" t="s">
        <v>92</v>
      </c>
      <c r="AJ3460">
        <v>19888</v>
      </c>
      <c r="AK3460">
        <v>128777</v>
      </c>
      <c r="AL3460">
        <v>198882</v>
      </c>
    </row>
    <row r="3461" spans="1:38" x14ac:dyDescent="0.25">
      <c r="A3461" t="s">
        <v>236</v>
      </c>
      <c r="B3461" t="s">
        <v>678</v>
      </c>
      <c r="C3461" t="s">
        <v>40</v>
      </c>
      <c r="D3461" s="1">
        <v>43524</v>
      </c>
      <c r="E3461" s="1">
        <v>43888</v>
      </c>
      <c r="F3461" t="s">
        <v>84</v>
      </c>
      <c r="G3461">
        <v>10</v>
      </c>
      <c r="H3461" t="s">
        <v>85</v>
      </c>
      <c r="I3461" t="s">
        <v>43</v>
      </c>
      <c r="J3461" t="s">
        <v>86</v>
      </c>
      <c r="K3461" t="s">
        <v>44</v>
      </c>
      <c r="L3461">
        <v>5501.03</v>
      </c>
      <c r="M3461" s="1">
        <v>43759</v>
      </c>
      <c r="N3461" t="s">
        <v>108</v>
      </c>
      <c r="O3461" t="s">
        <v>106</v>
      </c>
      <c r="P3461" t="s">
        <v>47</v>
      </c>
      <c r="Q3461" s="1">
        <v>43852</v>
      </c>
      <c r="R3461" t="s">
        <v>48</v>
      </c>
      <c r="S3461" t="s">
        <v>96</v>
      </c>
      <c r="T3461" t="s">
        <v>97</v>
      </c>
      <c r="U3461" t="s">
        <v>85</v>
      </c>
      <c r="V3461">
        <v>600000</v>
      </c>
      <c r="W3461">
        <v>100000</v>
      </c>
      <c r="X3461" s="1">
        <v>43799</v>
      </c>
      <c r="Y3461" t="s">
        <v>51</v>
      </c>
      <c r="Z3461" t="s">
        <v>43</v>
      </c>
      <c r="AA3461" t="s">
        <v>98</v>
      </c>
      <c r="AB3461" t="s">
        <v>89</v>
      </c>
      <c r="AC3461" t="s">
        <v>90</v>
      </c>
      <c r="AF3461" t="s">
        <v>91</v>
      </c>
      <c r="AG3461" s="1">
        <v>43852</v>
      </c>
      <c r="AH3461" t="s">
        <v>85</v>
      </c>
      <c r="AI3461" t="s">
        <v>92</v>
      </c>
      <c r="AJ3461">
        <v>19888</v>
      </c>
      <c r="AK3461">
        <v>128777</v>
      </c>
      <c r="AL3461">
        <v>198882</v>
      </c>
    </row>
    <row r="3462" spans="1:38" x14ac:dyDescent="0.25">
      <c r="A3462" t="s">
        <v>236</v>
      </c>
      <c r="B3462" t="s">
        <v>678</v>
      </c>
      <c r="C3462" t="s">
        <v>40</v>
      </c>
      <c r="D3462" s="1">
        <v>43524</v>
      </c>
      <c r="E3462" s="1">
        <v>43888</v>
      </c>
      <c r="F3462" t="s">
        <v>84</v>
      </c>
      <c r="G3462">
        <v>10</v>
      </c>
      <c r="H3462" t="s">
        <v>85</v>
      </c>
      <c r="I3462" t="s">
        <v>43</v>
      </c>
      <c r="J3462" t="s">
        <v>86</v>
      </c>
      <c r="K3462" t="s">
        <v>44</v>
      </c>
      <c r="L3462">
        <v>5501.03</v>
      </c>
      <c r="M3462" s="1">
        <v>43759</v>
      </c>
      <c r="N3462" t="s">
        <v>108</v>
      </c>
      <c r="O3462" t="s">
        <v>106</v>
      </c>
      <c r="P3462" t="s">
        <v>47</v>
      </c>
      <c r="Q3462" s="1">
        <v>43852</v>
      </c>
      <c r="R3462" t="s">
        <v>48</v>
      </c>
      <c r="S3462" t="s">
        <v>96</v>
      </c>
      <c r="T3462" t="s">
        <v>97</v>
      </c>
      <c r="U3462" t="s">
        <v>85</v>
      </c>
      <c r="V3462">
        <v>600000</v>
      </c>
      <c r="W3462">
        <v>100000</v>
      </c>
      <c r="X3462" s="1">
        <v>43799</v>
      </c>
      <c r="Y3462" t="s">
        <v>51</v>
      </c>
      <c r="Z3462" t="s">
        <v>43</v>
      </c>
      <c r="AA3462" t="s">
        <v>98</v>
      </c>
      <c r="AB3462" t="s">
        <v>89</v>
      </c>
      <c r="AC3462" t="s">
        <v>90</v>
      </c>
      <c r="AF3462" t="s">
        <v>93</v>
      </c>
      <c r="AG3462" s="1">
        <v>43843</v>
      </c>
      <c r="AH3462" t="s">
        <v>85</v>
      </c>
      <c r="AI3462" t="s">
        <v>92</v>
      </c>
      <c r="AJ3462">
        <v>19888</v>
      </c>
      <c r="AK3462">
        <v>128777</v>
      </c>
      <c r="AL3462">
        <v>198882</v>
      </c>
    </row>
    <row r="3463" spans="1:38" x14ac:dyDescent="0.25">
      <c r="A3463" t="s">
        <v>236</v>
      </c>
      <c r="B3463" t="s">
        <v>678</v>
      </c>
      <c r="C3463" t="s">
        <v>40</v>
      </c>
      <c r="D3463" s="1">
        <v>43524</v>
      </c>
      <c r="E3463" s="1">
        <v>43888</v>
      </c>
      <c r="F3463" t="s">
        <v>84</v>
      </c>
      <c r="G3463">
        <v>10</v>
      </c>
      <c r="H3463" t="s">
        <v>85</v>
      </c>
      <c r="I3463" t="s">
        <v>43</v>
      </c>
      <c r="J3463" t="s">
        <v>86</v>
      </c>
      <c r="K3463" t="s">
        <v>44</v>
      </c>
      <c r="L3463">
        <v>5501.03</v>
      </c>
      <c r="M3463" s="1">
        <v>43759</v>
      </c>
      <c r="N3463" t="s">
        <v>108</v>
      </c>
      <c r="O3463" t="s">
        <v>106</v>
      </c>
      <c r="P3463" t="s">
        <v>47</v>
      </c>
      <c r="Q3463" s="1">
        <v>43852</v>
      </c>
      <c r="R3463" t="s">
        <v>48</v>
      </c>
      <c r="S3463" t="s">
        <v>99</v>
      </c>
      <c r="T3463" t="s">
        <v>100</v>
      </c>
      <c r="U3463" t="s">
        <v>85</v>
      </c>
      <c r="V3463">
        <v>210000</v>
      </c>
      <c r="W3463">
        <v>35000</v>
      </c>
      <c r="X3463" s="1">
        <v>43799</v>
      </c>
      <c r="Y3463" t="s">
        <v>51</v>
      </c>
      <c r="Z3463" t="s">
        <v>43</v>
      </c>
      <c r="AA3463" t="s">
        <v>98</v>
      </c>
      <c r="AB3463" t="s">
        <v>89</v>
      </c>
      <c r="AC3463" t="s">
        <v>101</v>
      </c>
      <c r="AF3463" t="s">
        <v>91</v>
      </c>
      <c r="AG3463" s="1">
        <v>43852</v>
      </c>
      <c r="AH3463" t="s">
        <v>85</v>
      </c>
      <c r="AI3463" t="s">
        <v>92</v>
      </c>
      <c r="AJ3463">
        <v>19888</v>
      </c>
      <c r="AK3463">
        <v>128777</v>
      </c>
      <c r="AL3463">
        <v>198882</v>
      </c>
    </row>
    <row r="3464" spans="1:38" x14ac:dyDescent="0.25">
      <c r="A3464" t="s">
        <v>236</v>
      </c>
      <c r="B3464" t="s">
        <v>678</v>
      </c>
      <c r="C3464" t="s">
        <v>40</v>
      </c>
      <c r="D3464" s="1">
        <v>43524</v>
      </c>
      <c r="E3464" s="1">
        <v>43888</v>
      </c>
      <c r="F3464" t="s">
        <v>84</v>
      </c>
      <c r="G3464">
        <v>10</v>
      </c>
      <c r="H3464" t="s">
        <v>85</v>
      </c>
      <c r="I3464" t="s">
        <v>43</v>
      </c>
      <c r="J3464" t="s">
        <v>86</v>
      </c>
      <c r="K3464" t="s">
        <v>44</v>
      </c>
      <c r="L3464">
        <v>5501.03</v>
      </c>
      <c r="M3464" s="1">
        <v>43759</v>
      </c>
      <c r="N3464" t="s">
        <v>108</v>
      </c>
      <c r="O3464" t="s">
        <v>106</v>
      </c>
      <c r="P3464" t="s">
        <v>47</v>
      </c>
      <c r="Q3464" s="1">
        <v>43852</v>
      </c>
      <c r="R3464" t="s">
        <v>48</v>
      </c>
      <c r="S3464" t="s">
        <v>99</v>
      </c>
      <c r="T3464" t="s">
        <v>100</v>
      </c>
      <c r="U3464" t="s">
        <v>85</v>
      </c>
      <c r="V3464">
        <v>210000</v>
      </c>
      <c r="W3464">
        <v>35000</v>
      </c>
      <c r="X3464" s="1">
        <v>43799</v>
      </c>
      <c r="Y3464" t="s">
        <v>51</v>
      </c>
      <c r="Z3464" t="s">
        <v>43</v>
      </c>
      <c r="AA3464" t="s">
        <v>98</v>
      </c>
      <c r="AB3464" t="s">
        <v>89</v>
      </c>
      <c r="AC3464" t="s">
        <v>101</v>
      </c>
      <c r="AF3464" t="s">
        <v>93</v>
      </c>
      <c r="AG3464" s="1">
        <v>43843</v>
      </c>
      <c r="AH3464" t="s">
        <v>85</v>
      </c>
      <c r="AI3464" t="s">
        <v>92</v>
      </c>
      <c r="AJ3464">
        <v>19888</v>
      </c>
      <c r="AK3464">
        <v>128777</v>
      </c>
      <c r="AL3464">
        <v>198882</v>
      </c>
    </row>
    <row r="3465" spans="1:38" x14ac:dyDescent="0.25">
      <c r="A3465" t="s">
        <v>236</v>
      </c>
      <c r="B3465" t="s">
        <v>678</v>
      </c>
      <c r="C3465" t="s">
        <v>40</v>
      </c>
      <c r="D3465" s="1">
        <v>43524</v>
      </c>
      <c r="E3465" s="1">
        <v>43888</v>
      </c>
      <c r="F3465" t="s">
        <v>84</v>
      </c>
      <c r="G3465">
        <v>10</v>
      </c>
      <c r="H3465" t="s">
        <v>85</v>
      </c>
      <c r="I3465" t="s">
        <v>43</v>
      </c>
      <c r="J3465" t="s">
        <v>86</v>
      </c>
      <c r="K3465" t="s">
        <v>44</v>
      </c>
      <c r="L3465">
        <v>5501.03</v>
      </c>
      <c r="M3465" s="1">
        <v>43759</v>
      </c>
      <c r="N3465" t="s">
        <v>108</v>
      </c>
      <c r="O3465" t="s">
        <v>106</v>
      </c>
      <c r="P3465" t="s">
        <v>47</v>
      </c>
      <c r="Q3465" s="1">
        <v>43852</v>
      </c>
      <c r="R3465" t="s">
        <v>48</v>
      </c>
      <c r="S3465" t="s">
        <v>102</v>
      </c>
      <c r="T3465" t="s">
        <v>103</v>
      </c>
      <c r="U3465" t="s">
        <v>85</v>
      </c>
      <c r="V3465">
        <v>5000000</v>
      </c>
      <c r="W3465">
        <v>250000</v>
      </c>
      <c r="X3465" s="1">
        <v>43799</v>
      </c>
      <c r="Y3465" t="s">
        <v>51</v>
      </c>
      <c r="Z3465" t="s">
        <v>43</v>
      </c>
      <c r="AA3465" t="s">
        <v>86</v>
      </c>
      <c r="AB3465" t="s">
        <v>89</v>
      </c>
      <c r="AC3465" t="s">
        <v>90</v>
      </c>
      <c r="AF3465" t="s">
        <v>91</v>
      </c>
      <c r="AG3465" s="1">
        <v>43852</v>
      </c>
      <c r="AH3465" t="s">
        <v>85</v>
      </c>
      <c r="AI3465" t="s">
        <v>92</v>
      </c>
      <c r="AJ3465">
        <v>19888</v>
      </c>
      <c r="AK3465">
        <v>128777</v>
      </c>
      <c r="AL3465">
        <v>198882</v>
      </c>
    </row>
    <row r="3466" spans="1:38" x14ac:dyDescent="0.25">
      <c r="A3466" t="s">
        <v>236</v>
      </c>
      <c r="B3466" t="s">
        <v>678</v>
      </c>
      <c r="C3466" t="s">
        <v>40</v>
      </c>
      <c r="D3466" s="1">
        <v>43524</v>
      </c>
      <c r="E3466" s="1">
        <v>43888</v>
      </c>
      <c r="F3466" t="s">
        <v>84</v>
      </c>
      <c r="G3466">
        <v>10</v>
      </c>
      <c r="H3466" t="s">
        <v>85</v>
      </c>
      <c r="I3466" t="s">
        <v>43</v>
      </c>
      <c r="J3466" t="s">
        <v>86</v>
      </c>
      <c r="K3466" t="s">
        <v>44</v>
      </c>
      <c r="L3466">
        <v>5501.03</v>
      </c>
      <c r="M3466" s="1">
        <v>43759</v>
      </c>
      <c r="N3466" t="s">
        <v>108</v>
      </c>
      <c r="O3466" t="s">
        <v>106</v>
      </c>
      <c r="P3466" t="s">
        <v>47</v>
      </c>
      <c r="Q3466" s="1">
        <v>43852</v>
      </c>
      <c r="R3466" t="s">
        <v>48</v>
      </c>
      <c r="S3466" t="s">
        <v>102</v>
      </c>
      <c r="T3466" t="s">
        <v>103</v>
      </c>
      <c r="U3466" t="s">
        <v>85</v>
      </c>
      <c r="V3466">
        <v>5000000</v>
      </c>
      <c r="W3466">
        <v>250000</v>
      </c>
      <c r="X3466" s="1">
        <v>43799</v>
      </c>
      <c r="Y3466" t="s">
        <v>51</v>
      </c>
      <c r="Z3466" t="s">
        <v>43</v>
      </c>
      <c r="AA3466" t="s">
        <v>86</v>
      </c>
      <c r="AB3466" t="s">
        <v>89</v>
      </c>
      <c r="AC3466" t="s">
        <v>90</v>
      </c>
      <c r="AF3466" t="s">
        <v>93</v>
      </c>
      <c r="AG3466" s="1">
        <v>43843</v>
      </c>
      <c r="AH3466" t="s">
        <v>85</v>
      </c>
      <c r="AI3466" t="s">
        <v>92</v>
      </c>
      <c r="AJ3466">
        <v>19888</v>
      </c>
      <c r="AK3466">
        <v>128777</v>
      </c>
      <c r="AL3466">
        <v>198882</v>
      </c>
    </row>
    <row r="3467" spans="1:38" x14ac:dyDescent="0.25">
      <c r="A3467" t="s">
        <v>238</v>
      </c>
      <c r="B3467" t="s">
        <v>679</v>
      </c>
      <c r="C3467" t="s">
        <v>40</v>
      </c>
      <c r="D3467" s="1">
        <v>43777</v>
      </c>
      <c r="E3467" s="1">
        <v>44142</v>
      </c>
      <c r="F3467" t="s">
        <v>84</v>
      </c>
      <c r="G3467">
        <v>10</v>
      </c>
      <c r="H3467" t="s">
        <v>85</v>
      </c>
      <c r="I3467" t="s">
        <v>43</v>
      </c>
      <c r="J3467" t="s">
        <v>86</v>
      </c>
      <c r="K3467" t="s">
        <v>44</v>
      </c>
      <c r="L3467">
        <v>24311.1</v>
      </c>
      <c r="M3467" s="1">
        <v>43777</v>
      </c>
      <c r="N3467" t="s">
        <v>45</v>
      </c>
      <c r="O3467" t="s">
        <v>46</v>
      </c>
      <c r="P3467" t="s">
        <v>47</v>
      </c>
      <c r="Q3467" s="1">
        <v>43852</v>
      </c>
      <c r="R3467" t="s">
        <v>48</v>
      </c>
      <c r="S3467" t="s">
        <v>87</v>
      </c>
      <c r="T3467" t="s">
        <v>88</v>
      </c>
      <c r="U3467" t="s">
        <v>85</v>
      </c>
      <c r="V3467">
        <v>1400000</v>
      </c>
      <c r="W3467">
        <v>100000</v>
      </c>
      <c r="X3467" s="1">
        <v>43808</v>
      </c>
      <c r="Y3467" t="s">
        <v>51</v>
      </c>
      <c r="Z3467" t="s">
        <v>43</v>
      </c>
      <c r="AA3467" t="s">
        <v>86</v>
      </c>
      <c r="AB3467" t="s">
        <v>89</v>
      </c>
      <c r="AC3467" t="s">
        <v>90</v>
      </c>
      <c r="AF3467" t="s">
        <v>91</v>
      </c>
      <c r="AG3467" s="1">
        <v>43852</v>
      </c>
      <c r="AH3467" t="s">
        <v>85</v>
      </c>
      <c r="AI3467" t="s">
        <v>92</v>
      </c>
      <c r="AJ3467">
        <v>19888</v>
      </c>
      <c r="AK3467">
        <v>128777</v>
      </c>
      <c r="AL3467">
        <v>198882</v>
      </c>
    </row>
    <row r="3468" spans="1:38" x14ac:dyDescent="0.25">
      <c r="A3468" t="s">
        <v>238</v>
      </c>
      <c r="B3468" t="s">
        <v>679</v>
      </c>
      <c r="C3468" t="s">
        <v>40</v>
      </c>
      <c r="D3468" s="1">
        <v>43777</v>
      </c>
      <c r="E3468" s="1">
        <v>44142</v>
      </c>
      <c r="F3468" t="s">
        <v>84</v>
      </c>
      <c r="G3468">
        <v>10</v>
      </c>
      <c r="H3468" t="s">
        <v>85</v>
      </c>
      <c r="I3468" t="s">
        <v>43</v>
      </c>
      <c r="J3468" t="s">
        <v>86</v>
      </c>
      <c r="K3468" t="s">
        <v>44</v>
      </c>
      <c r="L3468">
        <v>24311.1</v>
      </c>
      <c r="M3468" s="1">
        <v>43777</v>
      </c>
      <c r="N3468" t="s">
        <v>45</v>
      </c>
      <c r="O3468" t="s">
        <v>46</v>
      </c>
      <c r="P3468" t="s">
        <v>47</v>
      </c>
      <c r="Q3468" s="1">
        <v>43852</v>
      </c>
      <c r="R3468" t="s">
        <v>48</v>
      </c>
      <c r="S3468" t="s">
        <v>87</v>
      </c>
      <c r="T3468" t="s">
        <v>88</v>
      </c>
      <c r="U3468" t="s">
        <v>85</v>
      </c>
      <c r="V3468">
        <v>1400000</v>
      </c>
      <c r="W3468">
        <v>100000</v>
      </c>
      <c r="X3468" s="1">
        <v>43808</v>
      </c>
      <c r="Y3468" t="s">
        <v>51</v>
      </c>
      <c r="Z3468" t="s">
        <v>43</v>
      </c>
      <c r="AA3468" t="s">
        <v>86</v>
      </c>
      <c r="AB3468" t="s">
        <v>89</v>
      </c>
      <c r="AC3468" t="s">
        <v>90</v>
      </c>
      <c r="AF3468" t="s">
        <v>93</v>
      </c>
      <c r="AG3468" s="1">
        <v>43843</v>
      </c>
      <c r="AH3468" t="s">
        <v>85</v>
      </c>
      <c r="AI3468" t="s">
        <v>92</v>
      </c>
      <c r="AJ3468">
        <v>19888</v>
      </c>
      <c r="AK3468">
        <v>128777</v>
      </c>
      <c r="AL3468">
        <v>198882</v>
      </c>
    </row>
    <row r="3469" spans="1:38" x14ac:dyDescent="0.25">
      <c r="A3469" t="s">
        <v>238</v>
      </c>
      <c r="B3469" t="s">
        <v>679</v>
      </c>
      <c r="C3469" t="s">
        <v>40</v>
      </c>
      <c r="D3469" s="1">
        <v>43777</v>
      </c>
      <c r="E3469" s="1">
        <v>44142</v>
      </c>
      <c r="F3469" t="s">
        <v>84</v>
      </c>
      <c r="G3469">
        <v>10</v>
      </c>
      <c r="H3469" t="s">
        <v>85</v>
      </c>
      <c r="I3469" t="s">
        <v>43</v>
      </c>
      <c r="J3469" t="s">
        <v>86</v>
      </c>
      <c r="K3469" t="s">
        <v>44</v>
      </c>
      <c r="L3469">
        <v>24311.1</v>
      </c>
      <c r="M3469" s="1">
        <v>43777</v>
      </c>
      <c r="N3469" t="s">
        <v>45</v>
      </c>
      <c r="O3469" t="s">
        <v>46</v>
      </c>
      <c r="P3469" t="s">
        <v>47</v>
      </c>
      <c r="Q3469" s="1">
        <v>43852</v>
      </c>
      <c r="R3469" t="s">
        <v>48</v>
      </c>
      <c r="S3469" t="s">
        <v>94</v>
      </c>
      <c r="T3469" t="s">
        <v>95</v>
      </c>
      <c r="U3469" t="s">
        <v>85</v>
      </c>
      <c r="V3469">
        <v>4500000</v>
      </c>
      <c r="W3469">
        <v>300000</v>
      </c>
      <c r="X3469" s="1">
        <v>43767</v>
      </c>
      <c r="Y3469" t="s">
        <v>51</v>
      </c>
      <c r="Z3469" t="s">
        <v>43</v>
      </c>
      <c r="AA3469" t="s">
        <v>86</v>
      </c>
      <c r="AB3469" t="s">
        <v>89</v>
      </c>
      <c r="AC3469" t="s">
        <v>90</v>
      </c>
      <c r="AF3469" t="s">
        <v>91</v>
      </c>
      <c r="AG3469" s="1">
        <v>43852</v>
      </c>
      <c r="AH3469" t="s">
        <v>85</v>
      </c>
      <c r="AI3469" t="s">
        <v>92</v>
      </c>
      <c r="AJ3469">
        <v>19888</v>
      </c>
      <c r="AK3469">
        <v>128777</v>
      </c>
      <c r="AL3469">
        <v>198882</v>
      </c>
    </row>
    <row r="3470" spans="1:38" x14ac:dyDescent="0.25">
      <c r="A3470" t="s">
        <v>238</v>
      </c>
      <c r="B3470" t="s">
        <v>679</v>
      </c>
      <c r="C3470" t="s">
        <v>40</v>
      </c>
      <c r="D3470" s="1">
        <v>43777</v>
      </c>
      <c r="E3470" s="1">
        <v>44142</v>
      </c>
      <c r="F3470" t="s">
        <v>84</v>
      </c>
      <c r="G3470">
        <v>10</v>
      </c>
      <c r="H3470" t="s">
        <v>85</v>
      </c>
      <c r="I3470" t="s">
        <v>43</v>
      </c>
      <c r="J3470" t="s">
        <v>86</v>
      </c>
      <c r="K3470" t="s">
        <v>44</v>
      </c>
      <c r="L3470">
        <v>24311.1</v>
      </c>
      <c r="M3470" s="1">
        <v>43777</v>
      </c>
      <c r="N3470" t="s">
        <v>45</v>
      </c>
      <c r="O3470" t="s">
        <v>46</v>
      </c>
      <c r="P3470" t="s">
        <v>47</v>
      </c>
      <c r="Q3470" s="1">
        <v>43852</v>
      </c>
      <c r="R3470" t="s">
        <v>48</v>
      </c>
      <c r="S3470" t="s">
        <v>94</v>
      </c>
      <c r="T3470" t="s">
        <v>95</v>
      </c>
      <c r="U3470" t="s">
        <v>85</v>
      </c>
      <c r="V3470">
        <v>4500000</v>
      </c>
      <c r="W3470">
        <v>300000</v>
      </c>
      <c r="X3470" s="1">
        <v>43767</v>
      </c>
      <c r="Y3470" t="s">
        <v>51</v>
      </c>
      <c r="Z3470" t="s">
        <v>43</v>
      </c>
      <c r="AA3470" t="s">
        <v>86</v>
      </c>
      <c r="AB3470" t="s">
        <v>89</v>
      </c>
      <c r="AC3470" t="s">
        <v>90</v>
      </c>
      <c r="AF3470" t="s">
        <v>93</v>
      </c>
      <c r="AG3470" s="1">
        <v>43843</v>
      </c>
      <c r="AH3470" t="s">
        <v>85</v>
      </c>
      <c r="AI3470" t="s">
        <v>92</v>
      </c>
      <c r="AJ3470">
        <v>19888</v>
      </c>
      <c r="AK3470">
        <v>128777</v>
      </c>
      <c r="AL3470">
        <v>198882</v>
      </c>
    </row>
    <row r="3471" spans="1:38" x14ac:dyDescent="0.25">
      <c r="A3471" t="s">
        <v>238</v>
      </c>
      <c r="B3471" t="s">
        <v>679</v>
      </c>
      <c r="C3471" t="s">
        <v>40</v>
      </c>
      <c r="D3471" s="1">
        <v>43777</v>
      </c>
      <c r="E3471" s="1">
        <v>44142</v>
      </c>
      <c r="F3471" t="s">
        <v>84</v>
      </c>
      <c r="G3471">
        <v>10</v>
      </c>
      <c r="H3471" t="s">
        <v>85</v>
      </c>
      <c r="I3471" t="s">
        <v>43</v>
      </c>
      <c r="J3471" t="s">
        <v>86</v>
      </c>
      <c r="K3471" t="s">
        <v>44</v>
      </c>
      <c r="L3471">
        <v>24311.1</v>
      </c>
      <c r="M3471" s="1">
        <v>43777</v>
      </c>
      <c r="N3471" t="s">
        <v>45</v>
      </c>
      <c r="O3471" t="s">
        <v>46</v>
      </c>
      <c r="P3471" t="s">
        <v>47</v>
      </c>
      <c r="Q3471" s="1">
        <v>43852</v>
      </c>
      <c r="R3471" t="s">
        <v>48</v>
      </c>
      <c r="S3471" t="s">
        <v>96</v>
      </c>
      <c r="T3471" t="s">
        <v>97</v>
      </c>
      <c r="U3471" t="s">
        <v>85</v>
      </c>
      <c r="V3471">
        <v>600000</v>
      </c>
      <c r="W3471">
        <v>100000</v>
      </c>
      <c r="X3471" s="1">
        <v>43799</v>
      </c>
      <c r="Y3471" t="s">
        <v>51</v>
      </c>
      <c r="Z3471" t="s">
        <v>43</v>
      </c>
      <c r="AA3471" t="s">
        <v>98</v>
      </c>
      <c r="AB3471" t="s">
        <v>89</v>
      </c>
      <c r="AC3471" t="s">
        <v>90</v>
      </c>
      <c r="AF3471" t="s">
        <v>91</v>
      </c>
      <c r="AG3471" s="1">
        <v>43852</v>
      </c>
      <c r="AH3471" t="s">
        <v>85</v>
      </c>
      <c r="AI3471" t="s">
        <v>92</v>
      </c>
      <c r="AJ3471">
        <v>19888</v>
      </c>
      <c r="AK3471">
        <v>128777</v>
      </c>
      <c r="AL3471">
        <v>198882</v>
      </c>
    </row>
    <row r="3472" spans="1:38" x14ac:dyDescent="0.25">
      <c r="A3472" t="s">
        <v>238</v>
      </c>
      <c r="B3472" t="s">
        <v>679</v>
      </c>
      <c r="C3472" t="s">
        <v>40</v>
      </c>
      <c r="D3472" s="1">
        <v>43777</v>
      </c>
      <c r="E3472" s="1">
        <v>44142</v>
      </c>
      <c r="F3472" t="s">
        <v>84</v>
      </c>
      <c r="G3472">
        <v>10</v>
      </c>
      <c r="H3472" t="s">
        <v>85</v>
      </c>
      <c r="I3472" t="s">
        <v>43</v>
      </c>
      <c r="J3472" t="s">
        <v>86</v>
      </c>
      <c r="K3472" t="s">
        <v>44</v>
      </c>
      <c r="L3472">
        <v>24311.1</v>
      </c>
      <c r="M3472" s="1">
        <v>43777</v>
      </c>
      <c r="N3472" t="s">
        <v>45</v>
      </c>
      <c r="O3472" t="s">
        <v>46</v>
      </c>
      <c r="P3472" t="s">
        <v>47</v>
      </c>
      <c r="Q3472" s="1">
        <v>43852</v>
      </c>
      <c r="R3472" t="s">
        <v>48</v>
      </c>
      <c r="S3472" t="s">
        <v>96</v>
      </c>
      <c r="T3472" t="s">
        <v>97</v>
      </c>
      <c r="U3472" t="s">
        <v>85</v>
      </c>
      <c r="V3472">
        <v>600000</v>
      </c>
      <c r="W3472">
        <v>100000</v>
      </c>
      <c r="X3472" s="1">
        <v>43799</v>
      </c>
      <c r="Y3472" t="s">
        <v>51</v>
      </c>
      <c r="Z3472" t="s">
        <v>43</v>
      </c>
      <c r="AA3472" t="s">
        <v>98</v>
      </c>
      <c r="AB3472" t="s">
        <v>89</v>
      </c>
      <c r="AC3472" t="s">
        <v>90</v>
      </c>
      <c r="AF3472" t="s">
        <v>93</v>
      </c>
      <c r="AG3472" s="1">
        <v>43843</v>
      </c>
      <c r="AH3472" t="s">
        <v>85</v>
      </c>
      <c r="AI3472" t="s">
        <v>92</v>
      </c>
      <c r="AJ3472">
        <v>19888</v>
      </c>
      <c r="AK3472">
        <v>128777</v>
      </c>
      <c r="AL3472">
        <v>198882</v>
      </c>
    </row>
    <row r="3473" spans="1:38" x14ac:dyDescent="0.25">
      <c r="A3473" t="s">
        <v>238</v>
      </c>
      <c r="B3473" t="s">
        <v>679</v>
      </c>
      <c r="C3473" t="s">
        <v>40</v>
      </c>
      <c r="D3473" s="1">
        <v>43777</v>
      </c>
      <c r="E3473" s="1">
        <v>44142</v>
      </c>
      <c r="F3473" t="s">
        <v>84</v>
      </c>
      <c r="G3473">
        <v>10</v>
      </c>
      <c r="H3473" t="s">
        <v>85</v>
      </c>
      <c r="I3473" t="s">
        <v>43</v>
      </c>
      <c r="J3473" t="s">
        <v>86</v>
      </c>
      <c r="K3473" t="s">
        <v>44</v>
      </c>
      <c r="L3473">
        <v>24311.1</v>
      </c>
      <c r="M3473" s="1">
        <v>43777</v>
      </c>
      <c r="N3473" t="s">
        <v>45</v>
      </c>
      <c r="O3473" t="s">
        <v>46</v>
      </c>
      <c r="P3473" t="s">
        <v>47</v>
      </c>
      <c r="Q3473" s="1">
        <v>43852</v>
      </c>
      <c r="R3473" t="s">
        <v>48</v>
      </c>
      <c r="S3473" t="s">
        <v>99</v>
      </c>
      <c r="T3473" t="s">
        <v>100</v>
      </c>
      <c r="U3473" t="s">
        <v>85</v>
      </c>
      <c r="V3473">
        <v>210000</v>
      </c>
      <c r="W3473">
        <v>35000</v>
      </c>
      <c r="X3473" s="1">
        <v>43799</v>
      </c>
      <c r="Y3473" t="s">
        <v>51</v>
      </c>
      <c r="Z3473" t="s">
        <v>43</v>
      </c>
      <c r="AA3473" t="s">
        <v>98</v>
      </c>
      <c r="AB3473" t="s">
        <v>89</v>
      </c>
      <c r="AC3473" t="s">
        <v>101</v>
      </c>
      <c r="AF3473" t="s">
        <v>91</v>
      </c>
      <c r="AG3473" s="1">
        <v>43852</v>
      </c>
      <c r="AH3473" t="s">
        <v>85</v>
      </c>
      <c r="AI3473" t="s">
        <v>92</v>
      </c>
      <c r="AJ3473">
        <v>19888</v>
      </c>
      <c r="AK3473">
        <v>128777</v>
      </c>
      <c r="AL3473">
        <v>198882</v>
      </c>
    </row>
    <row r="3474" spans="1:38" x14ac:dyDescent="0.25">
      <c r="A3474" t="s">
        <v>238</v>
      </c>
      <c r="B3474" t="s">
        <v>679</v>
      </c>
      <c r="C3474" t="s">
        <v>40</v>
      </c>
      <c r="D3474" s="1">
        <v>43777</v>
      </c>
      <c r="E3474" s="1">
        <v>44142</v>
      </c>
      <c r="F3474" t="s">
        <v>84</v>
      </c>
      <c r="G3474">
        <v>10</v>
      </c>
      <c r="H3474" t="s">
        <v>85</v>
      </c>
      <c r="I3474" t="s">
        <v>43</v>
      </c>
      <c r="J3474" t="s">
        <v>86</v>
      </c>
      <c r="K3474" t="s">
        <v>44</v>
      </c>
      <c r="L3474">
        <v>24311.1</v>
      </c>
      <c r="M3474" s="1">
        <v>43777</v>
      </c>
      <c r="N3474" t="s">
        <v>45</v>
      </c>
      <c r="O3474" t="s">
        <v>46</v>
      </c>
      <c r="P3474" t="s">
        <v>47</v>
      </c>
      <c r="Q3474" s="1">
        <v>43852</v>
      </c>
      <c r="R3474" t="s">
        <v>48</v>
      </c>
      <c r="S3474" t="s">
        <v>99</v>
      </c>
      <c r="T3474" t="s">
        <v>100</v>
      </c>
      <c r="U3474" t="s">
        <v>85</v>
      </c>
      <c r="V3474">
        <v>210000</v>
      </c>
      <c r="W3474">
        <v>35000</v>
      </c>
      <c r="X3474" s="1">
        <v>43799</v>
      </c>
      <c r="Y3474" t="s">
        <v>51</v>
      </c>
      <c r="Z3474" t="s">
        <v>43</v>
      </c>
      <c r="AA3474" t="s">
        <v>98</v>
      </c>
      <c r="AB3474" t="s">
        <v>89</v>
      </c>
      <c r="AC3474" t="s">
        <v>101</v>
      </c>
      <c r="AF3474" t="s">
        <v>93</v>
      </c>
      <c r="AG3474" s="1">
        <v>43843</v>
      </c>
      <c r="AH3474" t="s">
        <v>85</v>
      </c>
      <c r="AI3474" t="s">
        <v>92</v>
      </c>
      <c r="AJ3474">
        <v>19888</v>
      </c>
      <c r="AK3474">
        <v>128777</v>
      </c>
      <c r="AL3474">
        <v>198882</v>
      </c>
    </row>
    <row r="3475" spans="1:38" x14ac:dyDescent="0.25">
      <c r="A3475" t="s">
        <v>238</v>
      </c>
      <c r="B3475" t="s">
        <v>679</v>
      </c>
      <c r="C3475" t="s">
        <v>40</v>
      </c>
      <c r="D3475" s="1">
        <v>43777</v>
      </c>
      <c r="E3475" s="1">
        <v>44142</v>
      </c>
      <c r="F3475" t="s">
        <v>84</v>
      </c>
      <c r="G3475">
        <v>10</v>
      </c>
      <c r="H3475" t="s">
        <v>85</v>
      </c>
      <c r="I3475" t="s">
        <v>43</v>
      </c>
      <c r="J3475" t="s">
        <v>86</v>
      </c>
      <c r="K3475" t="s">
        <v>44</v>
      </c>
      <c r="L3475">
        <v>24311.1</v>
      </c>
      <c r="M3475" s="1">
        <v>43777</v>
      </c>
      <c r="N3475" t="s">
        <v>45</v>
      </c>
      <c r="O3475" t="s">
        <v>46</v>
      </c>
      <c r="P3475" t="s">
        <v>47</v>
      </c>
      <c r="Q3475" s="1">
        <v>43852</v>
      </c>
      <c r="R3475" t="s">
        <v>48</v>
      </c>
      <c r="S3475" t="s">
        <v>102</v>
      </c>
      <c r="T3475" t="s">
        <v>103</v>
      </c>
      <c r="U3475" t="s">
        <v>85</v>
      </c>
      <c r="V3475">
        <v>5000000</v>
      </c>
      <c r="W3475">
        <v>250000</v>
      </c>
      <c r="X3475" s="1">
        <v>43799</v>
      </c>
      <c r="Y3475" t="s">
        <v>51</v>
      </c>
      <c r="Z3475" t="s">
        <v>43</v>
      </c>
      <c r="AA3475" t="s">
        <v>86</v>
      </c>
      <c r="AB3475" t="s">
        <v>89</v>
      </c>
      <c r="AC3475" t="s">
        <v>90</v>
      </c>
      <c r="AF3475" t="s">
        <v>91</v>
      </c>
      <c r="AG3475" s="1">
        <v>43852</v>
      </c>
      <c r="AH3475" t="s">
        <v>85</v>
      </c>
      <c r="AI3475" t="s">
        <v>92</v>
      </c>
      <c r="AJ3475">
        <v>19888</v>
      </c>
      <c r="AK3475">
        <v>128777</v>
      </c>
      <c r="AL3475">
        <v>198882</v>
      </c>
    </row>
    <row r="3476" spans="1:38" x14ac:dyDescent="0.25">
      <c r="A3476" t="s">
        <v>238</v>
      </c>
      <c r="B3476" t="s">
        <v>679</v>
      </c>
      <c r="C3476" t="s">
        <v>40</v>
      </c>
      <c r="D3476" s="1">
        <v>43777</v>
      </c>
      <c r="E3476" s="1">
        <v>44142</v>
      </c>
      <c r="F3476" t="s">
        <v>84</v>
      </c>
      <c r="G3476">
        <v>10</v>
      </c>
      <c r="H3476" t="s">
        <v>85</v>
      </c>
      <c r="I3476" t="s">
        <v>43</v>
      </c>
      <c r="J3476" t="s">
        <v>86</v>
      </c>
      <c r="K3476" t="s">
        <v>44</v>
      </c>
      <c r="L3476">
        <v>24311.1</v>
      </c>
      <c r="M3476" s="1">
        <v>43777</v>
      </c>
      <c r="N3476" t="s">
        <v>45</v>
      </c>
      <c r="O3476" t="s">
        <v>46</v>
      </c>
      <c r="P3476" t="s">
        <v>47</v>
      </c>
      <c r="Q3476" s="1">
        <v>43852</v>
      </c>
      <c r="R3476" t="s">
        <v>48</v>
      </c>
      <c r="S3476" t="s">
        <v>102</v>
      </c>
      <c r="T3476" t="s">
        <v>103</v>
      </c>
      <c r="U3476" t="s">
        <v>85</v>
      </c>
      <c r="V3476">
        <v>5000000</v>
      </c>
      <c r="W3476">
        <v>250000</v>
      </c>
      <c r="X3476" s="1">
        <v>43799</v>
      </c>
      <c r="Y3476" t="s">
        <v>51</v>
      </c>
      <c r="Z3476" t="s">
        <v>43</v>
      </c>
      <c r="AA3476" t="s">
        <v>86</v>
      </c>
      <c r="AB3476" t="s">
        <v>89</v>
      </c>
      <c r="AC3476" t="s">
        <v>90</v>
      </c>
      <c r="AF3476" t="s">
        <v>93</v>
      </c>
      <c r="AG3476" s="1">
        <v>43843</v>
      </c>
      <c r="AH3476" t="s">
        <v>85</v>
      </c>
      <c r="AI3476" t="s">
        <v>92</v>
      </c>
      <c r="AJ3476">
        <v>19888</v>
      </c>
      <c r="AK3476">
        <v>128777</v>
      </c>
      <c r="AL3476">
        <v>198882</v>
      </c>
    </row>
    <row r="3477" spans="1:38" x14ac:dyDescent="0.25">
      <c r="A3477" t="s">
        <v>240</v>
      </c>
      <c r="B3477" s="2">
        <v>3.1242E+18</v>
      </c>
      <c r="C3477" t="s">
        <v>40</v>
      </c>
      <c r="D3477" s="1">
        <v>43312</v>
      </c>
      <c r="E3477" s="1">
        <v>43647</v>
      </c>
      <c r="F3477" t="s">
        <v>77</v>
      </c>
      <c r="G3477">
        <v>3</v>
      </c>
      <c r="H3477" t="s">
        <v>125</v>
      </c>
      <c r="I3477" t="s">
        <v>43</v>
      </c>
      <c r="J3477" t="s">
        <v>126</v>
      </c>
      <c r="K3477" t="s">
        <v>44</v>
      </c>
      <c r="L3477">
        <v>42416.75</v>
      </c>
      <c r="M3477" s="1">
        <v>43647</v>
      </c>
      <c r="N3477" t="s">
        <v>45</v>
      </c>
      <c r="O3477" t="s">
        <v>46</v>
      </c>
      <c r="P3477" t="s">
        <v>47</v>
      </c>
      <c r="Q3477" s="1">
        <v>43852</v>
      </c>
      <c r="R3477" t="s">
        <v>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24AA0-4959-4A05-90CD-313E986FB0A4}">
  <dimension ref="A1:E29"/>
  <sheetViews>
    <sheetView topLeftCell="A11" workbookViewId="0">
      <selection activeCell="I5" sqref="I5"/>
    </sheetView>
  </sheetViews>
  <sheetFormatPr defaultRowHeight="15" x14ac:dyDescent="0.25"/>
  <cols>
    <col min="1" max="1" width="22.7109375" bestFit="1" customWidth="1"/>
    <col min="2" max="2" width="7.140625" bestFit="1" customWidth="1"/>
    <col min="4" max="4" width="13.140625" bestFit="1" customWidth="1"/>
    <col min="5" max="5" width="22.7109375" bestFit="1" customWidth="1"/>
  </cols>
  <sheetData>
    <row r="1" spans="1:5" x14ac:dyDescent="0.25">
      <c r="A1" t="s">
        <v>680</v>
      </c>
      <c r="D1" s="3" t="s">
        <v>684</v>
      </c>
      <c r="E1" t="s">
        <v>680</v>
      </c>
    </row>
    <row r="2" spans="1:5" x14ac:dyDescent="0.25">
      <c r="A2" s="9">
        <v>136509054.99000028</v>
      </c>
      <c r="D2" s="4" t="s">
        <v>84</v>
      </c>
      <c r="E2" s="9">
        <v>53252608.679999806</v>
      </c>
    </row>
    <row r="3" spans="1:5" x14ac:dyDescent="0.25">
      <c r="D3" s="4" t="s">
        <v>41</v>
      </c>
      <c r="E3" s="9">
        <v>26852716.920000076</v>
      </c>
    </row>
    <row r="4" spans="1:5" x14ac:dyDescent="0.25">
      <c r="D4" s="4" t="s">
        <v>72</v>
      </c>
      <c r="E4" s="9">
        <v>20703902.68000013</v>
      </c>
    </row>
    <row r="5" spans="1:5" x14ac:dyDescent="0.25">
      <c r="A5" t="s">
        <v>682</v>
      </c>
      <c r="D5" s="4" t="s">
        <v>77</v>
      </c>
      <c r="E5" s="9">
        <v>18286616.890000001</v>
      </c>
    </row>
    <row r="6" spans="1:5" x14ac:dyDescent="0.25">
      <c r="A6">
        <v>3476</v>
      </c>
      <c r="D6" s="4" t="s">
        <v>76</v>
      </c>
      <c r="E6" s="9">
        <v>8806756.2100000028</v>
      </c>
    </row>
    <row r="7" spans="1:5" x14ac:dyDescent="0.25">
      <c r="D7" s="4" t="s">
        <v>306</v>
      </c>
      <c r="E7" s="9">
        <v>8593968.2699999996</v>
      </c>
    </row>
    <row r="8" spans="1:5" x14ac:dyDescent="0.25">
      <c r="D8" s="4" t="s">
        <v>498</v>
      </c>
      <c r="E8" s="9">
        <v>12485.34</v>
      </c>
    </row>
    <row r="9" spans="1:5" x14ac:dyDescent="0.25">
      <c r="A9" s="3" t="s">
        <v>2</v>
      </c>
      <c r="B9" t="s">
        <v>698</v>
      </c>
      <c r="D9" s="4" t="s">
        <v>685</v>
      </c>
      <c r="E9" s="9">
        <v>136509054.99000001</v>
      </c>
    </row>
    <row r="11" spans="1:5" x14ac:dyDescent="0.25">
      <c r="A11" t="s">
        <v>681</v>
      </c>
    </row>
    <row r="12" spans="1:5" x14ac:dyDescent="0.25">
      <c r="A12" s="9">
        <v>3476</v>
      </c>
    </row>
    <row r="13" spans="1:5" x14ac:dyDescent="0.25">
      <c r="D13" s="3" t="s">
        <v>684</v>
      </c>
      <c r="E13" t="s">
        <v>681</v>
      </c>
    </row>
    <row r="14" spans="1:5" x14ac:dyDescent="0.25">
      <c r="A14" s="3" t="s">
        <v>14</v>
      </c>
      <c r="B14" t="s">
        <v>44</v>
      </c>
      <c r="D14" s="4" t="s">
        <v>40</v>
      </c>
      <c r="E14" s="9">
        <v>2404</v>
      </c>
    </row>
    <row r="15" spans="1:5" x14ac:dyDescent="0.25">
      <c r="D15" s="4" t="s">
        <v>71</v>
      </c>
      <c r="E15" s="9">
        <v>1072</v>
      </c>
    </row>
    <row r="16" spans="1:5" x14ac:dyDescent="0.25">
      <c r="A16" t="s">
        <v>681</v>
      </c>
      <c r="D16" s="4" t="s">
        <v>685</v>
      </c>
      <c r="E16" s="9">
        <v>3476</v>
      </c>
    </row>
    <row r="17" spans="1:5" x14ac:dyDescent="0.25">
      <c r="A17" s="9">
        <v>602</v>
      </c>
    </row>
    <row r="19" spans="1:5" x14ac:dyDescent="0.25">
      <c r="A19" t="s">
        <v>683</v>
      </c>
      <c r="D19" s="3" t="s">
        <v>684</v>
      </c>
      <c r="E19" t="s">
        <v>681</v>
      </c>
    </row>
    <row r="20" spans="1:5" x14ac:dyDescent="0.25">
      <c r="A20" s="9">
        <v>375295000</v>
      </c>
      <c r="D20" s="4" t="s">
        <v>106</v>
      </c>
      <c r="E20" s="9">
        <v>757</v>
      </c>
    </row>
    <row r="21" spans="1:5" x14ac:dyDescent="0.25">
      <c r="D21" s="4" t="s">
        <v>46</v>
      </c>
      <c r="E21" s="9">
        <v>1884</v>
      </c>
    </row>
    <row r="22" spans="1:5" x14ac:dyDescent="0.25">
      <c r="A22" s="3" t="s">
        <v>684</v>
      </c>
      <c r="B22" t="s">
        <v>680</v>
      </c>
      <c r="D22" s="4" t="s">
        <v>361</v>
      </c>
      <c r="E22" s="9">
        <v>233</v>
      </c>
    </row>
    <row r="23" spans="1:5" x14ac:dyDescent="0.25">
      <c r="A23" s="4" t="s">
        <v>686</v>
      </c>
      <c r="B23" s="9">
        <v>0</v>
      </c>
      <c r="D23" s="4" t="s">
        <v>44</v>
      </c>
      <c r="E23" s="9">
        <v>602</v>
      </c>
    </row>
    <row r="24" spans="1:5" x14ac:dyDescent="0.25">
      <c r="A24" s="4" t="s">
        <v>687</v>
      </c>
      <c r="B24" s="9">
        <v>1435227.22</v>
      </c>
      <c r="D24" s="4" t="s">
        <v>685</v>
      </c>
      <c r="E24" s="9">
        <v>3476</v>
      </c>
    </row>
    <row r="25" spans="1:5" x14ac:dyDescent="0.25">
      <c r="A25" s="4" t="s">
        <v>688</v>
      </c>
      <c r="B25" s="9">
        <v>8763093.1800000053</v>
      </c>
    </row>
    <row r="26" spans="1:5" x14ac:dyDescent="0.25">
      <c r="A26" s="4" t="s">
        <v>689</v>
      </c>
      <c r="B26" s="9">
        <v>68378523.4400004</v>
      </c>
    </row>
    <row r="27" spans="1:5" x14ac:dyDescent="0.25">
      <c r="A27" s="4" t="s">
        <v>690</v>
      </c>
      <c r="B27" s="9">
        <v>57745105.369999878</v>
      </c>
    </row>
    <row r="28" spans="1:5" x14ac:dyDescent="0.25">
      <c r="A28" s="4" t="s">
        <v>691</v>
      </c>
      <c r="B28" s="9">
        <v>187105.78000000006</v>
      </c>
    </row>
    <row r="29" spans="1:5" x14ac:dyDescent="0.25">
      <c r="A29" s="4" t="s">
        <v>685</v>
      </c>
      <c r="B29" s="9">
        <v>136509054.99000028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6E99E-B78E-48AE-8F7C-23778571E089}">
  <dimension ref="A5:J9"/>
  <sheetViews>
    <sheetView tabSelected="1" zoomScale="51" zoomScaleNormal="50" workbookViewId="0">
      <selection activeCell="N25" sqref="N25"/>
    </sheetView>
  </sheetViews>
  <sheetFormatPr defaultRowHeight="15" x14ac:dyDescent="0.25"/>
  <cols>
    <col min="1" max="1" width="40.42578125" bestFit="1" customWidth="1"/>
    <col min="2" max="2" width="10.7109375" customWidth="1"/>
    <col min="3" max="3" width="10.28515625" customWidth="1"/>
    <col min="4" max="4" width="21.28515625" bestFit="1" customWidth="1"/>
    <col min="5" max="6" width="10.28515625" customWidth="1"/>
    <col min="7" max="7" width="26.42578125" bestFit="1" customWidth="1"/>
    <col min="8" max="8" width="10.140625" customWidth="1"/>
    <col min="9" max="9" width="10.5703125" customWidth="1"/>
    <col min="10" max="10" width="38.140625" bestFit="1" customWidth="1"/>
    <col min="12" max="12" width="22.140625" bestFit="1" customWidth="1"/>
    <col min="13" max="13" width="24" bestFit="1" customWidth="1"/>
  </cols>
  <sheetData>
    <row r="5" spans="1:10" ht="20.25" x14ac:dyDescent="0.3">
      <c r="A5" s="7" t="s">
        <v>692</v>
      </c>
      <c r="D5" s="7" t="s">
        <v>682</v>
      </c>
      <c r="G5" s="7" t="s">
        <v>693</v>
      </c>
      <c r="J5" s="7" t="s">
        <v>694</v>
      </c>
    </row>
    <row r="6" spans="1:10" ht="23.25" x14ac:dyDescent="0.35">
      <c r="A6" s="6">
        <f>GETPIVOTDATA("amount",Pivot_Models!$A$1)</f>
        <v>136509054.99000028</v>
      </c>
      <c r="D6" s="10">
        <f>GETPIVOTDATA("policy_number",Pivot_Models!$A$5)</f>
        <v>3476</v>
      </c>
      <c r="G6" s="10">
        <f>GETPIVOTDATA("policy_number",Pivot_Models!$A$11)</f>
        <v>3476</v>
      </c>
      <c r="J6" s="10">
        <f>GETPIVOTDATA("policy_number",Pivot_Models!$A$16)</f>
        <v>602</v>
      </c>
    </row>
    <row r="7" spans="1:10" x14ac:dyDescent="0.25">
      <c r="D7" s="5"/>
      <c r="G7" s="5"/>
      <c r="J7" s="5"/>
    </row>
    <row r="8" spans="1:10" ht="20.25" x14ac:dyDescent="0.3">
      <c r="A8" s="7" t="s">
        <v>683</v>
      </c>
      <c r="D8" s="7" t="s">
        <v>695</v>
      </c>
      <c r="G8" s="7" t="s">
        <v>696</v>
      </c>
      <c r="J8" s="7" t="s">
        <v>697</v>
      </c>
    </row>
    <row r="9" spans="1:10" ht="23.25" x14ac:dyDescent="0.35">
      <c r="A9" s="10">
        <f>GETPIVOTDATA("revenue_amount",Pivot_Models!$A$19)</f>
        <v>375295000</v>
      </c>
      <c r="D9" s="8">
        <f>G6/D6</f>
        <v>1</v>
      </c>
      <c r="G9" s="8">
        <f>J6/D6</f>
        <v>0.17318757192174913</v>
      </c>
      <c r="J9" s="11">
        <f>A6/D6</f>
        <v>39271.880031645647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Pivot_Models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Krishna Mohith</cp:lastModifiedBy>
  <dcterms:created xsi:type="dcterms:W3CDTF">2026-01-07T06:17:54Z</dcterms:created>
  <dcterms:modified xsi:type="dcterms:W3CDTF">2026-01-28T10:19:25Z</dcterms:modified>
</cp:coreProperties>
</file>